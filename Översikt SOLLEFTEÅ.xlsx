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45670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45670</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45670</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45670</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45670</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45670</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45670</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45670</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45670</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45670</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45670</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45670</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45670</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45670</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45670</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45670</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45670</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45670</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45670</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45670</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45670</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45670</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45670</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45670</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45670</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45670</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45670</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45670</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45670</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45670</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45670</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45670</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45670</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45670</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45670</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45670</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45670</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45670</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45670</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45670</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45670</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45670</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45670</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45670</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45670</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45670</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45670</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45670</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45670</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45670</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45670</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45670</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45670</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45670</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45670</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45670</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45670</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45670</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45670</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45670</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45670</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45670</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45670</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45670</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45670</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45670</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45670</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45670</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45670</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45670</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45670</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45670</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45670</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45670</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45670</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45670</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45670</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45670</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45670</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45670</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45670</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45670</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45670</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45670</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45670</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45670</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45670</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45670</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45670</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45670</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45670</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45670</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45670</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45670</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45670</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45670</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45670</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45670</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45670</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45670</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45670</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45670</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45670</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45670</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45670</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45670</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45670</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45670</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45670</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45670</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45670</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45670</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45670</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45670</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45670</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45670</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45670</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45670</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45670</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45670</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59982-2024</t>
        </is>
      </c>
      <c r="B122" s="1" t="n">
        <v>45642</v>
      </c>
      <c r="C122" s="1" t="n">
        <v>45670</v>
      </c>
      <c r="D122" t="inlineStr">
        <is>
          <t>VÄSTERNORRLANDS LÄN</t>
        </is>
      </c>
      <c r="E122" t="inlineStr">
        <is>
          <t>SOLLEFTEÅ</t>
        </is>
      </c>
      <c r="G122" t="n">
        <v>12.1</v>
      </c>
      <c r="H122" t="n">
        <v>3</v>
      </c>
      <c r="I122" t="n">
        <v>2</v>
      </c>
      <c r="J122" t="n">
        <v>3</v>
      </c>
      <c r="K122" t="n">
        <v>1</v>
      </c>
      <c r="L122" t="n">
        <v>0</v>
      </c>
      <c r="M122" t="n">
        <v>0</v>
      </c>
      <c r="N122" t="n">
        <v>0</v>
      </c>
      <c r="O122" t="n">
        <v>4</v>
      </c>
      <c r="P122" t="n">
        <v>1</v>
      </c>
      <c r="Q122" t="n">
        <v>7</v>
      </c>
      <c r="R122" s="2" t="inlineStr">
        <is>
          <t>Knärot
Garnlav
Rosenticka
Ullticka
Korallrot
Vedticka
Fläcknycklar</t>
        </is>
      </c>
      <c r="S122">
        <f>HYPERLINK("https://klasma.github.io/Logging_2283/artfynd/A 59982-2024 artfynd.xlsx", "A 59982-2024")</f>
        <v/>
      </c>
      <c r="T122">
        <f>HYPERLINK("https://klasma.github.io/Logging_2283/kartor/A 59982-2024 karta.png", "A 59982-2024")</f>
        <v/>
      </c>
      <c r="U122">
        <f>HYPERLINK("https://klasma.github.io/Logging_2283/knärot/A 59982-2024 karta knärot.png", "A 59982-2024")</f>
        <v/>
      </c>
      <c r="V122">
        <f>HYPERLINK("https://klasma.github.io/Logging_2283/klagomål/A 59982-2024 FSC-klagomål.docx", "A 59982-2024")</f>
        <v/>
      </c>
      <c r="W122">
        <f>HYPERLINK("https://klasma.github.io/Logging_2283/klagomålsmail/A 59982-2024 FSC-klagomål mail.docx", "A 59982-2024")</f>
        <v/>
      </c>
      <c r="X122">
        <f>HYPERLINK("https://klasma.github.io/Logging_2283/tillsyn/A 59982-2024 tillsynsbegäran.docx", "A 59982-2024")</f>
        <v/>
      </c>
      <c r="Y122">
        <f>HYPERLINK("https://klasma.github.io/Logging_2283/tillsynsmail/A 59982-2024 tillsynsbegäran mail.docx", "A 59982-2024")</f>
        <v/>
      </c>
    </row>
    <row r="123" ht="15" customHeight="1">
      <c r="A123" t="inlineStr">
        <is>
          <t>A 26633-2019</t>
        </is>
      </c>
      <c r="B123" s="1" t="n">
        <v>43612</v>
      </c>
      <c r="C123" s="1" t="n">
        <v>45670</v>
      </c>
      <c r="D123" t="inlineStr">
        <is>
          <t>VÄSTERNORRLANDS LÄN</t>
        </is>
      </c>
      <c r="E123" t="inlineStr">
        <is>
          <t>SOLLEFTEÅ</t>
        </is>
      </c>
      <c r="F123" t="inlineStr">
        <is>
          <t>SCA</t>
        </is>
      </c>
      <c r="G123" t="n">
        <v>20.5</v>
      </c>
      <c r="H123" t="n">
        <v>1</v>
      </c>
      <c r="I123" t="n">
        <v>1</v>
      </c>
      <c r="J123" t="n">
        <v>5</v>
      </c>
      <c r="K123" t="n">
        <v>0</v>
      </c>
      <c r="L123" t="n">
        <v>0</v>
      </c>
      <c r="M123" t="n">
        <v>0</v>
      </c>
      <c r="N123" t="n">
        <v>0</v>
      </c>
      <c r="O123" t="n">
        <v>5</v>
      </c>
      <c r="P123" t="n">
        <v>0</v>
      </c>
      <c r="Q123" t="n">
        <v>6</v>
      </c>
      <c r="R123" s="2" t="inlineStr">
        <is>
          <t>Grantaggsvamp
Knölgrynna
Slät tallkapuschongbagge
Tallriska
Tretåig hackspett
Dropptaggsvamp</t>
        </is>
      </c>
      <c r="S123">
        <f>HYPERLINK("https://klasma.github.io/Logging_2283/artfynd/A 26633-2019 artfynd.xlsx", "A 26633-2019")</f>
        <v/>
      </c>
      <c r="T123">
        <f>HYPERLINK("https://klasma.github.io/Logging_2283/kartor/A 26633-2019 karta.png", "A 26633-2019")</f>
        <v/>
      </c>
      <c r="V123">
        <f>HYPERLINK("https://klasma.github.io/Logging_2283/klagomål/A 26633-2019 FSC-klagomål.docx", "A 26633-2019")</f>
        <v/>
      </c>
      <c r="W123">
        <f>HYPERLINK("https://klasma.github.io/Logging_2283/klagomålsmail/A 26633-2019 FSC-klagomål mail.docx", "A 26633-2019")</f>
        <v/>
      </c>
      <c r="X123">
        <f>HYPERLINK("https://klasma.github.io/Logging_2283/tillsyn/A 26633-2019 tillsynsbegäran.docx", "A 26633-2019")</f>
        <v/>
      </c>
      <c r="Y123">
        <f>HYPERLINK("https://klasma.github.io/Logging_2283/tillsynsmail/A 26633-2019 tillsynsbegäran mail.docx", "A 26633-2019")</f>
        <v/>
      </c>
      <c r="Z123">
        <f>HYPERLINK("https://klasma.github.io/Logging_2283/fåglar/A 26633-2019 prioriterade fågelarter.docx", "A 26633-2019")</f>
        <v/>
      </c>
    </row>
    <row r="124" ht="15" customHeight="1">
      <c r="A124" t="inlineStr">
        <is>
          <t>A 59075-2019</t>
        </is>
      </c>
      <c r="B124" s="1" t="n">
        <v>43774</v>
      </c>
      <c r="C124" s="1" t="n">
        <v>45670</v>
      </c>
      <c r="D124" t="inlineStr">
        <is>
          <t>VÄSTERNORRLANDS LÄN</t>
        </is>
      </c>
      <c r="E124" t="inlineStr">
        <is>
          <t>SOLLEFTEÅ</t>
        </is>
      </c>
      <c r="G124" t="n">
        <v>1.6</v>
      </c>
      <c r="H124" t="n">
        <v>2</v>
      </c>
      <c r="I124" t="n">
        <v>2</v>
      </c>
      <c r="J124" t="n">
        <v>3</v>
      </c>
      <c r="K124" t="n">
        <v>0</v>
      </c>
      <c r="L124" t="n">
        <v>0</v>
      </c>
      <c r="M124" t="n">
        <v>0</v>
      </c>
      <c r="N124" t="n">
        <v>0</v>
      </c>
      <c r="O124" t="n">
        <v>3</v>
      </c>
      <c r="P124" t="n">
        <v>0</v>
      </c>
      <c r="Q124" t="n">
        <v>6</v>
      </c>
      <c r="R124" s="2" t="inlineStr">
        <is>
          <t>Lunglav
Mindre hackspett
Rosenticka
Skinnlav
Svart trolldruva
Revlummer</t>
        </is>
      </c>
      <c r="S124">
        <f>HYPERLINK("https://klasma.github.io/Logging_2283/artfynd/A 59075-2019 artfynd.xlsx", "A 59075-2019")</f>
        <v/>
      </c>
      <c r="T124">
        <f>HYPERLINK("https://klasma.github.io/Logging_2283/kartor/A 59075-2019 karta.png", "A 59075-2019")</f>
        <v/>
      </c>
      <c r="V124">
        <f>HYPERLINK("https://klasma.github.io/Logging_2283/klagomål/A 59075-2019 FSC-klagomål.docx", "A 59075-2019")</f>
        <v/>
      </c>
      <c r="W124">
        <f>HYPERLINK("https://klasma.github.io/Logging_2283/klagomålsmail/A 59075-2019 FSC-klagomål mail.docx", "A 59075-2019")</f>
        <v/>
      </c>
      <c r="X124">
        <f>HYPERLINK("https://klasma.github.io/Logging_2283/tillsyn/A 59075-2019 tillsynsbegäran.docx", "A 59075-2019")</f>
        <v/>
      </c>
      <c r="Y124">
        <f>HYPERLINK("https://klasma.github.io/Logging_2283/tillsynsmail/A 59075-2019 tillsynsbegäran mail.docx", "A 59075-2019")</f>
        <v/>
      </c>
      <c r="Z124">
        <f>HYPERLINK("https://klasma.github.io/Logging_2283/fåglar/A 59075-2019 prioriterade fågelarter.docx", "A 59075-2019")</f>
        <v/>
      </c>
    </row>
    <row r="125" ht="15" customHeight="1">
      <c r="A125" t="inlineStr">
        <is>
          <t>A 4528-2022</t>
        </is>
      </c>
      <c r="B125" s="1" t="n">
        <v>44589</v>
      </c>
      <c r="C125" s="1" t="n">
        <v>45670</v>
      </c>
      <c r="D125" t="inlineStr">
        <is>
          <t>VÄSTERNORRLANDS LÄN</t>
        </is>
      </c>
      <c r="E125" t="inlineStr">
        <is>
          <t>SOLLEFTEÅ</t>
        </is>
      </c>
      <c r="G125" t="n">
        <v>2.6</v>
      </c>
      <c r="H125" t="n">
        <v>2</v>
      </c>
      <c r="I125" t="n">
        <v>1</v>
      </c>
      <c r="J125" t="n">
        <v>4</v>
      </c>
      <c r="K125" t="n">
        <v>0</v>
      </c>
      <c r="L125" t="n">
        <v>0</v>
      </c>
      <c r="M125" t="n">
        <v>0</v>
      </c>
      <c r="N125" t="n">
        <v>0</v>
      </c>
      <c r="O125" t="n">
        <v>4</v>
      </c>
      <c r="P125" t="n">
        <v>0</v>
      </c>
      <c r="Q125" t="n">
        <v>6</v>
      </c>
      <c r="R125" s="2" t="inlineStr">
        <is>
          <t>Garnlav
Tallticka
Tretåig hackspett
Ullticka
Vedticka
Revlummer</t>
        </is>
      </c>
      <c r="S125">
        <f>HYPERLINK("https://klasma.github.io/Logging_2283/artfynd/A 4528-2022 artfynd.xlsx", "A 4528-2022")</f>
        <v/>
      </c>
      <c r="T125">
        <f>HYPERLINK("https://klasma.github.io/Logging_2283/kartor/A 4528-2022 karta.png", "A 4528-2022")</f>
        <v/>
      </c>
      <c r="V125">
        <f>HYPERLINK("https://klasma.github.io/Logging_2283/klagomål/A 4528-2022 FSC-klagomål.docx", "A 4528-2022")</f>
        <v/>
      </c>
      <c r="W125">
        <f>HYPERLINK("https://klasma.github.io/Logging_2283/klagomålsmail/A 4528-2022 FSC-klagomål mail.docx", "A 4528-2022")</f>
        <v/>
      </c>
      <c r="X125">
        <f>HYPERLINK("https://klasma.github.io/Logging_2283/tillsyn/A 4528-2022 tillsynsbegäran.docx", "A 4528-2022")</f>
        <v/>
      </c>
      <c r="Y125">
        <f>HYPERLINK("https://klasma.github.io/Logging_2283/tillsynsmail/A 4528-2022 tillsynsbegäran mail.docx", "A 4528-2022")</f>
        <v/>
      </c>
      <c r="Z125">
        <f>HYPERLINK("https://klasma.github.io/Logging_2283/fåglar/A 4528-2022 prioriterade fågelarter.docx", "A 4528-2022")</f>
        <v/>
      </c>
    </row>
    <row r="126" ht="15" customHeight="1">
      <c r="A126" t="inlineStr">
        <is>
          <t>A 16087-2022</t>
        </is>
      </c>
      <c r="B126" s="1" t="n">
        <v>44665</v>
      </c>
      <c r="C126" s="1" t="n">
        <v>45670</v>
      </c>
      <c r="D126" t="inlineStr">
        <is>
          <t>VÄSTERNORRLANDS LÄN</t>
        </is>
      </c>
      <c r="E126" t="inlineStr">
        <is>
          <t>SOLLEFTEÅ</t>
        </is>
      </c>
      <c r="F126" t="inlineStr">
        <is>
          <t>Holmen skog AB</t>
        </is>
      </c>
      <c r="G126" t="n">
        <v>7.5</v>
      </c>
      <c r="H126" t="n">
        <v>0</v>
      </c>
      <c r="I126" t="n">
        <v>1</v>
      </c>
      <c r="J126" t="n">
        <v>3</v>
      </c>
      <c r="K126" t="n">
        <v>2</v>
      </c>
      <c r="L126" t="n">
        <v>0</v>
      </c>
      <c r="M126" t="n">
        <v>0</v>
      </c>
      <c r="N126" t="n">
        <v>0</v>
      </c>
      <c r="O126" t="n">
        <v>5</v>
      </c>
      <c r="P126" t="n">
        <v>2</v>
      </c>
      <c r="Q126" t="n">
        <v>6</v>
      </c>
      <c r="R126" s="2" t="inlineStr">
        <is>
          <t>Bitter taggsvamp
Goliatmusseron
Blå taggsvamp
Orange taggsvamp
Skrovlig taggsvamp
Skarp dropptaggsvamp</t>
        </is>
      </c>
      <c r="S126">
        <f>HYPERLINK("https://klasma.github.io/Logging_2283/artfynd/A 16087-2022 artfynd.xlsx", "A 16087-2022")</f>
        <v/>
      </c>
      <c r="T126">
        <f>HYPERLINK("https://klasma.github.io/Logging_2283/kartor/A 16087-2022 karta.png", "A 16087-2022")</f>
        <v/>
      </c>
      <c r="V126">
        <f>HYPERLINK("https://klasma.github.io/Logging_2283/klagomål/A 16087-2022 FSC-klagomål.docx", "A 16087-2022")</f>
        <v/>
      </c>
      <c r="W126">
        <f>HYPERLINK("https://klasma.github.io/Logging_2283/klagomålsmail/A 16087-2022 FSC-klagomål mail.docx", "A 16087-2022")</f>
        <v/>
      </c>
      <c r="X126">
        <f>HYPERLINK("https://klasma.github.io/Logging_2283/tillsyn/A 16087-2022 tillsynsbegäran.docx", "A 16087-2022")</f>
        <v/>
      </c>
      <c r="Y126">
        <f>HYPERLINK("https://klasma.github.io/Logging_2283/tillsynsmail/A 16087-2022 tillsynsbegäran mail.docx", "A 16087-2022")</f>
        <v/>
      </c>
    </row>
    <row r="127" ht="15" customHeight="1">
      <c r="A127" t="inlineStr">
        <is>
          <t>A 24887-2022</t>
        </is>
      </c>
      <c r="B127" s="1" t="n">
        <v>44728</v>
      </c>
      <c r="C127" s="1" t="n">
        <v>45670</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26594-2022</t>
        </is>
      </c>
      <c r="B128" s="1" t="n">
        <v>44739</v>
      </c>
      <c r="C128" s="1" t="n">
        <v>45670</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61377-2022</t>
        </is>
      </c>
      <c r="B129" s="1" t="n">
        <v>44915</v>
      </c>
      <c r="C129" s="1" t="n">
        <v>45670</v>
      </c>
      <c r="D129" t="inlineStr">
        <is>
          <t>VÄSTERNORRLANDS LÄN</t>
        </is>
      </c>
      <c r="E129" t="inlineStr">
        <is>
          <t>SOLLEFTEÅ</t>
        </is>
      </c>
      <c r="G129" t="n">
        <v>10.5</v>
      </c>
      <c r="H129" t="n">
        <v>0</v>
      </c>
      <c r="I129" t="n">
        <v>1</v>
      </c>
      <c r="J129" t="n">
        <v>5</v>
      </c>
      <c r="K129" t="n">
        <v>0</v>
      </c>
      <c r="L129" t="n">
        <v>0</v>
      </c>
      <c r="M129" t="n">
        <v>0</v>
      </c>
      <c r="N129" t="n">
        <v>0</v>
      </c>
      <c r="O129" t="n">
        <v>5</v>
      </c>
      <c r="P129" t="n">
        <v>0</v>
      </c>
      <c r="Q129" t="n">
        <v>6</v>
      </c>
      <c r="R129" s="2" t="inlineStr">
        <is>
          <t>Gammelgransskål
Garnlav
Granticka
Lunglav
Stjärntagging
Spädstarr</t>
        </is>
      </c>
      <c r="S129">
        <f>HYPERLINK("https://klasma.github.io/Logging_2283/artfynd/A 61377-2022 artfynd.xlsx", "A 61377-2022")</f>
        <v/>
      </c>
      <c r="T129">
        <f>HYPERLINK("https://klasma.github.io/Logging_2283/kartor/A 61377-2022 karta.png", "A 61377-2022")</f>
        <v/>
      </c>
      <c r="V129">
        <f>HYPERLINK("https://klasma.github.io/Logging_2283/klagomål/A 61377-2022 FSC-klagomål.docx", "A 61377-2022")</f>
        <v/>
      </c>
      <c r="W129">
        <f>HYPERLINK("https://klasma.github.io/Logging_2283/klagomålsmail/A 61377-2022 FSC-klagomål mail.docx", "A 61377-2022")</f>
        <v/>
      </c>
      <c r="X129">
        <f>HYPERLINK("https://klasma.github.io/Logging_2283/tillsyn/A 61377-2022 tillsynsbegäran.docx", "A 61377-2022")</f>
        <v/>
      </c>
      <c r="Y129">
        <f>HYPERLINK("https://klasma.github.io/Logging_2283/tillsynsmail/A 61377-2022 tillsynsbegäran mail.docx", "A 61377-2022")</f>
        <v/>
      </c>
    </row>
    <row r="130" ht="15" customHeight="1">
      <c r="A130" t="inlineStr">
        <is>
          <t>A 14860-2023</t>
        </is>
      </c>
      <c r="B130" s="1" t="n">
        <v>45015</v>
      </c>
      <c r="C130" s="1" t="n">
        <v>45670</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39198-2023</t>
        </is>
      </c>
      <c r="B131" s="1" t="n">
        <v>45166</v>
      </c>
      <c r="C131" s="1" t="n">
        <v>45670</v>
      </c>
      <c r="D131" t="inlineStr">
        <is>
          <t>VÄSTERNORRLANDS LÄN</t>
        </is>
      </c>
      <c r="E131" t="inlineStr">
        <is>
          <t>SOLLEFTEÅ</t>
        </is>
      </c>
      <c r="G131" t="n">
        <v>11</v>
      </c>
      <c r="H131" t="n">
        <v>0</v>
      </c>
      <c r="I131" t="n">
        <v>2</v>
      </c>
      <c r="J131" t="n">
        <v>4</v>
      </c>
      <c r="K131" t="n">
        <v>0</v>
      </c>
      <c r="L131" t="n">
        <v>0</v>
      </c>
      <c r="M131" t="n">
        <v>0</v>
      </c>
      <c r="N131" t="n">
        <v>0</v>
      </c>
      <c r="O131" t="n">
        <v>4</v>
      </c>
      <c r="P131" t="n">
        <v>0</v>
      </c>
      <c r="Q131" t="n">
        <v>6</v>
      </c>
      <c r="R131" s="2" t="inlineStr">
        <is>
          <t>Garnlav
Lunglav
Rosenticka
Ullticka
Stor aspticka
Vedticka</t>
        </is>
      </c>
      <c r="S131">
        <f>HYPERLINK("https://klasma.github.io/Logging_2283/artfynd/A 39198-2023 artfynd.xlsx", "A 39198-2023")</f>
        <v/>
      </c>
      <c r="T131">
        <f>HYPERLINK("https://klasma.github.io/Logging_2283/kartor/A 39198-2023 karta.png", "A 39198-2023")</f>
        <v/>
      </c>
      <c r="U131">
        <f>HYPERLINK("https://klasma.github.io/Logging_2283/knärot/A 39198-2023 karta knärot.png", "A 39198-2023")</f>
        <v/>
      </c>
      <c r="V131">
        <f>HYPERLINK("https://klasma.github.io/Logging_2283/klagomål/A 39198-2023 FSC-klagomål.docx", "A 39198-2023")</f>
        <v/>
      </c>
      <c r="W131">
        <f>HYPERLINK("https://klasma.github.io/Logging_2283/klagomålsmail/A 39198-2023 FSC-klagomål mail.docx", "A 39198-2023")</f>
        <v/>
      </c>
      <c r="X131">
        <f>HYPERLINK("https://klasma.github.io/Logging_2283/tillsyn/A 39198-2023 tillsynsbegäran.docx", "A 39198-2023")</f>
        <v/>
      </c>
      <c r="Y131">
        <f>HYPERLINK("https://klasma.github.io/Logging_2283/tillsynsmail/A 39198-2023 tillsynsbegäran mail.docx", "A 39198-2023")</f>
        <v/>
      </c>
    </row>
    <row r="132" ht="15" customHeight="1">
      <c r="A132" t="inlineStr">
        <is>
          <t>A 40420-2023</t>
        </is>
      </c>
      <c r="B132" s="1" t="n">
        <v>45169</v>
      </c>
      <c r="C132" s="1" t="n">
        <v>45670</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40417-2023</t>
        </is>
      </c>
      <c r="B133" s="1" t="n">
        <v>45169</v>
      </c>
      <c r="C133" s="1" t="n">
        <v>45670</v>
      </c>
      <c r="D133" t="inlineStr">
        <is>
          <t>VÄSTERNORRLANDS LÄN</t>
        </is>
      </c>
      <c r="E133" t="inlineStr">
        <is>
          <t>SOLLEFTEÅ</t>
        </is>
      </c>
      <c r="F133" t="inlineStr">
        <is>
          <t>SCA</t>
        </is>
      </c>
      <c r="G133" t="n">
        <v>10.6</v>
      </c>
      <c r="H133" t="n">
        <v>2</v>
      </c>
      <c r="I133" t="n">
        <v>0</v>
      </c>
      <c r="J133" t="n">
        <v>4</v>
      </c>
      <c r="K133" t="n">
        <v>1</v>
      </c>
      <c r="L133" t="n">
        <v>0</v>
      </c>
      <c r="M133" t="n">
        <v>0</v>
      </c>
      <c r="N133" t="n">
        <v>0</v>
      </c>
      <c r="O133" t="n">
        <v>5</v>
      </c>
      <c r="P133" t="n">
        <v>1</v>
      </c>
      <c r="Q133" t="n">
        <v>6</v>
      </c>
      <c r="R133" s="2" t="inlineStr">
        <is>
          <t>Knärot
Kolflarnlav
Lunglav
Motaggsvamp
Mörk kolflarnlav
Tjäder</t>
        </is>
      </c>
      <c r="S133">
        <f>HYPERLINK("https://klasma.github.io/Logging_2283/artfynd/A 40417-2023 artfynd.xlsx", "A 40417-2023")</f>
        <v/>
      </c>
      <c r="T133">
        <f>HYPERLINK("https://klasma.github.io/Logging_2283/kartor/A 40417-2023 karta.png", "A 40417-2023")</f>
        <v/>
      </c>
      <c r="U133">
        <f>HYPERLINK("https://klasma.github.io/Logging_2283/knärot/A 40417-2023 karta knärot.png", "A 40417-2023")</f>
        <v/>
      </c>
      <c r="V133">
        <f>HYPERLINK("https://klasma.github.io/Logging_2283/klagomål/A 40417-2023 FSC-klagomål.docx", "A 40417-2023")</f>
        <v/>
      </c>
      <c r="W133">
        <f>HYPERLINK("https://klasma.github.io/Logging_2283/klagomålsmail/A 40417-2023 FSC-klagomål mail.docx", "A 40417-2023")</f>
        <v/>
      </c>
      <c r="X133">
        <f>HYPERLINK("https://klasma.github.io/Logging_2283/tillsyn/A 40417-2023 tillsynsbegäran.docx", "A 40417-2023")</f>
        <v/>
      </c>
      <c r="Y133">
        <f>HYPERLINK("https://klasma.github.io/Logging_2283/tillsynsmail/A 40417-2023 tillsynsbegäran mail.docx", "A 40417-2023")</f>
        <v/>
      </c>
      <c r="Z133">
        <f>HYPERLINK("https://klasma.github.io/Logging_2283/fåglar/A 40417-2023 prioriterade fågelarter.docx", "A 40417-2023")</f>
        <v/>
      </c>
    </row>
    <row r="134" ht="15" customHeight="1">
      <c r="A134" t="inlineStr">
        <is>
          <t>A 2068-2024</t>
        </is>
      </c>
      <c r="B134" s="1" t="n">
        <v>45308</v>
      </c>
      <c r="C134" s="1" t="n">
        <v>45670</v>
      </c>
      <c r="D134" t="inlineStr">
        <is>
          <t>VÄSTERNORRLANDS LÄN</t>
        </is>
      </c>
      <c r="E134" t="inlineStr">
        <is>
          <t>SOLLEFTEÅ</t>
        </is>
      </c>
      <c r="F134" t="inlineStr">
        <is>
          <t>SCA</t>
        </is>
      </c>
      <c r="G134" t="n">
        <v>5.7</v>
      </c>
      <c r="H134" t="n">
        <v>1</v>
      </c>
      <c r="I134" t="n">
        <v>2</v>
      </c>
      <c r="J134" t="n">
        <v>4</v>
      </c>
      <c r="K134" t="n">
        <v>0</v>
      </c>
      <c r="L134" t="n">
        <v>0</v>
      </c>
      <c r="M134" t="n">
        <v>0</v>
      </c>
      <c r="N134" t="n">
        <v>0</v>
      </c>
      <c r="O134" t="n">
        <v>4</v>
      </c>
      <c r="P134" t="n">
        <v>0</v>
      </c>
      <c r="Q134" t="n">
        <v>6</v>
      </c>
      <c r="R134" s="2" t="inlineStr">
        <is>
          <t>Garnlav
Lunglav
Tretåig hackspett
Ullticka
Bollvitmossa
Bårdlav</t>
        </is>
      </c>
      <c r="S134">
        <f>HYPERLINK("https://klasma.github.io/Logging_2283/artfynd/A 2068-2024 artfynd.xlsx", "A 2068-2024")</f>
        <v/>
      </c>
      <c r="T134">
        <f>HYPERLINK("https://klasma.github.io/Logging_2283/kartor/A 2068-2024 karta.png", "A 2068-2024")</f>
        <v/>
      </c>
      <c r="V134">
        <f>HYPERLINK("https://klasma.github.io/Logging_2283/klagomål/A 2068-2024 FSC-klagomål.docx", "A 2068-2024")</f>
        <v/>
      </c>
      <c r="W134">
        <f>HYPERLINK("https://klasma.github.io/Logging_2283/klagomålsmail/A 2068-2024 FSC-klagomål mail.docx", "A 2068-2024")</f>
        <v/>
      </c>
      <c r="X134">
        <f>HYPERLINK("https://klasma.github.io/Logging_2283/tillsyn/A 2068-2024 tillsynsbegäran.docx", "A 2068-2024")</f>
        <v/>
      </c>
      <c r="Y134">
        <f>HYPERLINK("https://klasma.github.io/Logging_2283/tillsynsmail/A 2068-2024 tillsynsbegäran mail.docx", "A 2068-2024")</f>
        <v/>
      </c>
      <c r="Z134">
        <f>HYPERLINK("https://klasma.github.io/Logging_2283/fåglar/A 2068-2024 prioriterade fågelarter.docx", "A 2068-2024")</f>
        <v/>
      </c>
    </row>
    <row r="135" ht="15" customHeight="1">
      <c r="A135" t="inlineStr">
        <is>
          <t>A 7114-2024</t>
        </is>
      </c>
      <c r="B135" s="1" t="n">
        <v>45343</v>
      </c>
      <c r="C135" s="1" t="n">
        <v>45670</v>
      </c>
      <c r="D135" t="inlineStr">
        <is>
          <t>VÄSTERNORRLANDS LÄN</t>
        </is>
      </c>
      <c r="E135" t="inlineStr">
        <is>
          <t>SOLLEFTEÅ</t>
        </is>
      </c>
      <c r="F135" t="inlineStr">
        <is>
          <t>SCA</t>
        </is>
      </c>
      <c r="G135" t="n">
        <v>2.9</v>
      </c>
      <c r="H135" t="n">
        <v>3</v>
      </c>
      <c r="I135" t="n">
        <v>0</v>
      </c>
      <c r="J135" t="n">
        <v>6</v>
      </c>
      <c r="K135" t="n">
        <v>0</v>
      </c>
      <c r="L135" t="n">
        <v>0</v>
      </c>
      <c r="M135" t="n">
        <v>0</v>
      </c>
      <c r="N135" t="n">
        <v>0</v>
      </c>
      <c r="O135" t="n">
        <v>6</v>
      </c>
      <c r="P135" t="n">
        <v>0</v>
      </c>
      <c r="Q135" t="n">
        <v>6</v>
      </c>
      <c r="R135" s="2" t="inlineStr">
        <is>
          <t>Garnlav
Järpe
Rosenticka
Spillkråka
Tretåig hackspett
Ullticka</t>
        </is>
      </c>
      <c r="S135">
        <f>HYPERLINK("https://klasma.github.io/Logging_2283/artfynd/A 7114-2024 artfynd.xlsx", "A 7114-2024")</f>
        <v/>
      </c>
      <c r="T135">
        <f>HYPERLINK("https://klasma.github.io/Logging_2283/kartor/A 7114-2024 karta.png", "A 7114-2024")</f>
        <v/>
      </c>
      <c r="V135">
        <f>HYPERLINK("https://klasma.github.io/Logging_2283/klagomål/A 7114-2024 FSC-klagomål.docx", "A 7114-2024")</f>
        <v/>
      </c>
      <c r="W135">
        <f>HYPERLINK("https://klasma.github.io/Logging_2283/klagomålsmail/A 7114-2024 FSC-klagomål mail.docx", "A 7114-2024")</f>
        <v/>
      </c>
      <c r="X135">
        <f>HYPERLINK("https://klasma.github.io/Logging_2283/tillsyn/A 7114-2024 tillsynsbegäran.docx", "A 7114-2024")</f>
        <v/>
      </c>
      <c r="Y135">
        <f>HYPERLINK("https://klasma.github.io/Logging_2283/tillsynsmail/A 7114-2024 tillsynsbegäran mail.docx", "A 7114-2024")</f>
        <v/>
      </c>
      <c r="Z135">
        <f>HYPERLINK("https://klasma.github.io/Logging_2283/fåglar/A 7114-2024 prioriterade fågelarter.docx", "A 7114-2024")</f>
        <v/>
      </c>
    </row>
    <row r="136" ht="15" customHeight="1">
      <c r="A136" t="inlineStr">
        <is>
          <t>A 11552-2024</t>
        </is>
      </c>
      <c r="B136" s="1" t="n">
        <v>45372</v>
      </c>
      <c r="C136" s="1" t="n">
        <v>45670</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29250-2024</t>
        </is>
      </c>
      <c r="B137" s="1" t="n">
        <v>45482</v>
      </c>
      <c r="C137" s="1" t="n">
        <v>45670</v>
      </c>
      <c r="D137" t="inlineStr">
        <is>
          <t>VÄSTERNORRLANDS LÄN</t>
        </is>
      </c>
      <c r="E137" t="inlineStr">
        <is>
          <t>SOLLEFTEÅ</t>
        </is>
      </c>
      <c r="F137" t="inlineStr">
        <is>
          <t>SCA</t>
        </is>
      </c>
      <c r="G137" t="n">
        <v>14.4</v>
      </c>
      <c r="H137" t="n">
        <v>4</v>
      </c>
      <c r="I137" t="n">
        <v>1</v>
      </c>
      <c r="J137" t="n">
        <v>4</v>
      </c>
      <c r="K137" t="n">
        <v>1</v>
      </c>
      <c r="L137" t="n">
        <v>0</v>
      </c>
      <c r="M137" t="n">
        <v>0</v>
      </c>
      <c r="N137" t="n">
        <v>0</v>
      </c>
      <c r="O137" t="n">
        <v>5</v>
      </c>
      <c r="P137" t="n">
        <v>1</v>
      </c>
      <c r="Q137" t="n">
        <v>6</v>
      </c>
      <c r="R137" s="2" t="inlineStr">
        <is>
          <t>Knärot
Granticka
Harticka
Järpe
Tretåig hackspett
Lappranunkel</t>
        </is>
      </c>
      <c r="S137">
        <f>HYPERLINK("https://klasma.github.io/Logging_2283/artfynd/A 29250-2024 artfynd.xlsx", "A 29250-2024")</f>
        <v/>
      </c>
      <c r="T137">
        <f>HYPERLINK("https://klasma.github.io/Logging_2283/kartor/A 29250-2024 karta.png", "A 29250-2024")</f>
        <v/>
      </c>
      <c r="U137">
        <f>HYPERLINK("https://klasma.github.io/Logging_2283/knärot/A 29250-2024 karta knärot.png", "A 29250-2024")</f>
        <v/>
      </c>
      <c r="V137">
        <f>HYPERLINK("https://klasma.github.io/Logging_2283/klagomål/A 29250-2024 FSC-klagomål.docx", "A 29250-2024")</f>
        <v/>
      </c>
      <c r="W137">
        <f>HYPERLINK("https://klasma.github.io/Logging_2283/klagomålsmail/A 29250-2024 FSC-klagomål mail.docx", "A 29250-2024")</f>
        <v/>
      </c>
      <c r="X137">
        <f>HYPERLINK("https://klasma.github.io/Logging_2283/tillsyn/A 29250-2024 tillsynsbegäran.docx", "A 29250-2024")</f>
        <v/>
      </c>
      <c r="Y137">
        <f>HYPERLINK("https://klasma.github.io/Logging_2283/tillsynsmail/A 29250-2024 tillsynsbegäran mail.docx", "A 29250-2024")</f>
        <v/>
      </c>
      <c r="Z137">
        <f>HYPERLINK("https://klasma.github.io/Logging_2283/fåglar/A 29250-2024 prioriterade fågelarter.docx", "A 29250-2024")</f>
        <v/>
      </c>
    </row>
    <row r="138" ht="15" customHeight="1">
      <c r="A138" t="inlineStr">
        <is>
          <t>A 31885-2024</t>
        </is>
      </c>
      <c r="B138" s="1" t="n">
        <v>45510</v>
      </c>
      <c r="C138" s="1" t="n">
        <v>45670</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32448-2024</t>
        </is>
      </c>
      <c r="B139" s="1" t="n">
        <v>45512</v>
      </c>
      <c r="C139" s="1" t="n">
        <v>45670</v>
      </c>
      <c r="D139" t="inlineStr">
        <is>
          <t>VÄSTERNORRLANDS LÄN</t>
        </is>
      </c>
      <c r="E139" t="inlineStr">
        <is>
          <t>SOLLEFTEÅ</t>
        </is>
      </c>
      <c r="F139" t="inlineStr">
        <is>
          <t>SCA</t>
        </is>
      </c>
      <c r="G139" t="n">
        <v>6</v>
      </c>
      <c r="H139" t="n">
        <v>1</v>
      </c>
      <c r="I139" t="n">
        <v>1</v>
      </c>
      <c r="J139" t="n">
        <v>3</v>
      </c>
      <c r="K139" t="n">
        <v>1</v>
      </c>
      <c r="L139" t="n">
        <v>0</v>
      </c>
      <c r="M139" t="n">
        <v>0</v>
      </c>
      <c r="N139" t="n">
        <v>0</v>
      </c>
      <c r="O139" t="n">
        <v>4</v>
      </c>
      <c r="P139" t="n">
        <v>1</v>
      </c>
      <c r="Q139" t="n">
        <v>6</v>
      </c>
      <c r="R139" s="2" t="inlineStr">
        <is>
          <t>Rynkskinn
Garnlav
Rosenticka
Ullticka
Vedticka
Revlummer</t>
        </is>
      </c>
      <c r="S139">
        <f>HYPERLINK("https://klasma.github.io/Logging_2283/artfynd/A 32448-2024 artfynd.xlsx", "A 32448-2024")</f>
        <v/>
      </c>
      <c r="T139">
        <f>HYPERLINK("https://klasma.github.io/Logging_2283/kartor/A 32448-2024 karta.png", "A 32448-2024")</f>
        <v/>
      </c>
      <c r="V139">
        <f>HYPERLINK("https://klasma.github.io/Logging_2283/klagomål/A 32448-2024 FSC-klagomål.docx", "A 32448-2024")</f>
        <v/>
      </c>
      <c r="W139">
        <f>HYPERLINK("https://klasma.github.io/Logging_2283/klagomålsmail/A 32448-2024 FSC-klagomål mail.docx", "A 32448-2024")</f>
        <v/>
      </c>
      <c r="X139">
        <f>HYPERLINK("https://klasma.github.io/Logging_2283/tillsyn/A 32448-2024 tillsynsbegäran.docx", "A 32448-2024")</f>
        <v/>
      </c>
      <c r="Y139">
        <f>HYPERLINK("https://klasma.github.io/Logging_2283/tillsynsmail/A 32448-2024 tillsynsbegäran mail.docx", "A 32448-2024")</f>
        <v/>
      </c>
    </row>
    <row r="140" ht="15" customHeight="1">
      <c r="A140" t="inlineStr">
        <is>
          <t>A 35406-2024</t>
        </is>
      </c>
      <c r="B140" s="1" t="n">
        <v>45531</v>
      </c>
      <c r="C140" s="1" t="n">
        <v>45670</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36470-2024</t>
        </is>
      </c>
      <c r="B141" s="1" t="n">
        <v>45537</v>
      </c>
      <c r="C141" s="1" t="n">
        <v>45670</v>
      </c>
      <c r="D141" t="inlineStr">
        <is>
          <t>VÄSTERNORRLANDS LÄN</t>
        </is>
      </c>
      <c r="E141" t="inlineStr">
        <is>
          <t>SOLLEFTEÅ</t>
        </is>
      </c>
      <c r="F141" t="inlineStr">
        <is>
          <t>SCA</t>
        </is>
      </c>
      <c r="G141" t="n">
        <v>10.3</v>
      </c>
      <c r="H141" t="n">
        <v>3</v>
      </c>
      <c r="I141" t="n">
        <v>0</v>
      </c>
      <c r="J141" t="n">
        <v>6</v>
      </c>
      <c r="K141" t="n">
        <v>0</v>
      </c>
      <c r="L141" t="n">
        <v>0</v>
      </c>
      <c r="M141" t="n">
        <v>0</v>
      </c>
      <c r="N141" t="n">
        <v>0</v>
      </c>
      <c r="O141" t="n">
        <v>6</v>
      </c>
      <c r="P141" t="n">
        <v>0</v>
      </c>
      <c r="Q141" t="n">
        <v>6</v>
      </c>
      <c r="R141" s="2" t="inlineStr">
        <is>
          <t>Gammelgransskål
Granticka
Harticka
Spillkråka
Talltita
Tretåig hackspett</t>
        </is>
      </c>
      <c r="S141">
        <f>HYPERLINK("https://klasma.github.io/Logging_2283/artfynd/A 36470-2024 artfynd.xlsx", "A 36470-2024")</f>
        <v/>
      </c>
      <c r="T141">
        <f>HYPERLINK("https://klasma.github.io/Logging_2283/kartor/A 36470-2024 karta.png", "A 36470-2024")</f>
        <v/>
      </c>
      <c r="V141">
        <f>HYPERLINK("https://klasma.github.io/Logging_2283/klagomål/A 36470-2024 FSC-klagomål.docx", "A 36470-2024")</f>
        <v/>
      </c>
      <c r="W141">
        <f>HYPERLINK("https://klasma.github.io/Logging_2283/klagomålsmail/A 36470-2024 FSC-klagomål mail.docx", "A 36470-2024")</f>
        <v/>
      </c>
      <c r="X141">
        <f>HYPERLINK("https://klasma.github.io/Logging_2283/tillsyn/A 36470-2024 tillsynsbegäran.docx", "A 36470-2024")</f>
        <v/>
      </c>
      <c r="Y141">
        <f>HYPERLINK("https://klasma.github.io/Logging_2283/tillsynsmail/A 36470-2024 tillsynsbegäran mail.docx", "A 36470-2024")</f>
        <v/>
      </c>
      <c r="Z141">
        <f>HYPERLINK("https://klasma.github.io/Logging_2283/fåglar/A 36470-2024 prioriterade fågelarter.docx", "A 36470-2024")</f>
        <v/>
      </c>
    </row>
    <row r="142" ht="15" customHeight="1">
      <c r="A142" t="inlineStr">
        <is>
          <t>A 40094-2024</t>
        </is>
      </c>
      <c r="B142" s="1" t="n">
        <v>45554</v>
      </c>
      <c r="C142" s="1" t="n">
        <v>45670</v>
      </c>
      <c r="D142" t="inlineStr">
        <is>
          <t>VÄSTERNORRLANDS LÄN</t>
        </is>
      </c>
      <c r="E142" t="inlineStr">
        <is>
          <t>SOLLEFTEÅ</t>
        </is>
      </c>
      <c r="F142" t="inlineStr">
        <is>
          <t>SCA</t>
        </is>
      </c>
      <c r="G142" t="n">
        <v>7.9</v>
      </c>
      <c r="H142" t="n">
        <v>2</v>
      </c>
      <c r="I142" t="n">
        <v>0</v>
      </c>
      <c r="J142" t="n">
        <v>6</v>
      </c>
      <c r="K142" t="n">
        <v>0</v>
      </c>
      <c r="L142" t="n">
        <v>0</v>
      </c>
      <c r="M142" t="n">
        <v>0</v>
      </c>
      <c r="N142" t="n">
        <v>0</v>
      </c>
      <c r="O142" t="n">
        <v>6</v>
      </c>
      <c r="P142" t="n">
        <v>0</v>
      </c>
      <c r="Q142" t="n">
        <v>6</v>
      </c>
      <c r="R142" s="2" t="inlineStr">
        <is>
          <t>Granticka
Lunglav
Skogshare
Skrovellav
Talltita
Tretåig hackspett</t>
        </is>
      </c>
      <c r="S142">
        <f>HYPERLINK("https://klasma.github.io/Logging_2283/artfynd/A 40094-2024 artfynd.xlsx", "A 40094-2024")</f>
        <v/>
      </c>
      <c r="T142">
        <f>HYPERLINK("https://klasma.github.io/Logging_2283/kartor/A 40094-2024 karta.png", "A 40094-2024")</f>
        <v/>
      </c>
      <c r="V142">
        <f>HYPERLINK("https://klasma.github.io/Logging_2283/klagomål/A 40094-2024 FSC-klagomål.docx", "A 40094-2024")</f>
        <v/>
      </c>
      <c r="W142">
        <f>HYPERLINK("https://klasma.github.io/Logging_2283/klagomålsmail/A 40094-2024 FSC-klagomål mail.docx", "A 40094-2024")</f>
        <v/>
      </c>
      <c r="X142">
        <f>HYPERLINK("https://klasma.github.io/Logging_2283/tillsyn/A 40094-2024 tillsynsbegäran.docx", "A 40094-2024")</f>
        <v/>
      </c>
      <c r="Y142">
        <f>HYPERLINK("https://klasma.github.io/Logging_2283/tillsynsmail/A 40094-2024 tillsynsbegäran mail.docx", "A 40094-2024")</f>
        <v/>
      </c>
      <c r="Z142">
        <f>HYPERLINK("https://klasma.github.io/Logging_2283/fåglar/A 40094-2024 prioriterade fågelarter.docx", "A 40094-2024")</f>
        <v/>
      </c>
    </row>
    <row r="143" ht="15" customHeight="1">
      <c r="A143" t="inlineStr">
        <is>
          <t>A 41788-2024</t>
        </is>
      </c>
      <c r="B143" s="1" t="n">
        <v>45561</v>
      </c>
      <c r="C143" s="1" t="n">
        <v>45670</v>
      </c>
      <c r="D143" t="inlineStr">
        <is>
          <t>VÄSTERNORRLANDS LÄN</t>
        </is>
      </c>
      <c r="E143" t="inlineStr">
        <is>
          <t>SOLLEFTEÅ</t>
        </is>
      </c>
      <c r="F143" t="inlineStr">
        <is>
          <t>SCA</t>
        </is>
      </c>
      <c r="G143" t="n">
        <v>4.1</v>
      </c>
      <c r="H143" t="n">
        <v>3</v>
      </c>
      <c r="I143" t="n">
        <v>1</v>
      </c>
      <c r="J143" t="n">
        <v>4</v>
      </c>
      <c r="K143" t="n">
        <v>1</v>
      </c>
      <c r="L143" t="n">
        <v>0</v>
      </c>
      <c r="M143" t="n">
        <v>0</v>
      </c>
      <c r="N143" t="n">
        <v>0</v>
      </c>
      <c r="O143" t="n">
        <v>5</v>
      </c>
      <c r="P143" t="n">
        <v>1</v>
      </c>
      <c r="Q143" t="n">
        <v>6</v>
      </c>
      <c r="R143" s="2" t="inlineStr">
        <is>
          <t>Knärot
Garnlav
Lunglav
Spillkråka
Talltita
Luddlav</t>
        </is>
      </c>
      <c r="S143">
        <f>HYPERLINK("https://klasma.github.io/Logging_2283/artfynd/A 41788-2024 artfynd.xlsx", "A 41788-2024")</f>
        <v/>
      </c>
      <c r="T143">
        <f>HYPERLINK("https://klasma.github.io/Logging_2283/kartor/A 41788-2024 karta.png", "A 41788-2024")</f>
        <v/>
      </c>
      <c r="U143">
        <f>HYPERLINK("https://klasma.github.io/Logging_2283/knärot/A 41788-2024 karta knärot.png", "A 41788-2024")</f>
        <v/>
      </c>
      <c r="V143">
        <f>HYPERLINK("https://klasma.github.io/Logging_2283/klagomål/A 41788-2024 FSC-klagomål.docx", "A 41788-2024")</f>
        <v/>
      </c>
      <c r="W143">
        <f>HYPERLINK("https://klasma.github.io/Logging_2283/klagomålsmail/A 41788-2024 FSC-klagomål mail.docx", "A 41788-2024")</f>
        <v/>
      </c>
      <c r="X143">
        <f>HYPERLINK("https://klasma.github.io/Logging_2283/tillsyn/A 41788-2024 tillsynsbegäran.docx", "A 41788-2024")</f>
        <v/>
      </c>
      <c r="Y143">
        <f>HYPERLINK("https://klasma.github.io/Logging_2283/tillsynsmail/A 41788-2024 tillsynsbegäran mail.docx", "A 41788-2024")</f>
        <v/>
      </c>
      <c r="Z143">
        <f>HYPERLINK("https://klasma.github.io/Logging_2283/fåglar/A 41788-2024 prioriterade fågelarter.docx", "A 41788-2024")</f>
        <v/>
      </c>
    </row>
    <row r="144" ht="15" customHeight="1">
      <c r="A144" t="inlineStr">
        <is>
          <t>A 52357-2024</t>
        </is>
      </c>
      <c r="B144" s="1" t="n">
        <v>45609</v>
      </c>
      <c r="C144" s="1" t="n">
        <v>45670</v>
      </c>
      <c r="D144" t="inlineStr">
        <is>
          <t>VÄSTERNORRLANDS LÄN</t>
        </is>
      </c>
      <c r="E144" t="inlineStr">
        <is>
          <t>SOLLEFTEÅ</t>
        </is>
      </c>
      <c r="F144" t="inlineStr">
        <is>
          <t>SCA</t>
        </is>
      </c>
      <c r="G144" t="n">
        <v>9</v>
      </c>
      <c r="H144" t="n">
        <v>0</v>
      </c>
      <c r="I144" t="n">
        <v>3</v>
      </c>
      <c r="J144" t="n">
        <v>2</v>
      </c>
      <c r="K144" t="n">
        <v>1</v>
      </c>
      <c r="L144" t="n">
        <v>0</v>
      </c>
      <c r="M144" t="n">
        <v>0</v>
      </c>
      <c r="N144" t="n">
        <v>0</v>
      </c>
      <c r="O144" t="n">
        <v>3</v>
      </c>
      <c r="P144" t="n">
        <v>1</v>
      </c>
      <c r="Q144" t="n">
        <v>6</v>
      </c>
      <c r="R144" s="2" t="inlineStr">
        <is>
          <t>Rynkskinn
Garnlav
Lunglav
Bårdlav
Mörk husmossa
Stuplav</t>
        </is>
      </c>
      <c r="S144">
        <f>HYPERLINK("https://klasma.github.io/Logging_2283/artfynd/A 52357-2024 artfynd.xlsx", "A 52357-2024")</f>
        <v/>
      </c>
      <c r="T144">
        <f>HYPERLINK("https://klasma.github.io/Logging_2283/kartor/A 52357-2024 karta.png", "A 52357-2024")</f>
        <v/>
      </c>
      <c r="V144">
        <f>HYPERLINK("https://klasma.github.io/Logging_2283/klagomål/A 52357-2024 FSC-klagomål.docx", "A 52357-2024")</f>
        <v/>
      </c>
      <c r="W144">
        <f>HYPERLINK("https://klasma.github.io/Logging_2283/klagomålsmail/A 52357-2024 FSC-klagomål mail.docx", "A 52357-2024")</f>
        <v/>
      </c>
      <c r="X144">
        <f>HYPERLINK("https://klasma.github.io/Logging_2283/tillsyn/A 52357-2024 tillsynsbegäran.docx", "A 52357-2024")</f>
        <v/>
      </c>
      <c r="Y144">
        <f>HYPERLINK("https://klasma.github.io/Logging_2283/tillsynsmail/A 52357-2024 tillsynsbegäran mail.docx", "A 52357-2024")</f>
        <v/>
      </c>
    </row>
    <row r="145" ht="15" customHeight="1">
      <c r="A145" t="inlineStr">
        <is>
          <t>A 53829-2024</t>
        </is>
      </c>
      <c r="B145" s="1" t="n">
        <v>45615</v>
      </c>
      <c r="C145" s="1" t="n">
        <v>45670</v>
      </c>
      <c r="D145" t="inlineStr">
        <is>
          <t>VÄSTERNORRLANDS LÄN</t>
        </is>
      </c>
      <c r="E145" t="inlineStr">
        <is>
          <t>SOLLEFTEÅ</t>
        </is>
      </c>
      <c r="F145" t="inlineStr">
        <is>
          <t>SCA</t>
        </is>
      </c>
      <c r="G145" t="n">
        <v>12</v>
      </c>
      <c r="H145" t="n">
        <v>0</v>
      </c>
      <c r="I145" t="n">
        <v>1</v>
      </c>
      <c r="J145" t="n">
        <v>5</v>
      </c>
      <c r="K145" t="n">
        <v>0</v>
      </c>
      <c r="L145" t="n">
        <v>0</v>
      </c>
      <c r="M145" t="n">
        <v>0</v>
      </c>
      <c r="N145" t="n">
        <v>0</v>
      </c>
      <c r="O145" t="n">
        <v>5</v>
      </c>
      <c r="P145" t="n">
        <v>0</v>
      </c>
      <c r="Q145" t="n">
        <v>6</v>
      </c>
      <c r="R145" s="2" t="inlineStr">
        <is>
          <t>Blå taggsvamp
Granticka
Lunglav
Orange taggsvamp
Tallticka
Dropptaggsvamp</t>
        </is>
      </c>
      <c r="S145">
        <f>HYPERLINK("https://klasma.github.io/Logging_2283/artfynd/A 53829-2024 artfynd.xlsx", "A 53829-2024")</f>
        <v/>
      </c>
      <c r="T145">
        <f>HYPERLINK("https://klasma.github.io/Logging_2283/kartor/A 53829-2024 karta.png", "A 53829-2024")</f>
        <v/>
      </c>
      <c r="V145">
        <f>HYPERLINK("https://klasma.github.io/Logging_2283/klagomål/A 53829-2024 FSC-klagomål.docx", "A 53829-2024")</f>
        <v/>
      </c>
      <c r="W145">
        <f>HYPERLINK("https://klasma.github.io/Logging_2283/klagomålsmail/A 53829-2024 FSC-klagomål mail.docx", "A 53829-2024")</f>
        <v/>
      </c>
      <c r="X145">
        <f>HYPERLINK("https://klasma.github.io/Logging_2283/tillsyn/A 53829-2024 tillsynsbegäran.docx", "A 53829-2024")</f>
        <v/>
      </c>
      <c r="Y145">
        <f>HYPERLINK("https://klasma.github.io/Logging_2283/tillsynsmail/A 53829-2024 tillsynsbegäran mail.docx", "A 53829-2024")</f>
        <v/>
      </c>
    </row>
    <row r="146" ht="15" customHeight="1">
      <c r="A146" t="inlineStr">
        <is>
          <t>A 57791-2024</t>
        </is>
      </c>
      <c r="B146" s="1" t="n">
        <v>45631</v>
      </c>
      <c r="C146" s="1" t="n">
        <v>45670</v>
      </c>
      <c r="D146" t="inlineStr">
        <is>
          <t>VÄSTERNORRLANDS LÄN</t>
        </is>
      </c>
      <c r="E146" t="inlineStr">
        <is>
          <t>SOLLEFTEÅ</t>
        </is>
      </c>
      <c r="G146" t="n">
        <v>4.9</v>
      </c>
      <c r="H146" t="n">
        <v>2</v>
      </c>
      <c r="I146" t="n">
        <v>2</v>
      </c>
      <c r="J146" t="n">
        <v>2</v>
      </c>
      <c r="K146" t="n">
        <v>1</v>
      </c>
      <c r="L146" t="n">
        <v>0</v>
      </c>
      <c r="M146" t="n">
        <v>0</v>
      </c>
      <c r="N146" t="n">
        <v>0</v>
      </c>
      <c r="O146" t="n">
        <v>3</v>
      </c>
      <c r="P146" t="n">
        <v>1</v>
      </c>
      <c r="Q146" t="n">
        <v>6</v>
      </c>
      <c r="R146" s="2" t="inlineStr">
        <is>
          <t>Knärot
Rosenticka
Ullticka
Gytterlav
Vedticka
Fläcknycklar</t>
        </is>
      </c>
      <c r="S146">
        <f>HYPERLINK("https://klasma.github.io/Logging_2283/artfynd/A 57791-2024 artfynd.xlsx", "A 57791-2024")</f>
        <v/>
      </c>
      <c r="T146">
        <f>HYPERLINK("https://klasma.github.io/Logging_2283/kartor/A 57791-2024 karta.png", "A 57791-2024")</f>
        <v/>
      </c>
      <c r="U146">
        <f>HYPERLINK("https://klasma.github.io/Logging_2283/knärot/A 57791-2024 karta knärot.png", "A 57791-2024")</f>
        <v/>
      </c>
      <c r="V146">
        <f>HYPERLINK("https://klasma.github.io/Logging_2283/klagomål/A 57791-2024 FSC-klagomål.docx", "A 57791-2024")</f>
        <v/>
      </c>
      <c r="W146">
        <f>HYPERLINK("https://klasma.github.io/Logging_2283/klagomålsmail/A 57791-2024 FSC-klagomål mail.docx", "A 57791-2024")</f>
        <v/>
      </c>
      <c r="X146">
        <f>HYPERLINK("https://klasma.github.io/Logging_2283/tillsyn/A 57791-2024 tillsynsbegäran.docx", "A 57791-2024")</f>
        <v/>
      </c>
      <c r="Y146">
        <f>HYPERLINK("https://klasma.github.io/Logging_2283/tillsynsmail/A 57791-2024 tillsynsbegäran mail.docx", "A 57791-2024")</f>
        <v/>
      </c>
    </row>
    <row r="147" ht="15" customHeight="1">
      <c r="A147" t="inlineStr">
        <is>
          <t>A 61326-2024</t>
        </is>
      </c>
      <c r="B147" s="1" t="n">
        <v>45646</v>
      </c>
      <c r="C147" s="1" t="n">
        <v>45670</v>
      </c>
      <c r="D147" t="inlineStr">
        <is>
          <t>VÄSTERNORRLANDS LÄN</t>
        </is>
      </c>
      <c r="E147" t="inlineStr">
        <is>
          <t>SOLLEFTEÅ</t>
        </is>
      </c>
      <c r="F147" t="inlineStr">
        <is>
          <t>SCA</t>
        </is>
      </c>
      <c r="G147" t="n">
        <v>7.9</v>
      </c>
      <c r="H147" t="n">
        <v>0</v>
      </c>
      <c r="I147" t="n">
        <v>0</v>
      </c>
      <c r="J147" t="n">
        <v>6</v>
      </c>
      <c r="K147" t="n">
        <v>0</v>
      </c>
      <c r="L147" t="n">
        <v>0</v>
      </c>
      <c r="M147" t="n">
        <v>0</v>
      </c>
      <c r="N147" t="n">
        <v>0</v>
      </c>
      <c r="O147" t="n">
        <v>6</v>
      </c>
      <c r="P147" t="n">
        <v>0</v>
      </c>
      <c r="Q147" t="n">
        <v>6</v>
      </c>
      <c r="R147" s="2" t="inlineStr">
        <is>
          <t>Gammelgransskål
Lunglav
Mörk kolflarnlav
Skrovellav
Ullticka
Vitgrynig nållav</t>
        </is>
      </c>
      <c r="S147">
        <f>HYPERLINK("https://klasma.github.io/Logging_2283/artfynd/A 61326-2024 artfynd.xlsx", "A 61326-2024")</f>
        <v/>
      </c>
      <c r="T147">
        <f>HYPERLINK("https://klasma.github.io/Logging_2283/kartor/A 61326-2024 karta.png",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row>
    <row r="148" ht="15" customHeight="1">
      <c r="A148" t="inlineStr">
        <is>
          <t>A 41785-2019</t>
        </is>
      </c>
      <c r="B148" s="1" t="n">
        <v>43699</v>
      </c>
      <c r="C148" s="1" t="n">
        <v>45670</v>
      </c>
      <c r="D148" t="inlineStr">
        <is>
          <t>VÄSTERNORRLANDS LÄN</t>
        </is>
      </c>
      <c r="E148" t="inlineStr">
        <is>
          <t>SOLLEFTEÅ</t>
        </is>
      </c>
      <c r="F148" t="inlineStr">
        <is>
          <t>SCA</t>
        </is>
      </c>
      <c r="G148" t="n">
        <v>3.1</v>
      </c>
      <c r="H148" t="n">
        <v>0</v>
      </c>
      <c r="I148" t="n">
        <v>1</v>
      </c>
      <c r="J148" t="n">
        <v>3</v>
      </c>
      <c r="K148" t="n">
        <v>1</v>
      </c>
      <c r="L148" t="n">
        <v>0</v>
      </c>
      <c r="M148" t="n">
        <v>0</v>
      </c>
      <c r="N148" t="n">
        <v>0</v>
      </c>
      <c r="O148" t="n">
        <v>4</v>
      </c>
      <c r="P148" t="n">
        <v>1</v>
      </c>
      <c r="Q148" t="n">
        <v>5</v>
      </c>
      <c r="R148" s="2" t="inlineStr">
        <is>
          <t>Rynkskinn
Rosenticka
Ullticka
Violmussling
Stor aspticka</t>
        </is>
      </c>
      <c r="S148">
        <f>HYPERLINK("https://klasma.github.io/Logging_2283/artfynd/A 41785-2019 artfynd.xlsx", "A 41785-2019")</f>
        <v/>
      </c>
      <c r="T148">
        <f>HYPERLINK("https://klasma.github.io/Logging_2283/kartor/A 41785-2019 karta.png", "A 41785-2019")</f>
        <v/>
      </c>
      <c r="V148">
        <f>HYPERLINK("https://klasma.github.io/Logging_2283/klagomål/A 41785-2019 FSC-klagomål.docx", "A 41785-2019")</f>
        <v/>
      </c>
      <c r="W148">
        <f>HYPERLINK("https://klasma.github.io/Logging_2283/klagomålsmail/A 41785-2019 FSC-klagomål mail.docx", "A 41785-2019")</f>
        <v/>
      </c>
      <c r="X148">
        <f>HYPERLINK("https://klasma.github.io/Logging_2283/tillsyn/A 41785-2019 tillsynsbegäran.docx", "A 41785-2019")</f>
        <v/>
      </c>
      <c r="Y148">
        <f>HYPERLINK("https://klasma.github.io/Logging_2283/tillsynsmail/A 41785-2019 tillsynsbegäran mail.docx", "A 41785-2019")</f>
        <v/>
      </c>
    </row>
    <row r="149" ht="15" customHeight="1">
      <c r="A149" t="inlineStr">
        <is>
          <t>A 33209-2020</t>
        </is>
      </c>
      <c r="B149" s="1" t="n">
        <v>44021</v>
      </c>
      <c r="C149" s="1" t="n">
        <v>45670</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Granticka
Harticka
Talltita
Tretåig hackspett</t>
        </is>
      </c>
      <c r="S149">
        <f>HYPERLINK("https://klasma.github.io/Logging_2283/artfynd/A 33209-2020 artfynd.xlsx", "A 33209-2020")</f>
        <v/>
      </c>
      <c r="T149">
        <f>HYPERLINK("https://klasma.github.io/Logging_2283/kartor/A 33209-2020 karta.png", "A 33209-2020")</f>
        <v/>
      </c>
      <c r="V149">
        <f>HYPERLINK("https://klasma.github.io/Logging_2283/klagomål/A 33209-2020 FSC-klagomål.docx", "A 33209-2020")</f>
        <v/>
      </c>
      <c r="W149">
        <f>HYPERLINK("https://klasma.github.io/Logging_2283/klagomålsmail/A 33209-2020 FSC-klagomål mail.docx", "A 33209-2020")</f>
        <v/>
      </c>
      <c r="X149">
        <f>HYPERLINK("https://klasma.github.io/Logging_2283/tillsyn/A 33209-2020 tillsynsbegäran.docx", "A 33209-2020")</f>
        <v/>
      </c>
      <c r="Y149">
        <f>HYPERLINK("https://klasma.github.io/Logging_2283/tillsynsmail/A 33209-2020 tillsynsbegäran mail.docx", "A 33209-2020")</f>
        <v/>
      </c>
      <c r="Z149">
        <f>HYPERLINK("https://klasma.github.io/Logging_2283/fåglar/A 33209-2020 prioriterade fågelarter.docx", "A 33209-2020")</f>
        <v/>
      </c>
    </row>
    <row r="150" ht="15" customHeight="1">
      <c r="A150" t="inlineStr">
        <is>
          <t>A 33612-2020</t>
        </is>
      </c>
      <c r="B150" s="1" t="n">
        <v>44025</v>
      </c>
      <c r="C150" s="1" t="n">
        <v>45670</v>
      </c>
      <c r="D150" t="inlineStr">
        <is>
          <t>VÄSTERNORRLANDS LÄN</t>
        </is>
      </c>
      <c r="E150" t="inlineStr">
        <is>
          <t>SOLLEFTEÅ</t>
        </is>
      </c>
      <c r="F150" t="inlineStr">
        <is>
          <t>SCA</t>
        </is>
      </c>
      <c r="G150" t="n">
        <v>2.3</v>
      </c>
      <c r="H150" t="n">
        <v>2</v>
      </c>
      <c r="I150" t="n">
        <v>1</v>
      </c>
      <c r="J150" t="n">
        <v>3</v>
      </c>
      <c r="K150" t="n">
        <v>0</v>
      </c>
      <c r="L150" t="n">
        <v>0</v>
      </c>
      <c r="M150" t="n">
        <v>0</v>
      </c>
      <c r="N150" t="n">
        <v>0</v>
      </c>
      <c r="O150" t="n">
        <v>3</v>
      </c>
      <c r="P150" t="n">
        <v>0</v>
      </c>
      <c r="Q150" t="n">
        <v>5</v>
      </c>
      <c r="R150" s="2" t="inlineStr">
        <is>
          <t>Dvärgbägarlav
Garnlav
Tretåig hackspett
Dropptaggsvamp
Tjäder</t>
        </is>
      </c>
      <c r="S150">
        <f>HYPERLINK("https://klasma.github.io/Logging_2283/artfynd/A 33612-2020 artfynd.xlsx", "A 33612-2020")</f>
        <v/>
      </c>
      <c r="T150">
        <f>HYPERLINK("https://klasma.github.io/Logging_2283/kartor/A 33612-2020 karta.png", "A 33612-2020")</f>
        <v/>
      </c>
      <c r="V150">
        <f>HYPERLINK("https://klasma.github.io/Logging_2283/klagomål/A 33612-2020 FSC-klagomål.docx", "A 33612-2020")</f>
        <v/>
      </c>
      <c r="W150">
        <f>HYPERLINK("https://klasma.github.io/Logging_2283/klagomålsmail/A 33612-2020 FSC-klagomål mail.docx", "A 33612-2020")</f>
        <v/>
      </c>
      <c r="X150">
        <f>HYPERLINK("https://klasma.github.io/Logging_2283/tillsyn/A 33612-2020 tillsynsbegäran.docx", "A 33612-2020")</f>
        <v/>
      </c>
      <c r="Y150">
        <f>HYPERLINK("https://klasma.github.io/Logging_2283/tillsynsmail/A 33612-2020 tillsynsbegäran mail.docx", "A 33612-2020")</f>
        <v/>
      </c>
      <c r="Z150">
        <f>HYPERLINK("https://klasma.github.io/Logging_2283/fåglar/A 33612-2020 prioriterade fågelarter.docx", "A 33612-2020")</f>
        <v/>
      </c>
    </row>
    <row r="151" ht="15" customHeight="1">
      <c r="A151" t="inlineStr">
        <is>
          <t>A 57076-2020</t>
        </is>
      </c>
      <c r="B151" s="1" t="n">
        <v>44138</v>
      </c>
      <c r="C151" s="1" t="n">
        <v>45670</v>
      </c>
      <c r="D151" t="inlineStr">
        <is>
          <t>VÄSTERNORRLANDS LÄN</t>
        </is>
      </c>
      <c r="E151" t="inlineStr">
        <is>
          <t>SOLLEFTEÅ</t>
        </is>
      </c>
      <c r="G151" t="n">
        <v>3.8</v>
      </c>
      <c r="H151" t="n">
        <v>3</v>
      </c>
      <c r="I151" t="n">
        <v>1</v>
      </c>
      <c r="J151" t="n">
        <v>3</v>
      </c>
      <c r="K151" t="n">
        <v>0</v>
      </c>
      <c r="L151" t="n">
        <v>0</v>
      </c>
      <c r="M151" t="n">
        <v>0</v>
      </c>
      <c r="N151" t="n">
        <v>0</v>
      </c>
      <c r="O151" t="n">
        <v>3</v>
      </c>
      <c r="P151" t="n">
        <v>0</v>
      </c>
      <c r="Q151" t="n">
        <v>5</v>
      </c>
      <c r="R151" s="2" t="inlineStr">
        <is>
          <t>Kråka
Nipsippa
Rosenticka
Strutbräken
Revlummer</t>
        </is>
      </c>
      <c r="S151">
        <f>HYPERLINK("https://klasma.github.io/Logging_2283/artfynd/A 57076-2020 artfynd.xlsx", "A 57076-2020")</f>
        <v/>
      </c>
      <c r="T151">
        <f>HYPERLINK("https://klasma.github.io/Logging_2283/kartor/A 57076-2020 karta.png", "A 57076-2020")</f>
        <v/>
      </c>
      <c r="V151">
        <f>HYPERLINK("https://klasma.github.io/Logging_2283/klagomål/A 57076-2020 FSC-klagomål.docx", "A 57076-2020")</f>
        <v/>
      </c>
      <c r="W151">
        <f>HYPERLINK("https://klasma.github.io/Logging_2283/klagomålsmail/A 57076-2020 FSC-klagomål mail.docx", "A 57076-2020")</f>
        <v/>
      </c>
      <c r="X151">
        <f>HYPERLINK("https://klasma.github.io/Logging_2283/tillsyn/A 57076-2020 tillsynsbegäran.docx", "A 57076-2020")</f>
        <v/>
      </c>
      <c r="Y151">
        <f>HYPERLINK("https://klasma.github.io/Logging_2283/tillsynsmail/A 57076-2020 tillsynsbegäran mail.docx", "A 57076-2020")</f>
        <v/>
      </c>
      <c r="Z151">
        <f>HYPERLINK("https://klasma.github.io/Logging_2283/fåglar/A 57076-2020 prioriterade fågelarter.docx", "A 57076-2020")</f>
        <v/>
      </c>
    </row>
    <row r="152" ht="15" customHeight="1">
      <c r="A152" t="inlineStr">
        <is>
          <t>A 59318-2021</t>
        </is>
      </c>
      <c r="B152" s="1" t="n">
        <v>44491</v>
      </c>
      <c r="C152" s="1" t="n">
        <v>45670</v>
      </c>
      <c r="D152" t="inlineStr">
        <is>
          <t>VÄSTERNORRLANDS LÄN</t>
        </is>
      </c>
      <c r="E152" t="inlineStr">
        <is>
          <t>SOLLEFTEÅ</t>
        </is>
      </c>
      <c r="G152" t="n">
        <v>1.2</v>
      </c>
      <c r="H152" t="n">
        <v>2</v>
      </c>
      <c r="I152" t="n">
        <v>1</v>
      </c>
      <c r="J152" t="n">
        <v>4</v>
      </c>
      <c r="K152" t="n">
        <v>0</v>
      </c>
      <c r="L152" t="n">
        <v>0</v>
      </c>
      <c r="M152" t="n">
        <v>0</v>
      </c>
      <c r="N152" t="n">
        <v>0</v>
      </c>
      <c r="O152" t="n">
        <v>4</v>
      </c>
      <c r="P152" t="n">
        <v>0</v>
      </c>
      <c r="Q152" t="n">
        <v>5</v>
      </c>
      <c r="R152" s="2" t="inlineStr">
        <is>
          <t>Gammelgransskål
Garnlav
Spillkråka
Talltita
Skinnlav</t>
        </is>
      </c>
      <c r="S152">
        <f>HYPERLINK("https://klasma.github.io/Logging_2283/artfynd/A 59318-2021 artfynd.xlsx", "A 59318-2021")</f>
        <v/>
      </c>
      <c r="T152">
        <f>HYPERLINK("https://klasma.github.io/Logging_2283/kartor/A 59318-2021 karta.png", "A 59318-2021")</f>
        <v/>
      </c>
      <c r="V152">
        <f>HYPERLINK("https://klasma.github.io/Logging_2283/klagomål/A 59318-2021 FSC-klagomål.docx", "A 59318-2021")</f>
        <v/>
      </c>
      <c r="W152">
        <f>HYPERLINK("https://klasma.github.io/Logging_2283/klagomålsmail/A 59318-2021 FSC-klagomål mail.docx", "A 59318-2021")</f>
        <v/>
      </c>
      <c r="X152">
        <f>HYPERLINK("https://klasma.github.io/Logging_2283/tillsyn/A 59318-2021 tillsynsbegäran.docx", "A 59318-2021")</f>
        <v/>
      </c>
      <c r="Y152">
        <f>HYPERLINK("https://klasma.github.io/Logging_2283/tillsynsmail/A 59318-2021 tillsynsbegäran mail.docx", "A 59318-2021")</f>
        <v/>
      </c>
      <c r="Z152">
        <f>HYPERLINK("https://klasma.github.io/Logging_2283/fåglar/A 59318-2021 prioriterade fågelarter.docx", "A 59318-2021")</f>
        <v/>
      </c>
    </row>
    <row r="153" ht="15" customHeight="1">
      <c r="A153" t="inlineStr">
        <is>
          <t>A 68354-2021</t>
        </is>
      </c>
      <c r="B153" s="1" t="n">
        <v>44528</v>
      </c>
      <c r="C153" s="1" t="n">
        <v>45670</v>
      </c>
      <c r="D153" t="inlineStr">
        <is>
          <t>VÄSTERNORRLANDS LÄN</t>
        </is>
      </c>
      <c r="E153" t="inlineStr">
        <is>
          <t>SOLLEFTEÅ</t>
        </is>
      </c>
      <c r="G153" t="n">
        <v>3.3</v>
      </c>
      <c r="H153" t="n">
        <v>2</v>
      </c>
      <c r="I153" t="n">
        <v>1</v>
      </c>
      <c r="J153" t="n">
        <v>4</v>
      </c>
      <c r="K153" t="n">
        <v>0</v>
      </c>
      <c r="L153" t="n">
        <v>0</v>
      </c>
      <c r="M153" t="n">
        <v>0</v>
      </c>
      <c r="N153" t="n">
        <v>0</v>
      </c>
      <c r="O153" t="n">
        <v>4</v>
      </c>
      <c r="P153" t="n">
        <v>0</v>
      </c>
      <c r="Q153" t="n">
        <v>5</v>
      </c>
      <c r="R153" s="2" t="inlineStr">
        <is>
          <t>Rosenticka
Spillkråka
Talltita
Ullticka
Vanlig flatbagge</t>
        </is>
      </c>
      <c r="S153">
        <f>HYPERLINK("https://klasma.github.io/Logging_2283/artfynd/A 68354-2021 artfynd.xlsx", "A 68354-2021")</f>
        <v/>
      </c>
      <c r="T153">
        <f>HYPERLINK("https://klasma.github.io/Logging_2283/kartor/A 68354-2021 karta.png", "A 68354-2021")</f>
        <v/>
      </c>
      <c r="V153">
        <f>HYPERLINK("https://klasma.github.io/Logging_2283/klagomål/A 68354-2021 FSC-klagomål.docx", "A 68354-2021")</f>
        <v/>
      </c>
      <c r="W153">
        <f>HYPERLINK("https://klasma.github.io/Logging_2283/klagomålsmail/A 68354-2021 FSC-klagomål mail.docx", "A 68354-2021")</f>
        <v/>
      </c>
      <c r="X153">
        <f>HYPERLINK("https://klasma.github.io/Logging_2283/tillsyn/A 68354-2021 tillsynsbegäran.docx", "A 68354-2021")</f>
        <v/>
      </c>
      <c r="Y153">
        <f>HYPERLINK("https://klasma.github.io/Logging_2283/tillsynsmail/A 68354-2021 tillsynsbegäran mail.docx", "A 68354-2021")</f>
        <v/>
      </c>
      <c r="Z153">
        <f>HYPERLINK("https://klasma.github.io/Logging_2283/fåglar/A 68354-2021 prioriterade fågelarter.docx", "A 68354-2021")</f>
        <v/>
      </c>
    </row>
    <row r="154" ht="15" customHeight="1">
      <c r="A154" t="inlineStr">
        <is>
          <t>A 10400-2022</t>
        </is>
      </c>
      <c r="B154" s="1" t="n">
        <v>44623</v>
      </c>
      <c r="C154" s="1" t="n">
        <v>45670</v>
      </c>
      <c r="D154" t="inlineStr">
        <is>
          <t>VÄSTERNORRLANDS LÄN</t>
        </is>
      </c>
      <c r="E154" t="inlineStr">
        <is>
          <t>SOLLEFTEÅ</t>
        </is>
      </c>
      <c r="G154" t="n">
        <v>25.8</v>
      </c>
      <c r="H154" t="n">
        <v>2</v>
      </c>
      <c r="I154" t="n">
        <v>1</v>
      </c>
      <c r="J154" t="n">
        <v>4</v>
      </c>
      <c r="K154" t="n">
        <v>0</v>
      </c>
      <c r="L154" t="n">
        <v>0</v>
      </c>
      <c r="M154" t="n">
        <v>0</v>
      </c>
      <c r="N154" t="n">
        <v>0</v>
      </c>
      <c r="O154" t="n">
        <v>4</v>
      </c>
      <c r="P154" t="n">
        <v>0</v>
      </c>
      <c r="Q154" t="n">
        <v>5</v>
      </c>
      <c r="R154" s="2" t="inlineStr">
        <is>
          <t>Lunglav
Spillkråka
Tretåig hackspett
Ullticka
Korallblylav</t>
        </is>
      </c>
      <c r="S154">
        <f>HYPERLINK("https://klasma.github.io/Logging_2283/artfynd/A 10400-2022 artfynd.xlsx", "A 10400-2022")</f>
        <v/>
      </c>
      <c r="T154">
        <f>HYPERLINK("https://klasma.github.io/Logging_2283/kartor/A 10400-2022 karta.png", "A 10400-2022")</f>
        <v/>
      </c>
      <c r="V154">
        <f>HYPERLINK("https://klasma.github.io/Logging_2283/klagomål/A 10400-2022 FSC-klagomål.docx", "A 10400-2022")</f>
        <v/>
      </c>
      <c r="W154">
        <f>HYPERLINK("https://klasma.github.io/Logging_2283/klagomålsmail/A 10400-2022 FSC-klagomål mail.docx", "A 10400-2022")</f>
        <v/>
      </c>
      <c r="X154">
        <f>HYPERLINK("https://klasma.github.io/Logging_2283/tillsyn/A 10400-2022 tillsynsbegäran.docx", "A 10400-2022")</f>
        <v/>
      </c>
      <c r="Y154">
        <f>HYPERLINK("https://klasma.github.io/Logging_2283/tillsynsmail/A 10400-2022 tillsynsbegäran mail.docx", "A 10400-2022")</f>
        <v/>
      </c>
      <c r="Z154">
        <f>HYPERLINK("https://klasma.github.io/Logging_2283/fåglar/A 10400-2022 prioriterade fågelarter.docx", "A 10400-2022")</f>
        <v/>
      </c>
    </row>
    <row r="155" ht="15" customHeight="1">
      <c r="A155" t="inlineStr">
        <is>
          <t>A 11490-2022</t>
        </is>
      </c>
      <c r="B155" s="1" t="n">
        <v>44630</v>
      </c>
      <c r="C155" s="1" t="n">
        <v>45670</v>
      </c>
      <c r="D155" t="inlineStr">
        <is>
          <t>VÄSTERNORRLANDS LÄN</t>
        </is>
      </c>
      <c r="E155" t="inlineStr">
        <is>
          <t>SOLLEFTEÅ</t>
        </is>
      </c>
      <c r="F155" t="inlineStr">
        <is>
          <t>SCA</t>
        </is>
      </c>
      <c r="G155" t="n">
        <v>2</v>
      </c>
      <c r="H155" t="n">
        <v>2</v>
      </c>
      <c r="I155" t="n">
        <v>0</v>
      </c>
      <c r="J155" t="n">
        <v>5</v>
      </c>
      <c r="K155" t="n">
        <v>0</v>
      </c>
      <c r="L155" t="n">
        <v>0</v>
      </c>
      <c r="M155" t="n">
        <v>0</v>
      </c>
      <c r="N155" t="n">
        <v>0</v>
      </c>
      <c r="O155" t="n">
        <v>5</v>
      </c>
      <c r="P155" t="n">
        <v>0</v>
      </c>
      <c r="Q155" t="n">
        <v>5</v>
      </c>
      <c r="R155" s="2" t="inlineStr">
        <is>
          <t>Garnlav
Lunglav
Spillkråka
Tretåig hackspett
Ullticka</t>
        </is>
      </c>
      <c r="S155">
        <f>HYPERLINK("https://klasma.github.io/Logging_2283/artfynd/A 11490-2022 artfynd.xlsx", "A 11490-2022")</f>
        <v/>
      </c>
      <c r="T155">
        <f>HYPERLINK("https://klasma.github.io/Logging_2283/kartor/A 11490-2022 karta.png", "A 11490-2022")</f>
        <v/>
      </c>
      <c r="V155">
        <f>HYPERLINK("https://klasma.github.io/Logging_2283/klagomål/A 11490-2022 FSC-klagomål.docx", "A 11490-2022")</f>
        <v/>
      </c>
      <c r="W155">
        <f>HYPERLINK("https://klasma.github.io/Logging_2283/klagomålsmail/A 11490-2022 FSC-klagomål mail.docx", "A 11490-2022")</f>
        <v/>
      </c>
      <c r="X155">
        <f>HYPERLINK("https://klasma.github.io/Logging_2283/tillsyn/A 11490-2022 tillsynsbegäran.docx", "A 11490-2022")</f>
        <v/>
      </c>
      <c r="Y155">
        <f>HYPERLINK("https://klasma.github.io/Logging_2283/tillsynsmail/A 11490-2022 tillsynsbegäran mail.docx", "A 11490-2022")</f>
        <v/>
      </c>
      <c r="Z155">
        <f>HYPERLINK("https://klasma.github.io/Logging_2283/fåglar/A 11490-2022 prioriterade fågelarter.docx", "A 11490-2022")</f>
        <v/>
      </c>
    </row>
    <row r="156" ht="15" customHeight="1">
      <c r="A156" t="inlineStr">
        <is>
          <t>A 20949-2022</t>
        </is>
      </c>
      <c r="B156" s="1" t="n">
        <v>44702</v>
      </c>
      <c r="C156" s="1" t="n">
        <v>45670</v>
      </c>
      <c r="D156" t="inlineStr">
        <is>
          <t>VÄSTERNORRLANDS LÄN</t>
        </is>
      </c>
      <c r="E156" t="inlineStr">
        <is>
          <t>SOLLEFTEÅ</t>
        </is>
      </c>
      <c r="F156" t="inlineStr">
        <is>
          <t>SCA</t>
        </is>
      </c>
      <c r="G156" t="n">
        <v>2.2</v>
      </c>
      <c r="H156" t="n">
        <v>1</v>
      </c>
      <c r="I156" t="n">
        <v>0</v>
      </c>
      <c r="J156" t="n">
        <v>5</v>
      </c>
      <c r="K156" t="n">
        <v>0</v>
      </c>
      <c r="L156" t="n">
        <v>0</v>
      </c>
      <c r="M156" t="n">
        <v>0</v>
      </c>
      <c r="N156" t="n">
        <v>0</v>
      </c>
      <c r="O156" t="n">
        <v>5</v>
      </c>
      <c r="P156" t="n">
        <v>0</v>
      </c>
      <c r="Q156" t="n">
        <v>5</v>
      </c>
      <c r="R156" s="2" t="inlineStr">
        <is>
          <t>Garnlav
Kolflarnlav
Lunglav
Tretåig hackspett
Vedskivlav</t>
        </is>
      </c>
      <c r="S156">
        <f>HYPERLINK("https://klasma.github.io/Logging_2283/artfynd/A 20949-2022 artfynd.xlsx", "A 20949-2022")</f>
        <v/>
      </c>
      <c r="T156">
        <f>HYPERLINK("https://klasma.github.io/Logging_2283/kartor/A 20949-2022 karta.png", "A 20949-2022")</f>
        <v/>
      </c>
      <c r="V156">
        <f>HYPERLINK("https://klasma.github.io/Logging_2283/klagomål/A 20949-2022 FSC-klagomål.docx", "A 20949-2022")</f>
        <v/>
      </c>
      <c r="W156">
        <f>HYPERLINK("https://klasma.github.io/Logging_2283/klagomålsmail/A 20949-2022 FSC-klagomål mail.docx", "A 20949-2022")</f>
        <v/>
      </c>
      <c r="X156">
        <f>HYPERLINK("https://klasma.github.io/Logging_2283/tillsyn/A 20949-2022 tillsynsbegäran.docx", "A 20949-2022")</f>
        <v/>
      </c>
      <c r="Y156">
        <f>HYPERLINK("https://klasma.github.io/Logging_2283/tillsynsmail/A 20949-2022 tillsynsbegäran mail.docx", "A 20949-2022")</f>
        <v/>
      </c>
      <c r="Z156">
        <f>HYPERLINK("https://klasma.github.io/Logging_2283/fåglar/A 20949-2022 prioriterade fågelarter.docx", "A 20949-2022")</f>
        <v/>
      </c>
    </row>
    <row r="157" ht="15" customHeight="1">
      <c r="A157" t="inlineStr">
        <is>
          <t>A 30235-2022</t>
        </is>
      </c>
      <c r="B157" s="1" t="n">
        <v>44757</v>
      </c>
      <c r="C157" s="1" t="n">
        <v>45670</v>
      </c>
      <c r="D157" t="inlineStr">
        <is>
          <t>VÄSTERNORRLANDS LÄN</t>
        </is>
      </c>
      <c r="E157" t="inlineStr">
        <is>
          <t>SOLLEFTEÅ</t>
        </is>
      </c>
      <c r="F157" t="inlineStr">
        <is>
          <t>SCA</t>
        </is>
      </c>
      <c r="G157" t="n">
        <v>4.7</v>
      </c>
      <c r="H157" t="n">
        <v>3</v>
      </c>
      <c r="I157" t="n">
        <v>0</v>
      </c>
      <c r="J157" t="n">
        <v>3</v>
      </c>
      <c r="K157" t="n">
        <v>2</v>
      </c>
      <c r="L157" t="n">
        <v>0</v>
      </c>
      <c r="M157" t="n">
        <v>0</v>
      </c>
      <c r="N157" t="n">
        <v>0</v>
      </c>
      <c r="O157" t="n">
        <v>5</v>
      </c>
      <c r="P157" t="n">
        <v>2</v>
      </c>
      <c r="Q157" t="n">
        <v>5</v>
      </c>
      <c r="R157" s="2" t="inlineStr">
        <is>
          <t>Doftticka
Knärot
Lunglav
Skrovellav
Tretåig hackspett</t>
        </is>
      </c>
      <c r="S157">
        <f>HYPERLINK("https://klasma.github.io/Logging_2283/artfynd/A 30235-2022 artfynd.xlsx", "A 30235-2022")</f>
        <v/>
      </c>
      <c r="T157">
        <f>HYPERLINK("https://klasma.github.io/Logging_2283/kartor/A 30235-2022 karta.png", "A 30235-2022")</f>
        <v/>
      </c>
      <c r="U157">
        <f>HYPERLINK("https://klasma.github.io/Logging_2283/knärot/A 30235-2022 karta knärot.png", "A 30235-2022")</f>
        <v/>
      </c>
      <c r="V157">
        <f>HYPERLINK("https://klasma.github.io/Logging_2283/klagomål/A 30235-2022 FSC-klagomål.docx", "A 30235-2022")</f>
        <v/>
      </c>
      <c r="W157">
        <f>HYPERLINK("https://klasma.github.io/Logging_2283/klagomålsmail/A 30235-2022 FSC-klagomål mail.docx", "A 30235-2022")</f>
        <v/>
      </c>
      <c r="X157">
        <f>HYPERLINK("https://klasma.github.io/Logging_2283/tillsyn/A 30235-2022 tillsynsbegäran.docx", "A 30235-2022")</f>
        <v/>
      </c>
      <c r="Y157">
        <f>HYPERLINK("https://klasma.github.io/Logging_2283/tillsynsmail/A 30235-2022 tillsynsbegäran mail.docx", "A 30235-2022")</f>
        <v/>
      </c>
      <c r="Z157">
        <f>HYPERLINK("https://klasma.github.io/Logging_2283/fåglar/A 30235-2022 prioriterade fågelarter.docx", "A 30235-2022")</f>
        <v/>
      </c>
    </row>
    <row r="158" ht="15" customHeight="1">
      <c r="A158" t="inlineStr">
        <is>
          <t>A 41169-2022</t>
        </is>
      </c>
      <c r="B158" s="1" t="n">
        <v>44825</v>
      </c>
      <c r="C158" s="1" t="n">
        <v>45670</v>
      </c>
      <c r="D158" t="inlineStr">
        <is>
          <t>VÄSTERNORRLANDS LÄN</t>
        </is>
      </c>
      <c r="E158" t="inlineStr">
        <is>
          <t>SOLLEFTEÅ</t>
        </is>
      </c>
      <c r="F158" t="inlineStr">
        <is>
          <t>SCA</t>
        </is>
      </c>
      <c r="G158" t="n">
        <v>1.8</v>
      </c>
      <c r="H158" t="n">
        <v>2</v>
      </c>
      <c r="I158" t="n">
        <v>1</v>
      </c>
      <c r="J158" t="n">
        <v>4</v>
      </c>
      <c r="K158" t="n">
        <v>0</v>
      </c>
      <c r="L158" t="n">
        <v>0</v>
      </c>
      <c r="M158" t="n">
        <v>0</v>
      </c>
      <c r="N158" t="n">
        <v>0</v>
      </c>
      <c r="O158" t="n">
        <v>4</v>
      </c>
      <c r="P158" t="n">
        <v>0</v>
      </c>
      <c r="Q158" t="n">
        <v>5</v>
      </c>
      <c r="R158" s="2" t="inlineStr">
        <is>
          <t>Spillkråka
Tretåig hackspett
Ullticka
Vedskivlav
Vedticka</t>
        </is>
      </c>
      <c r="S158">
        <f>HYPERLINK("https://klasma.github.io/Logging_2283/artfynd/A 41169-2022 artfynd.xlsx", "A 41169-2022")</f>
        <v/>
      </c>
      <c r="T158">
        <f>HYPERLINK("https://klasma.github.io/Logging_2283/kartor/A 41169-2022 karta.png", "A 41169-2022")</f>
        <v/>
      </c>
      <c r="V158">
        <f>HYPERLINK("https://klasma.github.io/Logging_2283/klagomål/A 41169-2022 FSC-klagomål.docx", "A 41169-2022")</f>
        <v/>
      </c>
      <c r="W158">
        <f>HYPERLINK("https://klasma.github.io/Logging_2283/klagomålsmail/A 41169-2022 FSC-klagomål mail.docx", "A 41169-2022")</f>
        <v/>
      </c>
      <c r="X158">
        <f>HYPERLINK("https://klasma.github.io/Logging_2283/tillsyn/A 41169-2022 tillsynsbegäran.docx", "A 41169-2022")</f>
        <v/>
      </c>
      <c r="Y158">
        <f>HYPERLINK("https://klasma.github.io/Logging_2283/tillsynsmail/A 41169-2022 tillsynsbegäran mail.docx", "A 41169-2022")</f>
        <v/>
      </c>
      <c r="Z158">
        <f>HYPERLINK("https://klasma.github.io/Logging_2283/fåglar/A 41169-2022 prioriterade fågelarter.docx", "A 41169-2022")</f>
        <v/>
      </c>
    </row>
    <row r="159" ht="15" customHeight="1">
      <c r="A159" t="inlineStr">
        <is>
          <t>A 81-2023</t>
        </is>
      </c>
      <c r="B159" s="1" t="n">
        <v>44920</v>
      </c>
      <c r="C159" s="1" t="n">
        <v>45670</v>
      </c>
      <c r="D159" t="inlineStr">
        <is>
          <t>VÄSTERNORRLANDS LÄN</t>
        </is>
      </c>
      <c r="E159" t="inlineStr">
        <is>
          <t>SOLLEFTEÅ</t>
        </is>
      </c>
      <c r="G159" t="n">
        <v>20</v>
      </c>
      <c r="H159" t="n">
        <v>2</v>
      </c>
      <c r="I159" t="n">
        <v>1</v>
      </c>
      <c r="J159" t="n">
        <v>3</v>
      </c>
      <c r="K159" t="n">
        <v>1</v>
      </c>
      <c r="L159" t="n">
        <v>0</v>
      </c>
      <c r="M159" t="n">
        <v>0</v>
      </c>
      <c r="N159" t="n">
        <v>0</v>
      </c>
      <c r="O159" t="n">
        <v>4</v>
      </c>
      <c r="P159" t="n">
        <v>1</v>
      </c>
      <c r="Q159" t="n">
        <v>5</v>
      </c>
      <c r="R159" s="2" t="inlineStr">
        <is>
          <t>Knärot
Garnlav
Lunglav
Talltita
Luddlav</t>
        </is>
      </c>
      <c r="S159">
        <f>HYPERLINK("https://klasma.github.io/Logging_2283/artfynd/A 81-2023 artfynd.xlsx", "A 81-2023")</f>
        <v/>
      </c>
      <c r="T159">
        <f>HYPERLINK("https://klasma.github.io/Logging_2283/kartor/A 81-2023 karta.png", "A 81-2023")</f>
        <v/>
      </c>
      <c r="U159">
        <f>HYPERLINK("https://klasma.github.io/Logging_2283/knärot/A 81-2023 karta knärot.png", "A 81-2023")</f>
        <v/>
      </c>
      <c r="V159">
        <f>HYPERLINK("https://klasma.github.io/Logging_2283/klagomål/A 81-2023 FSC-klagomål.docx", "A 81-2023")</f>
        <v/>
      </c>
      <c r="W159">
        <f>HYPERLINK("https://klasma.github.io/Logging_2283/klagomålsmail/A 81-2023 FSC-klagomål mail.docx", "A 81-2023")</f>
        <v/>
      </c>
      <c r="X159">
        <f>HYPERLINK("https://klasma.github.io/Logging_2283/tillsyn/A 81-2023 tillsynsbegäran.docx", "A 81-2023")</f>
        <v/>
      </c>
      <c r="Y159">
        <f>HYPERLINK("https://klasma.github.io/Logging_2283/tillsynsmail/A 81-2023 tillsynsbegäran mail.docx", "A 81-2023")</f>
        <v/>
      </c>
      <c r="Z159">
        <f>HYPERLINK("https://klasma.github.io/Logging_2283/fåglar/A 81-2023 prioriterade fågelarter.docx", "A 81-2023")</f>
        <v/>
      </c>
    </row>
    <row r="160" ht="15" customHeight="1">
      <c r="A160" t="inlineStr">
        <is>
          <t>A 14079-2023</t>
        </is>
      </c>
      <c r="B160" s="1" t="n">
        <v>45009</v>
      </c>
      <c r="C160" s="1" t="n">
        <v>45670</v>
      </c>
      <c r="D160" t="inlineStr">
        <is>
          <t>VÄSTERNORRLANDS LÄN</t>
        </is>
      </c>
      <c r="E160" t="inlineStr">
        <is>
          <t>SOLLEFTEÅ</t>
        </is>
      </c>
      <c r="F160" t="inlineStr">
        <is>
          <t>SCA</t>
        </is>
      </c>
      <c r="G160" t="n">
        <v>9</v>
      </c>
      <c r="H160" t="n">
        <v>0</v>
      </c>
      <c r="I160" t="n">
        <v>0</v>
      </c>
      <c r="J160" t="n">
        <v>5</v>
      </c>
      <c r="K160" t="n">
        <v>0</v>
      </c>
      <c r="L160" t="n">
        <v>0</v>
      </c>
      <c r="M160" t="n">
        <v>0</v>
      </c>
      <c r="N160" t="n">
        <v>0</v>
      </c>
      <c r="O160" t="n">
        <v>5</v>
      </c>
      <c r="P160" t="n">
        <v>0</v>
      </c>
      <c r="Q160" t="n">
        <v>5</v>
      </c>
      <c r="R160" s="2" t="inlineStr">
        <is>
          <t>Gammelgransskål
Garnlav
Ullticka
Vedskivlav
Vedtrappmossa</t>
        </is>
      </c>
      <c r="S160">
        <f>HYPERLINK("https://klasma.github.io/Logging_2283/artfynd/A 14079-2023 artfynd.xlsx", "A 14079-2023")</f>
        <v/>
      </c>
      <c r="T160">
        <f>HYPERLINK("https://klasma.github.io/Logging_2283/kartor/A 14079-2023 karta.png", "A 14079-2023")</f>
        <v/>
      </c>
      <c r="V160">
        <f>HYPERLINK("https://klasma.github.io/Logging_2283/klagomål/A 14079-2023 FSC-klagomål.docx", "A 14079-2023")</f>
        <v/>
      </c>
      <c r="W160">
        <f>HYPERLINK("https://klasma.github.io/Logging_2283/klagomålsmail/A 14079-2023 FSC-klagomål mail.docx", "A 14079-2023")</f>
        <v/>
      </c>
      <c r="X160">
        <f>HYPERLINK("https://klasma.github.io/Logging_2283/tillsyn/A 14079-2023 tillsynsbegäran.docx", "A 14079-2023")</f>
        <v/>
      </c>
      <c r="Y160">
        <f>HYPERLINK("https://klasma.github.io/Logging_2283/tillsynsmail/A 14079-2023 tillsynsbegäran mail.docx", "A 14079-2023")</f>
        <v/>
      </c>
    </row>
    <row r="161" ht="15" customHeight="1">
      <c r="A161" t="inlineStr">
        <is>
          <t>A 18163-2023</t>
        </is>
      </c>
      <c r="B161" s="1" t="n">
        <v>45040</v>
      </c>
      <c r="C161" s="1" t="n">
        <v>45670</v>
      </c>
      <c r="D161" t="inlineStr">
        <is>
          <t>VÄSTERNORRLANDS LÄN</t>
        </is>
      </c>
      <c r="E161" t="inlineStr">
        <is>
          <t>SOLLEFTEÅ</t>
        </is>
      </c>
      <c r="F161" t="inlineStr">
        <is>
          <t>SCA</t>
        </is>
      </c>
      <c r="G161" t="n">
        <v>5.2</v>
      </c>
      <c r="H161" t="n">
        <v>1</v>
      </c>
      <c r="I161" t="n">
        <v>0</v>
      </c>
      <c r="J161" t="n">
        <v>5</v>
      </c>
      <c r="K161" t="n">
        <v>0</v>
      </c>
      <c r="L161" t="n">
        <v>0</v>
      </c>
      <c r="M161" t="n">
        <v>0</v>
      </c>
      <c r="N161" t="n">
        <v>0</v>
      </c>
      <c r="O161" t="n">
        <v>5</v>
      </c>
      <c r="P161" t="n">
        <v>0</v>
      </c>
      <c r="Q161" t="n">
        <v>5</v>
      </c>
      <c r="R161" s="2" t="inlineStr">
        <is>
          <t>Garnlav
Granticka
Kolflarnlav
Spillkråka
Ullticka</t>
        </is>
      </c>
      <c r="S161">
        <f>HYPERLINK("https://klasma.github.io/Logging_2283/artfynd/A 18163-2023 artfynd.xlsx", "A 18163-2023")</f>
        <v/>
      </c>
      <c r="T161">
        <f>HYPERLINK("https://klasma.github.io/Logging_2283/kartor/A 18163-2023 karta.png", "A 18163-2023")</f>
        <v/>
      </c>
      <c r="V161">
        <f>HYPERLINK("https://klasma.github.io/Logging_2283/klagomål/A 18163-2023 FSC-klagomål.docx", "A 18163-2023")</f>
        <v/>
      </c>
      <c r="W161">
        <f>HYPERLINK("https://klasma.github.io/Logging_2283/klagomålsmail/A 18163-2023 FSC-klagomål mail.docx", "A 18163-2023")</f>
        <v/>
      </c>
      <c r="X161">
        <f>HYPERLINK("https://klasma.github.io/Logging_2283/tillsyn/A 18163-2023 tillsynsbegäran.docx", "A 18163-2023")</f>
        <v/>
      </c>
      <c r="Y161">
        <f>HYPERLINK("https://klasma.github.io/Logging_2283/tillsynsmail/A 18163-2023 tillsynsbegäran mail.docx", "A 18163-2023")</f>
        <v/>
      </c>
      <c r="Z161">
        <f>HYPERLINK("https://klasma.github.io/Logging_2283/fåglar/A 18163-2023 prioriterade fågelarter.docx", "A 18163-2023")</f>
        <v/>
      </c>
    </row>
    <row r="162" ht="15" customHeight="1">
      <c r="A162" t="inlineStr">
        <is>
          <t>A 27675-2023</t>
        </is>
      </c>
      <c r="B162" s="1" t="n">
        <v>45097</v>
      </c>
      <c r="C162" s="1" t="n">
        <v>45670</v>
      </c>
      <c r="D162" t="inlineStr">
        <is>
          <t>VÄSTERNORRLANDS LÄN</t>
        </is>
      </c>
      <c r="E162" t="inlineStr">
        <is>
          <t>SOLLEFTEÅ</t>
        </is>
      </c>
      <c r="G162" t="n">
        <v>4.7</v>
      </c>
      <c r="H162" t="n">
        <v>1</v>
      </c>
      <c r="I162" t="n">
        <v>1</v>
      </c>
      <c r="J162" t="n">
        <v>3</v>
      </c>
      <c r="K162" t="n">
        <v>1</v>
      </c>
      <c r="L162" t="n">
        <v>0</v>
      </c>
      <c r="M162" t="n">
        <v>0</v>
      </c>
      <c r="N162" t="n">
        <v>0</v>
      </c>
      <c r="O162" t="n">
        <v>4</v>
      </c>
      <c r="P162" t="n">
        <v>1</v>
      </c>
      <c r="Q162" t="n">
        <v>5</v>
      </c>
      <c r="R162" s="2" t="inlineStr">
        <is>
          <t>Knärot
Garnlav
Lunglav
Ullticka
Stuplav</t>
        </is>
      </c>
      <c r="S162">
        <f>HYPERLINK("https://klasma.github.io/Logging_2283/artfynd/A 27675-2023 artfynd.xlsx", "A 27675-2023")</f>
        <v/>
      </c>
      <c r="T162">
        <f>HYPERLINK("https://klasma.github.io/Logging_2283/kartor/A 27675-2023 karta.png", "A 27675-2023")</f>
        <v/>
      </c>
      <c r="U162">
        <f>HYPERLINK("https://klasma.github.io/Logging_2283/knärot/A 27675-2023 karta knärot.png", "A 27675-2023")</f>
        <v/>
      </c>
      <c r="V162">
        <f>HYPERLINK("https://klasma.github.io/Logging_2283/klagomål/A 27675-2023 FSC-klagomål.docx", "A 27675-2023")</f>
        <v/>
      </c>
      <c r="W162">
        <f>HYPERLINK("https://klasma.github.io/Logging_2283/klagomålsmail/A 27675-2023 FSC-klagomål mail.docx", "A 27675-2023")</f>
        <v/>
      </c>
      <c r="X162">
        <f>HYPERLINK("https://klasma.github.io/Logging_2283/tillsyn/A 27675-2023 tillsynsbegäran.docx", "A 27675-2023")</f>
        <v/>
      </c>
      <c r="Y162">
        <f>HYPERLINK("https://klasma.github.io/Logging_2283/tillsynsmail/A 27675-2023 tillsynsbegäran mail.docx", "A 27675-2023")</f>
        <v/>
      </c>
    </row>
    <row r="163" ht="15" customHeight="1">
      <c r="A163" t="inlineStr">
        <is>
          <t>A 32217-2023</t>
        </is>
      </c>
      <c r="B163" s="1" t="n">
        <v>45119</v>
      </c>
      <c r="C163" s="1" t="n">
        <v>45670</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32216-2023</t>
        </is>
      </c>
      <c r="B164" s="1" t="n">
        <v>45120</v>
      </c>
      <c r="C164" s="1" t="n">
        <v>45670</v>
      </c>
      <c r="D164" t="inlineStr">
        <is>
          <t>VÄSTERNORRLANDS LÄN</t>
        </is>
      </c>
      <c r="E164" t="inlineStr">
        <is>
          <t>SOLLEFTEÅ</t>
        </is>
      </c>
      <c r="F164" t="inlineStr">
        <is>
          <t>SCA</t>
        </is>
      </c>
      <c r="G164" t="n">
        <v>2.2</v>
      </c>
      <c r="H164" t="n">
        <v>1</v>
      </c>
      <c r="I164" t="n">
        <v>0</v>
      </c>
      <c r="J164" t="n">
        <v>4</v>
      </c>
      <c r="K164" t="n">
        <v>1</v>
      </c>
      <c r="L164" t="n">
        <v>0</v>
      </c>
      <c r="M164" t="n">
        <v>0</v>
      </c>
      <c r="N164" t="n">
        <v>0</v>
      </c>
      <c r="O164" t="n">
        <v>5</v>
      </c>
      <c r="P164" t="n">
        <v>1</v>
      </c>
      <c r="Q164" t="n">
        <v>5</v>
      </c>
      <c r="R164" s="2" t="inlineStr">
        <is>
          <t>Rynkskinn
Lunglav
Rosenticka
Tretåig hackspett
Ullticka</t>
        </is>
      </c>
      <c r="S164">
        <f>HYPERLINK("https://klasma.github.io/Logging_2283/artfynd/A 32216-2023 artfynd.xlsx", "A 32216-2023")</f>
        <v/>
      </c>
      <c r="T164">
        <f>HYPERLINK("https://klasma.github.io/Logging_2283/kartor/A 32216-2023 karta.png", "A 32216-2023")</f>
        <v/>
      </c>
      <c r="V164">
        <f>HYPERLINK("https://klasma.github.io/Logging_2283/klagomål/A 32216-2023 FSC-klagomål.docx", "A 32216-2023")</f>
        <v/>
      </c>
      <c r="W164">
        <f>HYPERLINK("https://klasma.github.io/Logging_2283/klagomålsmail/A 32216-2023 FSC-klagomål mail.docx", "A 32216-2023")</f>
        <v/>
      </c>
      <c r="X164">
        <f>HYPERLINK("https://klasma.github.io/Logging_2283/tillsyn/A 32216-2023 tillsynsbegäran.docx", "A 32216-2023")</f>
        <v/>
      </c>
      <c r="Y164">
        <f>HYPERLINK("https://klasma.github.io/Logging_2283/tillsynsmail/A 32216-2023 tillsynsbegäran mail.docx", "A 32216-2023")</f>
        <v/>
      </c>
      <c r="Z164">
        <f>HYPERLINK("https://klasma.github.io/Logging_2283/fåglar/A 32216-2023 prioriterade fågelarter.docx", "A 32216-2023")</f>
        <v/>
      </c>
    </row>
    <row r="165" ht="15" customHeight="1">
      <c r="A165" t="inlineStr">
        <is>
          <t>A 59662-2023</t>
        </is>
      </c>
      <c r="B165" s="1" t="n">
        <v>45255</v>
      </c>
      <c r="C165" s="1" t="n">
        <v>45670</v>
      </c>
      <c r="D165" t="inlineStr">
        <is>
          <t>VÄSTERNORRLANDS LÄN</t>
        </is>
      </c>
      <c r="E165" t="inlineStr">
        <is>
          <t>SOLLEFTEÅ</t>
        </is>
      </c>
      <c r="F165" t="inlineStr">
        <is>
          <t>SCA</t>
        </is>
      </c>
      <c r="G165" t="n">
        <v>4.8</v>
      </c>
      <c r="H165" t="n">
        <v>1</v>
      </c>
      <c r="I165" t="n">
        <v>0</v>
      </c>
      <c r="J165" t="n">
        <v>4</v>
      </c>
      <c r="K165" t="n">
        <v>1</v>
      </c>
      <c r="L165" t="n">
        <v>0</v>
      </c>
      <c r="M165" t="n">
        <v>0</v>
      </c>
      <c r="N165" t="n">
        <v>0</v>
      </c>
      <c r="O165" t="n">
        <v>5</v>
      </c>
      <c r="P165" t="n">
        <v>1</v>
      </c>
      <c r="Q165" t="n">
        <v>5</v>
      </c>
      <c r="R165" s="2" t="inlineStr">
        <is>
          <t>Knärot
Dvärgbägarlav
Kolflarnlav
Koralltaggsvamp
Tallticka</t>
        </is>
      </c>
      <c r="S165">
        <f>HYPERLINK("https://klasma.github.io/Logging_2283/artfynd/A 59662-2023 artfynd.xlsx", "A 59662-2023")</f>
        <v/>
      </c>
      <c r="T165">
        <f>HYPERLINK("https://klasma.github.io/Logging_2283/kartor/A 59662-2023 karta.png", "A 59662-2023")</f>
        <v/>
      </c>
      <c r="U165">
        <f>HYPERLINK("https://klasma.github.io/Logging_2283/knärot/A 59662-2023 karta knärot.png", "A 59662-2023")</f>
        <v/>
      </c>
      <c r="V165">
        <f>HYPERLINK("https://klasma.github.io/Logging_2283/klagomål/A 59662-2023 FSC-klagomål.docx", "A 59662-2023")</f>
        <v/>
      </c>
      <c r="W165">
        <f>HYPERLINK("https://klasma.github.io/Logging_2283/klagomålsmail/A 59662-2023 FSC-klagomål mail.docx", "A 59662-2023")</f>
        <v/>
      </c>
      <c r="X165">
        <f>HYPERLINK("https://klasma.github.io/Logging_2283/tillsyn/A 59662-2023 tillsynsbegäran.docx", "A 59662-2023")</f>
        <v/>
      </c>
      <c r="Y165">
        <f>HYPERLINK("https://klasma.github.io/Logging_2283/tillsynsmail/A 59662-2023 tillsynsbegäran mail.docx", "A 59662-2023")</f>
        <v/>
      </c>
    </row>
    <row r="166" ht="15" customHeight="1">
      <c r="A166" t="inlineStr">
        <is>
          <t>A 2067-2024</t>
        </is>
      </c>
      <c r="B166" s="1" t="n">
        <v>45308</v>
      </c>
      <c r="C166" s="1" t="n">
        <v>45670</v>
      </c>
      <c r="D166" t="inlineStr">
        <is>
          <t>VÄSTERNORRLANDS LÄN</t>
        </is>
      </c>
      <c r="E166" t="inlineStr">
        <is>
          <t>SOLLEFTEÅ</t>
        </is>
      </c>
      <c r="F166" t="inlineStr">
        <is>
          <t>SCA</t>
        </is>
      </c>
      <c r="G166" t="n">
        <v>3.1</v>
      </c>
      <c r="H166" t="n">
        <v>1</v>
      </c>
      <c r="I166" t="n">
        <v>2</v>
      </c>
      <c r="J166" t="n">
        <v>3</v>
      </c>
      <c r="K166" t="n">
        <v>0</v>
      </c>
      <c r="L166" t="n">
        <v>0</v>
      </c>
      <c r="M166" t="n">
        <v>0</v>
      </c>
      <c r="N166" t="n">
        <v>0</v>
      </c>
      <c r="O166" t="n">
        <v>3</v>
      </c>
      <c r="P166" t="n">
        <v>0</v>
      </c>
      <c r="Q166" t="n">
        <v>5</v>
      </c>
      <c r="R166" s="2" t="inlineStr">
        <is>
          <t>Garnlav
Lunglav
Tretåig hackspett
Dropptaggsvamp
Stuplav</t>
        </is>
      </c>
      <c r="S166">
        <f>HYPERLINK("https://klasma.github.io/Logging_2283/artfynd/A 2067-2024 artfynd.xlsx", "A 2067-2024")</f>
        <v/>
      </c>
      <c r="T166">
        <f>HYPERLINK("https://klasma.github.io/Logging_2283/kartor/A 2067-2024 karta.png", "A 2067-2024")</f>
        <v/>
      </c>
      <c r="V166">
        <f>HYPERLINK("https://klasma.github.io/Logging_2283/klagomål/A 2067-2024 FSC-klagomål.docx", "A 2067-2024")</f>
        <v/>
      </c>
      <c r="W166">
        <f>HYPERLINK("https://klasma.github.io/Logging_2283/klagomålsmail/A 2067-2024 FSC-klagomål mail.docx", "A 2067-2024")</f>
        <v/>
      </c>
      <c r="X166">
        <f>HYPERLINK("https://klasma.github.io/Logging_2283/tillsyn/A 2067-2024 tillsynsbegäran.docx", "A 2067-2024")</f>
        <v/>
      </c>
      <c r="Y166">
        <f>HYPERLINK("https://klasma.github.io/Logging_2283/tillsynsmail/A 2067-2024 tillsynsbegäran mail.docx", "A 2067-2024")</f>
        <v/>
      </c>
      <c r="Z166">
        <f>HYPERLINK("https://klasma.github.io/Logging_2283/fåglar/A 2067-2024 prioriterade fågelarter.docx", "A 2067-2024")</f>
        <v/>
      </c>
    </row>
    <row r="167" ht="15" customHeight="1">
      <c r="A167" t="inlineStr">
        <is>
          <t>A 11540-2024</t>
        </is>
      </c>
      <c r="B167" s="1" t="n">
        <v>45372</v>
      </c>
      <c r="C167" s="1" t="n">
        <v>45670</v>
      </c>
      <c r="D167" t="inlineStr">
        <is>
          <t>VÄSTERNORRLANDS LÄN</t>
        </is>
      </c>
      <c r="E167" t="inlineStr">
        <is>
          <t>SOLLEFTEÅ</t>
        </is>
      </c>
      <c r="F167" t="inlineStr">
        <is>
          <t>SCA</t>
        </is>
      </c>
      <c r="G167" t="n">
        <v>2.2</v>
      </c>
      <c r="H167" t="n">
        <v>5</v>
      </c>
      <c r="I167" t="n">
        <v>0</v>
      </c>
      <c r="J167" t="n">
        <v>2</v>
      </c>
      <c r="K167" t="n">
        <v>0</v>
      </c>
      <c r="L167" t="n">
        <v>0</v>
      </c>
      <c r="M167" t="n">
        <v>0</v>
      </c>
      <c r="N167" t="n">
        <v>0</v>
      </c>
      <c r="O167" t="n">
        <v>2</v>
      </c>
      <c r="P167" t="n">
        <v>0</v>
      </c>
      <c r="Q167" t="n">
        <v>5</v>
      </c>
      <c r="R167" s="2" t="inlineStr">
        <is>
          <t>Björktrast
Tretåig hackspett
Grönsiska
Kungsfågel
Tjäder</t>
        </is>
      </c>
      <c r="S167">
        <f>HYPERLINK("https://klasma.github.io/Logging_2283/artfynd/A 11540-2024 artfynd.xlsx", "A 11540-2024")</f>
        <v/>
      </c>
      <c r="T167">
        <f>HYPERLINK("https://klasma.github.io/Logging_2283/kartor/A 11540-2024 karta.png", "A 11540-2024")</f>
        <v/>
      </c>
      <c r="V167">
        <f>HYPERLINK("https://klasma.github.io/Logging_2283/klagomål/A 11540-2024 FSC-klagomål.docx", "A 11540-2024")</f>
        <v/>
      </c>
      <c r="W167">
        <f>HYPERLINK("https://klasma.github.io/Logging_2283/klagomålsmail/A 11540-2024 FSC-klagomål mail.docx", "A 11540-2024")</f>
        <v/>
      </c>
      <c r="X167">
        <f>HYPERLINK("https://klasma.github.io/Logging_2283/tillsyn/A 11540-2024 tillsynsbegäran.docx", "A 11540-2024")</f>
        <v/>
      </c>
      <c r="Y167">
        <f>HYPERLINK("https://klasma.github.io/Logging_2283/tillsynsmail/A 11540-2024 tillsynsbegäran mail.docx", "A 11540-2024")</f>
        <v/>
      </c>
      <c r="Z167">
        <f>HYPERLINK("https://klasma.github.io/Logging_2283/fåglar/A 11540-2024 prioriterade fågelarter.docx", "A 11540-2024")</f>
        <v/>
      </c>
    </row>
    <row r="168" ht="15" customHeight="1">
      <c r="A168" t="inlineStr">
        <is>
          <t>A 19081-2024</t>
        </is>
      </c>
      <c r="B168" s="1" t="n">
        <v>45428</v>
      </c>
      <c r="C168" s="1" t="n">
        <v>45670</v>
      </c>
      <c r="D168" t="inlineStr">
        <is>
          <t>VÄSTERNORRLANDS LÄN</t>
        </is>
      </c>
      <c r="E168" t="inlineStr">
        <is>
          <t>SOLLEFTEÅ</t>
        </is>
      </c>
      <c r="F168" t="inlineStr">
        <is>
          <t>SCA</t>
        </is>
      </c>
      <c r="G168" t="n">
        <v>21.5</v>
      </c>
      <c r="H168" t="n">
        <v>2</v>
      </c>
      <c r="I168" t="n">
        <v>0</v>
      </c>
      <c r="J168" t="n">
        <v>4</v>
      </c>
      <c r="K168" t="n">
        <v>0</v>
      </c>
      <c r="L168" t="n">
        <v>0</v>
      </c>
      <c r="M168" t="n">
        <v>0</v>
      </c>
      <c r="N168" t="n">
        <v>0</v>
      </c>
      <c r="O168" t="n">
        <v>4</v>
      </c>
      <c r="P168" t="n">
        <v>0</v>
      </c>
      <c r="Q168" t="n">
        <v>5</v>
      </c>
      <c r="R168" s="2" t="inlineStr">
        <is>
          <t>Garnlav
Granticka
Järpe
Ullticka
Fläcknycklar</t>
        </is>
      </c>
      <c r="S168">
        <f>HYPERLINK("https://klasma.github.io/Logging_2283/artfynd/A 19081-2024 artfynd.xlsx", "A 19081-2024")</f>
        <v/>
      </c>
      <c r="T168">
        <f>HYPERLINK("https://klasma.github.io/Logging_2283/kartor/A 19081-2024 karta.png", "A 19081-2024")</f>
        <v/>
      </c>
      <c r="V168">
        <f>HYPERLINK("https://klasma.github.io/Logging_2283/klagomål/A 19081-2024 FSC-klagomål.docx", "A 19081-2024")</f>
        <v/>
      </c>
      <c r="W168">
        <f>HYPERLINK("https://klasma.github.io/Logging_2283/klagomålsmail/A 19081-2024 FSC-klagomål mail.docx", "A 19081-2024")</f>
        <v/>
      </c>
      <c r="X168">
        <f>HYPERLINK("https://klasma.github.io/Logging_2283/tillsyn/A 19081-2024 tillsynsbegäran.docx", "A 19081-2024")</f>
        <v/>
      </c>
      <c r="Y168">
        <f>HYPERLINK("https://klasma.github.io/Logging_2283/tillsynsmail/A 19081-2024 tillsynsbegäran mail.docx", "A 19081-2024")</f>
        <v/>
      </c>
      <c r="Z168">
        <f>HYPERLINK("https://klasma.github.io/Logging_2283/fåglar/A 19081-2024 prioriterade fågelarter.docx", "A 19081-2024")</f>
        <v/>
      </c>
    </row>
    <row r="169" ht="15" customHeight="1">
      <c r="A169" t="inlineStr">
        <is>
          <t>A 22125-2024</t>
        </is>
      </c>
      <c r="B169" s="1" t="n">
        <v>45443</v>
      </c>
      <c r="C169" s="1" t="n">
        <v>45670</v>
      </c>
      <c r="D169" t="inlineStr">
        <is>
          <t>VÄSTERNORRLANDS LÄN</t>
        </is>
      </c>
      <c r="E169" t="inlineStr">
        <is>
          <t>SOLLEFTEÅ</t>
        </is>
      </c>
      <c r="F169" t="inlineStr">
        <is>
          <t>SCA</t>
        </is>
      </c>
      <c r="G169" t="n">
        <v>1.8</v>
      </c>
      <c r="H169" t="n">
        <v>2</v>
      </c>
      <c r="I169" t="n">
        <v>0</v>
      </c>
      <c r="J169" t="n">
        <v>4</v>
      </c>
      <c r="K169" t="n">
        <v>1</v>
      </c>
      <c r="L169" t="n">
        <v>0</v>
      </c>
      <c r="M169" t="n">
        <v>0</v>
      </c>
      <c r="N169" t="n">
        <v>0</v>
      </c>
      <c r="O169" t="n">
        <v>5</v>
      </c>
      <c r="P169" t="n">
        <v>1</v>
      </c>
      <c r="Q169" t="n">
        <v>5</v>
      </c>
      <c r="R169" s="2" t="inlineStr">
        <is>
          <t>Knärot
Garnlav
Kolflarnlav
Lunglav
Tretåig hackspett</t>
        </is>
      </c>
      <c r="S169">
        <f>HYPERLINK("https://klasma.github.io/Logging_2283/artfynd/A 22125-2024 artfynd.xlsx", "A 22125-2024")</f>
        <v/>
      </c>
      <c r="T169">
        <f>HYPERLINK("https://klasma.github.io/Logging_2283/kartor/A 22125-2024 karta.png", "A 22125-2024")</f>
        <v/>
      </c>
      <c r="U169">
        <f>HYPERLINK("https://klasma.github.io/Logging_2283/knärot/A 22125-2024 karta knärot.png", "A 22125-2024")</f>
        <v/>
      </c>
      <c r="V169">
        <f>HYPERLINK("https://klasma.github.io/Logging_2283/klagomål/A 22125-2024 FSC-klagomål.docx", "A 22125-2024")</f>
        <v/>
      </c>
      <c r="W169">
        <f>HYPERLINK("https://klasma.github.io/Logging_2283/klagomålsmail/A 22125-2024 FSC-klagomål mail.docx", "A 22125-2024")</f>
        <v/>
      </c>
      <c r="X169">
        <f>HYPERLINK("https://klasma.github.io/Logging_2283/tillsyn/A 22125-2024 tillsynsbegäran.docx", "A 22125-2024")</f>
        <v/>
      </c>
      <c r="Y169">
        <f>HYPERLINK("https://klasma.github.io/Logging_2283/tillsynsmail/A 22125-2024 tillsynsbegäran mail.docx", "A 22125-2024")</f>
        <v/>
      </c>
      <c r="Z169">
        <f>HYPERLINK("https://klasma.github.io/Logging_2283/fåglar/A 22125-2024 prioriterade fågelarter.docx", "A 22125-2024")</f>
        <v/>
      </c>
    </row>
    <row r="170" ht="15" customHeight="1">
      <c r="A170" t="inlineStr">
        <is>
          <t>A 26468-2024</t>
        </is>
      </c>
      <c r="B170" s="1" t="n">
        <v>45469</v>
      </c>
      <c r="C170" s="1" t="n">
        <v>45670</v>
      </c>
      <c r="D170" t="inlineStr">
        <is>
          <t>VÄSTERNORRLANDS LÄN</t>
        </is>
      </c>
      <c r="E170" t="inlineStr">
        <is>
          <t>SOLLEFTEÅ</t>
        </is>
      </c>
      <c r="F170" t="inlineStr">
        <is>
          <t>Holmen skog AB</t>
        </is>
      </c>
      <c r="G170" t="n">
        <v>2</v>
      </c>
      <c r="H170" t="n">
        <v>1</v>
      </c>
      <c r="I170" t="n">
        <v>0</v>
      </c>
      <c r="J170" t="n">
        <v>5</v>
      </c>
      <c r="K170" t="n">
        <v>0</v>
      </c>
      <c r="L170" t="n">
        <v>0</v>
      </c>
      <c r="M170" t="n">
        <v>0</v>
      </c>
      <c r="N170" t="n">
        <v>0</v>
      </c>
      <c r="O170" t="n">
        <v>5</v>
      </c>
      <c r="P170" t="n">
        <v>0</v>
      </c>
      <c r="Q170" t="n">
        <v>5</v>
      </c>
      <c r="R170" s="2" t="inlineStr">
        <is>
          <t>Garnlav
Lunglav
Rosenticka
Talltita
Ullticka</t>
        </is>
      </c>
      <c r="S170">
        <f>HYPERLINK("https://klasma.github.io/Logging_2283/artfynd/A 26468-2024 artfynd.xlsx", "A 26468-2024")</f>
        <v/>
      </c>
      <c r="T170">
        <f>HYPERLINK("https://klasma.github.io/Logging_2283/kartor/A 26468-2024 karta.png", "A 26468-2024")</f>
        <v/>
      </c>
      <c r="V170">
        <f>HYPERLINK("https://klasma.github.io/Logging_2283/klagomål/A 26468-2024 FSC-klagomål.docx", "A 26468-2024")</f>
        <v/>
      </c>
      <c r="W170">
        <f>HYPERLINK("https://klasma.github.io/Logging_2283/klagomålsmail/A 26468-2024 FSC-klagomål mail.docx", "A 26468-2024")</f>
        <v/>
      </c>
      <c r="X170">
        <f>HYPERLINK("https://klasma.github.io/Logging_2283/tillsyn/A 26468-2024 tillsynsbegäran.docx", "A 26468-2024")</f>
        <v/>
      </c>
      <c r="Y170">
        <f>HYPERLINK("https://klasma.github.io/Logging_2283/tillsynsmail/A 26468-2024 tillsynsbegäran mail.docx", "A 26468-2024")</f>
        <v/>
      </c>
      <c r="Z170">
        <f>HYPERLINK("https://klasma.github.io/Logging_2283/fåglar/A 26468-2024 prioriterade fågelarter.docx", "A 26468-2024")</f>
        <v/>
      </c>
    </row>
    <row r="171" ht="15" customHeight="1">
      <c r="A171" t="inlineStr">
        <is>
          <t>A 27910-2024</t>
        </is>
      </c>
      <c r="B171" s="1" t="n">
        <v>45475</v>
      </c>
      <c r="C171" s="1" t="n">
        <v>45670</v>
      </c>
      <c r="D171" t="inlineStr">
        <is>
          <t>VÄSTERNORRLANDS LÄN</t>
        </is>
      </c>
      <c r="E171" t="inlineStr">
        <is>
          <t>SOLLEFTEÅ</t>
        </is>
      </c>
      <c r="F171" t="inlineStr">
        <is>
          <t>SCA</t>
        </is>
      </c>
      <c r="G171" t="n">
        <v>3.2</v>
      </c>
      <c r="H171" t="n">
        <v>0</v>
      </c>
      <c r="I171" t="n">
        <v>1</v>
      </c>
      <c r="J171" t="n">
        <v>3</v>
      </c>
      <c r="K171" t="n">
        <v>1</v>
      </c>
      <c r="L171" t="n">
        <v>0</v>
      </c>
      <c r="M171" t="n">
        <v>0</v>
      </c>
      <c r="N171" t="n">
        <v>0</v>
      </c>
      <c r="O171" t="n">
        <v>4</v>
      </c>
      <c r="P171" t="n">
        <v>1</v>
      </c>
      <c r="Q171" t="n">
        <v>5</v>
      </c>
      <c r="R171" s="2" t="inlineStr">
        <is>
          <t>Rynkskinn
Gammelgransskål
Rosenticka
Ullticka
Vedticka</t>
        </is>
      </c>
      <c r="S171">
        <f>HYPERLINK("https://klasma.github.io/Logging_2283/artfynd/A 27910-2024 artfynd.xlsx", "A 27910-2024")</f>
        <v/>
      </c>
      <c r="T171">
        <f>HYPERLINK("https://klasma.github.io/Logging_2283/kartor/A 27910-2024 karta.png", "A 27910-2024")</f>
        <v/>
      </c>
      <c r="V171">
        <f>HYPERLINK("https://klasma.github.io/Logging_2283/klagomål/A 27910-2024 FSC-klagomål.docx", "A 27910-2024")</f>
        <v/>
      </c>
      <c r="W171">
        <f>HYPERLINK("https://klasma.github.io/Logging_2283/klagomålsmail/A 27910-2024 FSC-klagomål mail.docx", "A 27910-2024")</f>
        <v/>
      </c>
      <c r="X171">
        <f>HYPERLINK("https://klasma.github.io/Logging_2283/tillsyn/A 27910-2024 tillsynsbegäran.docx", "A 27910-2024")</f>
        <v/>
      </c>
      <c r="Y171">
        <f>HYPERLINK("https://klasma.github.io/Logging_2283/tillsynsmail/A 27910-2024 tillsynsbegäran mail.docx", "A 27910-2024")</f>
        <v/>
      </c>
    </row>
    <row r="172" ht="15" customHeight="1">
      <c r="A172" t="inlineStr">
        <is>
          <t>A 29101-2024</t>
        </is>
      </c>
      <c r="B172" s="1" t="n">
        <v>45482</v>
      </c>
      <c r="C172" s="1" t="n">
        <v>45670</v>
      </c>
      <c r="D172" t="inlineStr">
        <is>
          <t>VÄSTERNORRLANDS LÄN</t>
        </is>
      </c>
      <c r="E172" t="inlineStr">
        <is>
          <t>SOLLEFTEÅ</t>
        </is>
      </c>
      <c r="F172" t="inlineStr">
        <is>
          <t>SCA</t>
        </is>
      </c>
      <c r="G172" t="n">
        <v>2.2</v>
      </c>
      <c r="H172" t="n">
        <v>1</v>
      </c>
      <c r="I172" t="n">
        <v>1</v>
      </c>
      <c r="J172" t="n">
        <v>4</v>
      </c>
      <c r="K172" t="n">
        <v>0</v>
      </c>
      <c r="L172" t="n">
        <v>0</v>
      </c>
      <c r="M172" t="n">
        <v>0</v>
      </c>
      <c r="N172" t="n">
        <v>0</v>
      </c>
      <c r="O172" t="n">
        <v>4</v>
      </c>
      <c r="P172" t="n">
        <v>0</v>
      </c>
      <c r="Q172" t="n">
        <v>5</v>
      </c>
      <c r="R172" s="2" t="inlineStr">
        <is>
          <t>Garnlav
Rosenticka
Talltita
Ullticka
Vedticka</t>
        </is>
      </c>
      <c r="S172">
        <f>HYPERLINK("https://klasma.github.io/Logging_2283/artfynd/A 29101-2024 artfynd.xlsx", "A 29101-2024")</f>
        <v/>
      </c>
      <c r="T172">
        <f>HYPERLINK("https://klasma.github.io/Logging_2283/kartor/A 29101-2024 karta.png", "A 29101-2024")</f>
        <v/>
      </c>
      <c r="V172">
        <f>HYPERLINK("https://klasma.github.io/Logging_2283/klagomål/A 29101-2024 FSC-klagomål.docx", "A 29101-2024")</f>
        <v/>
      </c>
      <c r="W172">
        <f>HYPERLINK("https://klasma.github.io/Logging_2283/klagomålsmail/A 29101-2024 FSC-klagomål mail.docx", "A 29101-2024")</f>
        <v/>
      </c>
      <c r="X172">
        <f>HYPERLINK("https://klasma.github.io/Logging_2283/tillsyn/A 29101-2024 tillsynsbegäran.docx", "A 29101-2024")</f>
        <v/>
      </c>
      <c r="Y172">
        <f>HYPERLINK("https://klasma.github.io/Logging_2283/tillsynsmail/A 29101-2024 tillsynsbegäran mail.docx", "A 29101-2024")</f>
        <v/>
      </c>
      <c r="Z172">
        <f>HYPERLINK("https://klasma.github.io/Logging_2283/fåglar/A 29101-2024 prioriterade fågelarter.docx", "A 29101-2024")</f>
        <v/>
      </c>
    </row>
    <row r="173" ht="15" customHeight="1">
      <c r="A173" t="inlineStr">
        <is>
          <t>A 30571-2024</t>
        </is>
      </c>
      <c r="B173" s="1" t="n">
        <v>45493</v>
      </c>
      <c r="C173" s="1" t="n">
        <v>45670</v>
      </c>
      <c r="D173" t="inlineStr">
        <is>
          <t>VÄSTERNORRLANDS LÄN</t>
        </is>
      </c>
      <c r="E173" t="inlineStr">
        <is>
          <t>SOLLEFTEÅ</t>
        </is>
      </c>
      <c r="F173" t="inlineStr">
        <is>
          <t>SCA</t>
        </is>
      </c>
      <c r="G173" t="n">
        <v>3.1</v>
      </c>
      <c r="H173" t="n">
        <v>3</v>
      </c>
      <c r="I173" t="n">
        <v>0</v>
      </c>
      <c r="J173" t="n">
        <v>4</v>
      </c>
      <c r="K173" t="n">
        <v>1</v>
      </c>
      <c r="L173" t="n">
        <v>0</v>
      </c>
      <c r="M173" t="n">
        <v>0</v>
      </c>
      <c r="N173" t="n">
        <v>0</v>
      </c>
      <c r="O173" t="n">
        <v>5</v>
      </c>
      <c r="P173" t="n">
        <v>1</v>
      </c>
      <c r="Q173" t="n">
        <v>5</v>
      </c>
      <c r="R173" s="2" t="inlineStr">
        <is>
          <t>Knärot
Garnlav
Kolflarnlav
Spillkråka
Tretåig hackspett</t>
        </is>
      </c>
      <c r="S173">
        <f>HYPERLINK("https://klasma.github.io/Logging_2283/artfynd/A 30571-2024 artfynd.xlsx", "A 30571-2024")</f>
        <v/>
      </c>
      <c r="T173">
        <f>HYPERLINK("https://klasma.github.io/Logging_2283/kartor/A 30571-2024 karta.png", "A 30571-2024")</f>
        <v/>
      </c>
      <c r="U173">
        <f>HYPERLINK("https://klasma.github.io/Logging_2283/knärot/A 30571-2024 karta knärot.png", "A 30571-2024")</f>
        <v/>
      </c>
      <c r="V173">
        <f>HYPERLINK("https://klasma.github.io/Logging_2283/klagomål/A 30571-2024 FSC-klagomål.docx", "A 30571-2024")</f>
        <v/>
      </c>
      <c r="W173">
        <f>HYPERLINK("https://klasma.github.io/Logging_2283/klagomålsmail/A 30571-2024 FSC-klagomål mail.docx", "A 30571-2024")</f>
        <v/>
      </c>
      <c r="X173">
        <f>HYPERLINK("https://klasma.github.io/Logging_2283/tillsyn/A 30571-2024 tillsynsbegäran.docx", "A 30571-2024")</f>
        <v/>
      </c>
      <c r="Y173">
        <f>HYPERLINK("https://klasma.github.io/Logging_2283/tillsynsmail/A 30571-2024 tillsynsbegäran mail.docx", "A 30571-2024")</f>
        <v/>
      </c>
      <c r="Z173">
        <f>HYPERLINK("https://klasma.github.io/Logging_2283/fåglar/A 30571-2024 prioriterade fågelarter.docx", "A 30571-2024")</f>
        <v/>
      </c>
    </row>
    <row r="174" ht="15" customHeight="1">
      <c r="A174" t="inlineStr">
        <is>
          <t>A 38113-2024</t>
        </is>
      </c>
      <c r="B174" s="1" t="n">
        <v>45545</v>
      </c>
      <c r="C174" s="1" t="n">
        <v>45670</v>
      </c>
      <c r="D174" t="inlineStr">
        <is>
          <t>VÄSTERNORRLANDS LÄN</t>
        </is>
      </c>
      <c r="E174" t="inlineStr">
        <is>
          <t>SOLLEFTEÅ</t>
        </is>
      </c>
      <c r="F174" t="inlineStr">
        <is>
          <t>SCA</t>
        </is>
      </c>
      <c r="G174" t="n">
        <v>4.1</v>
      </c>
      <c r="H174" t="n">
        <v>3</v>
      </c>
      <c r="I174" t="n">
        <v>0</v>
      </c>
      <c r="J174" t="n">
        <v>3</v>
      </c>
      <c r="K174" t="n">
        <v>1</v>
      </c>
      <c r="L174" t="n">
        <v>0</v>
      </c>
      <c r="M174" t="n">
        <v>0</v>
      </c>
      <c r="N174" t="n">
        <v>0</v>
      </c>
      <c r="O174" t="n">
        <v>4</v>
      </c>
      <c r="P174" t="n">
        <v>1</v>
      </c>
      <c r="Q174" t="n">
        <v>5</v>
      </c>
      <c r="R174" s="2" t="inlineStr">
        <is>
          <t>Knärot
Garnlav
Kolflarnlav
Talltita
Tjäder</t>
        </is>
      </c>
      <c r="S174">
        <f>HYPERLINK("https://klasma.github.io/Logging_2283/artfynd/A 38113-2024 artfynd.xlsx", "A 38113-2024")</f>
        <v/>
      </c>
      <c r="T174">
        <f>HYPERLINK("https://klasma.github.io/Logging_2283/kartor/A 38113-2024 karta.png", "A 38113-2024")</f>
        <v/>
      </c>
      <c r="U174">
        <f>HYPERLINK("https://klasma.github.io/Logging_2283/knärot/A 38113-2024 karta knärot.png", "A 38113-2024")</f>
        <v/>
      </c>
      <c r="V174">
        <f>HYPERLINK("https://klasma.github.io/Logging_2283/klagomål/A 38113-2024 FSC-klagomål.docx", "A 38113-2024")</f>
        <v/>
      </c>
      <c r="W174">
        <f>HYPERLINK("https://klasma.github.io/Logging_2283/klagomålsmail/A 38113-2024 FSC-klagomål mail.docx", "A 38113-2024")</f>
        <v/>
      </c>
      <c r="X174">
        <f>HYPERLINK("https://klasma.github.io/Logging_2283/tillsyn/A 38113-2024 tillsynsbegäran.docx", "A 38113-2024")</f>
        <v/>
      </c>
      <c r="Y174">
        <f>HYPERLINK("https://klasma.github.io/Logging_2283/tillsynsmail/A 38113-2024 tillsynsbegäran mail.docx", "A 38113-2024")</f>
        <v/>
      </c>
      <c r="Z174">
        <f>HYPERLINK("https://klasma.github.io/Logging_2283/fåglar/A 38113-2024 prioriterade fågelarter.docx", "A 38113-2024")</f>
        <v/>
      </c>
    </row>
    <row r="175" ht="15" customHeight="1">
      <c r="A175" t="inlineStr">
        <is>
          <t>A 40055-2024</t>
        </is>
      </c>
      <c r="B175" s="1" t="n">
        <v>45553</v>
      </c>
      <c r="C175" s="1" t="n">
        <v>45670</v>
      </c>
      <c r="D175" t="inlineStr">
        <is>
          <t>VÄSTERNORRLANDS LÄN</t>
        </is>
      </c>
      <c r="E175" t="inlineStr">
        <is>
          <t>SOLLEFTEÅ</t>
        </is>
      </c>
      <c r="G175" t="n">
        <v>10.4</v>
      </c>
      <c r="H175" t="n">
        <v>2</v>
      </c>
      <c r="I175" t="n">
        <v>1</v>
      </c>
      <c r="J175" t="n">
        <v>3</v>
      </c>
      <c r="K175" t="n">
        <v>1</v>
      </c>
      <c r="L175" t="n">
        <v>0</v>
      </c>
      <c r="M175" t="n">
        <v>0</v>
      </c>
      <c r="N175" t="n">
        <v>0</v>
      </c>
      <c r="O175" t="n">
        <v>4</v>
      </c>
      <c r="P175" t="n">
        <v>1</v>
      </c>
      <c r="Q175" t="n">
        <v>5</v>
      </c>
      <c r="R175" s="2" t="inlineStr">
        <is>
          <t>Knärot
Rosenticka
Talltita
Ullticka
Vedticka</t>
        </is>
      </c>
      <c r="S175">
        <f>HYPERLINK("https://klasma.github.io/Logging_2283/artfynd/A 40055-2024 artfynd.xlsx", "A 40055-2024")</f>
        <v/>
      </c>
      <c r="T175">
        <f>HYPERLINK("https://klasma.github.io/Logging_2283/kartor/A 40055-2024 karta.png", "A 40055-2024")</f>
        <v/>
      </c>
      <c r="U175">
        <f>HYPERLINK("https://klasma.github.io/Logging_2283/knärot/A 40055-2024 karta knärot.png", "A 40055-2024")</f>
        <v/>
      </c>
      <c r="V175">
        <f>HYPERLINK("https://klasma.github.io/Logging_2283/klagomål/A 40055-2024 FSC-klagomål.docx", "A 40055-2024")</f>
        <v/>
      </c>
      <c r="W175">
        <f>HYPERLINK("https://klasma.github.io/Logging_2283/klagomålsmail/A 40055-2024 FSC-klagomål mail.docx", "A 40055-2024")</f>
        <v/>
      </c>
      <c r="X175">
        <f>HYPERLINK("https://klasma.github.io/Logging_2283/tillsyn/A 40055-2024 tillsynsbegäran.docx", "A 40055-2024")</f>
        <v/>
      </c>
      <c r="Y175">
        <f>HYPERLINK("https://klasma.github.io/Logging_2283/tillsynsmail/A 40055-2024 tillsynsbegäran mail.docx", "A 40055-2024")</f>
        <v/>
      </c>
      <c r="Z175">
        <f>HYPERLINK("https://klasma.github.io/Logging_2283/fåglar/A 40055-2024 prioriterade fågelarter.docx", "A 40055-2024")</f>
        <v/>
      </c>
    </row>
    <row r="176" ht="15" customHeight="1">
      <c r="A176" t="inlineStr">
        <is>
          <t>A 44372-2024</t>
        </is>
      </c>
      <c r="B176" s="1" t="n">
        <v>45573</v>
      </c>
      <c r="C176" s="1" t="n">
        <v>45670</v>
      </c>
      <c r="D176" t="inlineStr">
        <is>
          <t>VÄSTERNORRLANDS LÄN</t>
        </is>
      </c>
      <c r="E176" t="inlineStr">
        <is>
          <t>SOLLEFTEÅ</t>
        </is>
      </c>
      <c r="F176" t="inlineStr">
        <is>
          <t>SCA</t>
        </is>
      </c>
      <c r="G176" t="n">
        <v>3.3</v>
      </c>
      <c r="H176" t="n">
        <v>1</v>
      </c>
      <c r="I176" t="n">
        <v>1</v>
      </c>
      <c r="J176" t="n">
        <v>4</v>
      </c>
      <c r="K176" t="n">
        <v>0</v>
      </c>
      <c r="L176" t="n">
        <v>0</v>
      </c>
      <c r="M176" t="n">
        <v>0</v>
      </c>
      <c r="N176" t="n">
        <v>0</v>
      </c>
      <c r="O176" t="n">
        <v>4</v>
      </c>
      <c r="P176" t="n">
        <v>0</v>
      </c>
      <c r="Q176" t="n">
        <v>5</v>
      </c>
      <c r="R176" s="2" t="inlineStr">
        <is>
          <t>Gammelgransskål
Garnlav
Rosenticka
Tretåig hackspett
Bollvitmossa</t>
        </is>
      </c>
      <c r="S176">
        <f>HYPERLINK("https://klasma.github.io/Logging_2283/artfynd/A 44372-2024 artfynd.xlsx", "A 44372-2024")</f>
        <v/>
      </c>
      <c r="T176">
        <f>HYPERLINK("https://klasma.github.io/Logging_2283/kartor/A 44372-2024 karta.png", "A 44372-2024")</f>
        <v/>
      </c>
      <c r="V176">
        <f>HYPERLINK("https://klasma.github.io/Logging_2283/klagomål/A 44372-2024 FSC-klagomål.docx", "A 44372-2024")</f>
        <v/>
      </c>
      <c r="W176">
        <f>HYPERLINK("https://klasma.github.io/Logging_2283/klagomålsmail/A 44372-2024 FSC-klagomål mail.docx", "A 44372-2024")</f>
        <v/>
      </c>
      <c r="X176">
        <f>HYPERLINK("https://klasma.github.io/Logging_2283/tillsyn/A 44372-2024 tillsynsbegäran.docx", "A 44372-2024")</f>
        <v/>
      </c>
      <c r="Y176">
        <f>HYPERLINK("https://klasma.github.io/Logging_2283/tillsynsmail/A 44372-2024 tillsynsbegäran mail.docx", "A 44372-2024")</f>
        <v/>
      </c>
      <c r="Z176">
        <f>HYPERLINK("https://klasma.github.io/Logging_2283/fåglar/A 44372-2024 prioriterade fågelarter.docx", "A 44372-2024")</f>
        <v/>
      </c>
    </row>
    <row r="177" ht="15" customHeight="1">
      <c r="A177" t="inlineStr">
        <is>
          <t>A 48562-2024</t>
        </is>
      </c>
      <c r="B177" s="1" t="n">
        <v>45593</v>
      </c>
      <c r="C177" s="1" t="n">
        <v>45670</v>
      </c>
      <c r="D177" t="inlineStr">
        <is>
          <t>VÄSTERNORRLANDS LÄN</t>
        </is>
      </c>
      <c r="E177" t="inlineStr">
        <is>
          <t>SOLLEFTEÅ</t>
        </is>
      </c>
      <c r="F177" t="inlineStr">
        <is>
          <t>SCA</t>
        </is>
      </c>
      <c r="G177" t="n">
        <v>5.3</v>
      </c>
      <c r="H177" t="n">
        <v>1</v>
      </c>
      <c r="I177" t="n">
        <v>1</v>
      </c>
      <c r="J177" t="n">
        <v>4</v>
      </c>
      <c r="K177" t="n">
        <v>0</v>
      </c>
      <c r="L177" t="n">
        <v>0</v>
      </c>
      <c r="M177" t="n">
        <v>0</v>
      </c>
      <c r="N177" t="n">
        <v>0</v>
      </c>
      <c r="O177" t="n">
        <v>4</v>
      </c>
      <c r="P177" t="n">
        <v>0</v>
      </c>
      <c r="Q177" t="n">
        <v>5</v>
      </c>
      <c r="R177" s="2" t="inlineStr">
        <is>
          <t>Gammelgransskål
Garnlav
Lunglav
Vitgrynig nållav
Lappranunkel</t>
        </is>
      </c>
      <c r="S177">
        <f>HYPERLINK("https://klasma.github.io/Logging_2283/artfynd/A 48562-2024 artfynd.xlsx", "A 48562-2024")</f>
        <v/>
      </c>
      <c r="T177">
        <f>HYPERLINK("https://klasma.github.io/Logging_2283/kartor/A 48562-2024 karta.png", "A 48562-2024")</f>
        <v/>
      </c>
      <c r="V177">
        <f>HYPERLINK("https://klasma.github.io/Logging_2283/klagomål/A 48562-2024 FSC-klagomål.docx", "A 48562-2024")</f>
        <v/>
      </c>
      <c r="W177">
        <f>HYPERLINK("https://klasma.github.io/Logging_2283/klagomålsmail/A 48562-2024 FSC-klagomål mail.docx", "A 48562-2024")</f>
        <v/>
      </c>
      <c r="X177">
        <f>HYPERLINK("https://klasma.github.io/Logging_2283/tillsyn/A 48562-2024 tillsynsbegäran.docx", "A 48562-2024")</f>
        <v/>
      </c>
      <c r="Y177">
        <f>HYPERLINK("https://klasma.github.io/Logging_2283/tillsynsmail/A 48562-2024 tillsynsbegäran mail.docx", "A 48562-2024")</f>
        <v/>
      </c>
    </row>
    <row r="178" ht="15" customHeight="1">
      <c r="A178" t="inlineStr">
        <is>
          <t>A 50418-2024</t>
        </is>
      </c>
      <c r="B178" s="1" t="n">
        <v>45601</v>
      </c>
      <c r="C178" s="1" t="n">
        <v>45670</v>
      </c>
      <c r="D178" t="inlineStr">
        <is>
          <t>VÄSTERNORRLANDS LÄN</t>
        </is>
      </c>
      <c r="E178" t="inlineStr">
        <is>
          <t>SOLLEFTEÅ</t>
        </is>
      </c>
      <c r="F178" t="inlineStr">
        <is>
          <t>SCA</t>
        </is>
      </c>
      <c r="G178" t="n">
        <v>3.4</v>
      </c>
      <c r="H178" t="n">
        <v>0</v>
      </c>
      <c r="I178" t="n">
        <v>0</v>
      </c>
      <c r="J178" t="n">
        <v>4</v>
      </c>
      <c r="K178" t="n">
        <v>1</v>
      </c>
      <c r="L178" t="n">
        <v>0</v>
      </c>
      <c r="M178" t="n">
        <v>0</v>
      </c>
      <c r="N178" t="n">
        <v>0</v>
      </c>
      <c r="O178" t="n">
        <v>5</v>
      </c>
      <c r="P178" t="n">
        <v>1</v>
      </c>
      <c r="Q178" t="n">
        <v>5</v>
      </c>
      <c r="R178" s="2" t="inlineStr">
        <is>
          <t>Rynkskinn
Garnlav
Granticka
Harticka
Lunglav</t>
        </is>
      </c>
      <c r="S178">
        <f>HYPERLINK("https://klasma.github.io/Logging_2283/artfynd/A 50418-2024 artfynd.xlsx", "A 50418-2024")</f>
        <v/>
      </c>
      <c r="T178">
        <f>HYPERLINK("https://klasma.github.io/Logging_2283/kartor/A 50418-2024 karta.png", "A 50418-2024")</f>
        <v/>
      </c>
      <c r="V178">
        <f>HYPERLINK("https://klasma.github.io/Logging_2283/klagomål/A 50418-2024 FSC-klagomål.docx", "A 50418-2024")</f>
        <v/>
      </c>
      <c r="W178">
        <f>HYPERLINK("https://klasma.github.io/Logging_2283/klagomålsmail/A 50418-2024 FSC-klagomål mail.docx", "A 50418-2024")</f>
        <v/>
      </c>
      <c r="X178">
        <f>HYPERLINK("https://klasma.github.io/Logging_2283/tillsyn/A 50418-2024 tillsynsbegäran.docx", "A 50418-2024")</f>
        <v/>
      </c>
      <c r="Y178">
        <f>HYPERLINK("https://klasma.github.io/Logging_2283/tillsynsmail/A 50418-2024 tillsynsbegäran mail.docx", "A 50418-2024")</f>
        <v/>
      </c>
    </row>
    <row r="179" ht="15" customHeight="1">
      <c r="A179" t="inlineStr">
        <is>
          <t>A 50771-2024</t>
        </is>
      </c>
      <c r="B179" s="1" t="n">
        <v>45602</v>
      </c>
      <c r="C179" s="1" t="n">
        <v>45670</v>
      </c>
      <c r="D179" t="inlineStr">
        <is>
          <t>VÄSTERNORRLANDS LÄN</t>
        </is>
      </c>
      <c r="E179" t="inlineStr">
        <is>
          <t>SOLLEFTEÅ</t>
        </is>
      </c>
      <c r="F179" t="inlineStr">
        <is>
          <t>SCA</t>
        </is>
      </c>
      <c r="G179" t="n">
        <v>5</v>
      </c>
      <c r="H179" t="n">
        <v>0</v>
      </c>
      <c r="I179" t="n">
        <v>3</v>
      </c>
      <c r="J179" t="n">
        <v>1</v>
      </c>
      <c r="K179" t="n">
        <v>1</v>
      </c>
      <c r="L179" t="n">
        <v>0</v>
      </c>
      <c r="M179" t="n">
        <v>0</v>
      </c>
      <c r="N179" t="n">
        <v>0</v>
      </c>
      <c r="O179" t="n">
        <v>2</v>
      </c>
      <c r="P179" t="n">
        <v>1</v>
      </c>
      <c r="Q179" t="n">
        <v>5</v>
      </c>
      <c r="R179" s="2" t="inlineStr">
        <is>
          <t>Aspgelélav
Lunglav
Skinnlav
Stor aspticka
Vedticka</t>
        </is>
      </c>
      <c r="S179">
        <f>HYPERLINK("https://klasma.github.io/Logging_2283/artfynd/A 50771-2024 artfynd.xlsx", "A 50771-2024")</f>
        <v/>
      </c>
      <c r="T179">
        <f>HYPERLINK("https://klasma.github.io/Logging_2283/kartor/A 50771-2024 karta.png", "A 50771-2024")</f>
        <v/>
      </c>
      <c r="V179">
        <f>HYPERLINK("https://klasma.github.io/Logging_2283/klagomål/A 50771-2024 FSC-klagomål.docx", "A 50771-2024")</f>
        <v/>
      </c>
      <c r="W179">
        <f>HYPERLINK("https://klasma.github.io/Logging_2283/klagomålsmail/A 50771-2024 FSC-klagomål mail.docx", "A 50771-2024")</f>
        <v/>
      </c>
      <c r="X179">
        <f>HYPERLINK("https://klasma.github.io/Logging_2283/tillsyn/A 50771-2024 tillsynsbegäran.docx", "A 50771-2024")</f>
        <v/>
      </c>
      <c r="Y179">
        <f>HYPERLINK("https://klasma.github.io/Logging_2283/tillsynsmail/A 50771-2024 tillsynsbegäran mail.docx", "A 50771-2024")</f>
        <v/>
      </c>
    </row>
    <row r="180" ht="15" customHeight="1">
      <c r="A180" t="inlineStr">
        <is>
          <t>A 51340-2024</t>
        </is>
      </c>
      <c r="B180" s="1" t="n">
        <v>45604</v>
      </c>
      <c r="C180" s="1" t="n">
        <v>45670</v>
      </c>
      <c r="D180" t="inlineStr">
        <is>
          <t>VÄSTERNORRLANDS LÄN</t>
        </is>
      </c>
      <c r="E180" t="inlineStr">
        <is>
          <t>SOLLEFTEÅ</t>
        </is>
      </c>
      <c r="F180" t="inlineStr">
        <is>
          <t>SCA</t>
        </is>
      </c>
      <c r="G180" t="n">
        <v>18.8</v>
      </c>
      <c r="H180" t="n">
        <v>2</v>
      </c>
      <c r="I180" t="n">
        <v>1</v>
      </c>
      <c r="J180" t="n">
        <v>3</v>
      </c>
      <c r="K180" t="n">
        <v>1</v>
      </c>
      <c r="L180" t="n">
        <v>0</v>
      </c>
      <c r="M180" t="n">
        <v>0</v>
      </c>
      <c r="N180" t="n">
        <v>0</v>
      </c>
      <c r="O180" t="n">
        <v>4</v>
      </c>
      <c r="P180" t="n">
        <v>1</v>
      </c>
      <c r="Q180" t="n">
        <v>5</v>
      </c>
      <c r="R180" s="2" t="inlineStr">
        <is>
          <t>Knärot
Kolflarnlav
Lunglav
Talltita
Dropptaggsvamp</t>
        </is>
      </c>
      <c r="S180">
        <f>HYPERLINK("https://klasma.github.io/Logging_2283/artfynd/A 51340-2024 artfynd.xlsx", "A 51340-2024")</f>
        <v/>
      </c>
      <c r="T180">
        <f>HYPERLINK("https://klasma.github.io/Logging_2283/kartor/A 51340-2024 karta.png", "A 51340-2024")</f>
        <v/>
      </c>
      <c r="U180">
        <f>HYPERLINK("https://klasma.github.io/Logging_2283/knärot/A 51340-2024 karta knärot.png", "A 51340-2024")</f>
        <v/>
      </c>
      <c r="V180">
        <f>HYPERLINK("https://klasma.github.io/Logging_2283/klagomål/A 51340-2024 FSC-klagomål.docx", "A 51340-2024")</f>
        <v/>
      </c>
      <c r="W180">
        <f>HYPERLINK("https://klasma.github.io/Logging_2283/klagomålsmail/A 51340-2024 FSC-klagomål mail.docx", "A 51340-2024")</f>
        <v/>
      </c>
      <c r="X180">
        <f>HYPERLINK("https://klasma.github.io/Logging_2283/tillsyn/A 51340-2024 tillsynsbegäran.docx", "A 51340-2024")</f>
        <v/>
      </c>
      <c r="Y180">
        <f>HYPERLINK("https://klasma.github.io/Logging_2283/tillsynsmail/A 51340-2024 tillsynsbegäran mail.docx", "A 51340-2024")</f>
        <v/>
      </c>
      <c r="Z180">
        <f>HYPERLINK("https://klasma.github.io/Logging_2283/fåglar/A 51340-2024 prioriterade fågelarter.docx", "A 51340-2024")</f>
        <v/>
      </c>
    </row>
    <row r="181" ht="15" customHeight="1">
      <c r="A181" t="inlineStr">
        <is>
          <t>A 40512-2019</t>
        </is>
      </c>
      <c r="B181" s="1" t="n">
        <v>43696</v>
      </c>
      <c r="C181" s="1" t="n">
        <v>45670</v>
      </c>
      <c r="D181" t="inlineStr">
        <is>
          <t>VÄSTERNORRLANDS LÄN</t>
        </is>
      </c>
      <c r="E181" t="inlineStr">
        <is>
          <t>SOLLEFTEÅ</t>
        </is>
      </c>
      <c r="F181" t="inlineStr">
        <is>
          <t>SCA</t>
        </is>
      </c>
      <c r="G181" t="n">
        <v>5.8</v>
      </c>
      <c r="H181" t="n">
        <v>1</v>
      </c>
      <c r="I181" t="n">
        <v>0</v>
      </c>
      <c r="J181" t="n">
        <v>3</v>
      </c>
      <c r="K181" t="n">
        <v>0</v>
      </c>
      <c r="L181" t="n">
        <v>0</v>
      </c>
      <c r="M181" t="n">
        <v>0</v>
      </c>
      <c r="N181" t="n">
        <v>0</v>
      </c>
      <c r="O181" t="n">
        <v>3</v>
      </c>
      <c r="P181" t="n">
        <v>0</v>
      </c>
      <c r="Q181" t="n">
        <v>4</v>
      </c>
      <c r="R181" s="2" t="inlineStr">
        <is>
          <t>Garnlav
Granticka
Orange taggsvamp
Fläcknycklar</t>
        </is>
      </c>
      <c r="S181">
        <f>HYPERLINK("https://klasma.github.io/Logging_2283/artfynd/A 40512-2019 artfynd.xlsx", "A 40512-2019")</f>
        <v/>
      </c>
      <c r="T181">
        <f>HYPERLINK("https://klasma.github.io/Logging_2283/kartor/A 40512-2019 karta.png", "A 40512-2019")</f>
        <v/>
      </c>
      <c r="V181">
        <f>HYPERLINK("https://klasma.github.io/Logging_2283/klagomål/A 40512-2019 FSC-klagomål.docx", "A 40512-2019")</f>
        <v/>
      </c>
      <c r="W181">
        <f>HYPERLINK("https://klasma.github.io/Logging_2283/klagomålsmail/A 40512-2019 FSC-klagomål mail.docx", "A 40512-2019")</f>
        <v/>
      </c>
      <c r="X181">
        <f>HYPERLINK("https://klasma.github.io/Logging_2283/tillsyn/A 40512-2019 tillsynsbegäran.docx", "A 40512-2019")</f>
        <v/>
      </c>
      <c r="Y181">
        <f>HYPERLINK("https://klasma.github.io/Logging_2283/tillsynsmail/A 40512-2019 tillsynsbegäran mail.docx", "A 40512-2019")</f>
        <v/>
      </c>
    </row>
    <row r="182" ht="15" customHeight="1">
      <c r="A182" t="inlineStr">
        <is>
          <t>A 23860-2020</t>
        </is>
      </c>
      <c r="B182" s="1" t="n">
        <v>43971</v>
      </c>
      <c r="C182" s="1" t="n">
        <v>45670</v>
      </c>
      <c r="D182" t="inlineStr">
        <is>
          <t>VÄSTERNORRLANDS LÄN</t>
        </is>
      </c>
      <c r="E182" t="inlineStr">
        <is>
          <t>SOLLEFTEÅ</t>
        </is>
      </c>
      <c r="G182" t="n">
        <v>22.3</v>
      </c>
      <c r="H182" t="n">
        <v>0</v>
      </c>
      <c r="I182" t="n">
        <v>1</v>
      </c>
      <c r="J182" t="n">
        <v>2</v>
      </c>
      <c r="K182" t="n">
        <v>1</v>
      </c>
      <c r="L182" t="n">
        <v>0</v>
      </c>
      <c r="M182" t="n">
        <v>0</v>
      </c>
      <c r="N182" t="n">
        <v>0</v>
      </c>
      <c r="O182" t="n">
        <v>3</v>
      </c>
      <c r="P182" t="n">
        <v>1</v>
      </c>
      <c r="Q182" t="n">
        <v>4</v>
      </c>
      <c r="R182" s="2" t="inlineStr">
        <is>
          <t>Aspgelélav
Lunglav
Vedskivlav
Dropptaggsvamp</t>
        </is>
      </c>
      <c r="S182">
        <f>HYPERLINK("https://klasma.github.io/Logging_2283/artfynd/A 23860-2020 artfynd.xlsx", "A 23860-2020")</f>
        <v/>
      </c>
      <c r="T182">
        <f>HYPERLINK("https://klasma.github.io/Logging_2283/kartor/A 23860-2020 karta.png", "A 23860-2020")</f>
        <v/>
      </c>
      <c r="U182">
        <f>HYPERLINK("https://klasma.github.io/Logging_2283/knärot/A 23860-2020 karta knärot.png", "A 23860-2020")</f>
        <v/>
      </c>
      <c r="V182">
        <f>HYPERLINK("https://klasma.github.io/Logging_2283/klagomål/A 23860-2020 FSC-klagomål.docx", "A 23860-2020")</f>
        <v/>
      </c>
      <c r="W182">
        <f>HYPERLINK("https://klasma.github.io/Logging_2283/klagomålsmail/A 23860-2020 FSC-klagomål mail.docx", "A 23860-2020")</f>
        <v/>
      </c>
      <c r="X182">
        <f>HYPERLINK("https://klasma.github.io/Logging_2283/tillsyn/A 23860-2020 tillsynsbegäran.docx", "A 23860-2020")</f>
        <v/>
      </c>
      <c r="Y182">
        <f>HYPERLINK("https://klasma.github.io/Logging_2283/tillsynsmail/A 23860-2020 tillsynsbegäran mail.docx", "A 23860-2020")</f>
        <v/>
      </c>
    </row>
    <row r="183" ht="15" customHeight="1">
      <c r="A183" t="inlineStr">
        <is>
          <t>A 44344-2021</t>
        </is>
      </c>
      <c r="B183" s="1" t="n">
        <v>44435</v>
      </c>
      <c r="C183" s="1" t="n">
        <v>45670</v>
      </c>
      <c r="D183" t="inlineStr">
        <is>
          <t>VÄSTERNORRLANDS LÄN</t>
        </is>
      </c>
      <c r="E183" t="inlineStr">
        <is>
          <t>SOLLEFTEÅ</t>
        </is>
      </c>
      <c r="F183" t="inlineStr">
        <is>
          <t>Kommuner</t>
        </is>
      </c>
      <c r="G183" t="n">
        <v>10.8</v>
      </c>
      <c r="H183" t="n">
        <v>0</v>
      </c>
      <c r="I183" t="n">
        <v>1</v>
      </c>
      <c r="J183" t="n">
        <v>2</v>
      </c>
      <c r="K183" t="n">
        <v>1</v>
      </c>
      <c r="L183" t="n">
        <v>0</v>
      </c>
      <c r="M183" t="n">
        <v>0</v>
      </c>
      <c r="N183" t="n">
        <v>0</v>
      </c>
      <c r="O183" t="n">
        <v>3</v>
      </c>
      <c r="P183" t="n">
        <v>1</v>
      </c>
      <c r="Q183" t="n">
        <v>4</v>
      </c>
      <c r="R183" s="2" t="inlineStr">
        <is>
          <t>Rynkskinn
Rosenticka
Ullticka
Skinnlav</t>
        </is>
      </c>
      <c r="S183">
        <f>HYPERLINK("https://klasma.github.io/Logging_2283/artfynd/A 44344-2021 artfynd.xlsx", "A 44344-2021")</f>
        <v/>
      </c>
      <c r="T183">
        <f>HYPERLINK("https://klasma.github.io/Logging_2283/kartor/A 44344-2021 karta.png", "A 44344-2021")</f>
        <v/>
      </c>
      <c r="V183">
        <f>HYPERLINK("https://klasma.github.io/Logging_2283/klagomål/A 44344-2021 FSC-klagomål.docx", "A 44344-2021")</f>
        <v/>
      </c>
      <c r="W183">
        <f>HYPERLINK("https://klasma.github.io/Logging_2283/klagomålsmail/A 44344-2021 FSC-klagomål mail.docx", "A 44344-2021")</f>
        <v/>
      </c>
      <c r="X183">
        <f>HYPERLINK("https://klasma.github.io/Logging_2283/tillsyn/A 44344-2021 tillsynsbegäran.docx", "A 44344-2021")</f>
        <v/>
      </c>
      <c r="Y183">
        <f>HYPERLINK("https://klasma.github.io/Logging_2283/tillsynsmail/A 44344-2021 tillsynsbegäran mail.docx", "A 44344-2021")</f>
        <v/>
      </c>
    </row>
    <row r="184" ht="15" customHeight="1">
      <c r="A184" t="inlineStr">
        <is>
          <t>A 64943-2021</t>
        </is>
      </c>
      <c r="B184" s="1" t="n">
        <v>44512</v>
      </c>
      <c r="C184" s="1" t="n">
        <v>45670</v>
      </c>
      <c r="D184" t="inlineStr">
        <is>
          <t>VÄSTERNORRLANDS LÄN</t>
        </is>
      </c>
      <c r="E184" t="inlineStr">
        <is>
          <t>SOLLEFTEÅ</t>
        </is>
      </c>
      <c r="F184" t="inlineStr">
        <is>
          <t>SCA</t>
        </is>
      </c>
      <c r="G184" t="n">
        <v>8.1</v>
      </c>
      <c r="H184" t="n">
        <v>0</v>
      </c>
      <c r="I184" t="n">
        <v>1</v>
      </c>
      <c r="J184" t="n">
        <v>3</v>
      </c>
      <c r="K184" t="n">
        <v>0</v>
      </c>
      <c r="L184" t="n">
        <v>0</v>
      </c>
      <c r="M184" t="n">
        <v>0</v>
      </c>
      <c r="N184" t="n">
        <v>0</v>
      </c>
      <c r="O184" t="n">
        <v>3</v>
      </c>
      <c r="P184" t="n">
        <v>0</v>
      </c>
      <c r="Q184" t="n">
        <v>4</v>
      </c>
      <c r="R184" s="2" t="inlineStr">
        <is>
          <t>Garnlav
Lunglav
Ullticka
Vedticka</t>
        </is>
      </c>
      <c r="S184">
        <f>HYPERLINK("https://klasma.github.io/Logging_2283/artfynd/A 64943-2021 artfynd.xlsx", "A 64943-2021")</f>
        <v/>
      </c>
      <c r="T184">
        <f>HYPERLINK("https://klasma.github.io/Logging_2283/kartor/A 64943-2021 karta.png", "A 64943-2021")</f>
        <v/>
      </c>
      <c r="V184">
        <f>HYPERLINK("https://klasma.github.io/Logging_2283/klagomål/A 64943-2021 FSC-klagomål.docx", "A 64943-2021")</f>
        <v/>
      </c>
      <c r="W184">
        <f>HYPERLINK("https://klasma.github.io/Logging_2283/klagomålsmail/A 64943-2021 FSC-klagomål mail.docx", "A 64943-2021")</f>
        <v/>
      </c>
      <c r="X184">
        <f>HYPERLINK("https://klasma.github.io/Logging_2283/tillsyn/A 64943-2021 tillsynsbegäran.docx", "A 64943-2021")</f>
        <v/>
      </c>
      <c r="Y184">
        <f>HYPERLINK("https://klasma.github.io/Logging_2283/tillsynsmail/A 64943-2021 tillsynsbegäran mail.docx", "A 64943-2021")</f>
        <v/>
      </c>
    </row>
    <row r="185" ht="15" customHeight="1">
      <c r="A185" t="inlineStr">
        <is>
          <t>A 18009-2022</t>
        </is>
      </c>
      <c r="B185" s="1" t="n">
        <v>44683</v>
      </c>
      <c r="C185" s="1" t="n">
        <v>45670</v>
      </c>
      <c r="D185" t="inlineStr">
        <is>
          <t>VÄSTERNORRLANDS LÄN</t>
        </is>
      </c>
      <c r="E185" t="inlineStr">
        <is>
          <t>SOLLEFTEÅ</t>
        </is>
      </c>
      <c r="F185" t="inlineStr">
        <is>
          <t>SCA</t>
        </is>
      </c>
      <c r="G185" t="n">
        <v>3.6</v>
      </c>
      <c r="H185" t="n">
        <v>3</v>
      </c>
      <c r="I185" t="n">
        <v>0</v>
      </c>
      <c r="J185" t="n">
        <v>3</v>
      </c>
      <c r="K185" t="n">
        <v>1</v>
      </c>
      <c r="L185" t="n">
        <v>0</v>
      </c>
      <c r="M185" t="n">
        <v>0</v>
      </c>
      <c r="N185" t="n">
        <v>0</v>
      </c>
      <c r="O185" t="n">
        <v>4</v>
      </c>
      <c r="P185" t="n">
        <v>1</v>
      </c>
      <c r="Q185" t="n">
        <v>4</v>
      </c>
      <c r="R185" s="2" t="inlineStr">
        <is>
          <t>Knärot
Garnlav
Järpe
Tretåig hackspett</t>
        </is>
      </c>
      <c r="S185">
        <f>HYPERLINK("https://klasma.github.io/Logging_2283/artfynd/A 18009-2022 artfynd.xlsx", "A 18009-2022")</f>
        <v/>
      </c>
      <c r="T185">
        <f>HYPERLINK("https://klasma.github.io/Logging_2283/kartor/A 18009-2022 karta.png", "A 18009-2022")</f>
        <v/>
      </c>
      <c r="U185">
        <f>HYPERLINK("https://klasma.github.io/Logging_2283/knärot/A 18009-2022 karta knärot.png", "A 18009-2022")</f>
        <v/>
      </c>
      <c r="V185">
        <f>HYPERLINK("https://klasma.github.io/Logging_2283/klagomål/A 18009-2022 FSC-klagomål.docx", "A 18009-2022")</f>
        <v/>
      </c>
      <c r="W185">
        <f>HYPERLINK("https://klasma.github.io/Logging_2283/klagomålsmail/A 18009-2022 FSC-klagomål mail.docx", "A 18009-2022")</f>
        <v/>
      </c>
      <c r="X185">
        <f>HYPERLINK("https://klasma.github.io/Logging_2283/tillsyn/A 18009-2022 tillsynsbegäran.docx", "A 18009-2022")</f>
        <v/>
      </c>
      <c r="Y185">
        <f>HYPERLINK("https://klasma.github.io/Logging_2283/tillsynsmail/A 18009-2022 tillsynsbegäran mail.docx", "A 18009-2022")</f>
        <v/>
      </c>
      <c r="Z185">
        <f>HYPERLINK("https://klasma.github.io/Logging_2283/fåglar/A 18009-2022 prioriterade fågelarter.docx", "A 18009-2022")</f>
        <v/>
      </c>
    </row>
    <row r="186" ht="15" customHeight="1">
      <c r="A186" t="inlineStr">
        <is>
          <t>A 18005-2022</t>
        </is>
      </c>
      <c r="B186" s="1" t="n">
        <v>44684</v>
      </c>
      <c r="C186" s="1" t="n">
        <v>45670</v>
      </c>
      <c r="D186" t="inlineStr">
        <is>
          <t>VÄSTERNORRLANDS LÄN</t>
        </is>
      </c>
      <c r="E186" t="inlineStr">
        <is>
          <t>SOLLEFTEÅ</t>
        </is>
      </c>
      <c r="F186" t="inlineStr">
        <is>
          <t>SCA</t>
        </is>
      </c>
      <c r="G186" t="n">
        <v>6.3</v>
      </c>
      <c r="H186" t="n">
        <v>0</v>
      </c>
      <c r="I186" t="n">
        <v>0</v>
      </c>
      <c r="J186" t="n">
        <v>4</v>
      </c>
      <c r="K186" t="n">
        <v>0</v>
      </c>
      <c r="L186" t="n">
        <v>0</v>
      </c>
      <c r="M186" t="n">
        <v>0</v>
      </c>
      <c r="N186" t="n">
        <v>0</v>
      </c>
      <c r="O186" t="n">
        <v>4</v>
      </c>
      <c r="P186" t="n">
        <v>0</v>
      </c>
      <c r="Q186" t="n">
        <v>4</v>
      </c>
      <c r="R186" s="2" t="inlineStr">
        <is>
          <t>Garnlav
Gränsticka
Lunglav
Ullticka</t>
        </is>
      </c>
      <c r="S186">
        <f>HYPERLINK("https://klasma.github.io/Logging_2283/artfynd/A 18005-2022 artfynd.xlsx", "A 18005-2022")</f>
        <v/>
      </c>
      <c r="T186">
        <f>HYPERLINK("https://klasma.github.io/Logging_2283/kartor/A 18005-2022 karta.png", "A 18005-2022")</f>
        <v/>
      </c>
      <c r="V186">
        <f>HYPERLINK("https://klasma.github.io/Logging_2283/klagomål/A 18005-2022 FSC-klagomål.docx", "A 18005-2022")</f>
        <v/>
      </c>
      <c r="W186">
        <f>HYPERLINK("https://klasma.github.io/Logging_2283/klagomålsmail/A 18005-2022 FSC-klagomål mail.docx", "A 18005-2022")</f>
        <v/>
      </c>
      <c r="X186">
        <f>HYPERLINK("https://klasma.github.io/Logging_2283/tillsyn/A 18005-2022 tillsynsbegäran.docx", "A 18005-2022")</f>
        <v/>
      </c>
      <c r="Y186">
        <f>HYPERLINK("https://klasma.github.io/Logging_2283/tillsynsmail/A 18005-2022 tillsynsbegäran mail.docx", "A 18005-2022")</f>
        <v/>
      </c>
    </row>
    <row r="187" ht="15" customHeight="1">
      <c r="A187" t="inlineStr">
        <is>
          <t>A 18025-2022</t>
        </is>
      </c>
      <c r="B187" s="1" t="n">
        <v>44683</v>
      </c>
      <c r="C187" s="1" t="n">
        <v>45670</v>
      </c>
      <c r="D187" t="inlineStr">
        <is>
          <t>VÄSTERNORRLANDS LÄN</t>
        </is>
      </c>
      <c r="E187" t="inlineStr">
        <is>
          <t>SOLLEFTEÅ</t>
        </is>
      </c>
      <c r="F187" t="inlineStr">
        <is>
          <t>SCA</t>
        </is>
      </c>
      <c r="G187" t="n">
        <v>5.2</v>
      </c>
      <c r="H187" t="n">
        <v>1</v>
      </c>
      <c r="I187" t="n">
        <v>1</v>
      </c>
      <c r="J187" t="n">
        <v>2</v>
      </c>
      <c r="K187" t="n">
        <v>0</v>
      </c>
      <c r="L187" t="n">
        <v>0</v>
      </c>
      <c r="M187" t="n">
        <v>0</v>
      </c>
      <c r="N187" t="n">
        <v>0</v>
      </c>
      <c r="O187" t="n">
        <v>2</v>
      </c>
      <c r="P187" t="n">
        <v>0</v>
      </c>
      <c r="Q187" t="n">
        <v>4</v>
      </c>
      <c r="R187" s="2" t="inlineStr">
        <is>
          <t>Garnlav
Lunglav
Bronshjon
Fläcknycklar</t>
        </is>
      </c>
      <c r="S187">
        <f>HYPERLINK("https://klasma.github.io/Logging_2283/artfynd/A 18025-2022 artfynd.xlsx", "A 18025-2022")</f>
        <v/>
      </c>
      <c r="T187">
        <f>HYPERLINK("https://klasma.github.io/Logging_2283/kartor/A 18025-2022 karta.png", "A 18025-2022")</f>
        <v/>
      </c>
      <c r="V187">
        <f>HYPERLINK("https://klasma.github.io/Logging_2283/klagomål/A 18025-2022 FSC-klagomål.docx", "A 18025-2022")</f>
        <v/>
      </c>
      <c r="W187">
        <f>HYPERLINK("https://klasma.github.io/Logging_2283/klagomålsmail/A 18025-2022 FSC-klagomål mail.docx", "A 18025-2022")</f>
        <v/>
      </c>
      <c r="X187">
        <f>HYPERLINK("https://klasma.github.io/Logging_2283/tillsyn/A 18025-2022 tillsynsbegäran.docx", "A 18025-2022")</f>
        <v/>
      </c>
      <c r="Y187">
        <f>HYPERLINK("https://klasma.github.io/Logging_2283/tillsynsmail/A 18025-2022 tillsynsbegäran mail.docx", "A 18025-2022")</f>
        <v/>
      </c>
    </row>
    <row r="188" ht="15" customHeight="1">
      <c r="A188" t="inlineStr">
        <is>
          <t>A 27071-2022</t>
        </is>
      </c>
      <c r="B188" s="1" t="n">
        <v>44741</v>
      </c>
      <c r="C188" s="1" t="n">
        <v>45670</v>
      </c>
      <c r="D188" t="inlineStr">
        <is>
          <t>VÄSTERNORRLANDS LÄN</t>
        </is>
      </c>
      <c r="E188" t="inlineStr">
        <is>
          <t>SOLLEFTEÅ</t>
        </is>
      </c>
      <c r="G188" t="n">
        <v>19</v>
      </c>
      <c r="H188" t="n">
        <v>1</v>
      </c>
      <c r="I188" t="n">
        <v>0</v>
      </c>
      <c r="J188" t="n">
        <v>4</v>
      </c>
      <c r="K188" t="n">
        <v>0</v>
      </c>
      <c r="L188" t="n">
        <v>0</v>
      </c>
      <c r="M188" t="n">
        <v>0</v>
      </c>
      <c r="N188" t="n">
        <v>0</v>
      </c>
      <c r="O188" t="n">
        <v>4</v>
      </c>
      <c r="P188" t="n">
        <v>0</v>
      </c>
      <c r="Q188" t="n">
        <v>4</v>
      </c>
      <c r="R188" s="2" t="inlineStr">
        <is>
          <t>Granticka
Rosenticka
Tretåig hackspett
Ullticka</t>
        </is>
      </c>
      <c r="S188">
        <f>HYPERLINK("https://klasma.github.io/Logging_2283/artfynd/A 27071-2022 artfynd.xlsx", "A 27071-2022")</f>
        <v/>
      </c>
      <c r="T188">
        <f>HYPERLINK("https://klasma.github.io/Logging_2283/kartor/A 27071-2022 karta.png", "A 27071-2022")</f>
        <v/>
      </c>
      <c r="V188">
        <f>HYPERLINK("https://klasma.github.io/Logging_2283/klagomål/A 27071-2022 FSC-klagomål.docx", "A 27071-2022")</f>
        <v/>
      </c>
      <c r="W188">
        <f>HYPERLINK("https://klasma.github.io/Logging_2283/klagomålsmail/A 27071-2022 FSC-klagomål mail.docx", "A 27071-2022")</f>
        <v/>
      </c>
      <c r="X188">
        <f>HYPERLINK("https://klasma.github.io/Logging_2283/tillsyn/A 27071-2022 tillsynsbegäran.docx", "A 27071-2022")</f>
        <v/>
      </c>
      <c r="Y188">
        <f>HYPERLINK("https://klasma.github.io/Logging_2283/tillsynsmail/A 27071-2022 tillsynsbegäran mail.docx", "A 27071-2022")</f>
        <v/>
      </c>
      <c r="Z188">
        <f>HYPERLINK("https://klasma.github.io/Logging_2283/fåglar/A 27071-2022 prioriterade fågelarter.docx", "A 27071-2022")</f>
        <v/>
      </c>
    </row>
    <row r="189" ht="15" customHeight="1">
      <c r="A189" t="inlineStr">
        <is>
          <t>A 48061-2022</t>
        </is>
      </c>
      <c r="B189" s="1" t="n">
        <v>44855</v>
      </c>
      <c r="C189" s="1" t="n">
        <v>45670</v>
      </c>
      <c r="D189" t="inlineStr">
        <is>
          <t>VÄSTERNORRLANDS LÄN</t>
        </is>
      </c>
      <c r="E189" t="inlineStr">
        <is>
          <t>SOLLEFTEÅ</t>
        </is>
      </c>
      <c r="F189" t="inlineStr">
        <is>
          <t>SCA</t>
        </is>
      </c>
      <c r="G189" t="n">
        <v>4.1</v>
      </c>
      <c r="H189" t="n">
        <v>0</v>
      </c>
      <c r="I189" t="n">
        <v>1</v>
      </c>
      <c r="J189" t="n">
        <v>2</v>
      </c>
      <c r="K189" t="n">
        <v>1</v>
      </c>
      <c r="L189" t="n">
        <v>0</v>
      </c>
      <c r="M189" t="n">
        <v>0</v>
      </c>
      <c r="N189" t="n">
        <v>0</v>
      </c>
      <c r="O189" t="n">
        <v>3</v>
      </c>
      <c r="P189" t="n">
        <v>1</v>
      </c>
      <c r="Q189" t="n">
        <v>4</v>
      </c>
      <c r="R189" s="2" t="inlineStr">
        <is>
          <t>Rynkskinn
Rosenticka
Ullticka
Trådticka</t>
        </is>
      </c>
      <c r="S189">
        <f>HYPERLINK("https://klasma.github.io/Logging_2283/artfynd/A 48061-2022 artfynd.xlsx", "A 48061-2022")</f>
        <v/>
      </c>
      <c r="T189">
        <f>HYPERLINK("https://klasma.github.io/Logging_2283/kartor/A 48061-2022 karta.png", "A 48061-2022")</f>
        <v/>
      </c>
      <c r="V189">
        <f>HYPERLINK("https://klasma.github.io/Logging_2283/klagomål/A 48061-2022 FSC-klagomål.docx", "A 48061-2022")</f>
        <v/>
      </c>
      <c r="W189">
        <f>HYPERLINK("https://klasma.github.io/Logging_2283/klagomålsmail/A 48061-2022 FSC-klagomål mail.docx", "A 48061-2022")</f>
        <v/>
      </c>
      <c r="X189">
        <f>HYPERLINK("https://klasma.github.io/Logging_2283/tillsyn/A 48061-2022 tillsynsbegäran.docx", "A 48061-2022")</f>
        <v/>
      </c>
      <c r="Y189">
        <f>HYPERLINK("https://klasma.github.io/Logging_2283/tillsynsmail/A 48061-2022 tillsynsbegäran mail.docx", "A 48061-2022")</f>
        <v/>
      </c>
    </row>
    <row r="190" ht="15" customHeight="1">
      <c r="A190" t="inlineStr">
        <is>
          <t>A 53130-2022</t>
        </is>
      </c>
      <c r="B190" s="1" t="n">
        <v>44873</v>
      </c>
      <c r="C190" s="1" t="n">
        <v>45670</v>
      </c>
      <c r="D190" t="inlineStr">
        <is>
          <t>VÄSTERNORRLANDS LÄN</t>
        </is>
      </c>
      <c r="E190" t="inlineStr">
        <is>
          <t>SOLLEFTEÅ</t>
        </is>
      </c>
      <c r="G190" t="n">
        <v>19.8</v>
      </c>
      <c r="H190" t="n">
        <v>2</v>
      </c>
      <c r="I190" t="n">
        <v>1</v>
      </c>
      <c r="J190" t="n">
        <v>2</v>
      </c>
      <c r="K190" t="n">
        <v>0</v>
      </c>
      <c r="L190" t="n">
        <v>0</v>
      </c>
      <c r="M190" t="n">
        <v>0</v>
      </c>
      <c r="N190" t="n">
        <v>0</v>
      </c>
      <c r="O190" t="n">
        <v>2</v>
      </c>
      <c r="P190" t="n">
        <v>0</v>
      </c>
      <c r="Q190" t="n">
        <v>4</v>
      </c>
      <c r="R190" s="2" t="inlineStr">
        <is>
          <t>Lunglav
Myrbräcka
Bårdlav
Fläcknycklar</t>
        </is>
      </c>
      <c r="S190">
        <f>HYPERLINK("https://klasma.github.io/Logging_2283/artfynd/A 53130-2022 artfynd.xlsx", "A 53130-2022")</f>
        <v/>
      </c>
      <c r="T190">
        <f>HYPERLINK("https://klasma.github.io/Logging_2283/kartor/A 53130-2022 karta.png", "A 53130-2022")</f>
        <v/>
      </c>
      <c r="V190">
        <f>HYPERLINK("https://klasma.github.io/Logging_2283/klagomål/A 53130-2022 FSC-klagomål.docx", "A 53130-2022")</f>
        <v/>
      </c>
      <c r="W190">
        <f>HYPERLINK("https://klasma.github.io/Logging_2283/klagomålsmail/A 53130-2022 FSC-klagomål mail.docx", "A 53130-2022")</f>
        <v/>
      </c>
      <c r="X190">
        <f>HYPERLINK("https://klasma.github.io/Logging_2283/tillsyn/A 53130-2022 tillsynsbegäran.docx", "A 53130-2022")</f>
        <v/>
      </c>
      <c r="Y190">
        <f>HYPERLINK("https://klasma.github.io/Logging_2283/tillsynsmail/A 53130-2022 tillsynsbegäran mail.docx", "A 53130-2022")</f>
        <v/>
      </c>
    </row>
    <row r="191" ht="15" customHeight="1">
      <c r="A191" t="inlineStr">
        <is>
          <t>A 57001-2022</t>
        </is>
      </c>
      <c r="B191" s="1" t="n">
        <v>44894</v>
      </c>
      <c r="C191" s="1" t="n">
        <v>45670</v>
      </c>
      <c r="D191" t="inlineStr">
        <is>
          <t>VÄSTERNORRLANDS LÄN</t>
        </is>
      </c>
      <c r="E191" t="inlineStr">
        <is>
          <t>SOLLEFTEÅ</t>
        </is>
      </c>
      <c r="F191" t="inlineStr">
        <is>
          <t>SCA</t>
        </is>
      </c>
      <c r="G191" t="n">
        <v>1.2</v>
      </c>
      <c r="H191" t="n">
        <v>2</v>
      </c>
      <c r="I191" t="n">
        <v>0</v>
      </c>
      <c r="J191" t="n">
        <v>3</v>
      </c>
      <c r="K191" t="n">
        <v>1</v>
      </c>
      <c r="L191" t="n">
        <v>0</v>
      </c>
      <c r="M191" t="n">
        <v>0</v>
      </c>
      <c r="N191" t="n">
        <v>0</v>
      </c>
      <c r="O191" t="n">
        <v>4</v>
      </c>
      <c r="P191" t="n">
        <v>1</v>
      </c>
      <c r="Q191" t="n">
        <v>4</v>
      </c>
      <c r="R191" s="2" t="inlineStr">
        <is>
          <t>Knärot
Garnlav
Järpe
Lunglav</t>
        </is>
      </c>
      <c r="S191">
        <f>HYPERLINK("https://klasma.github.io/Logging_2283/artfynd/A 57001-2022 artfynd.xlsx", "A 57001-2022")</f>
        <v/>
      </c>
      <c r="T191">
        <f>HYPERLINK("https://klasma.github.io/Logging_2283/kartor/A 57001-2022 karta.png", "A 57001-2022")</f>
        <v/>
      </c>
      <c r="U191">
        <f>HYPERLINK("https://klasma.github.io/Logging_2283/knärot/A 57001-2022 karta knärot.png", "A 57001-2022")</f>
        <v/>
      </c>
      <c r="V191">
        <f>HYPERLINK("https://klasma.github.io/Logging_2283/klagomål/A 57001-2022 FSC-klagomål.docx", "A 57001-2022")</f>
        <v/>
      </c>
      <c r="W191">
        <f>HYPERLINK("https://klasma.github.io/Logging_2283/klagomålsmail/A 57001-2022 FSC-klagomål mail.docx", "A 57001-2022")</f>
        <v/>
      </c>
      <c r="X191">
        <f>HYPERLINK("https://klasma.github.io/Logging_2283/tillsyn/A 57001-2022 tillsynsbegäran.docx", "A 57001-2022")</f>
        <v/>
      </c>
      <c r="Y191">
        <f>HYPERLINK("https://klasma.github.io/Logging_2283/tillsynsmail/A 57001-2022 tillsynsbegäran mail.docx", "A 57001-2022")</f>
        <v/>
      </c>
      <c r="Z191">
        <f>HYPERLINK("https://klasma.github.io/Logging_2283/fåglar/A 57001-2022 prioriterade fågelarter.docx", "A 57001-2022")</f>
        <v/>
      </c>
    </row>
    <row r="192" ht="15" customHeight="1">
      <c r="A192" t="inlineStr">
        <is>
          <t>A 62638-2022</t>
        </is>
      </c>
      <c r="B192" s="1" t="n">
        <v>44925</v>
      </c>
      <c r="C192" s="1" t="n">
        <v>45670</v>
      </c>
      <c r="D192" t="inlineStr">
        <is>
          <t>VÄSTERNORRLANDS LÄN</t>
        </is>
      </c>
      <c r="E192" t="inlineStr">
        <is>
          <t>SOLLEFTEÅ</t>
        </is>
      </c>
      <c r="F192" t="inlineStr">
        <is>
          <t>Holmen skog AB</t>
        </is>
      </c>
      <c r="G192" t="n">
        <v>4</v>
      </c>
      <c r="H192" t="n">
        <v>1</v>
      </c>
      <c r="I192" t="n">
        <v>1</v>
      </c>
      <c r="J192" t="n">
        <v>2</v>
      </c>
      <c r="K192" t="n">
        <v>1</v>
      </c>
      <c r="L192" t="n">
        <v>0</v>
      </c>
      <c r="M192" t="n">
        <v>0</v>
      </c>
      <c r="N192" t="n">
        <v>0</v>
      </c>
      <c r="O192" t="n">
        <v>3</v>
      </c>
      <c r="P192" t="n">
        <v>1</v>
      </c>
      <c r="Q192" t="n">
        <v>4</v>
      </c>
      <c r="R192" s="2" t="inlineStr">
        <is>
          <t>Knärot
Koralltaggsvamp
Lunglav
Skinnlav</t>
        </is>
      </c>
      <c r="S192">
        <f>HYPERLINK("https://klasma.github.io/Logging_2283/artfynd/A 62638-2022 artfynd.xlsx", "A 62638-2022")</f>
        <v/>
      </c>
      <c r="T192">
        <f>HYPERLINK("https://klasma.github.io/Logging_2283/kartor/A 62638-2022 karta.png", "A 62638-2022")</f>
        <v/>
      </c>
      <c r="U192">
        <f>HYPERLINK("https://klasma.github.io/Logging_2283/knärot/A 62638-2022 karta knärot.png", "A 62638-2022")</f>
        <v/>
      </c>
      <c r="V192">
        <f>HYPERLINK("https://klasma.github.io/Logging_2283/klagomål/A 62638-2022 FSC-klagomål.docx", "A 62638-2022")</f>
        <v/>
      </c>
      <c r="W192">
        <f>HYPERLINK("https://klasma.github.io/Logging_2283/klagomålsmail/A 62638-2022 FSC-klagomål mail.docx", "A 62638-2022")</f>
        <v/>
      </c>
      <c r="X192">
        <f>HYPERLINK("https://klasma.github.io/Logging_2283/tillsyn/A 62638-2022 tillsynsbegäran.docx", "A 62638-2022")</f>
        <v/>
      </c>
      <c r="Y192">
        <f>HYPERLINK("https://klasma.github.io/Logging_2283/tillsynsmail/A 62638-2022 tillsynsbegäran mail.docx", "A 62638-2022")</f>
        <v/>
      </c>
    </row>
    <row r="193" ht="15" customHeight="1">
      <c r="A193" t="inlineStr">
        <is>
          <t>A 62632-2022</t>
        </is>
      </c>
      <c r="B193" s="1" t="n">
        <v>44925</v>
      </c>
      <c r="C193" s="1" t="n">
        <v>45670</v>
      </c>
      <c r="D193" t="inlineStr">
        <is>
          <t>VÄSTERNORRLANDS LÄN</t>
        </is>
      </c>
      <c r="E193" t="inlineStr">
        <is>
          <t>SOLLEFTEÅ</t>
        </is>
      </c>
      <c r="F193" t="inlineStr">
        <is>
          <t>Holmen skog AB</t>
        </is>
      </c>
      <c r="G193" t="n">
        <v>4.4</v>
      </c>
      <c r="H193" t="n">
        <v>1</v>
      </c>
      <c r="I193" t="n">
        <v>1</v>
      </c>
      <c r="J193" t="n">
        <v>2</v>
      </c>
      <c r="K193" t="n">
        <v>1</v>
      </c>
      <c r="L193" t="n">
        <v>0</v>
      </c>
      <c r="M193" t="n">
        <v>0</v>
      </c>
      <c r="N193" t="n">
        <v>0</v>
      </c>
      <c r="O193" t="n">
        <v>3</v>
      </c>
      <c r="P193" t="n">
        <v>1</v>
      </c>
      <c r="Q193" t="n">
        <v>4</v>
      </c>
      <c r="R193" s="2" t="inlineStr">
        <is>
          <t>Bitter taggsvamp
Blå taggsvamp
Orange taggsvamp
Plattlummer</t>
        </is>
      </c>
      <c r="S193">
        <f>HYPERLINK("https://klasma.github.io/Logging_2283/artfynd/A 62632-2022 artfynd.xlsx", "A 62632-2022")</f>
        <v/>
      </c>
      <c r="T193">
        <f>HYPERLINK("https://klasma.github.io/Logging_2283/kartor/A 62632-2022 karta.png", "A 62632-2022")</f>
        <v/>
      </c>
      <c r="V193">
        <f>HYPERLINK("https://klasma.github.io/Logging_2283/klagomål/A 62632-2022 FSC-klagomål.docx", "A 62632-2022")</f>
        <v/>
      </c>
      <c r="W193">
        <f>HYPERLINK("https://klasma.github.io/Logging_2283/klagomålsmail/A 62632-2022 FSC-klagomål mail.docx", "A 62632-2022")</f>
        <v/>
      </c>
      <c r="X193">
        <f>HYPERLINK("https://klasma.github.io/Logging_2283/tillsyn/A 62632-2022 tillsynsbegäran.docx", "A 62632-2022")</f>
        <v/>
      </c>
      <c r="Y193">
        <f>HYPERLINK("https://klasma.github.io/Logging_2283/tillsynsmail/A 62632-2022 tillsynsbegäran mail.docx", "A 62632-2022")</f>
        <v/>
      </c>
    </row>
    <row r="194" ht="15" customHeight="1">
      <c r="A194" t="inlineStr">
        <is>
          <t>A 2409-2023</t>
        </is>
      </c>
      <c r="B194" s="1" t="n">
        <v>44942</v>
      </c>
      <c r="C194" s="1" t="n">
        <v>45670</v>
      </c>
      <c r="D194" t="inlineStr">
        <is>
          <t>VÄSTERNORRLANDS LÄN</t>
        </is>
      </c>
      <c r="E194" t="inlineStr">
        <is>
          <t>SOLLEFTEÅ</t>
        </is>
      </c>
      <c r="F194" t="inlineStr">
        <is>
          <t>SCA</t>
        </is>
      </c>
      <c r="G194" t="n">
        <v>2</v>
      </c>
      <c r="H194" t="n">
        <v>0</v>
      </c>
      <c r="I194" t="n">
        <v>1</v>
      </c>
      <c r="J194" t="n">
        <v>3</v>
      </c>
      <c r="K194" t="n">
        <v>0</v>
      </c>
      <c r="L194" t="n">
        <v>0</v>
      </c>
      <c r="M194" t="n">
        <v>0</v>
      </c>
      <c r="N194" t="n">
        <v>0</v>
      </c>
      <c r="O194" t="n">
        <v>3</v>
      </c>
      <c r="P194" t="n">
        <v>0</v>
      </c>
      <c r="Q194" t="n">
        <v>4</v>
      </c>
      <c r="R194" s="2" t="inlineStr">
        <is>
          <t>Rosenticka
Tallticka
Ullticka
Dropptaggsvamp</t>
        </is>
      </c>
      <c r="S194">
        <f>HYPERLINK("https://klasma.github.io/Logging_2283/artfynd/A 2409-2023 artfynd.xlsx", "A 2409-2023")</f>
        <v/>
      </c>
      <c r="T194">
        <f>HYPERLINK("https://klasma.github.io/Logging_2283/kartor/A 2409-2023 karta.png", "A 2409-2023")</f>
        <v/>
      </c>
      <c r="V194">
        <f>HYPERLINK("https://klasma.github.io/Logging_2283/klagomål/A 2409-2023 FSC-klagomål.docx", "A 2409-2023")</f>
        <v/>
      </c>
      <c r="W194">
        <f>HYPERLINK("https://klasma.github.io/Logging_2283/klagomålsmail/A 2409-2023 FSC-klagomål mail.docx", "A 2409-2023")</f>
        <v/>
      </c>
      <c r="X194">
        <f>HYPERLINK("https://klasma.github.io/Logging_2283/tillsyn/A 2409-2023 tillsynsbegäran.docx", "A 2409-2023")</f>
        <v/>
      </c>
      <c r="Y194">
        <f>HYPERLINK("https://klasma.github.io/Logging_2283/tillsynsmail/A 2409-2023 tillsynsbegäran mail.docx", "A 2409-2023")</f>
        <v/>
      </c>
    </row>
    <row r="195" ht="15" customHeight="1">
      <c r="A195" t="inlineStr">
        <is>
          <t>A 9365-2023</t>
        </is>
      </c>
      <c r="B195" s="1" t="n">
        <v>44980</v>
      </c>
      <c r="C195" s="1" t="n">
        <v>45670</v>
      </c>
      <c r="D195" t="inlineStr">
        <is>
          <t>VÄSTERNORRLANDS LÄN</t>
        </is>
      </c>
      <c r="E195" t="inlineStr">
        <is>
          <t>SOLLEFTEÅ</t>
        </is>
      </c>
      <c r="F195" t="inlineStr">
        <is>
          <t>SCA</t>
        </is>
      </c>
      <c r="G195" t="n">
        <v>6.5</v>
      </c>
      <c r="H195" t="n">
        <v>2</v>
      </c>
      <c r="I195" t="n">
        <v>0</v>
      </c>
      <c r="J195" t="n">
        <v>3</v>
      </c>
      <c r="K195" t="n">
        <v>0</v>
      </c>
      <c r="L195" t="n">
        <v>0</v>
      </c>
      <c r="M195" t="n">
        <v>0</v>
      </c>
      <c r="N195" t="n">
        <v>0</v>
      </c>
      <c r="O195" t="n">
        <v>3</v>
      </c>
      <c r="P195" t="n">
        <v>0</v>
      </c>
      <c r="Q195" t="n">
        <v>4</v>
      </c>
      <c r="R195" s="2" t="inlineStr">
        <is>
          <t>Garnlav
Kolflarnlav
Tretåig hackspett
Tjäder</t>
        </is>
      </c>
      <c r="S195">
        <f>HYPERLINK("https://klasma.github.io/Logging_2283/artfynd/A 9365-2023 artfynd.xlsx", "A 9365-2023")</f>
        <v/>
      </c>
      <c r="T195">
        <f>HYPERLINK("https://klasma.github.io/Logging_2283/kartor/A 9365-2023 karta.png", "A 9365-2023")</f>
        <v/>
      </c>
      <c r="V195">
        <f>HYPERLINK("https://klasma.github.io/Logging_2283/klagomål/A 9365-2023 FSC-klagomål.docx", "A 9365-2023")</f>
        <v/>
      </c>
      <c r="W195">
        <f>HYPERLINK("https://klasma.github.io/Logging_2283/klagomålsmail/A 9365-2023 FSC-klagomål mail.docx", "A 9365-2023")</f>
        <v/>
      </c>
      <c r="X195">
        <f>HYPERLINK("https://klasma.github.io/Logging_2283/tillsyn/A 9365-2023 tillsynsbegäran.docx", "A 9365-2023")</f>
        <v/>
      </c>
      <c r="Y195">
        <f>HYPERLINK("https://klasma.github.io/Logging_2283/tillsynsmail/A 9365-2023 tillsynsbegäran mail.docx", "A 9365-2023")</f>
        <v/>
      </c>
      <c r="Z195">
        <f>HYPERLINK("https://klasma.github.io/Logging_2283/fåglar/A 9365-2023 prioriterade fågelarter.docx", "A 9365-2023")</f>
        <v/>
      </c>
    </row>
    <row r="196" ht="15" customHeight="1">
      <c r="A196" t="inlineStr">
        <is>
          <t>A 10776-2023</t>
        </is>
      </c>
      <c r="B196" s="1" t="n">
        <v>44988</v>
      </c>
      <c r="C196" s="1" t="n">
        <v>45670</v>
      </c>
      <c r="D196" t="inlineStr">
        <is>
          <t>VÄSTERNORRLANDS LÄN</t>
        </is>
      </c>
      <c r="E196" t="inlineStr">
        <is>
          <t>SOLLEFTEÅ</t>
        </is>
      </c>
      <c r="F196" t="inlineStr">
        <is>
          <t>SCA</t>
        </is>
      </c>
      <c r="G196" t="n">
        <v>6.2</v>
      </c>
      <c r="H196" t="n">
        <v>0</v>
      </c>
      <c r="I196" t="n">
        <v>0</v>
      </c>
      <c r="J196" t="n">
        <v>4</v>
      </c>
      <c r="K196" t="n">
        <v>0</v>
      </c>
      <c r="L196" t="n">
        <v>0</v>
      </c>
      <c r="M196" t="n">
        <v>0</v>
      </c>
      <c r="N196" t="n">
        <v>0</v>
      </c>
      <c r="O196" t="n">
        <v>4</v>
      </c>
      <c r="P196" t="n">
        <v>0</v>
      </c>
      <c r="Q196" t="n">
        <v>4</v>
      </c>
      <c r="R196" s="2" t="inlineStr">
        <is>
          <t>Granticka
Rosenticka
Ullticka
Vedskivlav</t>
        </is>
      </c>
      <c r="S196">
        <f>HYPERLINK("https://klasma.github.io/Logging_2283/artfynd/A 10776-2023 artfynd.xlsx", "A 10776-2023")</f>
        <v/>
      </c>
      <c r="T196">
        <f>HYPERLINK("https://klasma.github.io/Logging_2283/kartor/A 10776-2023 karta.png", "A 10776-2023")</f>
        <v/>
      </c>
      <c r="V196">
        <f>HYPERLINK("https://klasma.github.io/Logging_2283/klagomål/A 10776-2023 FSC-klagomål.docx", "A 10776-2023")</f>
        <v/>
      </c>
      <c r="W196">
        <f>HYPERLINK("https://klasma.github.io/Logging_2283/klagomålsmail/A 10776-2023 FSC-klagomål mail.docx", "A 10776-2023")</f>
        <v/>
      </c>
      <c r="X196">
        <f>HYPERLINK("https://klasma.github.io/Logging_2283/tillsyn/A 10776-2023 tillsynsbegäran.docx", "A 10776-2023")</f>
        <v/>
      </c>
      <c r="Y196">
        <f>HYPERLINK("https://klasma.github.io/Logging_2283/tillsynsmail/A 10776-2023 tillsynsbegäran mail.docx", "A 10776-2023")</f>
        <v/>
      </c>
    </row>
    <row r="197" ht="15" customHeight="1">
      <c r="A197" t="inlineStr">
        <is>
          <t>A 12365-2023</t>
        </is>
      </c>
      <c r="B197" s="1" t="n">
        <v>44999</v>
      </c>
      <c r="C197" s="1" t="n">
        <v>45670</v>
      </c>
      <c r="D197" t="inlineStr">
        <is>
          <t>VÄSTERNORRLANDS LÄN</t>
        </is>
      </c>
      <c r="E197" t="inlineStr">
        <is>
          <t>SOLLEFTEÅ</t>
        </is>
      </c>
      <c r="F197" t="inlineStr">
        <is>
          <t>Kommuner</t>
        </is>
      </c>
      <c r="G197" t="n">
        <v>2.2</v>
      </c>
      <c r="H197" t="n">
        <v>0</v>
      </c>
      <c r="I197" t="n">
        <v>2</v>
      </c>
      <c r="J197" t="n">
        <v>2</v>
      </c>
      <c r="K197" t="n">
        <v>0</v>
      </c>
      <c r="L197" t="n">
        <v>0</v>
      </c>
      <c r="M197" t="n">
        <v>0</v>
      </c>
      <c r="N197" t="n">
        <v>0</v>
      </c>
      <c r="O197" t="n">
        <v>2</v>
      </c>
      <c r="P197" t="n">
        <v>0</v>
      </c>
      <c r="Q197" t="n">
        <v>4</v>
      </c>
      <c r="R197" s="2" t="inlineStr">
        <is>
          <t>Rosenticka
Ullticka
Mörk husmossa
Skinnlav</t>
        </is>
      </c>
      <c r="S197">
        <f>HYPERLINK("https://klasma.github.io/Logging_2283/artfynd/A 12365-2023 artfynd.xlsx", "A 12365-2023")</f>
        <v/>
      </c>
      <c r="T197">
        <f>HYPERLINK("https://klasma.github.io/Logging_2283/kartor/A 12365-2023 karta.png", "A 12365-2023")</f>
        <v/>
      </c>
      <c r="U197">
        <f>HYPERLINK("https://klasma.github.io/Logging_2283/knärot/A 12365-2023 karta knärot.png", "A 12365-2023")</f>
        <v/>
      </c>
      <c r="V197">
        <f>HYPERLINK("https://klasma.github.io/Logging_2283/klagomål/A 12365-2023 FSC-klagomål.docx", "A 12365-2023")</f>
        <v/>
      </c>
      <c r="W197">
        <f>HYPERLINK("https://klasma.github.io/Logging_2283/klagomålsmail/A 12365-2023 FSC-klagomål mail.docx", "A 12365-2023")</f>
        <v/>
      </c>
      <c r="X197">
        <f>HYPERLINK("https://klasma.github.io/Logging_2283/tillsyn/A 12365-2023 tillsynsbegäran.docx", "A 12365-2023")</f>
        <v/>
      </c>
      <c r="Y197">
        <f>HYPERLINK("https://klasma.github.io/Logging_2283/tillsynsmail/A 12365-2023 tillsynsbegäran mail.docx", "A 12365-2023")</f>
        <v/>
      </c>
    </row>
    <row r="198" ht="15" customHeight="1">
      <c r="A198" t="inlineStr">
        <is>
          <t>A 18066-2023</t>
        </is>
      </c>
      <c r="B198" s="1" t="n">
        <v>45040</v>
      </c>
      <c r="C198" s="1" t="n">
        <v>45670</v>
      </c>
      <c r="D198" t="inlineStr">
        <is>
          <t>VÄSTERNORRLANDS LÄN</t>
        </is>
      </c>
      <c r="E198" t="inlineStr">
        <is>
          <t>SOLLEFTEÅ</t>
        </is>
      </c>
      <c r="G198" t="n">
        <v>0.8</v>
      </c>
      <c r="H198" t="n">
        <v>1</v>
      </c>
      <c r="I198" t="n">
        <v>0</v>
      </c>
      <c r="J198" t="n">
        <v>3</v>
      </c>
      <c r="K198" t="n">
        <v>1</v>
      </c>
      <c r="L198" t="n">
        <v>0</v>
      </c>
      <c r="M198" t="n">
        <v>0</v>
      </c>
      <c r="N198" t="n">
        <v>0</v>
      </c>
      <c r="O198" t="n">
        <v>4</v>
      </c>
      <c r="P198" t="n">
        <v>1</v>
      </c>
      <c r="Q198" t="n">
        <v>4</v>
      </c>
      <c r="R198" s="2" t="inlineStr">
        <is>
          <t>Knärot
Garnlav
Rosenticka
Ullticka</t>
        </is>
      </c>
      <c r="S198">
        <f>HYPERLINK("https://klasma.github.io/Logging_2283/artfynd/A 18066-2023 artfynd.xlsx", "A 18066-2023")</f>
        <v/>
      </c>
      <c r="T198">
        <f>HYPERLINK("https://klasma.github.io/Logging_2283/kartor/A 18066-2023 karta.png", "A 18066-2023")</f>
        <v/>
      </c>
      <c r="U198">
        <f>HYPERLINK("https://klasma.github.io/Logging_2283/knärot/A 18066-2023 karta knärot.png", "A 18066-2023")</f>
        <v/>
      </c>
      <c r="V198">
        <f>HYPERLINK("https://klasma.github.io/Logging_2283/klagomål/A 18066-2023 FSC-klagomål.docx", "A 18066-2023")</f>
        <v/>
      </c>
      <c r="W198">
        <f>HYPERLINK("https://klasma.github.io/Logging_2283/klagomålsmail/A 18066-2023 FSC-klagomål mail.docx", "A 18066-2023")</f>
        <v/>
      </c>
      <c r="X198">
        <f>HYPERLINK("https://klasma.github.io/Logging_2283/tillsyn/A 18066-2023 tillsynsbegäran.docx", "A 18066-2023")</f>
        <v/>
      </c>
      <c r="Y198">
        <f>HYPERLINK("https://klasma.github.io/Logging_2283/tillsynsmail/A 18066-2023 tillsynsbegäran mail.docx", "A 18066-2023")</f>
        <v/>
      </c>
    </row>
    <row r="199" ht="15" customHeight="1">
      <c r="A199" t="inlineStr">
        <is>
          <t>A 32218-2023</t>
        </is>
      </c>
      <c r="B199" s="1" t="n">
        <v>45120</v>
      </c>
      <c r="C199" s="1" t="n">
        <v>45670</v>
      </c>
      <c r="D199" t="inlineStr">
        <is>
          <t>VÄSTERNORRLANDS LÄN</t>
        </is>
      </c>
      <c r="E199" t="inlineStr">
        <is>
          <t>SOLLEFTEÅ</t>
        </is>
      </c>
      <c r="F199" t="inlineStr">
        <is>
          <t>SCA</t>
        </is>
      </c>
      <c r="G199" t="n">
        <v>2.1</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32218-2023 artfynd.xlsx", "A 32218-2023")</f>
        <v/>
      </c>
      <c r="T199">
        <f>HYPERLINK("https://klasma.github.io/Logging_2283/kartor/A 32218-2023 karta.png", "A 32218-2023")</f>
        <v/>
      </c>
      <c r="V199">
        <f>HYPERLINK("https://klasma.github.io/Logging_2283/klagomål/A 32218-2023 FSC-klagomål.docx", "A 32218-2023")</f>
        <v/>
      </c>
      <c r="W199">
        <f>HYPERLINK("https://klasma.github.io/Logging_2283/klagomålsmail/A 32218-2023 FSC-klagomål mail.docx", "A 32218-2023")</f>
        <v/>
      </c>
      <c r="X199">
        <f>HYPERLINK("https://klasma.github.io/Logging_2283/tillsyn/A 32218-2023 tillsynsbegäran.docx", "A 32218-2023")</f>
        <v/>
      </c>
      <c r="Y199">
        <f>HYPERLINK("https://klasma.github.io/Logging_2283/tillsynsmail/A 32218-2023 tillsynsbegäran mail.docx", "A 32218-2023")</f>
        <v/>
      </c>
      <c r="Z199">
        <f>HYPERLINK("https://klasma.github.io/Logging_2283/fåglar/A 32218-2023 prioriterade fågelarter.docx", "A 32218-2023")</f>
        <v/>
      </c>
    </row>
    <row r="200" ht="15" customHeight="1">
      <c r="A200" t="inlineStr">
        <is>
          <t>A 35505-2023</t>
        </is>
      </c>
      <c r="B200" s="1" t="n">
        <v>45147</v>
      </c>
      <c r="C200" s="1" t="n">
        <v>45670</v>
      </c>
      <c r="D200" t="inlineStr">
        <is>
          <t>VÄSTERNORRLANDS LÄN</t>
        </is>
      </c>
      <c r="E200" t="inlineStr">
        <is>
          <t>SOLLEFTEÅ</t>
        </is>
      </c>
      <c r="F200" t="inlineStr">
        <is>
          <t>SCA</t>
        </is>
      </c>
      <c r="G200" t="n">
        <v>2.6</v>
      </c>
      <c r="H200" t="n">
        <v>0</v>
      </c>
      <c r="I200" t="n">
        <v>2</v>
      </c>
      <c r="J200" t="n">
        <v>2</v>
      </c>
      <c r="K200" t="n">
        <v>0</v>
      </c>
      <c r="L200" t="n">
        <v>0</v>
      </c>
      <c r="M200" t="n">
        <v>0</v>
      </c>
      <c r="N200" t="n">
        <v>0</v>
      </c>
      <c r="O200" t="n">
        <v>2</v>
      </c>
      <c r="P200" t="n">
        <v>0</v>
      </c>
      <c r="Q200" t="n">
        <v>4</v>
      </c>
      <c r="R200" s="2" t="inlineStr">
        <is>
          <t>Garnlav
Lunglav
Bårdlav
Norrlandslav</t>
        </is>
      </c>
      <c r="S200">
        <f>HYPERLINK("https://klasma.github.io/Logging_2283/artfynd/A 35505-2023 artfynd.xlsx", "A 35505-2023")</f>
        <v/>
      </c>
      <c r="T200">
        <f>HYPERLINK("https://klasma.github.io/Logging_2283/kartor/A 35505-2023 karta.png", "A 35505-2023")</f>
        <v/>
      </c>
      <c r="V200">
        <f>HYPERLINK("https://klasma.github.io/Logging_2283/klagomål/A 35505-2023 FSC-klagomål.docx", "A 35505-2023")</f>
        <v/>
      </c>
      <c r="W200">
        <f>HYPERLINK("https://klasma.github.io/Logging_2283/klagomålsmail/A 35505-2023 FSC-klagomål mail.docx", "A 35505-2023")</f>
        <v/>
      </c>
      <c r="X200">
        <f>HYPERLINK("https://klasma.github.io/Logging_2283/tillsyn/A 35505-2023 tillsynsbegäran.docx", "A 35505-2023")</f>
        <v/>
      </c>
      <c r="Y200">
        <f>HYPERLINK("https://klasma.github.io/Logging_2283/tillsynsmail/A 35505-2023 tillsynsbegäran mail.docx", "A 35505-2023")</f>
        <v/>
      </c>
    </row>
    <row r="201" ht="15" customHeight="1">
      <c r="A201" t="inlineStr">
        <is>
          <t>A 37270-2023</t>
        </is>
      </c>
      <c r="B201" s="1" t="n">
        <v>45155</v>
      </c>
      <c r="C201" s="1" t="n">
        <v>45670</v>
      </c>
      <c r="D201" t="inlineStr">
        <is>
          <t>VÄSTERNORRLANDS LÄN</t>
        </is>
      </c>
      <c r="E201" t="inlineStr">
        <is>
          <t>SOLLEFTEÅ</t>
        </is>
      </c>
      <c r="F201" t="inlineStr">
        <is>
          <t>SCA</t>
        </is>
      </c>
      <c r="G201" t="n">
        <v>2.3</v>
      </c>
      <c r="H201" t="n">
        <v>1</v>
      </c>
      <c r="I201" t="n">
        <v>1</v>
      </c>
      <c r="J201" t="n">
        <v>3</v>
      </c>
      <c r="K201" t="n">
        <v>0</v>
      </c>
      <c r="L201" t="n">
        <v>0</v>
      </c>
      <c r="M201" t="n">
        <v>0</v>
      </c>
      <c r="N201" t="n">
        <v>0</v>
      </c>
      <c r="O201" t="n">
        <v>3</v>
      </c>
      <c r="P201" t="n">
        <v>0</v>
      </c>
      <c r="Q201" t="n">
        <v>4</v>
      </c>
      <c r="R201" s="2" t="inlineStr">
        <is>
          <t>Orange taggsvamp
Tallticka
Tretåig hackspett
Dropptaggsvamp</t>
        </is>
      </c>
      <c r="S201">
        <f>HYPERLINK("https://klasma.github.io/Logging_2283/artfynd/A 37270-2023 artfynd.xlsx", "A 37270-2023")</f>
        <v/>
      </c>
      <c r="T201">
        <f>HYPERLINK("https://klasma.github.io/Logging_2283/kartor/A 37270-2023 karta.png", "A 37270-2023")</f>
        <v/>
      </c>
      <c r="V201">
        <f>HYPERLINK("https://klasma.github.io/Logging_2283/klagomål/A 37270-2023 FSC-klagomål.docx", "A 37270-2023")</f>
        <v/>
      </c>
      <c r="W201">
        <f>HYPERLINK("https://klasma.github.io/Logging_2283/klagomålsmail/A 37270-2023 FSC-klagomål mail.docx", "A 37270-2023")</f>
        <v/>
      </c>
      <c r="X201">
        <f>HYPERLINK("https://klasma.github.io/Logging_2283/tillsyn/A 37270-2023 tillsynsbegäran.docx", "A 37270-2023")</f>
        <v/>
      </c>
      <c r="Y201">
        <f>HYPERLINK("https://klasma.github.io/Logging_2283/tillsynsmail/A 37270-2023 tillsynsbegäran mail.docx", "A 37270-2023")</f>
        <v/>
      </c>
      <c r="Z201">
        <f>HYPERLINK("https://klasma.github.io/Logging_2283/fåglar/A 37270-2023 prioriterade fågelarter.docx", "A 37270-2023")</f>
        <v/>
      </c>
    </row>
    <row r="202" ht="15" customHeight="1">
      <c r="A202" t="inlineStr">
        <is>
          <t>A 43954-2023</t>
        </is>
      </c>
      <c r="B202" s="1" t="n">
        <v>45187</v>
      </c>
      <c r="C202" s="1" t="n">
        <v>45670</v>
      </c>
      <c r="D202" t="inlineStr">
        <is>
          <t>VÄSTERNORRLANDS LÄN</t>
        </is>
      </c>
      <c r="E202" t="inlineStr">
        <is>
          <t>SOLLEFTEÅ</t>
        </is>
      </c>
      <c r="F202" t="inlineStr">
        <is>
          <t>SCA</t>
        </is>
      </c>
      <c r="G202" t="n">
        <v>1.7</v>
      </c>
      <c r="H202" t="n">
        <v>3</v>
      </c>
      <c r="I202" t="n">
        <v>0</v>
      </c>
      <c r="J202" t="n">
        <v>2</v>
      </c>
      <c r="K202" t="n">
        <v>2</v>
      </c>
      <c r="L202" t="n">
        <v>0</v>
      </c>
      <c r="M202" t="n">
        <v>0</v>
      </c>
      <c r="N202" t="n">
        <v>0</v>
      </c>
      <c r="O202" t="n">
        <v>4</v>
      </c>
      <c r="P202" t="n">
        <v>2</v>
      </c>
      <c r="Q202" t="n">
        <v>4</v>
      </c>
      <c r="R202" s="2" t="inlineStr">
        <is>
          <t>Doftticka
Knärot
Lunglav
Tretåig hackspett</t>
        </is>
      </c>
      <c r="S202">
        <f>HYPERLINK("https://klasma.github.io/Logging_2283/artfynd/A 43954-2023 artfynd.xlsx", "A 43954-2023")</f>
        <v/>
      </c>
      <c r="T202">
        <f>HYPERLINK("https://klasma.github.io/Logging_2283/kartor/A 43954-2023 karta.png", "A 43954-2023")</f>
        <v/>
      </c>
      <c r="U202">
        <f>HYPERLINK("https://klasma.github.io/Logging_2283/knärot/A 43954-2023 karta knärot.png", "A 43954-2023")</f>
        <v/>
      </c>
      <c r="V202">
        <f>HYPERLINK("https://klasma.github.io/Logging_2283/klagomål/A 43954-2023 FSC-klagomål.docx", "A 43954-2023")</f>
        <v/>
      </c>
      <c r="W202">
        <f>HYPERLINK("https://klasma.github.io/Logging_2283/klagomålsmail/A 43954-2023 FSC-klagomål mail.docx", "A 43954-2023")</f>
        <v/>
      </c>
      <c r="X202">
        <f>HYPERLINK("https://klasma.github.io/Logging_2283/tillsyn/A 43954-2023 tillsynsbegäran.docx", "A 43954-2023")</f>
        <v/>
      </c>
      <c r="Y202">
        <f>HYPERLINK("https://klasma.github.io/Logging_2283/tillsynsmail/A 43954-2023 tillsynsbegäran mail.docx", "A 43954-2023")</f>
        <v/>
      </c>
      <c r="Z202">
        <f>HYPERLINK("https://klasma.github.io/Logging_2283/fåglar/A 43954-2023 prioriterade fågelarter.docx", "A 43954-2023")</f>
        <v/>
      </c>
    </row>
    <row r="203" ht="15" customHeight="1">
      <c r="A203" t="inlineStr">
        <is>
          <t>A 50839-2023</t>
        </is>
      </c>
      <c r="B203" s="1" t="n">
        <v>45217</v>
      </c>
      <c r="C203" s="1" t="n">
        <v>45670</v>
      </c>
      <c r="D203" t="inlineStr">
        <is>
          <t>VÄSTERNORRLANDS LÄN</t>
        </is>
      </c>
      <c r="E203" t="inlineStr">
        <is>
          <t>SOLLEFTEÅ</t>
        </is>
      </c>
      <c r="F203" t="inlineStr">
        <is>
          <t>SCA</t>
        </is>
      </c>
      <c r="G203" t="n">
        <v>2.8</v>
      </c>
      <c r="H203" t="n">
        <v>0</v>
      </c>
      <c r="I203" t="n">
        <v>1</v>
      </c>
      <c r="J203" t="n">
        <v>3</v>
      </c>
      <c r="K203" t="n">
        <v>0</v>
      </c>
      <c r="L203" t="n">
        <v>0</v>
      </c>
      <c r="M203" t="n">
        <v>0</v>
      </c>
      <c r="N203" t="n">
        <v>0</v>
      </c>
      <c r="O203" t="n">
        <v>3</v>
      </c>
      <c r="P203" t="n">
        <v>0</v>
      </c>
      <c r="Q203" t="n">
        <v>4</v>
      </c>
      <c r="R203" s="2" t="inlineStr">
        <is>
          <t>Garnlav
Granticka
Vitskaftad svartspik
Gulnål</t>
        </is>
      </c>
      <c r="S203">
        <f>HYPERLINK("https://klasma.github.io/Logging_2283/artfynd/A 50839-2023 artfynd.xlsx", "A 50839-2023")</f>
        <v/>
      </c>
      <c r="T203">
        <f>HYPERLINK("https://klasma.github.io/Logging_2283/kartor/A 50839-2023 karta.png", "A 50839-2023")</f>
        <v/>
      </c>
      <c r="V203">
        <f>HYPERLINK("https://klasma.github.io/Logging_2283/klagomål/A 50839-2023 FSC-klagomål.docx", "A 50839-2023")</f>
        <v/>
      </c>
      <c r="W203">
        <f>HYPERLINK("https://klasma.github.io/Logging_2283/klagomålsmail/A 50839-2023 FSC-klagomål mail.docx", "A 50839-2023")</f>
        <v/>
      </c>
      <c r="X203">
        <f>HYPERLINK("https://klasma.github.io/Logging_2283/tillsyn/A 50839-2023 tillsynsbegäran.docx", "A 50839-2023")</f>
        <v/>
      </c>
      <c r="Y203">
        <f>HYPERLINK("https://klasma.github.io/Logging_2283/tillsynsmail/A 50839-2023 tillsynsbegäran mail.docx", "A 50839-2023")</f>
        <v/>
      </c>
    </row>
    <row r="204" ht="15" customHeight="1">
      <c r="A204" t="inlineStr">
        <is>
          <t>A 52088-2023</t>
        </is>
      </c>
      <c r="B204" s="1" t="n">
        <v>45223</v>
      </c>
      <c r="C204" s="1" t="n">
        <v>45670</v>
      </c>
      <c r="D204" t="inlineStr">
        <is>
          <t>VÄSTERNORRLANDS LÄN</t>
        </is>
      </c>
      <c r="E204" t="inlineStr">
        <is>
          <t>SOLLEFTEÅ</t>
        </is>
      </c>
      <c r="G204" t="n">
        <v>6.4</v>
      </c>
      <c r="H204" t="n">
        <v>0</v>
      </c>
      <c r="I204" t="n">
        <v>1</v>
      </c>
      <c r="J204" t="n">
        <v>3</v>
      </c>
      <c r="K204" t="n">
        <v>0</v>
      </c>
      <c r="L204" t="n">
        <v>0</v>
      </c>
      <c r="M204" t="n">
        <v>0</v>
      </c>
      <c r="N204" t="n">
        <v>0</v>
      </c>
      <c r="O204" t="n">
        <v>3</v>
      </c>
      <c r="P204" t="n">
        <v>0</v>
      </c>
      <c r="Q204" t="n">
        <v>4</v>
      </c>
      <c r="R204" s="2" t="inlineStr">
        <is>
          <t>Granticka
Lunglav
Rosenticka
Vedticka</t>
        </is>
      </c>
      <c r="S204">
        <f>HYPERLINK("https://klasma.github.io/Logging_2283/artfynd/A 52088-2023 artfynd.xlsx", "A 52088-2023")</f>
        <v/>
      </c>
      <c r="T204">
        <f>HYPERLINK("https://klasma.github.io/Logging_2283/kartor/A 52088-2023 karta.png", "A 52088-2023")</f>
        <v/>
      </c>
      <c r="V204">
        <f>HYPERLINK("https://klasma.github.io/Logging_2283/klagomål/A 52088-2023 FSC-klagomål.docx", "A 52088-2023")</f>
        <v/>
      </c>
      <c r="W204">
        <f>HYPERLINK("https://klasma.github.io/Logging_2283/klagomålsmail/A 52088-2023 FSC-klagomål mail.docx", "A 52088-2023")</f>
        <v/>
      </c>
      <c r="X204">
        <f>HYPERLINK("https://klasma.github.io/Logging_2283/tillsyn/A 52088-2023 tillsynsbegäran.docx", "A 52088-2023")</f>
        <v/>
      </c>
      <c r="Y204">
        <f>HYPERLINK("https://klasma.github.io/Logging_2283/tillsynsmail/A 52088-2023 tillsynsbegäran mail.docx", "A 52088-2023")</f>
        <v/>
      </c>
    </row>
    <row r="205" ht="15" customHeight="1">
      <c r="A205" t="inlineStr">
        <is>
          <t>A 53566-2023</t>
        </is>
      </c>
      <c r="B205" s="1" t="n">
        <v>45223</v>
      </c>
      <c r="C205" s="1" t="n">
        <v>45670</v>
      </c>
      <c r="D205" t="inlineStr">
        <is>
          <t>VÄSTERNORRLANDS LÄN</t>
        </is>
      </c>
      <c r="E205" t="inlineStr">
        <is>
          <t>SOLLEFTEÅ</t>
        </is>
      </c>
      <c r="G205" t="n">
        <v>9</v>
      </c>
      <c r="H205" t="n">
        <v>2</v>
      </c>
      <c r="I205" t="n">
        <v>0</v>
      </c>
      <c r="J205" t="n">
        <v>2</v>
      </c>
      <c r="K205" t="n">
        <v>0</v>
      </c>
      <c r="L205" t="n">
        <v>0</v>
      </c>
      <c r="M205" t="n">
        <v>0</v>
      </c>
      <c r="N205" t="n">
        <v>0</v>
      </c>
      <c r="O205" t="n">
        <v>2</v>
      </c>
      <c r="P205" t="n">
        <v>0</v>
      </c>
      <c r="Q205" t="n">
        <v>4</v>
      </c>
      <c r="R205" s="2" t="inlineStr">
        <is>
          <t>Garnlav
Lunglav
Fläcknycklar
Revlummer</t>
        </is>
      </c>
      <c r="S205">
        <f>HYPERLINK("https://klasma.github.io/Logging_2283/artfynd/A 53566-2023 artfynd.xlsx", "A 53566-2023")</f>
        <v/>
      </c>
      <c r="T205">
        <f>HYPERLINK("https://klasma.github.io/Logging_2283/kartor/A 53566-2023 karta.png", "A 53566-2023")</f>
        <v/>
      </c>
      <c r="V205">
        <f>HYPERLINK("https://klasma.github.io/Logging_2283/klagomål/A 53566-2023 FSC-klagomål.docx", "A 53566-2023")</f>
        <v/>
      </c>
      <c r="W205">
        <f>HYPERLINK("https://klasma.github.io/Logging_2283/klagomålsmail/A 53566-2023 FSC-klagomål mail.docx", "A 53566-2023")</f>
        <v/>
      </c>
      <c r="X205">
        <f>HYPERLINK("https://klasma.github.io/Logging_2283/tillsyn/A 53566-2023 tillsynsbegäran.docx", "A 53566-2023")</f>
        <v/>
      </c>
      <c r="Y205">
        <f>HYPERLINK("https://klasma.github.io/Logging_2283/tillsynsmail/A 53566-2023 tillsynsbegäran mail.docx", "A 53566-2023")</f>
        <v/>
      </c>
    </row>
    <row r="206" ht="15" customHeight="1">
      <c r="A206" t="inlineStr">
        <is>
          <t>A 53049-2023</t>
        </is>
      </c>
      <c r="B206" s="1" t="n">
        <v>45226</v>
      </c>
      <c r="C206" s="1" t="n">
        <v>45670</v>
      </c>
      <c r="D206" t="inlineStr">
        <is>
          <t>VÄSTERNORRLANDS LÄN</t>
        </is>
      </c>
      <c r="E206" t="inlineStr">
        <is>
          <t>SOLLEFTEÅ</t>
        </is>
      </c>
      <c r="F206" t="inlineStr">
        <is>
          <t>SCA</t>
        </is>
      </c>
      <c r="G206" t="n">
        <v>3.7</v>
      </c>
      <c r="H206" t="n">
        <v>2</v>
      </c>
      <c r="I206" t="n">
        <v>0</v>
      </c>
      <c r="J206" t="n">
        <v>4</v>
      </c>
      <c r="K206" t="n">
        <v>0</v>
      </c>
      <c r="L206" t="n">
        <v>0</v>
      </c>
      <c r="M206" t="n">
        <v>0</v>
      </c>
      <c r="N206" t="n">
        <v>0</v>
      </c>
      <c r="O206" t="n">
        <v>4</v>
      </c>
      <c r="P206" t="n">
        <v>0</v>
      </c>
      <c r="Q206" t="n">
        <v>4</v>
      </c>
      <c r="R206" s="2" t="inlineStr">
        <is>
          <t>Järpe
Lunglav
Tretåig hackspett
Ullticka</t>
        </is>
      </c>
      <c r="S206">
        <f>HYPERLINK("https://klasma.github.io/Logging_2283/artfynd/A 53049-2023 artfynd.xlsx", "A 53049-2023")</f>
        <v/>
      </c>
      <c r="T206">
        <f>HYPERLINK("https://klasma.github.io/Logging_2283/kartor/A 53049-2023 karta.png", "A 53049-2023")</f>
        <v/>
      </c>
      <c r="V206">
        <f>HYPERLINK("https://klasma.github.io/Logging_2283/klagomål/A 53049-2023 FSC-klagomål.docx", "A 53049-2023")</f>
        <v/>
      </c>
      <c r="W206">
        <f>HYPERLINK("https://klasma.github.io/Logging_2283/klagomålsmail/A 53049-2023 FSC-klagomål mail.docx", "A 53049-2023")</f>
        <v/>
      </c>
      <c r="X206">
        <f>HYPERLINK("https://klasma.github.io/Logging_2283/tillsyn/A 53049-2023 tillsynsbegäran.docx", "A 53049-2023")</f>
        <v/>
      </c>
      <c r="Y206">
        <f>HYPERLINK("https://klasma.github.io/Logging_2283/tillsynsmail/A 53049-2023 tillsynsbegäran mail.docx", "A 53049-2023")</f>
        <v/>
      </c>
      <c r="Z206">
        <f>HYPERLINK("https://klasma.github.io/Logging_2283/fåglar/A 53049-2023 prioriterade fågelarter.docx", "A 53049-2023")</f>
        <v/>
      </c>
    </row>
    <row r="207" ht="15" customHeight="1">
      <c r="A207" t="inlineStr">
        <is>
          <t>A 56248-2023</t>
        </is>
      </c>
      <c r="B207" s="1" t="n">
        <v>45240</v>
      </c>
      <c r="C207" s="1" t="n">
        <v>45670</v>
      </c>
      <c r="D207" t="inlineStr">
        <is>
          <t>VÄSTERNORRLANDS LÄN</t>
        </is>
      </c>
      <c r="E207" t="inlineStr">
        <is>
          <t>SOLLEFTEÅ</t>
        </is>
      </c>
      <c r="F207" t="inlineStr">
        <is>
          <t>SCA</t>
        </is>
      </c>
      <c r="G207" t="n">
        <v>12.2</v>
      </c>
      <c r="H207" t="n">
        <v>3</v>
      </c>
      <c r="I207" t="n">
        <v>0</v>
      </c>
      <c r="J207" t="n">
        <v>3</v>
      </c>
      <c r="K207" t="n">
        <v>0</v>
      </c>
      <c r="L207" t="n">
        <v>0</v>
      </c>
      <c r="M207" t="n">
        <v>0</v>
      </c>
      <c r="N207" t="n">
        <v>0</v>
      </c>
      <c r="O207" t="n">
        <v>3</v>
      </c>
      <c r="P207" t="n">
        <v>0</v>
      </c>
      <c r="Q207" t="n">
        <v>4</v>
      </c>
      <c r="R207" s="2" t="inlineStr">
        <is>
          <t>Granticka
Mindre hackspett
Tretåig hackspett
Lavskrika</t>
        </is>
      </c>
      <c r="S207">
        <f>HYPERLINK("https://klasma.github.io/Logging_2283/artfynd/A 56248-2023 artfynd.xlsx", "A 56248-2023")</f>
        <v/>
      </c>
      <c r="T207">
        <f>HYPERLINK("https://klasma.github.io/Logging_2283/kartor/A 56248-2023 karta.png", "A 56248-2023")</f>
        <v/>
      </c>
      <c r="V207">
        <f>HYPERLINK("https://klasma.github.io/Logging_2283/klagomål/A 56248-2023 FSC-klagomål.docx", "A 56248-2023")</f>
        <v/>
      </c>
      <c r="W207">
        <f>HYPERLINK("https://klasma.github.io/Logging_2283/klagomålsmail/A 56248-2023 FSC-klagomål mail.docx", "A 56248-2023")</f>
        <v/>
      </c>
      <c r="X207">
        <f>HYPERLINK("https://klasma.github.io/Logging_2283/tillsyn/A 56248-2023 tillsynsbegäran.docx", "A 56248-2023")</f>
        <v/>
      </c>
      <c r="Y207">
        <f>HYPERLINK("https://klasma.github.io/Logging_2283/tillsynsmail/A 56248-2023 tillsynsbegäran mail.docx", "A 56248-2023")</f>
        <v/>
      </c>
      <c r="Z207">
        <f>HYPERLINK("https://klasma.github.io/Logging_2283/fåglar/A 56248-2023 prioriterade fågelarter.docx", "A 56248-2023")</f>
        <v/>
      </c>
    </row>
    <row r="208" ht="15" customHeight="1">
      <c r="A208" t="inlineStr">
        <is>
          <t>A 2833-2024</t>
        </is>
      </c>
      <c r="B208" s="1" t="n">
        <v>45314</v>
      </c>
      <c r="C208" s="1" t="n">
        <v>45670</v>
      </c>
      <c r="D208" t="inlineStr">
        <is>
          <t>VÄSTERNORRLANDS LÄN</t>
        </is>
      </c>
      <c r="E208" t="inlineStr">
        <is>
          <t>SOLLEFTEÅ</t>
        </is>
      </c>
      <c r="F208" t="inlineStr">
        <is>
          <t>SCA</t>
        </is>
      </c>
      <c r="G208" t="n">
        <v>12.9</v>
      </c>
      <c r="H208" t="n">
        <v>1</v>
      </c>
      <c r="I208" t="n">
        <v>0</v>
      </c>
      <c r="J208" t="n">
        <v>3</v>
      </c>
      <c r="K208" t="n">
        <v>0</v>
      </c>
      <c r="L208" t="n">
        <v>0</v>
      </c>
      <c r="M208" t="n">
        <v>0</v>
      </c>
      <c r="N208" t="n">
        <v>0</v>
      </c>
      <c r="O208" t="n">
        <v>3</v>
      </c>
      <c r="P208" t="n">
        <v>0</v>
      </c>
      <c r="Q208" t="n">
        <v>4</v>
      </c>
      <c r="R208" s="2" t="inlineStr">
        <is>
          <t>Garnlav
Kolflarnlav
Mörk kolflarnlav
Tjäder</t>
        </is>
      </c>
      <c r="S208">
        <f>HYPERLINK("https://klasma.github.io/Logging_2283/artfynd/A 2833-2024 artfynd.xlsx", "A 2833-2024")</f>
        <v/>
      </c>
      <c r="T208">
        <f>HYPERLINK("https://klasma.github.io/Logging_2283/kartor/A 2833-2024 karta.png", "A 2833-2024")</f>
        <v/>
      </c>
      <c r="V208">
        <f>HYPERLINK("https://klasma.github.io/Logging_2283/klagomål/A 2833-2024 FSC-klagomål.docx", "A 2833-2024")</f>
        <v/>
      </c>
      <c r="W208">
        <f>HYPERLINK("https://klasma.github.io/Logging_2283/klagomålsmail/A 2833-2024 FSC-klagomål mail.docx", "A 2833-2024")</f>
        <v/>
      </c>
      <c r="X208">
        <f>HYPERLINK("https://klasma.github.io/Logging_2283/tillsyn/A 2833-2024 tillsynsbegäran.docx", "A 2833-2024")</f>
        <v/>
      </c>
      <c r="Y208">
        <f>HYPERLINK("https://klasma.github.io/Logging_2283/tillsynsmail/A 2833-2024 tillsynsbegäran mail.docx", "A 2833-2024")</f>
        <v/>
      </c>
      <c r="Z208">
        <f>HYPERLINK("https://klasma.github.io/Logging_2283/fåglar/A 2833-2024 prioriterade fågelarter.docx", "A 2833-2024")</f>
        <v/>
      </c>
    </row>
    <row r="209" ht="15" customHeight="1">
      <c r="A209" t="inlineStr">
        <is>
          <t>A 9819-2024</t>
        </is>
      </c>
      <c r="B209" s="1" t="n">
        <v>45363</v>
      </c>
      <c r="C209" s="1" t="n">
        <v>45670</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13342-2024</t>
        </is>
      </c>
      <c r="B210" s="1" t="n">
        <v>45386</v>
      </c>
      <c r="C210" s="1" t="n">
        <v>45670</v>
      </c>
      <c r="D210" t="inlineStr">
        <is>
          <t>VÄSTERNORRLANDS LÄN</t>
        </is>
      </c>
      <c r="E210" t="inlineStr">
        <is>
          <t>SOLLEFTEÅ</t>
        </is>
      </c>
      <c r="F210" t="inlineStr">
        <is>
          <t>SCA</t>
        </is>
      </c>
      <c r="G210" t="n">
        <v>4.4</v>
      </c>
      <c r="H210" t="n">
        <v>0</v>
      </c>
      <c r="I210" t="n">
        <v>1</v>
      </c>
      <c r="J210" t="n">
        <v>3</v>
      </c>
      <c r="K210" t="n">
        <v>0</v>
      </c>
      <c r="L210" t="n">
        <v>0</v>
      </c>
      <c r="M210" t="n">
        <v>0</v>
      </c>
      <c r="N210" t="n">
        <v>0</v>
      </c>
      <c r="O210" t="n">
        <v>3</v>
      </c>
      <c r="P210" t="n">
        <v>0</v>
      </c>
      <c r="Q210" t="n">
        <v>4</v>
      </c>
      <c r="R210" s="2" t="inlineStr">
        <is>
          <t>Lunglav
Skrovellav
Ullticka
Stuplav</t>
        </is>
      </c>
      <c r="S210">
        <f>HYPERLINK("https://klasma.github.io/Logging_2283/artfynd/A 13342-2024 artfynd.xlsx", "A 13342-2024")</f>
        <v/>
      </c>
      <c r="T210">
        <f>HYPERLINK("https://klasma.github.io/Logging_2283/kartor/A 13342-2024 karta.png", "A 13342-2024")</f>
        <v/>
      </c>
      <c r="V210">
        <f>HYPERLINK("https://klasma.github.io/Logging_2283/klagomål/A 13342-2024 FSC-klagomål.docx", "A 13342-2024")</f>
        <v/>
      </c>
      <c r="W210">
        <f>HYPERLINK("https://klasma.github.io/Logging_2283/klagomålsmail/A 13342-2024 FSC-klagomål mail.docx", "A 13342-2024")</f>
        <v/>
      </c>
      <c r="X210">
        <f>HYPERLINK("https://klasma.github.io/Logging_2283/tillsyn/A 13342-2024 tillsynsbegäran.docx", "A 13342-2024")</f>
        <v/>
      </c>
      <c r="Y210">
        <f>HYPERLINK("https://klasma.github.io/Logging_2283/tillsynsmail/A 13342-2024 tillsynsbegäran mail.docx", "A 13342-2024")</f>
        <v/>
      </c>
    </row>
    <row r="211" ht="15" customHeight="1">
      <c r="A211" t="inlineStr">
        <is>
          <t>A 26467-2024</t>
        </is>
      </c>
      <c r="B211" s="1" t="n">
        <v>45469</v>
      </c>
      <c r="C211" s="1" t="n">
        <v>45670</v>
      </c>
      <c r="D211" t="inlineStr">
        <is>
          <t>VÄSTERNORRLANDS LÄN</t>
        </is>
      </c>
      <c r="E211" t="inlineStr">
        <is>
          <t>SOLLEFTEÅ</t>
        </is>
      </c>
      <c r="G211" t="n">
        <v>1.1</v>
      </c>
      <c r="H211" t="n">
        <v>2</v>
      </c>
      <c r="I211" t="n">
        <v>1</v>
      </c>
      <c r="J211" t="n">
        <v>1</v>
      </c>
      <c r="K211" t="n">
        <v>0</v>
      </c>
      <c r="L211" t="n">
        <v>0</v>
      </c>
      <c r="M211" t="n">
        <v>0</v>
      </c>
      <c r="N211" t="n">
        <v>0</v>
      </c>
      <c r="O211" t="n">
        <v>1</v>
      </c>
      <c r="P211" t="n">
        <v>0</v>
      </c>
      <c r="Q211" t="n">
        <v>4</v>
      </c>
      <c r="R211" s="2" t="inlineStr">
        <is>
          <t>Rosenticka
Springkorn
Skogsrör
Revlummer</t>
        </is>
      </c>
      <c r="S211">
        <f>HYPERLINK("https://klasma.github.io/Logging_2283/artfynd/A 26467-2024 artfynd.xlsx", "A 26467-2024")</f>
        <v/>
      </c>
      <c r="T211">
        <f>HYPERLINK("https://klasma.github.io/Logging_2283/kartor/A 26467-2024 karta.png", "A 26467-2024")</f>
        <v/>
      </c>
      <c r="V211">
        <f>HYPERLINK("https://klasma.github.io/Logging_2283/klagomål/A 26467-2024 FSC-klagomål.docx", "A 26467-2024")</f>
        <v/>
      </c>
      <c r="W211">
        <f>HYPERLINK("https://klasma.github.io/Logging_2283/klagomålsmail/A 26467-2024 FSC-klagomål mail.docx", "A 26467-2024")</f>
        <v/>
      </c>
      <c r="X211">
        <f>HYPERLINK("https://klasma.github.io/Logging_2283/tillsyn/A 26467-2024 tillsynsbegäran.docx", "A 26467-2024")</f>
        <v/>
      </c>
      <c r="Y211">
        <f>HYPERLINK("https://klasma.github.io/Logging_2283/tillsynsmail/A 26467-2024 tillsynsbegäran mail.docx", "A 26467-2024")</f>
        <v/>
      </c>
    </row>
    <row r="212" ht="15" customHeight="1">
      <c r="A212" t="inlineStr">
        <is>
          <t>A 29249-2024</t>
        </is>
      </c>
      <c r="B212" s="1" t="n">
        <v>45483</v>
      </c>
      <c r="C212" s="1" t="n">
        <v>45670</v>
      </c>
      <c r="D212" t="inlineStr">
        <is>
          <t>VÄSTERNORRLANDS LÄN</t>
        </is>
      </c>
      <c r="E212" t="inlineStr">
        <is>
          <t>SOLLEFTEÅ</t>
        </is>
      </c>
      <c r="F212" t="inlineStr">
        <is>
          <t>SCA</t>
        </is>
      </c>
      <c r="G212" t="n">
        <v>7.3</v>
      </c>
      <c r="H212" t="n">
        <v>3</v>
      </c>
      <c r="I212" t="n">
        <v>0</v>
      </c>
      <c r="J212" t="n">
        <v>3</v>
      </c>
      <c r="K212" t="n">
        <v>1</v>
      </c>
      <c r="L212" t="n">
        <v>0</v>
      </c>
      <c r="M212" t="n">
        <v>0</v>
      </c>
      <c r="N212" t="n">
        <v>0</v>
      </c>
      <c r="O212" t="n">
        <v>4</v>
      </c>
      <c r="P212" t="n">
        <v>1</v>
      </c>
      <c r="Q212" t="n">
        <v>4</v>
      </c>
      <c r="R212" s="2" t="inlineStr">
        <is>
          <t>Knärot
Harticka
Talltita
Tretåig hackspett</t>
        </is>
      </c>
      <c r="S212">
        <f>HYPERLINK("https://klasma.github.io/Logging_2283/artfynd/A 29249-2024 artfynd.xlsx", "A 29249-2024")</f>
        <v/>
      </c>
      <c r="T212">
        <f>HYPERLINK("https://klasma.github.io/Logging_2283/kartor/A 29249-2024 karta.png", "A 29249-2024")</f>
        <v/>
      </c>
      <c r="U212">
        <f>HYPERLINK("https://klasma.github.io/Logging_2283/knärot/A 29249-2024 karta knärot.png", "A 29249-2024")</f>
        <v/>
      </c>
      <c r="V212">
        <f>HYPERLINK("https://klasma.github.io/Logging_2283/klagomål/A 29249-2024 FSC-klagomål.docx", "A 29249-2024")</f>
        <v/>
      </c>
      <c r="W212">
        <f>HYPERLINK("https://klasma.github.io/Logging_2283/klagomålsmail/A 29249-2024 FSC-klagomål mail.docx", "A 29249-2024")</f>
        <v/>
      </c>
      <c r="X212">
        <f>HYPERLINK("https://klasma.github.io/Logging_2283/tillsyn/A 29249-2024 tillsynsbegäran.docx", "A 29249-2024")</f>
        <v/>
      </c>
      <c r="Y212">
        <f>HYPERLINK("https://klasma.github.io/Logging_2283/tillsynsmail/A 29249-2024 tillsynsbegäran mail.docx", "A 29249-2024")</f>
        <v/>
      </c>
      <c r="Z212">
        <f>HYPERLINK("https://klasma.github.io/Logging_2283/fåglar/A 29249-2024 prioriterade fågelarter.docx", "A 29249-2024")</f>
        <v/>
      </c>
    </row>
    <row r="213" ht="15" customHeight="1">
      <c r="A213" t="inlineStr">
        <is>
          <t>A 31560-2024</t>
        </is>
      </c>
      <c r="B213" s="1" t="n">
        <v>45505</v>
      </c>
      <c r="C213" s="1" t="n">
        <v>45670</v>
      </c>
      <c r="D213" t="inlineStr">
        <is>
          <t>VÄSTERNORRLANDS LÄN</t>
        </is>
      </c>
      <c r="E213" t="inlineStr">
        <is>
          <t>SOLLEFTEÅ</t>
        </is>
      </c>
      <c r="F213" t="inlineStr">
        <is>
          <t>SCA</t>
        </is>
      </c>
      <c r="G213" t="n">
        <v>6</v>
      </c>
      <c r="H213" t="n">
        <v>0</v>
      </c>
      <c r="I213" t="n">
        <v>0</v>
      </c>
      <c r="J213" t="n">
        <v>2</v>
      </c>
      <c r="K213" t="n">
        <v>2</v>
      </c>
      <c r="L213" t="n">
        <v>0</v>
      </c>
      <c r="M213" t="n">
        <v>0</v>
      </c>
      <c r="N213" t="n">
        <v>0</v>
      </c>
      <c r="O213" t="n">
        <v>4</v>
      </c>
      <c r="P213" t="n">
        <v>2</v>
      </c>
      <c r="Q213" t="n">
        <v>4</v>
      </c>
      <c r="R213" s="2" t="inlineStr">
        <is>
          <t>Lappticka
Rynkskinn
Rosenticka
Ullticka</t>
        </is>
      </c>
      <c r="S213">
        <f>HYPERLINK("https://klasma.github.io/Logging_2283/artfynd/A 31560-2024 artfynd.xlsx", "A 31560-2024")</f>
        <v/>
      </c>
      <c r="T213">
        <f>HYPERLINK("https://klasma.github.io/Logging_2283/kartor/A 31560-2024 karta.png", "A 31560-2024")</f>
        <v/>
      </c>
      <c r="V213">
        <f>HYPERLINK("https://klasma.github.io/Logging_2283/klagomål/A 31560-2024 FSC-klagomål.docx", "A 31560-2024")</f>
        <v/>
      </c>
      <c r="W213">
        <f>HYPERLINK("https://klasma.github.io/Logging_2283/klagomålsmail/A 31560-2024 FSC-klagomål mail.docx", "A 31560-2024")</f>
        <v/>
      </c>
      <c r="X213">
        <f>HYPERLINK("https://klasma.github.io/Logging_2283/tillsyn/A 31560-2024 tillsynsbegäran.docx", "A 31560-2024")</f>
        <v/>
      </c>
      <c r="Y213">
        <f>HYPERLINK("https://klasma.github.io/Logging_2283/tillsynsmail/A 31560-2024 tillsynsbegäran mail.docx", "A 31560-2024")</f>
        <v/>
      </c>
    </row>
    <row r="214" ht="15" customHeight="1">
      <c r="A214" t="inlineStr">
        <is>
          <t>A 33519-2024</t>
        </is>
      </c>
      <c r="B214" s="1" t="n">
        <v>45519</v>
      </c>
      <c r="C214" s="1" t="n">
        <v>45670</v>
      </c>
      <c r="D214" t="inlineStr">
        <is>
          <t>VÄSTERNORRLANDS LÄN</t>
        </is>
      </c>
      <c r="E214" t="inlineStr">
        <is>
          <t>SOLLEFTEÅ</t>
        </is>
      </c>
      <c r="G214" t="n">
        <v>3.6</v>
      </c>
      <c r="H214" t="n">
        <v>0</v>
      </c>
      <c r="I214" t="n">
        <v>1</v>
      </c>
      <c r="J214" t="n">
        <v>3</v>
      </c>
      <c r="K214" t="n">
        <v>0</v>
      </c>
      <c r="L214" t="n">
        <v>0</v>
      </c>
      <c r="M214" t="n">
        <v>0</v>
      </c>
      <c r="N214" t="n">
        <v>0</v>
      </c>
      <c r="O214" t="n">
        <v>3</v>
      </c>
      <c r="P214" t="n">
        <v>0</v>
      </c>
      <c r="Q214" t="n">
        <v>4</v>
      </c>
      <c r="R214" s="2" t="inlineStr">
        <is>
          <t>Garnlav
Kolflarnlav
Skrovlig taggsvamp
Dropptaggsvamp</t>
        </is>
      </c>
      <c r="S214">
        <f>HYPERLINK("https://klasma.github.io/Logging_2283/artfynd/A 33519-2024 artfynd.xlsx", "A 33519-2024")</f>
        <v/>
      </c>
      <c r="T214">
        <f>HYPERLINK("https://klasma.github.io/Logging_2283/kartor/A 33519-2024 karta.png", "A 33519-2024")</f>
        <v/>
      </c>
      <c r="U214">
        <f>HYPERLINK("https://klasma.github.io/Logging_2283/knärot/A 33519-2024 karta knärot.png", "A 33519-2024")</f>
        <v/>
      </c>
      <c r="V214">
        <f>HYPERLINK("https://klasma.github.io/Logging_2283/klagomål/A 33519-2024 FSC-klagomål.docx", "A 33519-2024")</f>
        <v/>
      </c>
      <c r="W214">
        <f>HYPERLINK("https://klasma.github.io/Logging_2283/klagomålsmail/A 33519-2024 FSC-klagomål mail.docx", "A 33519-2024")</f>
        <v/>
      </c>
      <c r="X214">
        <f>HYPERLINK("https://klasma.github.io/Logging_2283/tillsyn/A 33519-2024 tillsynsbegäran.docx", "A 33519-2024")</f>
        <v/>
      </c>
      <c r="Y214">
        <f>HYPERLINK("https://klasma.github.io/Logging_2283/tillsynsmail/A 33519-2024 tillsynsbegäran mail.docx", "A 33519-2024")</f>
        <v/>
      </c>
    </row>
    <row r="215" ht="15" customHeight="1">
      <c r="A215" t="inlineStr">
        <is>
          <t>A 46167-2024</t>
        </is>
      </c>
      <c r="B215" s="1" t="n">
        <v>45581</v>
      </c>
      <c r="C215" s="1" t="n">
        <v>45670</v>
      </c>
      <c r="D215" t="inlineStr">
        <is>
          <t>VÄSTERNORRLANDS LÄN</t>
        </is>
      </c>
      <c r="E215" t="inlineStr">
        <is>
          <t>SOLLEFTEÅ</t>
        </is>
      </c>
      <c r="G215" t="n">
        <v>8.300000000000001</v>
      </c>
      <c r="H215" t="n">
        <v>1</v>
      </c>
      <c r="I215" t="n">
        <v>0</v>
      </c>
      <c r="J215" t="n">
        <v>3</v>
      </c>
      <c r="K215" t="n">
        <v>1</v>
      </c>
      <c r="L215" t="n">
        <v>0</v>
      </c>
      <c r="M215" t="n">
        <v>0</v>
      </c>
      <c r="N215" t="n">
        <v>0</v>
      </c>
      <c r="O215" t="n">
        <v>4</v>
      </c>
      <c r="P215" t="n">
        <v>1</v>
      </c>
      <c r="Q215" t="n">
        <v>4</v>
      </c>
      <c r="R215" s="2" t="inlineStr">
        <is>
          <t>Knärot
Lunglav
Rosenticka
Ullticka</t>
        </is>
      </c>
      <c r="S215">
        <f>HYPERLINK("https://klasma.github.io/Logging_2283/artfynd/A 46167-2024 artfynd.xlsx", "A 46167-2024")</f>
        <v/>
      </c>
      <c r="T215">
        <f>HYPERLINK("https://klasma.github.io/Logging_2283/kartor/A 46167-2024 karta.png", "A 46167-2024")</f>
        <v/>
      </c>
      <c r="U215">
        <f>HYPERLINK("https://klasma.github.io/Logging_2283/knärot/A 46167-2024 karta knärot.png", "A 46167-2024")</f>
        <v/>
      </c>
      <c r="V215">
        <f>HYPERLINK("https://klasma.github.io/Logging_2283/klagomål/A 46167-2024 FSC-klagomål.docx", "A 46167-2024")</f>
        <v/>
      </c>
      <c r="W215">
        <f>HYPERLINK("https://klasma.github.io/Logging_2283/klagomålsmail/A 46167-2024 FSC-klagomål mail.docx", "A 46167-2024")</f>
        <v/>
      </c>
      <c r="X215">
        <f>HYPERLINK("https://klasma.github.io/Logging_2283/tillsyn/A 46167-2024 tillsynsbegäran.docx", "A 46167-2024")</f>
        <v/>
      </c>
      <c r="Y215">
        <f>HYPERLINK("https://klasma.github.io/Logging_2283/tillsynsmail/A 46167-2024 tillsynsbegäran mail.docx", "A 46167-2024")</f>
        <v/>
      </c>
    </row>
    <row r="216" ht="15" customHeight="1">
      <c r="A216" t="inlineStr">
        <is>
          <t>A 47527-2024</t>
        </is>
      </c>
      <c r="B216" s="1" t="n">
        <v>45587</v>
      </c>
      <c r="C216" s="1" t="n">
        <v>45670</v>
      </c>
      <c r="D216" t="inlineStr">
        <is>
          <t>VÄSTERNORRLANDS LÄN</t>
        </is>
      </c>
      <c r="E216" t="inlineStr">
        <is>
          <t>SOLLEFTEÅ</t>
        </is>
      </c>
      <c r="F216" t="inlineStr">
        <is>
          <t>SCA</t>
        </is>
      </c>
      <c r="G216" t="n">
        <v>3.6</v>
      </c>
      <c r="H216" t="n">
        <v>1</v>
      </c>
      <c r="I216" t="n">
        <v>1</v>
      </c>
      <c r="J216" t="n">
        <v>3</v>
      </c>
      <c r="K216" t="n">
        <v>0</v>
      </c>
      <c r="L216" t="n">
        <v>0</v>
      </c>
      <c r="M216" t="n">
        <v>0</v>
      </c>
      <c r="N216" t="n">
        <v>0</v>
      </c>
      <c r="O216" t="n">
        <v>3</v>
      </c>
      <c r="P216" t="n">
        <v>0</v>
      </c>
      <c r="Q216" t="n">
        <v>4</v>
      </c>
      <c r="R216" s="2" t="inlineStr">
        <is>
          <t>Garnlav
Lunglav
Ullticka
Lappranunkel</t>
        </is>
      </c>
      <c r="S216">
        <f>HYPERLINK("https://klasma.github.io/Logging_2283/artfynd/A 47527-2024 artfynd.xlsx", "A 47527-2024")</f>
        <v/>
      </c>
      <c r="T216">
        <f>HYPERLINK("https://klasma.github.io/Logging_2283/kartor/A 47527-2024 karta.png", "A 47527-2024")</f>
        <v/>
      </c>
      <c r="V216">
        <f>HYPERLINK("https://klasma.github.io/Logging_2283/klagomål/A 47527-2024 FSC-klagomål.docx", "A 47527-2024")</f>
        <v/>
      </c>
      <c r="W216">
        <f>HYPERLINK("https://klasma.github.io/Logging_2283/klagomålsmail/A 47527-2024 FSC-klagomål mail.docx", "A 47527-2024")</f>
        <v/>
      </c>
      <c r="X216">
        <f>HYPERLINK("https://klasma.github.io/Logging_2283/tillsyn/A 47527-2024 tillsynsbegäran.docx", "A 47527-2024")</f>
        <v/>
      </c>
      <c r="Y216">
        <f>HYPERLINK("https://klasma.github.io/Logging_2283/tillsynsmail/A 47527-2024 tillsynsbegäran mail.docx", "A 47527-2024")</f>
        <v/>
      </c>
    </row>
    <row r="217" ht="15" customHeight="1">
      <c r="A217" t="inlineStr">
        <is>
          <t>A 51192-2024</t>
        </is>
      </c>
      <c r="B217" s="1" t="n">
        <v>45603</v>
      </c>
      <c r="C217" s="1" t="n">
        <v>45670</v>
      </c>
      <c r="D217" t="inlineStr">
        <is>
          <t>VÄSTERNORRLANDS LÄN</t>
        </is>
      </c>
      <c r="E217" t="inlineStr">
        <is>
          <t>SOLLEFTEÅ</t>
        </is>
      </c>
      <c r="F217" t="inlineStr">
        <is>
          <t>SCA</t>
        </is>
      </c>
      <c r="G217" t="n">
        <v>3.9</v>
      </c>
      <c r="H217" t="n">
        <v>1</v>
      </c>
      <c r="I217" t="n">
        <v>0</v>
      </c>
      <c r="J217" t="n">
        <v>3</v>
      </c>
      <c r="K217" t="n">
        <v>1</v>
      </c>
      <c r="L217" t="n">
        <v>0</v>
      </c>
      <c r="M217" t="n">
        <v>0</v>
      </c>
      <c r="N217" t="n">
        <v>0</v>
      </c>
      <c r="O217" t="n">
        <v>4</v>
      </c>
      <c r="P217" t="n">
        <v>1</v>
      </c>
      <c r="Q217" t="n">
        <v>4</v>
      </c>
      <c r="R217" s="2" t="inlineStr">
        <is>
          <t>Rynkskinn
Garnlav
Lunglav
Talltita</t>
        </is>
      </c>
      <c r="S217">
        <f>HYPERLINK("https://klasma.github.io/Logging_2283/artfynd/A 51192-2024 artfynd.xlsx", "A 51192-2024")</f>
        <v/>
      </c>
      <c r="T217">
        <f>HYPERLINK("https://klasma.github.io/Logging_2283/kartor/A 51192-2024 karta.png", "A 51192-2024")</f>
        <v/>
      </c>
      <c r="V217">
        <f>HYPERLINK("https://klasma.github.io/Logging_2283/klagomål/A 51192-2024 FSC-klagomål.docx", "A 51192-2024")</f>
        <v/>
      </c>
      <c r="W217">
        <f>HYPERLINK("https://klasma.github.io/Logging_2283/klagomålsmail/A 51192-2024 FSC-klagomål mail.docx", "A 51192-2024")</f>
        <v/>
      </c>
      <c r="X217">
        <f>HYPERLINK("https://klasma.github.io/Logging_2283/tillsyn/A 51192-2024 tillsynsbegäran.docx", "A 51192-2024")</f>
        <v/>
      </c>
      <c r="Y217">
        <f>HYPERLINK("https://klasma.github.io/Logging_2283/tillsynsmail/A 51192-2024 tillsynsbegäran mail.docx", "A 51192-2024")</f>
        <v/>
      </c>
      <c r="Z217">
        <f>HYPERLINK("https://klasma.github.io/Logging_2283/fåglar/A 51192-2024 prioriterade fågelarter.docx", "A 51192-2024")</f>
        <v/>
      </c>
    </row>
    <row r="218" ht="15" customHeight="1">
      <c r="A218" t="inlineStr">
        <is>
          <t>A 51385-2024</t>
        </is>
      </c>
      <c r="B218" s="1" t="n">
        <v>45604</v>
      </c>
      <c r="C218" s="1" t="n">
        <v>45670</v>
      </c>
      <c r="D218" t="inlineStr">
        <is>
          <t>VÄSTERNORRLANDS LÄN</t>
        </is>
      </c>
      <c r="E218" t="inlineStr">
        <is>
          <t>SOLLEFTEÅ</t>
        </is>
      </c>
      <c r="G218" t="n">
        <v>5.8</v>
      </c>
      <c r="H218" t="n">
        <v>2</v>
      </c>
      <c r="I218" t="n">
        <v>0</v>
      </c>
      <c r="J218" t="n">
        <v>3</v>
      </c>
      <c r="K218" t="n">
        <v>0</v>
      </c>
      <c r="L218" t="n">
        <v>0</v>
      </c>
      <c r="M218" t="n">
        <v>0</v>
      </c>
      <c r="N218" t="n">
        <v>0</v>
      </c>
      <c r="O218" t="n">
        <v>3</v>
      </c>
      <c r="P218" t="n">
        <v>0</v>
      </c>
      <c r="Q218" t="n">
        <v>4</v>
      </c>
      <c r="R218" s="2" t="inlineStr">
        <is>
          <t>Rosenticka
Talltita
Ullticka
Fläcknycklar</t>
        </is>
      </c>
      <c r="S218">
        <f>HYPERLINK("https://klasma.github.io/Logging_2283/artfynd/A 51385-2024 artfynd.xlsx", "A 51385-2024")</f>
        <v/>
      </c>
      <c r="T218">
        <f>HYPERLINK("https://klasma.github.io/Logging_2283/kartor/A 51385-2024 karta.png", "A 51385-2024")</f>
        <v/>
      </c>
      <c r="U218">
        <f>HYPERLINK("https://klasma.github.io/Logging_2283/knärot/A 51385-2024 karta knärot.png", "A 51385-2024")</f>
        <v/>
      </c>
      <c r="V218">
        <f>HYPERLINK("https://klasma.github.io/Logging_2283/klagomål/A 51385-2024 FSC-klagomål.docx", "A 51385-2024")</f>
        <v/>
      </c>
      <c r="W218">
        <f>HYPERLINK("https://klasma.github.io/Logging_2283/klagomålsmail/A 51385-2024 FSC-klagomål mail.docx", "A 51385-2024")</f>
        <v/>
      </c>
      <c r="X218">
        <f>HYPERLINK("https://klasma.github.io/Logging_2283/tillsyn/A 51385-2024 tillsynsbegäran.docx", "A 51385-2024")</f>
        <v/>
      </c>
      <c r="Y218">
        <f>HYPERLINK("https://klasma.github.io/Logging_2283/tillsynsmail/A 51385-2024 tillsynsbegäran mail.docx", "A 51385-2024")</f>
        <v/>
      </c>
      <c r="Z218">
        <f>HYPERLINK("https://klasma.github.io/Logging_2283/fåglar/A 51385-2024 prioriterade fågelarter.docx", "A 51385-2024")</f>
        <v/>
      </c>
    </row>
    <row r="219" ht="15" customHeight="1">
      <c r="A219" t="inlineStr">
        <is>
          <t>A 53898-2024</t>
        </is>
      </c>
      <c r="B219" s="1" t="n">
        <v>45615</v>
      </c>
      <c r="C219" s="1" t="n">
        <v>45670</v>
      </c>
      <c r="D219" t="inlineStr">
        <is>
          <t>VÄSTERNORRLANDS LÄN</t>
        </is>
      </c>
      <c r="E219" t="inlineStr">
        <is>
          <t>SOLLEFTEÅ</t>
        </is>
      </c>
      <c r="F219" t="inlineStr">
        <is>
          <t>SCA</t>
        </is>
      </c>
      <c r="G219" t="n">
        <v>2</v>
      </c>
      <c r="H219" t="n">
        <v>0</v>
      </c>
      <c r="I219" t="n">
        <v>2</v>
      </c>
      <c r="J219" t="n">
        <v>2</v>
      </c>
      <c r="K219" t="n">
        <v>0</v>
      </c>
      <c r="L219" t="n">
        <v>0</v>
      </c>
      <c r="M219" t="n">
        <v>0</v>
      </c>
      <c r="N219" t="n">
        <v>0</v>
      </c>
      <c r="O219" t="n">
        <v>2</v>
      </c>
      <c r="P219" t="n">
        <v>0</v>
      </c>
      <c r="Q219" t="n">
        <v>4</v>
      </c>
      <c r="R219" s="2" t="inlineStr">
        <is>
          <t>Garnlav
Lunglav
Norrlandslav
Stuplav</t>
        </is>
      </c>
      <c r="S219">
        <f>HYPERLINK("https://klasma.github.io/Logging_2283/artfynd/A 53898-2024 artfynd.xlsx", "A 53898-2024")</f>
        <v/>
      </c>
      <c r="T219">
        <f>HYPERLINK("https://klasma.github.io/Logging_2283/kartor/A 53898-2024 karta.png", "A 53898-2024")</f>
        <v/>
      </c>
      <c r="V219">
        <f>HYPERLINK("https://klasma.github.io/Logging_2283/klagomål/A 53898-2024 FSC-klagomål.docx", "A 53898-2024")</f>
        <v/>
      </c>
      <c r="W219">
        <f>HYPERLINK("https://klasma.github.io/Logging_2283/klagomålsmail/A 53898-2024 FSC-klagomål mail.docx", "A 53898-2024")</f>
        <v/>
      </c>
      <c r="X219">
        <f>HYPERLINK("https://klasma.github.io/Logging_2283/tillsyn/A 53898-2024 tillsynsbegäran.docx", "A 53898-2024")</f>
        <v/>
      </c>
      <c r="Y219">
        <f>HYPERLINK("https://klasma.github.io/Logging_2283/tillsynsmail/A 53898-2024 tillsynsbegäran mail.docx", "A 53898-2024")</f>
        <v/>
      </c>
    </row>
    <row r="220" ht="15" customHeight="1">
      <c r="A220" t="inlineStr">
        <is>
          <t>A 54093-2024</t>
        </is>
      </c>
      <c r="B220" s="1" t="n">
        <v>45616</v>
      </c>
      <c r="C220" s="1" t="n">
        <v>45670</v>
      </c>
      <c r="D220" t="inlineStr">
        <is>
          <t>VÄSTERNORRLANDS LÄN</t>
        </is>
      </c>
      <c r="E220" t="inlineStr">
        <is>
          <t>SOLLEFTEÅ</t>
        </is>
      </c>
      <c r="F220" t="inlineStr">
        <is>
          <t>SCA</t>
        </is>
      </c>
      <c r="G220" t="n">
        <v>3.9</v>
      </c>
      <c r="H220" t="n">
        <v>0</v>
      </c>
      <c r="I220" t="n">
        <v>0</v>
      </c>
      <c r="J220" t="n">
        <v>4</v>
      </c>
      <c r="K220" t="n">
        <v>0</v>
      </c>
      <c r="L220" t="n">
        <v>0</v>
      </c>
      <c r="M220" t="n">
        <v>0</v>
      </c>
      <c r="N220" t="n">
        <v>0</v>
      </c>
      <c r="O220" t="n">
        <v>4</v>
      </c>
      <c r="P220" t="n">
        <v>0</v>
      </c>
      <c r="Q220" t="n">
        <v>4</v>
      </c>
      <c r="R220" s="2" t="inlineStr">
        <is>
          <t>Garnlav
Lunglav
Rosenticka
Ullticka</t>
        </is>
      </c>
      <c r="S220">
        <f>HYPERLINK("https://klasma.github.io/Logging_2283/artfynd/A 54093-2024 artfynd.xlsx", "A 54093-2024")</f>
        <v/>
      </c>
      <c r="T220">
        <f>HYPERLINK("https://klasma.github.io/Logging_2283/kartor/A 54093-2024 karta.png", "A 54093-2024")</f>
        <v/>
      </c>
      <c r="V220">
        <f>HYPERLINK("https://klasma.github.io/Logging_2283/klagomål/A 54093-2024 FSC-klagomål.docx", "A 54093-2024")</f>
        <v/>
      </c>
      <c r="W220">
        <f>HYPERLINK("https://klasma.github.io/Logging_2283/klagomålsmail/A 54093-2024 FSC-klagomål mail.docx", "A 54093-2024")</f>
        <v/>
      </c>
      <c r="X220">
        <f>HYPERLINK("https://klasma.github.io/Logging_2283/tillsyn/A 54093-2024 tillsynsbegäran.docx", "A 54093-2024")</f>
        <v/>
      </c>
      <c r="Y220">
        <f>HYPERLINK("https://klasma.github.io/Logging_2283/tillsynsmail/A 54093-2024 tillsynsbegäran mail.docx", "A 54093-2024")</f>
        <v/>
      </c>
    </row>
    <row r="221" ht="15" customHeight="1">
      <c r="A221" t="inlineStr">
        <is>
          <t>A 55847-2024</t>
        </is>
      </c>
      <c r="B221" s="1" t="n">
        <v>45623</v>
      </c>
      <c r="C221" s="1" t="n">
        <v>45670</v>
      </c>
      <c r="D221" t="inlineStr">
        <is>
          <t>VÄSTERNORRLANDS LÄN</t>
        </is>
      </c>
      <c r="E221" t="inlineStr">
        <is>
          <t>SOLLEFTEÅ</t>
        </is>
      </c>
      <c r="F221" t="inlineStr">
        <is>
          <t>SCA</t>
        </is>
      </c>
      <c r="G221" t="n">
        <v>4.6</v>
      </c>
      <c r="H221" t="n">
        <v>0</v>
      </c>
      <c r="I221" t="n">
        <v>1</v>
      </c>
      <c r="J221" t="n">
        <v>3</v>
      </c>
      <c r="K221" t="n">
        <v>0</v>
      </c>
      <c r="L221" t="n">
        <v>0</v>
      </c>
      <c r="M221" t="n">
        <v>0</v>
      </c>
      <c r="N221" t="n">
        <v>0</v>
      </c>
      <c r="O221" t="n">
        <v>3</v>
      </c>
      <c r="P221" t="n">
        <v>0</v>
      </c>
      <c r="Q221" t="n">
        <v>4</v>
      </c>
      <c r="R221" s="2" t="inlineStr">
        <is>
          <t>Blanksvart spiklav
Kolflarnlav
Vedskivlav
Dropptaggsvamp</t>
        </is>
      </c>
      <c r="S221">
        <f>HYPERLINK("https://klasma.github.io/Logging_2283/artfynd/A 55847-2024 artfynd.xlsx", "A 55847-2024")</f>
        <v/>
      </c>
      <c r="T221">
        <f>HYPERLINK("https://klasma.github.io/Logging_2283/kartor/A 55847-2024 karta.png", "A 55847-2024")</f>
        <v/>
      </c>
      <c r="V221">
        <f>HYPERLINK("https://klasma.github.io/Logging_2283/klagomål/A 55847-2024 FSC-klagomål.docx", "A 55847-2024")</f>
        <v/>
      </c>
      <c r="W221">
        <f>HYPERLINK("https://klasma.github.io/Logging_2283/klagomålsmail/A 55847-2024 FSC-klagomål mail.docx", "A 55847-2024")</f>
        <v/>
      </c>
      <c r="X221">
        <f>HYPERLINK("https://klasma.github.io/Logging_2283/tillsyn/A 55847-2024 tillsynsbegäran.docx", "A 55847-2024")</f>
        <v/>
      </c>
      <c r="Y221">
        <f>HYPERLINK("https://klasma.github.io/Logging_2283/tillsynsmail/A 55847-2024 tillsynsbegäran mail.docx", "A 55847-2024")</f>
        <v/>
      </c>
    </row>
    <row r="222" ht="15" customHeight="1">
      <c r="A222" t="inlineStr">
        <is>
          <t>A 59381-2024</t>
        </is>
      </c>
      <c r="B222" s="1" t="n">
        <v>45638</v>
      </c>
      <c r="C222" s="1" t="n">
        <v>45670</v>
      </c>
      <c r="D222" t="inlineStr">
        <is>
          <t>VÄSTERNORRLANDS LÄN</t>
        </is>
      </c>
      <c r="E222" t="inlineStr">
        <is>
          <t>SOLLEFTEÅ</t>
        </is>
      </c>
      <c r="G222" t="n">
        <v>5.4</v>
      </c>
      <c r="H222" t="n">
        <v>2</v>
      </c>
      <c r="I222" t="n">
        <v>0</v>
      </c>
      <c r="J222" t="n">
        <v>3</v>
      </c>
      <c r="K222" t="n">
        <v>0</v>
      </c>
      <c r="L222" t="n">
        <v>0</v>
      </c>
      <c r="M222" t="n">
        <v>0</v>
      </c>
      <c r="N222" t="n">
        <v>0</v>
      </c>
      <c r="O222" t="n">
        <v>3</v>
      </c>
      <c r="P222" t="n">
        <v>0</v>
      </c>
      <c r="Q222" t="n">
        <v>4</v>
      </c>
      <c r="R222" s="2" t="inlineStr">
        <is>
          <t>Rosenticka
Talltita
Ullticka
Fläcknycklar</t>
        </is>
      </c>
      <c r="S222">
        <f>HYPERLINK("https://klasma.github.io/Logging_2283/artfynd/A 59381-2024 artfynd.xlsx", "A 59381-2024")</f>
        <v/>
      </c>
      <c r="T222">
        <f>HYPERLINK("https://klasma.github.io/Logging_2283/kartor/A 59381-2024 karta.png", "A 59381-2024")</f>
        <v/>
      </c>
      <c r="U222">
        <f>HYPERLINK("https://klasma.github.io/Logging_2283/knärot/A 59381-2024 karta knärot.png", "A 59381-2024")</f>
        <v/>
      </c>
      <c r="V222">
        <f>HYPERLINK("https://klasma.github.io/Logging_2283/klagomål/A 59381-2024 FSC-klagomål.docx", "A 59381-2024")</f>
        <v/>
      </c>
      <c r="W222">
        <f>HYPERLINK("https://klasma.github.io/Logging_2283/klagomålsmail/A 59381-2024 FSC-klagomål mail.docx", "A 59381-2024")</f>
        <v/>
      </c>
      <c r="X222">
        <f>HYPERLINK("https://klasma.github.io/Logging_2283/tillsyn/A 59381-2024 tillsynsbegäran.docx", "A 59381-2024")</f>
        <v/>
      </c>
      <c r="Y222">
        <f>HYPERLINK("https://klasma.github.io/Logging_2283/tillsynsmail/A 59381-2024 tillsynsbegäran mail.docx", "A 59381-2024")</f>
        <v/>
      </c>
      <c r="Z222">
        <f>HYPERLINK("https://klasma.github.io/Logging_2283/fåglar/A 59381-2024 prioriterade fågelarter.docx", "A 59381-2024")</f>
        <v/>
      </c>
    </row>
    <row r="223" ht="15" customHeight="1">
      <c r="A223" t="inlineStr">
        <is>
          <t>A 61541-2024</t>
        </is>
      </c>
      <c r="B223" s="1" t="n">
        <v>45646</v>
      </c>
      <c r="C223" s="1" t="n">
        <v>45670</v>
      </c>
      <c r="D223" t="inlineStr">
        <is>
          <t>VÄSTERNORRLANDS LÄN</t>
        </is>
      </c>
      <c r="E223" t="inlineStr">
        <is>
          <t>SOLLEFTEÅ</t>
        </is>
      </c>
      <c r="F223" t="inlineStr">
        <is>
          <t>SCA</t>
        </is>
      </c>
      <c r="G223" t="n">
        <v>6.8</v>
      </c>
      <c r="H223" t="n">
        <v>0</v>
      </c>
      <c r="I223" t="n">
        <v>0</v>
      </c>
      <c r="J223" t="n">
        <v>4</v>
      </c>
      <c r="K223" t="n">
        <v>0</v>
      </c>
      <c r="L223" t="n">
        <v>0</v>
      </c>
      <c r="M223" t="n">
        <v>0</v>
      </c>
      <c r="N223" t="n">
        <v>0</v>
      </c>
      <c r="O223" t="n">
        <v>4</v>
      </c>
      <c r="P223" t="n">
        <v>0</v>
      </c>
      <c r="Q223" t="n">
        <v>4</v>
      </c>
      <c r="R223" s="2" t="inlineStr">
        <is>
          <t>Gammelgransskål
Garnlav
Ullticka
Vitgrynig nållav</t>
        </is>
      </c>
      <c r="S223">
        <f>HYPERLINK("https://klasma.github.io/Logging_2283/artfynd/A 61541-2024 artfynd.xlsx", "A 61541-2024")</f>
        <v/>
      </c>
      <c r="T223">
        <f>HYPERLINK("https://klasma.github.io/Logging_2283/kartor/A 61541-2024 karta.png", "A 61541-2024")</f>
        <v/>
      </c>
      <c r="V223">
        <f>HYPERLINK("https://klasma.github.io/Logging_2283/klagomål/A 61541-2024 FSC-klagomål.docx", "A 61541-2024")</f>
        <v/>
      </c>
      <c r="W223">
        <f>HYPERLINK("https://klasma.github.io/Logging_2283/klagomålsmail/A 61541-2024 FSC-klagomål mail.docx", "A 61541-2024")</f>
        <v/>
      </c>
      <c r="X223">
        <f>HYPERLINK("https://klasma.github.io/Logging_2283/tillsyn/A 61541-2024 tillsynsbegäran.docx", "A 61541-2024")</f>
        <v/>
      </c>
      <c r="Y223">
        <f>HYPERLINK("https://klasma.github.io/Logging_2283/tillsynsmail/A 61541-2024 tillsynsbegäran mail.docx", "A 61541-2024")</f>
        <v/>
      </c>
    </row>
    <row r="224" ht="15" customHeight="1">
      <c r="A224" t="inlineStr">
        <is>
          <t>A 55683-2019</t>
        </is>
      </c>
      <c r="B224" s="1" t="n">
        <v>43760</v>
      </c>
      <c r="C224" s="1" t="n">
        <v>45670</v>
      </c>
      <c r="D224" t="inlineStr">
        <is>
          <t>VÄSTERNORRLANDS LÄN</t>
        </is>
      </c>
      <c r="E224" t="inlineStr">
        <is>
          <t>SOLLEFTEÅ</t>
        </is>
      </c>
      <c r="F224" t="inlineStr">
        <is>
          <t>SCA</t>
        </is>
      </c>
      <c r="G224" t="n">
        <v>2.9</v>
      </c>
      <c r="H224" t="n">
        <v>0</v>
      </c>
      <c r="I224" t="n">
        <v>0</v>
      </c>
      <c r="J224" t="n">
        <v>2</v>
      </c>
      <c r="K224" t="n">
        <v>1</v>
      </c>
      <c r="L224" t="n">
        <v>0</v>
      </c>
      <c r="M224" t="n">
        <v>0</v>
      </c>
      <c r="N224" t="n">
        <v>0</v>
      </c>
      <c r="O224" t="n">
        <v>3</v>
      </c>
      <c r="P224" t="n">
        <v>1</v>
      </c>
      <c r="Q224" t="n">
        <v>3</v>
      </c>
      <c r="R224" s="2" t="inlineStr">
        <is>
          <t>Rynkskinn
Granticka
Rosenticka</t>
        </is>
      </c>
      <c r="S224">
        <f>HYPERLINK("https://klasma.github.io/Logging_2283/artfynd/A 55683-2019 artfynd.xlsx", "A 55683-2019")</f>
        <v/>
      </c>
      <c r="T224">
        <f>HYPERLINK("https://klasma.github.io/Logging_2283/kartor/A 55683-2019 karta.png", "A 55683-2019")</f>
        <v/>
      </c>
      <c r="V224">
        <f>HYPERLINK("https://klasma.github.io/Logging_2283/klagomål/A 55683-2019 FSC-klagomål.docx", "A 55683-2019")</f>
        <v/>
      </c>
      <c r="W224">
        <f>HYPERLINK("https://klasma.github.io/Logging_2283/klagomålsmail/A 55683-2019 FSC-klagomål mail.docx", "A 55683-2019")</f>
        <v/>
      </c>
      <c r="X224">
        <f>HYPERLINK("https://klasma.github.io/Logging_2283/tillsyn/A 55683-2019 tillsynsbegäran.docx", "A 55683-2019")</f>
        <v/>
      </c>
      <c r="Y224">
        <f>HYPERLINK("https://klasma.github.io/Logging_2283/tillsynsmail/A 55683-2019 tillsynsbegäran mail.docx", "A 55683-2019")</f>
        <v/>
      </c>
    </row>
    <row r="225" ht="15" customHeight="1">
      <c r="A225" t="inlineStr">
        <is>
          <t>A 24219-2020</t>
        </is>
      </c>
      <c r="B225" s="1" t="n">
        <v>43973</v>
      </c>
      <c r="C225" s="1" t="n">
        <v>45670</v>
      </c>
      <c r="D225" t="inlineStr">
        <is>
          <t>VÄSTERNORRLANDS LÄN</t>
        </is>
      </c>
      <c r="E225" t="inlineStr">
        <is>
          <t>SOLLEFTEÅ</t>
        </is>
      </c>
      <c r="G225" t="n">
        <v>11.9</v>
      </c>
      <c r="H225" t="n">
        <v>0</v>
      </c>
      <c r="I225" t="n">
        <v>0</v>
      </c>
      <c r="J225" t="n">
        <v>3</v>
      </c>
      <c r="K225" t="n">
        <v>0</v>
      </c>
      <c r="L225" t="n">
        <v>0</v>
      </c>
      <c r="M225" t="n">
        <v>0</v>
      </c>
      <c r="N225" t="n">
        <v>0</v>
      </c>
      <c r="O225" t="n">
        <v>3</v>
      </c>
      <c r="P225" t="n">
        <v>0</v>
      </c>
      <c r="Q225" t="n">
        <v>3</v>
      </c>
      <c r="R225" s="2" t="inlineStr">
        <is>
          <t>Garnlav
Lunglav
Rosenticka</t>
        </is>
      </c>
      <c r="S225">
        <f>HYPERLINK("https://klasma.github.io/Logging_2283/artfynd/A 24219-2020 artfynd.xlsx", "A 24219-2020")</f>
        <v/>
      </c>
      <c r="T225">
        <f>HYPERLINK("https://klasma.github.io/Logging_2283/kartor/A 24219-2020 karta.png", "A 24219-2020")</f>
        <v/>
      </c>
      <c r="V225">
        <f>HYPERLINK("https://klasma.github.io/Logging_2283/klagomål/A 24219-2020 FSC-klagomål.docx", "A 24219-2020")</f>
        <v/>
      </c>
      <c r="W225">
        <f>HYPERLINK("https://klasma.github.io/Logging_2283/klagomålsmail/A 24219-2020 FSC-klagomål mail.docx", "A 24219-2020")</f>
        <v/>
      </c>
      <c r="X225">
        <f>HYPERLINK("https://klasma.github.io/Logging_2283/tillsyn/A 24219-2020 tillsynsbegäran.docx", "A 24219-2020")</f>
        <v/>
      </c>
      <c r="Y225">
        <f>HYPERLINK("https://klasma.github.io/Logging_2283/tillsynsmail/A 24219-2020 tillsynsbegäran mail.docx", "A 24219-2020")</f>
        <v/>
      </c>
    </row>
    <row r="226" ht="15" customHeight="1">
      <c r="A226" t="inlineStr">
        <is>
          <t>A 31640-2020</t>
        </is>
      </c>
      <c r="B226" s="1" t="n">
        <v>44013</v>
      </c>
      <c r="C226" s="1" t="n">
        <v>45670</v>
      </c>
      <c r="D226" t="inlineStr">
        <is>
          <t>VÄSTERNORRLANDS LÄN</t>
        </is>
      </c>
      <c r="E226" t="inlineStr">
        <is>
          <t>SOLLEFTEÅ</t>
        </is>
      </c>
      <c r="F226" t="inlineStr">
        <is>
          <t>SCA</t>
        </is>
      </c>
      <c r="G226" t="n">
        <v>27.4</v>
      </c>
      <c r="H226" t="n">
        <v>1</v>
      </c>
      <c r="I226" t="n">
        <v>0</v>
      </c>
      <c r="J226" t="n">
        <v>2</v>
      </c>
      <c r="K226" t="n">
        <v>1</v>
      </c>
      <c r="L226" t="n">
        <v>0</v>
      </c>
      <c r="M226" t="n">
        <v>0</v>
      </c>
      <c r="N226" t="n">
        <v>0</v>
      </c>
      <c r="O226" t="n">
        <v>3</v>
      </c>
      <c r="P226" t="n">
        <v>1</v>
      </c>
      <c r="Q226" t="n">
        <v>3</v>
      </c>
      <c r="R226" s="2" t="inlineStr">
        <is>
          <t>Doftticka
Lunglav
Skrovellav</t>
        </is>
      </c>
      <c r="S226">
        <f>HYPERLINK("https://klasma.github.io/Logging_2283/artfynd/A 31640-2020 artfynd.xlsx", "A 31640-2020")</f>
        <v/>
      </c>
      <c r="T226">
        <f>HYPERLINK("https://klasma.github.io/Logging_2283/kartor/A 31640-2020 karta.png", "A 31640-2020")</f>
        <v/>
      </c>
      <c r="V226">
        <f>HYPERLINK("https://klasma.github.io/Logging_2283/klagomål/A 31640-2020 FSC-klagomål.docx", "A 31640-2020")</f>
        <v/>
      </c>
      <c r="W226">
        <f>HYPERLINK("https://klasma.github.io/Logging_2283/klagomålsmail/A 31640-2020 FSC-klagomål mail.docx", "A 31640-2020")</f>
        <v/>
      </c>
      <c r="X226">
        <f>HYPERLINK("https://klasma.github.io/Logging_2283/tillsyn/A 31640-2020 tillsynsbegäran.docx", "A 31640-2020")</f>
        <v/>
      </c>
      <c r="Y226">
        <f>HYPERLINK("https://klasma.github.io/Logging_2283/tillsynsmail/A 31640-2020 tillsynsbegäran mail.docx", "A 31640-2020")</f>
        <v/>
      </c>
    </row>
    <row r="227" ht="15" customHeight="1">
      <c r="A227" t="inlineStr">
        <is>
          <t>A 34085-2020</t>
        </is>
      </c>
      <c r="B227" s="1" t="n">
        <v>44028</v>
      </c>
      <c r="C227" s="1" t="n">
        <v>45670</v>
      </c>
      <c r="D227" t="inlineStr">
        <is>
          <t>VÄSTERNORRLANDS LÄN</t>
        </is>
      </c>
      <c r="E227" t="inlineStr">
        <is>
          <t>SOLLEFTEÅ</t>
        </is>
      </c>
      <c r="F227" t="inlineStr">
        <is>
          <t>SCA</t>
        </is>
      </c>
      <c r="G227" t="n">
        <v>3.7</v>
      </c>
      <c r="H227" t="n">
        <v>2</v>
      </c>
      <c r="I227" t="n">
        <v>0</v>
      </c>
      <c r="J227" t="n">
        <v>2</v>
      </c>
      <c r="K227" t="n">
        <v>1</v>
      </c>
      <c r="L227" t="n">
        <v>0</v>
      </c>
      <c r="M227" t="n">
        <v>0</v>
      </c>
      <c r="N227" t="n">
        <v>0</v>
      </c>
      <c r="O227" t="n">
        <v>3</v>
      </c>
      <c r="P227" t="n">
        <v>1</v>
      </c>
      <c r="Q227" t="n">
        <v>3</v>
      </c>
      <c r="R227" s="2" t="inlineStr">
        <is>
          <t>Knärot
Lunglav
Tretåig hackspett</t>
        </is>
      </c>
      <c r="S227">
        <f>HYPERLINK("https://klasma.github.io/Logging_2283/artfynd/A 34085-2020 artfynd.xlsx", "A 34085-2020")</f>
        <v/>
      </c>
      <c r="T227">
        <f>HYPERLINK("https://klasma.github.io/Logging_2283/kartor/A 34085-2020 karta.png", "A 34085-2020")</f>
        <v/>
      </c>
      <c r="U227">
        <f>HYPERLINK("https://klasma.github.io/Logging_2283/knärot/A 34085-2020 karta knärot.png", "A 34085-2020")</f>
        <v/>
      </c>
      <c r="V227">
        <f>HYPERLINK("https://klasma.github.io/Logging_2283/klagomål/A 34085-2020 FSC-klagomål.docx", "A 34085-2020")</f>
        <v/>
      </c>
      <c r="W227">
        <f>HYPERLINK("https://klasma.github.io/Logging_2283/klagomålsmail/A 34085-2020 FSC-klagomål mail.docx", "A 34085-2020")</f>
        <v/>
      </c>
      <c r="X227">
        <f>HYPERLINK("https://klasma.github.io/Logging_2283/tillsyn/A 34085-2020 tillsynsbegäran.docx", "A 34085-2020")</f>
        <v/>
      </c>
      <c r="Y227">
        <f>HYPERLINK("https://klasma.github.io/Logging_2283/tillsynsmail/A 34085-2020 tillsynsbegäran mail.docx", "A 34085-2020")</f>
        <v/>
      </c>
      <c r="Z227">
        <f>HYPERLINK("https://klasma.github.io/Logging_2283/fåglar/A 34085-2020 prioriterade fågelarter.docx", "A 34085-2020")</f>
        <v/>
      </c>
    </row>
    <row r="228" ht="15" customHeight="1">
      <c r="A228" t="inlineStr">
        <is>
          <t>A 15098-2021</t>
        </is>
      </c>
      <c r="B228" s="1" t="n">
        <v>44281</v>
      </c>
      <c r="C228" s="1" t="n">
        <v>45670</v>
      </c>
      <c r="D228" t="inlineStr">
        <is>
          <t>VÄSTERNORRLANDS LÄN</t>
        </is>
      </c>
      <c r="E228" t="inlineStr">
        <is>
          <t>SOLLEFTEÅ</t>
        </is>
      </c>
      <c r="F228" t="inlineStr">
        <is>
          <t>SCA</t>
        </is>
      </c>
      <c r="G228" t="n">
        <v>4</v>
      </c>
      <c r="H228" t="n">
        <v>1</v>
      </c>
      <c r="I228" t="n">
        <v>0</v>
      </c>
      <c r="J228" t="n">
        <v>2</v>
      </c>
      <c r="K228" t="n">
        <v>0</v>
      </c>
      <c r="L228" t="n">
        <v>0</v>
      </c>
      <c r="M228" t="n">
        <v>0</v>
      </c>
      <c r="N228" t="n">
        <v>0</v>
      </c>
      <c r="O228" t="n">
        <v>2</v>
      </c>
      <c r="P228" t="n">
        <v>0</v>
      </c>
      <c r="Q228" t="n">
        <v>3</v>
      </c>
      <c r="R228" s="2" t="inlineStr">
        <is>
          <t>Garnlav
Lunglav
Lavskrika</t>
        </is>
      </c>
      <c r="S228">
        <f>HYPERLINK("https://klasma.github.io/Logging_2283/artfynd/A 15098-2021 artfynd.xlsx", "A 15098-2021")</f>
        <v/>
      </c>
      <c r="T228">
        <f>HYPERLINK("https://klasma.github.io/Logging_2283/kartor/A 15098-2021 karta.png", "A 15098-2021")</f>
        <v/>
      </c>
      <c r="V228">
        <f>HYPERLINK("https://klasma.github.io/Logging_2283/klagomål/A 15098-2021 FSC-klagomål.docx", "A 15098-2021")</f>
        <v/>
      </c>
      <c r="W228">
        <f>HYPERLINK("https://klasma.github.io/Logging_2283/klagomålsmail/A 15098-2021 FSC-klagomål mail.docx", "A 15098-2021")</f>
        <v/>
      </c>
      <c r="X228">
        <f>HYPERLINK("https://klasma.github.io/Logging_2283/tillsyn/A 15098-2021 tillsynsbegäran.docx", "A 15098-2021")</f>
        <v/>
      </c>
      <c r="Y228">
        <f>HYPERLINK("https://klasma.github.io/Logging_2283/tillsynsmail/A 15098-2021 tillsynsbegäran mail.docx", "A 15098-2021")</f>
        <v/>
      </c>
      <c r="Z228">
        <f>HYPERLINK("https://klasma.github.io/Logging_2283/fåglar/A 15098-2021 prioriterade fågelarter.docx", "A 15098-2021")</f>
        <v/>
      </c>
    </row>
    <row r="229" ht="15" customHeight="1">
      <c r="A229" t="inlineStr">
        <is>
          <t>A 31354-2021</t>
        </is>
      </c>
      <c r="B229" s="1" t="n">
        <v>44369</v>
      </c>
      <c r="C229" s="1" t="n">
        <v>45670</v>
      </c>
      <c r="D229" t="inlineStr">
        <is>
          <t>VÄSTERNORRLANDS LÄN</t>
        </is>
      </c>
      <c r="E229" t="inlineStr">
        <is>
          <t>SOLLEFTEÅ</t>
        </is>
      </c>
      <c r="F229" t="inlineStr">
        <is>
          <t>SCA</t>
        </is>
      </c>
      <c r="G229" t="n">
        <v>1.5</v>
      </c>
      <c r="H229" t="n">
        <v>1</v>
      </c>
      <c r="I229" t="n">
        <v>1</v>
      </c>
      <c r="J229" t="n">
        <v>1</v>
      </c>
      <c r="K229" t="n">
        <v>1</v>
      </c>
      <c r="L229" t="n">
        <v>0</v>
      </c>
      <c r="M229" t="n">
        <v>0</v>
      </c>
      <c r="N229" t="n">
        <v>0</v>
      </c>
      <c r="O229" t="n">
        <v>2</v>
      </c>
      <c r="P229" t="n">
        <v>1</v>
      </c>
      <c r="Q229" t="n">
        <v>3</v>
      </c>
      <c r="R229" s="2" t="inlineStr">
        <is>
          <t>Knärot
Garnlav
Norrlandslav</t>
        </is>
      </c>
      <c r="S229">
        <f>HYPERLINK("https://klasma.github.io/Logging_2283/artfynd/A 31354-2021 artfynd.xlsx", "A 31354-2021")</f>
        <v/>
      </c>
      <c r="T229">
        <f>HYPERLINK("https://klasma.github.io/Logging_2283/kartor/A 31354-2021 karta.png", "A 31354-2021")</f>
        <v/>
      </c>
      <c r="U229">
        <f>HYPERLINK("https://klasma.github.io/Logging_2283/knärot/A 31354-2021 karta knärot.png", "A 31354-2021")</f>
        <v/>
      </c>
      <c r="V229">
        <f>HYPERLINK("https://klasma.github.io/Logging_2283/klagomål/A 31354-2021 FSC-klagomål.docx", "A 31354-2021")</f>
        <v/>
      </c>
      <c r="W229">
        <f>HYPERLINK("https://klasma.github.io/Logging_2283/klagomålsmail/A 31354-2021 FSC-klagomål mail.docx", "A 31354-2021")</f>
        <v/>
      </c>
      <c r="X229">
        <f>HYPERLINK("https://klasma.github.io/Logging_2283/tillsyn/A 31354-2021 tillsynsbegäran.docx", "A 31354-2021")</f>
        <v/>
      </c>
      <c r="Y229">
        <f>HYPERLINK("https://klasma.github.io/Logging_2283/tillsynsmail/A 31354-2021 tillsynsbegäran mail.docx", "A 31354-2021")</f>
        <v/>
      </c>
    </row>
    <row r="230" ht="15" customHeight="1">
      <c r="A230" t="inlineStr">
        <is>
          <t>A 44599-2021</t>
        </is>
      </c>
      <c r="B230" s="1" t="n">
        <v>44436</v>
      </c>
      <c r="C230" s="1" t="n">
        <v>45670</v>
      </c>
      <c r="D230" t="inlineStr">
        <is>
          <t>VÄSTERNORRLANDS LÄN</t>
        </is>
      </c>
      <c r="E230" t="inlineStr">
        <is>
          <t>SOLLEFTEÅ</t>
        </is>
      </c>
      <c r="F230" t="inlineStr">
        <is>
          <t>SCA</t>
        </is>
      </c>
      <c r="G230" t="n">
        <v>6.1</v>
      </c>
      <c r="H230" t="n">
        <v>0</v>
      </c>
      <c r="I230" t="n">
        <v>2</v>
      </c>
      <c r="J230" t="n">
        <v>1</v>
      </c>
      <c r="K230" t="n">
        <v>0</v>
      </c>
      <c r="L230" t="n">
        <v>0</v>
      </c>
      <c r="M230" t="n">
        <v>0</v>
      </c>
      <c r="N230" t="n">
        <v>0</v>
      </c>
      <c r="O230" t="n">
        <v>1</v>
      </c>
      <c r="P230" t="n">
        <v>0</v>
      </c>
      <c r="Q230" t="n">
        <v>3</v>
      </c>
      <c r="R230" s="2" t="inlineStr">
        <is>
          <t>Rosenticka
Strutbräken
Stuplav</t>
        </is>
      </c>
      <c r="S230">
        <f>HYPERLINK("https://klasma.github.io/Logging_2283/artfynd/A 44599-2021 artfynd.xlsx", "A 44599-2021")</f>
        <v/>
      </c>
      <c r="T230">
        <f>HYPERLINK("https://klasma.github.io/Logging_2283/kartor/A 44599-2021 karta.png", "A 44599-2021")</f>
        <v/>
      </c>
      <c r="V230">
        <f>HYPERLINK("https://klasma.github.io/Logging_2283/klagomål/A 44599-2021 FSC-klagomål.docx", "A 44599-2021")</f>
        <v/>
      </c>
      <c r="W230">
        <f>HYPERLINK("https://klasma.github.io/Logging_2283/klagomålsmail/A 44599-2021 FSC-klagomål mail.docx", "A 44599-2021")</f>
        <v/>
      </c>
      <c r="X230">
        <f>HYPERLINK("https://klasma.github.io/Logging_2283/tillsyn/A 44599-2021 tillsynsbegäran.docx", "A 44599-2021")</f>
        <v/>
      </c>
      <c r="Y230">
        <f>HYPERLINK("https://klasma.github.io/Logging_2283/tillsynsmail/A 44599-2021 tillsynsbegäran mail.docx", "A 44599-2021")</f>
        <v/>
      </c>
    </row>
    <row r="231" ht="15" customHeight="1">
      <c r="A231" t="inlineStr">
        <is>
          <t>A 61481-2021</t>
        </is>
      </c>
      <c r="B231" s="1" t="n">
        <v>44500</v>
      </c>
      <c r="C231" s="1" t="n">
        <v>45670</v>
      </c>
      <c r="D231" t="inlineStr">
        <is>
          <t>VÄSTERNORRLANDS LÄN</t>
        </is>
      </c>
      <c r="E231" t="inlineStr">
        <is>
          <t>SOLLEFTEÅ</t>
        </is>
      </c>
      <c r="F231" t="inlineStr">
        <is>
          <t>SCA</t>
        </is>
      </c>
      <c r="G231" t="n">
        <v>6.8</v>
      </c>
      <c r="H231" t="n">
        <v>0</v>
      </c>
      <c r="I231" t="n">
        <v>1</v>
      </c>
      <c r="J231" t="n">
        <v>2</v>
      </c>
      <c r="K231" t="n">
        <v>0</v>
      </c>
      <c r="L231" t="n">
        <v>0</v>
      </c>
      <c r="M231" t="n">
        <v>0</v>
      </c>
      <c r="N231" t="n">
        <v>0</v>
      </c>
      <c r="O231" t="n">
        <v>2</v>
      </c>
      <c r="P231" t="n">
        <v>0</v>
      </c>
      <c r="Q231" t="n">
        <v>3</v>
      </c>
      <c r="R231" s="2" t="inlineStr">
        <is>
          <t>Lunglav
Skrovellav
Kambräken</t>
        </is>
      </c>
      <c r="S231">
        <f>HYPERLINK("https://klasma.github.io/Logging_2283/artfynd/A 61481-2021 artfynd.xlsx", "A 61481-2021")</f>
        <v/>
      </c>
      <c r="T231">
        <f>HYPERLINK("https://klasma.github.io/Logging_2283/kartor/A 61481-2021 karta.png", "A 61481-2021")</f>
        <v/>
      </c>
      <c r="V231">
        <f>HYPERLINK("https://klasma.github.io/Logging_2283/klagomål/A 61481-2021 FSC-klagomål.docx", "A 61481-2021")</f>
        <v/>
      </c>
      <c r="W231">
        <f>HYPERLINK("https://klasma.github.io/Logging_2283/klagomålsmail/A 61481-2021 FSC-klagomål mail.docx", "A 61481-2021")</f>
        <v/>
      </c>
      <c r="X231">
        <f>HYPERLINK("https://klasma.github.io/Logging_2283/tillsyn/A 61481-2021 tillsynsbegäran.docx", "A 61481-2021")</f>
        <v/>
      </c>
      <c r="Y231">
        <f>HYPERLINK("https://klasma.github.io/Logging_2283/tillsynsmail/A 61481-2021 tillsynsbegäran mail.docx", "A 61481-2021")</f>
        <v/>
      </c>
    </row>
    <row r="232" ht="15" customHeight="1">
      <c r="A232" t="inlineStr">
        <is>
          <t>A 18012-2022</t>
        </is>
      </c>
      <c r="B232" s="1" t="n">
        <v>44683</v>
      </c>
      <c r="C232" s="1" t="n">
        <v>45670</v>
      </c>
      <c r="D232" t="inlineStr">
        <is>
          <t>VÄSTERNORRLANDS LÄN</t>
        </is>
      </c>
      <c r="E232" t="inlineStr">
        <is>
          <t>SOLLEFTEÅ</t>
        </is>
      </c>
      <c r="F232" t="inlineStr">
        <is>
          <t>SCA</t>
        </is>
      </c>
      <c r="G232" t="n">
        <v>1.7</v>
      </c>
      <c r="H232" t="n">
        <v>2</v>
      </c>
      <c r="I232" t="n">
        <v>0</v>
      </c>
      <c r="J232" t="n">
        <v>2</v>
      </c>
      <c r="K232" t="n">
        <v>1</v>
      </c>
      <c r="L232" t="n">
        <v>0</v>
      </c>
      <c r="M232" t="n">
        <v>0</v>
      </c>
      <c r="N232" t="n">
        <v>0</v>
      </c>
      <c r="O232" t="n">
        <v>3</v>
      </c>
      <c r="P232" t="n">
        <v>1</v>
      </c>
      <c r="Q232" t="n">
        <v>3</v>
      </c>
      <c r="R232" s="2" t="inlineStr">
        <is>
          <t>Knärot
Garnlav
Tretåig hackspett</t>
        </is>
      </c>
      <c r="S232">
        <f>HYPERLINK("https://klasma.github.io/Logging_2283/artfynd/A 18012-2022 artfynd.xlsx", "A 18012-2022")</f>
        <v/>
      </c>
      <c r="T232">
        <f>HYPERLINK("https://klasma.github.io/Logging_2283/kartor/A 18012-2022 karta.png", "A 18012-2022")</f>
        <v/>
      </c>
      <c r="U232">
        <f>HYPERLINK("https://klasma.github.io/Logging_2283/knärot/A 18012-2022 karta knärot.png", "A 18012-2022")</f>
        <v/>
      </c>
      <c r="V232">
        <f>HYPERLINK("https://klasma.github.io/Logging_2283/klagomål/A 18012-2022 FSC-klagomål.docx", "A 18012-2022")</f>
        <v/>
      </c>
      <c r="W232">
        <f>HYPERLINK("https://klasma.github.io/Logging_2283/klagomålsmail/A 18012-2022 FSC-klagomål mail.docx", "A 18012-2022")</f>
        <v/>
      </c>
      <c r="X232">
        <f>HYPERLINK("https://klasma.github.io/Logging_2283/tillsyn/A 18012-2022 tillsynsbegäran.docx", "A 18012-2022")</f>
        <v/>
      </c>
      <c r="Y232">
        <f>HYPERLINK("https://klasma.github.io/Logging_2283/tillsynsmail/A 18012-2022 tillsynsbegäran mail.docx", "A 18012-2022")</f>
        <v/>
      </c>
      <c r="Z232">
        <f>HYPERLINK("https://klasma.github.io/Logging_2283/fåglar/A 18012-2022 prioriterade fågelarter.docx", "A 18012-2022")</f>
        <v/>
      </c>
    </row>
    <row r="233" ht="15" customHeight="1">
      <c r="A233" t="inlineStr">
        <is>
          <t>A 34528-2022</t>
        </is>
      </c>
      <c r="B233" s="1" t="n">
        <v>44792</v>
      </c>
      <c r="C233" s="1" t="n">
        <v>45670</v>
      </c>
      <c r="D233" t="inlineStr">
        <is>
          <t>VÄSTERNORRLANDS LÄN</t>
        </is>
      </c>
      <c r="E233" t="inlineStr">
        <is>
          <t>SOLLEFTEÅ</t>
        </is>
      </c>
      <c r="F233" t="inlineStr">
        <is>
          <t>SCA</t>
        </is>
      </c>
      <c r="G233" t="n">
        <v>1.8</v>
      </c>
      <c r="H233" t="n">
        <v>0</v>
      </c>
      <c r="I233" t="n">
        <v>0</v>
      </c>
      <c r="J233" t="n">
        <v>3</v>
      </c>
      <c r="K233" t="n">
        <v>0</v>
      </c>
      <c r="L233" t="n">
        <v>0</v>
      </c>
      <c r="M233" t="n">
        <v>0</v>
      </c>
      <c r="N233" t="n">
        <v>0</v>
      </c>
      <c r="O233" t="n">
        <v>3</v>
      </c>
      <c r="P233" t="n">
        <v>0</v>
      </c>
      <c r="Q233" t="n">
        <v>3</v>
      </c>
      <c r="R233" s="2" t="inlineStr">
        <is>
          <t>Garnlav
Mörk kolflarnlav
Rosenticka</t>
        </is>
      </c>
      <c r="S233">
        <f>HYPERLINK("https://klasma.github.io/Logging_2283/artfynd/A 34528-2022 artfynd.xlsx", "A 34528-2022")</f>
        <v/>
      </c>
      <c r="T233">
        <f>HYPERLINK("https://klasma.github.io/Logging_2283/kartor/A 34528-2022 karta.png", "A 34528-2022")</f>
        <v/>
      </c>
      <c r="V233">
        <f>HYPERLINK("https://klasma.github.io/Logging_2283/klagomål/A 34528-2022 FSC-klagomål.docx", "A 34528-2022")</f>
        <v/>
      </c>
      <c r="W233">
        <f>HYPERLINK("https://klasma.github.io/Logging_2283/klagomålsmail/A 34528-2022 FSC-klagomål mail.docx", "A 34528-2022")</f>
        <v/>
      </c>
      <c r="X233">
        <f>HYPERLINK("https://klasma.github.io/Logging_2283/tillsyn/A 34528-2022 tillsynsbegäran.docx", "A 34528-2022")</f>
        <v/>
      </c>
      <c r="Y233">
        <f>HYPERLINK("https://klasma.github.io/Logging_2283/tillsynsmail/A 34528-2022 tillsynsbegäran mail.docx", "A 34528-2022")</f>
        <v/>
      </c>
    </row>
    <row r="234" ht="15" customHeight="1">
      <c r="A234" t="inlineStr">
        <is>
          <t>A 42301-2022</t>
        </is>
      </c>
      <c r="B234" s="1" t="n">
        <v>44831</v>
      </c>
      <c r="C234" s="1" t="n">
        <v>45670</v>
      </c>
      <c r="D234" t="inlineStr">
        <is>
          <t>VÄSTERNORRLANDS LÄN</t>
        </is>
      </c>
      <c r="E234" t="inlineStr">
        <is>
          <t>SOLLEFTEÅ</t>
        </is>
      </c>
      <c r="F234" t="inlineStr">
        <is>
          <t>SCA</t>
        </is>
      </c>
      <c r="G234" t="n">
        <v>0.8</v>
      </c>
      <c r="H234" t="n">
        <v>1</v>
      </c>
      <c r="I234" t="n">
        <v>0</v>
      </c>
      <c r="J234" t="n">
        <v>3</v>
      </c>
      <c r="K234" t="n">
        <v>0</v>
      </c>
      <c r="L234" t="n">
        <v>0</v>
      </c>
      <c r="M234" t="n">
        <v>0</v>
      </c>
      <c r="N234" t="n">
        <v>0</v>
      </c>
      <c r="O234" t="n">
        <v>3</v>
      </c>
      <c r="P234" t="n">
        <v>0</v>
      </c>
      <c r="Q234" t="n">
        <v>3</v>
      </c>
      <c r="R234" s="2" t="inlineStr">
        <is>
          <t>Gammelgransskål
Harticka
Tretåig hackspett</t>
        </is>
      </c>
      <c r="S234">
        <f>HYPERLINK("https://klasma.github.io/Logging_2283/artfynd/A 42301-2022 artfynd.xlsx", "A 42301-2022")</f>
        <v/>
      </c>
      <c r="T234">
        <f>HYPERLINK("https://klasma.github.io/Logging_2283/kartor/A 42301-2022 karta.png", "A 42301-2022")</f>
        <v/>
      </c>
      <c r="V234">
        <f>HYPERLINK("https://klasma.github.io/Logging_2283/klagomål/A 42301-2022 FSC-klagomål.docx", "A 42301-2022")</f>
        <v/>
      </c>
      <c r="W234">
        <f>HYPERLINK("https://klasma.github.io/Logging_2283/klagomålsmail/A 42301-2022 FSC-klagomål mail.docx", "A 42301-2022")</f>
        <v/>
      </c>
      <c r="X234">
        <f>HYPERLINK("https://klasma.github.io/Logging_2283/tillsyn/A 42301-2022 tillsynsbegäran.docx", "A 42301-2022")</f>
        <v/>
      </c>
      <c r="Y234">
        <f>HYPERLINK("https://klasma.github.io/Logging_2283/tillsynsmail/A 42301-2022 tillsynsbegäran mail.docx", "A 42301-2022")</f>
        <v/>
      </c>
      <c r="Z234">
        <f>HYPERLINK("https://klasma.github.io/Logging_2283/fåglar/A 42301-2022 prioriterade fågelarter.docx", "A 42301-2022")</f>
        <v/>
      </c>
    </row>
    <row r="235" ht="15" customHeight="1">
      <c r="A235" t="inlineStr">
        <is>
          <t>A 59046-2022</t>
        </is>
      </c>
      <c r="B235" s="1" t="n">
        <v>44903</v>
      </c>
      <c r="C235" s="1" t="n">
        <v>45670</v>
      </c>
      <c r="D235" t="inlineStr">
        <is>
          <t>VÄSTERNORRLANDS LÄN</t>
        </is>
      </c>
      <c r="E235" t="inlineStr">
        <is>
          <t>SOLLEFTEÅ</t>
        </is>
      </c>
      <c r="F235" t="inlineStr">
        <is>
          <t>SCA</t>
        </is>
      </c>
      <c r="G235" t="n">
        <v>10.3</v>
      </c>
      <c r="H235" t="n">
        <v>1</v>
      </c>
      <c r="I235" t="n">
        <v>0</v>
      </c>
      <c r="J235" t="n">
        <v>3</v>
      </c>
      <c r="K235" t="n">
        <v>0</v>
      </c>
      <c r="L235" t="n">
        <v>0</v>
      </c>
      <c r="M235" t="n">
        <v>0</v>
      </c>
      <c r="N235" t="n">
        <v>0</v>
      </c>
      <c r="O235" t="n">
        <v>3</v>
      </c>
      <c r="P235" t="n">
        <v>0</v>
      </c>
      <c r="Q235" t="n">
        <v>3</v>
      </c>
      <c r="R235" s="2" t="inlineStr">
        <is>
          <t>Lunglav
Orange taggsvamp
Tretåig hackspett</t>
        </is>
      </c>
      <c r="S235">
        <f>HYPERLINK("https://klasma.github.io/Logging_2283/artfynd/A 59046-2022 artfynd.xlsx", "A 59046-2022")</f>
        <v/>
      </c>
      <c r="T235">
        <f>HYPERLINK("https://klasma.github.io/Logging_2283/kartor/A 59046-2022 karta.png", "A 59046-2022")</f>
        <v/>
      </c>
      <c r="V235">
        <f>HYPERLINK("https://klasma.github.io/Logging_2283/klagomål/A 59046-2022 FSC-klagomål.docx", "A 59046-2022")</f>
        <v/>
      </c>
      <c r="W235">
        <f>HYPERLINK("https://klasma.github.io/Logging_2283/klagomålsmail/A 59046-2022 FSC-klagomål mail.docx", "A 59046-2022")</f>
        <v/>
      </c>
      <c r="X235">
        <f>HYPERLINK("https://klasma.github.io/Logging_2283/tillsyn/A 59046-2022 tillsynsbegäran.docx", "A 59046-2022")</f>
        <v/>
      </c>
      <c r="Y235">
        <f>HYPERLINK("https://klasma.github.io/Logging_2283/tillsynsmail/A 59046-2022 tillsynsbegäran mail.docx", "A 59046-2022")</f>
        <v/>
      </c>
      <c r="Z235">
        <f>HYPERLINK("https://klasma.github.io/Logging_2283/fåglar/A 59046-2022 prioriterade fågelarter.docx", "A 59046-2022")</f>
        <v/>
      </c>
    </row>
    <row r="236" ht="15" customHeight="1">
      <c r="A236" t="inlineStr">
        <is>
          <t>A 6235-2023</t>
        </is>
      </c>
      <c r="B236" s="1" t="n">
        <v>44964</v>
      </c>
      <c r="C236" s="1" t="n">
        <v>45670</v>
      </c>
      <c r="D236" t="inlineStr">
        <is>
          <t>VÄSTERNORRLANDS LÄN</t>
        </is>
      </c>
      <c r="E236" t="inlineStr">
        <is>
          <t>SOLLEFTEÅ</t>
        </is>
      </c>
      <c r="F236" t="inlineStr">
        <is>
          <t>SCA</t>
        </is>
      </c>
      <c r="G236" t="n">
        <v>0.6</v>
      </c>
      <c r="H236" t="n">
        <v>2</v>
      </c>
      <c r="I236" t="n">
        <v>0</v>
      </c>
      <c r="J236" t="n">
        <v>2</v>
      </c>
      <c r="K236" t="n">
        <v>0</v>
      </c>
      <c r="L236" t="n">
        <v>0</v>
      </c>
      <c r="M236" t="n">
        <v>0</v>
      </c>
      <c r="N236" t="n">
        <v>0</v>
      </c>
      <c r="O236" t="n">
        <v>2</v>
      </c>
      <c r="P236" t="n">
        <v>0</v>
      </c>
      <c r="Q236" t="n">
        <v>3</v>
      </c>
      <c r="R236" s="2" t="inlineStr">
        <is>
          <t>Harticka
Tretåig hackspett
Tjäder</t>
        </is>
      </c>
      <c r="S236">
        <f>HYPERLINK("https://klasma.github.io/Logging_2283/artfynd/A 6235-2023 artfynd.xlsx", "A 6235-2023")</f>
        <v/>
      </c>
      <c r="T236">
        <f>HYPERLINK("https://klasma.github.io/Logging_2283/kartor/A 6235-2023 karta.png", "A 6235-2023")</f>
        <v/>
      </c>
      <c r="V236">
        <f>HYPERLINK("https://klasma.github.io/Logging_2283/klagomål/A 6235-2023 FSC-klagomål.docx", "A 6235-2023")</f>
        <v/>
      </c>
      <c r="W236">
        <f>HYPERLINK("https://klasma.github.io/Logging_2283/klagomålsmail/A 6235-2023 FSC-klagomål mail.docx", "A 6235-2023")</f>
        <v/>
      </c>
      <c r="X236">
        <f>HYPERLINK("https://klasma.github.io/Logging_2283/tillsyn/A 6235-2023 tillsynsbegäran.docx", "A 6235-2023")</f>
        <v/>
      </c>
      <c r="Y236">
        <f>HYPERLINK("https://klasma.github.io/Logging_2283/tillsynsmail/A 6235-2023 tillsynsbegäran mail.docx", "A 6235-2023")</f>
        <v/>
      </c>
      <c r="Z236">
        <f>HYPERLINK("https://klasma.github.io/Logging_2283/fåglar/A 6235-2023 prioriterade fågelarter.docx", "A 6235-2023")</f>
        <v/>
      </c>
    </row>
    <row r="237" ht="15" customHeight="1">
      <c r="A237" t="inlineStr">
        <is>
          <t>A 20781-2023</t>
        </is>
      </c>
      <c r="B237" s="1" t="n">
        <v>45058</v>
      </c>
      <c r="C237" s="1" t="n">
        <v>45670</v>
      </c>
      <c r="D237" t="inlineStr">
        <is>
          <t>VÄSTERNORRLANDS LÄN</t>
        </is>
      </c>
      <c r="E237" t="inlineStr">
        <is>
          <t>SOLLEFTEÅ</t>
        </is>
      </c>
      <c r="F237" t="inlineStr">
        <is>
          <t>Kyrkan</t>
        </is>
      </c>
      <c r="G237" t="n">
        <v>11.1</v>
      </c>
      <c r="H237" t="n">
        <v>1</v>
      </c>
      <c r="I237" t="n">
        <v>0</v>
      </c>
      <c r="J237" t="n">
        <v>2</v>
      </c>
      <c r="K237" t="n">
        <v>1</v>
      </c>
      <c r="L237" t="n">
        <v>0</v>
      </c>
      <c r="M237" t="n">
        <v>0</v>
      </c>
      <c r="N237" t="n">
        <v>0</v>
      </c>
      <c r="O237" t="n">
        <v>3</v>
      </c>
      <c r="P237" t="n">
        <v>1</v>
      </c>
      <c r="Q237" t="n">
        <v>3</v>
      </c>
      <c r="R237" s="2" t="inlineStr">
        <is>
          <t>Knärot
Garnlav
Ullticka</t>
        </is>
      </c>
      <c r="S237">
        <f>HYPERLINK("https://klasma.github.io/Logging_2283/artfynd/A 20781-2023 artfynd.xlsx", "A 20781-2023")</f>
        <v/>
      </c>
      <c r="T237">
        <f>HYPERLINK("https://klasma.github.io/Logging_2283/kartor/A 20781-2023 karta.png", "A 20781-2023")</f>
        <v/>
      </c>
      <c r="U237">
        <f>HYPERLINK("https://klasma.github.io/Logging_2283/knärot/A 20781-2023 karta knärot.png", "A 20781-2023")</f>
        <v/>
      </c>
      <c r="V237">
        <f>HYPERLINK("https://klasma.github.io/Logging_2283/klagomål/A 20781-2023 FSC-klagomål.docx", "A 20781-2023")</f>
        <v/>
      </c>
      <c r="W237">
        <f>HYPERLINK("https://klasma.github.io/Logging_2283/klagomålsmail/A 20781-2023 FSC-klagomål mail.docx", "A 20781-2023")</f>
        <v/>
      </c>
      <c r="X237">
        <f>HYPERLINK("https://klasma.github.io/Logging_2283/tillsyn/A 20781-2023 tillsynsbegäran.docx", "A 20781-2023")</f>
        <v/>
      </c>
      <c r="Y237">
        <f>HYPERLINK("https://klasma.github.io/Logging_2283/tillsynsmail/A 20781-2023 tillsynsbegäran mail.docx", "A 20781-2023")</f>
        <v/>
      </c>
    </row>
    <row r="238" ht="15" customHeight="1">
      <c r="A238" t="inlineStr">
        <is>
          <t>A 21342-2023</t>
        </is>
      </c>
      <c r="B238" s="1" t="n">
        <v>45062</v>
      </c>
      <c r="C238" s="1" t="n">
        <v>45670</v>
      </c>
      <c r="D238" t="inlineStr">
        <is>
          <t>VÄSTERNORRLANDS LÄN</t>
        </is>
      </c>
      <c r="E238" t="inlineStr">
        <is>
          <t>SOLLEFTEÅ</t>
        </is>
      </c>
      <c r="F238" t="inlineStr">
        <is>
          <t>SCA</t>
        </is>
      </c>
      <c r="G238" t="n">
        <v>4.3</v>
      </c>
      <c r="H238" t="n">
        <v>1</v>
      </c>
      <c r="I238" t="n">
        <v>1</v>
      </c>
      <c r="J238" t="n">
        <v>2</v>
      </c>
      <c r="K238" t="n">
        <v>0</v>
      </c>
      <c r="L238" t="n">
        <v>0</v>
      </c>
      <c r="M238" t="n">
        <v>0</v>
      </c>
      <c r="N238" t="n">
        <v>0</v>
      </c>
      <c r="O238" t="n">
        <v>2</v>
      </c>
      <c r="P238" t="n">
        <v>0</v>
      </c>
      <c r="Q238" t="n">
        <v>3</v>
      </c>
      <c r="R238" s="2" t="inlineStr">
        <is>
          <t>Dvärgbägarlav
Kolflarnlav
Plattlummer</t>
        </is>
      </c>
      <c r="S238">
        <f>HYPERLINK("https://klasma.github.io/Logging_2283/artfynd/A 21342-2023 artfynd.xlsx", "A 21342-2023")</f>
        <v/>
      </c>
      <c r="T238">
        <f>HYPERLINK("https://klasma.github.io/Logging_2283/kartor/A 21342-2023 karta.png", "A 21342-2023")</f>
        <v/>
      </c>
      <c r="V238">
        <f>HYPERLINK("https://klasma.github.io/Logging_2283/klagomål/A 21342-2023 FSC-klagomål.docx", "A 21342-2023")</f>
        <v/>
      </c>
      <c r="W238">
        <f>HYPERLINK("https://klasma.github.io/Logging_2283/klagomålsmail/A 21342-2023 FSC-klagomål mail.docx", "A 21342-2023")</f>
        <v/>
      </c>
      <c r="X238">
        <f>HYPERLINK("https://klasma.github.io/Logging_2283/tillsyn/A 21342-2023 tillsynsbegäran.docx", "A 21342-2023")</f>
        <v/>
      </c>
      <c r="Y238">
        <f>HYPERLINK("https://klasma.github.io/Logging_2283/tillsynsmail/A 21342-2023 tillsynsbegäran mail.docx", "A 21342-2023")</f>
        <v/>
      </c>
    </row>
    <row r="239" ht="15" customHeight="1">
      <c r="A239" t="inlineStr">
        <is>
          <t>A 21343-2023</t>
        </is>
      </c>
      <c r="B239" s="1" t="n">
        <v>45062</v>
      </c>
      <c r="C239" s="1" t="n">
        <v>45670</v>
      </c>
      <c r="D239" t="inlineStr">
        <is>
          <t>VÄSTERNORRLANDS LÄN</t>
        </is>
      </c>
      <c r="E239" t="inlineStr">
        <is>
          <t>SOLLEFTEÅ</t>
        </is>
      </c>
      <c r="F239" t="inlineStr">
        <is>
          <t>SCA</t>
        </is>
      </c>
      <c r="G239" t="n">
        <v>4.8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HYPERLINK("https://klasma.github.io/Logging_2283/artfynd/A 21343-2023 artfynd.xlsx", "A 21343-2023")</f>
        <v/>
      </c>
      <c r="T239">
        <f>HYPERLINK("https://klasma.github.io/Logging_2283/kartor/A 21343-2023 karta.png", "A 21343-2023")</f>
        <v/>
      </c>
      <c r="V239">
        <f>HYPERLINK("https://klasma.github.io/Logging_2283/klagomål/A 21343-2023 FSC-klagomål.docx", "A 21343-2023")</f>
        <v/>
      </c>
      <c r="W239">
        <f>HYPERLINK("https://klasma.github.io/Logging_2283/klagomålsmail/A 21343-2023 FSC-klagomål mail.docx", "A 21343-2023")</f>
        <v/>
      </c>
      <c r="X239">
        <f>HYPERLINK("https://klasma.github.io/Logging_2283/tillsyn/A 21343-2023 tillsynsbegäran.docx", "A 21343-2023")</f>
        <v/>
      </c>
      <c r="Y239">
        <f>HYPERLINK("https://klasma.github.io/Logging_2283/tillsynsmail/A 21343-2023 tillsynsbegäran mail.docx", "A 21343-2023")</f>
        <v/>
      </c>
    </row>
    <row r="240" ht="15" customHeight="1">
      <c r="A240" t="inlineStr">
        <is>
          <t>A 23782-2023</t>
        </is>
      </c>
      <c r="B240" s="1" t="n">
        <v>45077</v>
      </c>
      <c r="C240" s="1" t="n">
        <v>45670</v>
      </c>
      <c r="D240" t="inlineStr">
        <is>
          <t>VÄSTERNORRLANDS LÄN</t>
        </is>
      </c>
      <c r="E240" t="inlineStr">
        <is>
          <t>SOLLEFTEÅ</t>
        </is>
      </c>
      <c r="F240" t="inlineStr">
        <is>
          <t>SCA</t>
        </is>
      </c>
      <c r="G240" t="n">
        <v>6.3</v>
      </c>
      <c r="H240" t="n">
        <v>0</v>
      </c>
      <c r="I240" t="n">
        <v>2</v>
      </c>
      <c r="J240" t="n">
        <v>1</v>
      </c>
      <c r="K240" t="n">
        <v>0</v>
      </c>
      <c r="L240" t="n">
        <v>0</v>
      </c>
      <c r="M240" t="n">
        <v>0</v>
      </c>
      <c r="N240" t="n">
        <v>0</v>
      </c>
      <c r="O240" t="n">
        <v>1</v>
      </c>
      <c r="P240" t="n">
        <v>0</v>
      </c>
      <c r="Q240" t="n">
        <v>3</v>
      </c>
      <c r="R240" s="2" t="inlineStr">
        <is>
          <t>Garnlav
Bollvitmossa
Norrlandslav</t>
        </is>
      </c>
      <c r="S240">
        <f>HYPERLINK("https://klasma.github.io/Logging_2283/artfynd/A 23782-2023 artfynd.xlsx", "A 23782-2023")</f>
        <v/>
      </c>
      <c r="T240">
        <f>HYPERLINK("https://klasma.github.io/Logging_2283/kartor/A 23782-2023 karta.png", "A 23782-2023")</f>
        <v/>
      </c>
      <c r="V240">
        <f>HYPERLINK("https://klasma.github.io/Logging_2283/klagomål/A 23782-2023 FSC-klagomål.docx", "A 23782-2023")</f>
        <v/>
      </c>
      <c r="W240">
        <f>HYPERLINK("https://klasma.github.io/Logging_2283/klagomålsmail/A 23782-2023 FSC-klagomål mail.docx", "A 23782-2023")</f>
        <v/>
      </c>
      <c r="X240">
        <f>HYPERLINK("https://klasma.github.io/Logging_2283/tillsyn/A 23782-2023 tillsynsbegäran.docx", "A 23782-2023")</f>
        <v/>
      </c>
      <c r="Y240">
        <f>HYPERLINK("https://klasma.github.io/Logging_2283/tillsynsmail/A 23782-2023 tillsynsbegäran mail.docx", "A 23782-2023")</f>
        <v/>
      </c>
    </row>
    <row r="241" ht="15" customHeight="1">
      <c r="A241" t="inlineStr">
        <is>
          <t>A 26374-2023</t>
        </is>
      </c>
      <c r="B241" s="1" t="n">
        <v>45092</v>
      </c>
      <c r="C241" s="1" t="n">
        <v>45670</v>
      </c>
      <c r="D241" t="inlineStr">
        <is>
          <t>VÄSTERNORRLANDS LÄN</t>
        </is>
      </c>
      <c r="E241" t="inlineStr">
        <is>
          <t>SOLLEFTEÅ</t>
        </is>
      </c>
      <c r="F241" t="inlineStr">
        <is>
          <t>SCA</t>
        </is>
      </c>
      <c r="G241" t="n">
        <v>0.9</v>
      </c>
      <c r="H241" t="n">
        <v>0</v>
      </c>
      <c r="I241" t="n">
        <v>0</v>
      </c>
      <c r="J241" t="n">
        <v>2</v>
      </c>
      <c r="K241" t="n">
        <v>1</v>
      </c>
      <c r="L241" t="n">
        <v>0</v>
      </c>
      <c r="M241" t="n">
        <v>0</v>
      </c>
      <c r="N241" t="n">
        <v>0</v>
      </c>
      <c r="O241" t="n">
        <v>3</v>
      </c>
      <c r="P241" t="n">
        <v>1</v>
      </c>
      <c r="Q241" t="n">
        <v>3</v>
      </c>
      <c r="R241" s="2" t="inlineStr">
        <is>
          <t>Blackticka
Granticka
Ullticka</t>
        </is>
      </c>
      <c r="S241">
        <f>HYPERLINK("https://klasma.github.io/Logging_2283/artfynd/A 26374-2023 artfynd.xlsx", "A 26374-2023")</f>
        <v/>
      </c>
      <c r="T241">
        <f>HYPERLINK("https://klasma.github.io/Logging_2283/kartor/A 26374-2023 karta.png", "A 26374-2023")</f>
        <v/>
      </c>
      <c r="V241">
        <f>HYPERLINK("https://klasma.github.io/Logging_2283/klagomål/A 26374-2023 FSC-klagomål.docx", "A 26374-2023")</f>
        <v/>
      </c>
      <c r="W241">
        <f>HYPERLINK("https://klasma.github.io/Logging_2283/klagomålsmail/A 26374-2023 FSC-klagomål mail.docx", "A 26374-2023")</f>
        <v/>
      </c>
      <c r="X241">
        <f>HYPERLINK("https://klasma.github.io/Logging_2283/tillsyn/A 26374-2023 tillsynsbegäran.docx", "A 26374-2023")</f>
        <v/>
      </c>
      <c r="Y241">
        <f>HYPERLINK("https://klasma.github.io/Logging_2283/tillsynsmail/A 26374-2023 tillsynsbegäran mail.docx", "A 26374-2023")</f>
        <v/>
      </c>
    </row>
    <row r="242" ht="15" customHeight="1">
      <c r="A242" t="inlineStr">
        <is>
          <t>A 45006-2023</t>
        </is>
      </c>
      <c r="B242" s="1" t="n">
        <v>45190</v>
      </c>
      <c r="C242" s="1" t="n">
        <v>45670</v>
      </c>
      <c r="D242" t="inlineStr">
        <is>
          <t>VÄSTERNORRLANDS LÄN</t>
        </is>
      </c>
      <c r="E242" t="inlineStr">
        <is>
          <t>SOLLEFTEÅ</t>
        </is>
      </c>
      <c r="F242" t="inlineStr">
        <is>
          <t>SCA</t>
        </is>
      </c>
      <c r="G242" t="n">
        <v>5.1</v>
      </c>
      <c r="H242" t="n">
        <v>0</v>
      </c>
      <c r="I242" t="n">
        <v>0</v>
      </c>
      <c r="J242" t="n">
        <v>2</v>
      </c>
      <c r="K242" t="n">
        <v>1</v>
      </c>
      <c r="L242" t="n">
        <v>0</v>
      </c>
      <c r="M242" t="n">
        <v>0</v>
      </c>
      <c r="N242" t="n">
        <v>0</v>
      </c>
      <c r="O242" t="n">
        <v>3</v>
      </c>
      <c r="P242" t="n">
        <v>1</v>
      </c>
      <c r="Q242" t="n">
        <v>3</v>
      </c>
      <c r="R242" s="2" t="inlineStr">
        <is>
          <t>Rynkskinn
Gammelgransskål
Rosenticka</t>
        </is>
      </c>
      <c r="S242">
        <f>HYPERLINK("https://klasma.github.io/Logging_2283/artfynd/A 45006-2023 artfynd.xlsx", "A 45006-2023")</f>
        <v/>
      </c>
      <c r="T242">
        <f>HYPERLINK("https://klasma.github.io/Logging_2283/kartor/A 45006-2023 karta.png", "A 45006-2023")</f>
        <v/>
      </c>
      <c r="V242">
        <f>HYPERLINK("https://klasma.github.io/Logging_2283/klagomål/A 45006-2023 FSC-klagomål.docx", "A 45006-2023")</f>
        <v/>
      </c>
      <c r="W242">
        <f>HYPERLINK("https://klasma.github.io/Logging_2283/klagomålsmail/A 45006-2023 FSC-klagomål mail.docx", "A 45006-2023")</f>
        <v/>
      </c>
      <c r="X242">
        <f>HYPERLINK("https://klasma.github.io/Logging_2283/tillsyn/A 45006-2023 tillsynsbegäran.docx", "A 45006-2023")</f>
        <v/>
      </c>
      <c r="Y242">
        <f>HYPERLINK("https://klasma.github.io/Logging_2283/tillsynsmail/A 45006-2023 tillsynsbegäran mail.docx", "A 45006-2023")</f>
        <v/>
      </c>
    </row>
    <row r="243" ht="15" customHeight="1">
      <c r="A243" t="inlineStr">
        <is>
          <t>A 50838-2023</t>
        </is>
      </c>
      <c r="B243" s="1" t="n">
        <v>45217</v>
      </c>
      <c r="C243" s="1" t="n">
        <v>45670</v>
      </c>
      <c r="D243" t="inlineStr">
        <is>
          <t>VÄSTERNORRLANDS LÄN</t>
        </is>
      </c>
      <c r="E243" t="inlineStr">
        <is>
          <t>SOLLEFTEÅ</t>
        </is>
      </c>
      <c r="F243" t="inlineStr">
        <is>
          <t>SCA</t>
        </is>
      </c>
      <c r="G243" t="n">
        <v>2.1</v>
      </c>
      <c r="H243" t="n">
        <v>2</v>
      </c>
      <c r="I243" t="n">
        <v>0</v>
      </c>
      <c r="J243" t="n">
        <v>1</v>
      </c>
      <c r="K243" t="n">
        <v>2</v>
      </c>
      <c r="L243" t="n">
        <v>0</v>
      </c>
      <c r="M243" t="n">
        <v>0</v>
      </c>
      <c r="N243" t="n">
        <v>0</v>
      </c>
      <c r="O243" t="n">
        <v>3</v>
      </c>
      <c r="P243" t="n">
        <v>2</v>
      </c>
      <c r="Q243" t="n">
        <v>3</v>
      </c>
      <c r="R243" s="2" t="inlineStr">
        <is>
          <t>Doftticka
Knärot
Lunglav</t>
        </is>
      </c>
      <c r="S243">
        <f>HYPERLINK("https://klasma.github.io/Logging_2283/artfynd/A 50838-2023 artfynd.xlsx", "A 50838-2023")</f>
        <v/>
      </c>
      <c r="T243">
        <f>HYPERLINK("https://klasma.github.io/Logging_2283/kartor/A 50838-2023 karta.png", "A 50838-2023")</f>
        <v/>
      </c>
      <c r="U243">
        <f>HYPERLINK("https://klasma.github.io/Logging_2283/knärot/A 50838-2023 karta knärot.png", "A 50838-2023")</f>
        <v/>
      </c>
      <c r="V243">
        <f>HYPERLINK("https://klasma.github.io/Logging_2283/klagomål/A 50838-2023 FSC-klagomål.docx", "A 50838-2023")</f>
        <v/>
      </c>
      <c r="W243">
        <f>HYPERLINK("https://klasma.github.io/Logging_2283/klagomålsmail/A 50838-2023 FSC-klagomål mail.docx", "A 50838-2023")</f>
        <v/>
      </c>
      <c r="X243">
        <f>HYPERLINK("https://klasma.github.io/Logging_2283/tillsyn/A 50838-2023 tillsynsbegäran.docx", "A 50838-2023")</f>
        <v/>
      </c>
      <c r="Y243">
        <f>HYPERLINK("https://klasma.github.io/Logging_2283/tillsynsmail/A 50838-2023 tillsynsbegäran mail.docx", "A 50838-2023")</f>
        <v/>
      </c>
    </row>
    <row r="244" ht="15" customHeight="1">
      <c r="A244" t="inlineStr">
        <is>
          <t>A 52762-2023</t>
        </is>
      </c>
      <c r="B244" s="1" t="n">
        <v>45225</v>
      </c>
      <c r="C244" s="1" t="n">
        <v>45670</v>
      </c>
      <c r="D244" t="inlineStr">
        <is>
          <t>VÄSTERNORRLANDS LÄN</t>
        </is>
      </c>
      <c r="E244" t="inlineStr">
        <is>
          <t>SOLLEFTEÅ</t>
        </is>
      </c>
      <c r="F244" t="inlineStr">
        <is>
          <t>SCA</t>
        </is>
      </c>
      <c r="G244" t="n">
        <v>6.3</v>
      </c>
      <c r="H244" t="n">
        <v>1</v>
      </c>
      <c r="I244" t="n">
        <v>0</v>
      </c>
      <c r="J244" t="n">
        <v>2</v>
      </c>
      <c r="K244" t="n">
        <v>0</v>
      </c>
      <c r="L244" t="n">
        <v>0</v>
      </c>
      <c r="M244" t="n">
        <v>0</v>
      </c>
      <c r="N244" t="n">
        <v>0</v>
      </c>
      <c r="O244" t="n">
        <v>2</v>
      </c>
      <c r="P244" t="n">
        <v>0</v>
      </c>
      <c r="Q244" t="n">
        <v>3</v>
      </c>
      <c r="R244" s="2" t="inlineStr">
        <is>
          <t>Rosenticka
Ullticka
Fläcknycklar</t>
        </is>
      </c>
      <c r="S244">
        <f>HYPERLINK("https://klasma.github.io/Logging_2283/artfynd/A 52762-2023 artfynd.xlsx", "A 52762-2023")</f>
        <v/>
      </c>
      <c r="T244">
        <f>HYPERLINK("https://klasma.github.io/Logging_2283/kartor/A 52762-2023 karta.png", "A 52762-2023")</f>
        <v/>
      </c>
      <c r="V244">
        <f>HYPERLINK("https://klasma.github.io/Logging_2283/klagomål/A 52762-2023 FSC-klagomål.docx", "A 52762-2023")</f>
        <v/>
      </c>
      <c r="W244">
        <f>HYPERLINK("https://klasma.github.io/Logging_2283/klagomålsmail/A 52762-2023 FSC-klagomål mail.docx", "A 52762-2023")</f>
        <v/>
      </c>
      <c r="X244">
        <f>HYPERLINK("https://klasma.github.io/Logging_2283/tillsyn/A 52762-2023 tillsynsbegäran.docx", "A 52762-2023")</f>
        <v/>
      </c>
      <c r="Y244">
        <f>HYPERLINK("https://klasma.github.io/Logging_2283/tillsynsmail/A 52762-2023 tillsynsbegäran mail.docx", "A 52762-2023")</f>
        <v/>
      </c>
    </row>
    <row r="245" ht="15" customHeight="1">
      <c r="A245" t="inlineStr">
        <is>
          <t>A 54030-2023</t>
        </is>
      </c>
      <c r="B245" s="1" t="n">
        <v>45231</v>
      </c>
      <c r="C245" s="1" t="n">
        <v>45670</v>
      </c>
      <c r="D245" t="inlineStr">
        <is>
          <t>VÄSTERNORRLANDS LÄN</t>
        </is>
      </c>
      <c r="E245" t="inlineStr">
        <is>
          <t>SOLLEFTEÅ</t>
        </is>
      </c>
      <c r="G245" t="n">
        <v>4.4</v>
      </c>
      <c r="H245" t="n">
        <v>0</v>
      </c>
      <c r="I245" t="n">
        <v>0</v>
      </c>
      <c r="J245" t="n">
        <v>2</v>
      </c>
      <c r="K245" t="n">
        <v>1</v>
      </c>
      <c r="L245" t="n">
        <v>0</v>
      </c>
      <c r="M245" t="n">
        <v>0</v>
      </c>
      <c r="N245" t="n">
        <v>0</v>
      </c>
      <c r="O245" t="n">
        <v>3</v>
      </c>
      <c r="P245" t="n">
        <v>1</v>
      </c>
      <c r="Q245" t="n">
        <v>3</v>
      </c>
      <c r="R245" s="2" t="inlineStr">
        <is>
          <t>Rynkskinn
Rosenticka
Ullticka</t>
        </is>
      </c>
      <c r="S245">
        <f>HYPERLINK("https://klasma.github.io/Logging_2283/artfynd/A 54030-2023 artfynd.xlsx", "A 54030-2023")</f>
        <v/>
      </c>
      <c r="T245">
        <f>HYPERLINK("https://klasma.github.io/Logging_2283/kartor/A 54030-2023 karta.png", "A 54030-2023")</f>
        <v/>
      </c>
      <c r="V245">
        <f>HYPERLINK("https://klasma.github.io/Logging_2283/klagomål/A 54030-2023 FSC-klagomål.docx", "A 54030-2023")</f>
        <v/>
      </c>
      <c r="W245">
        <f>HYPERLINK("https://klasma.github.io/Logging_2283/klagomålsmail/A 54030-2023 FSC-klagomål mail.docx", "A 54030-2023")</f>
        <v/>
      </c>
      <c r="X245">
        <f>HYPERLINK("https://klasma.github.io/Logging_2283/tillsyn/A 54030-2023 tillsynsbegäran.docx", "A 54030-2023")</f>
        <v/>
      </c>
      <c r="Y245">
        <f>HYPERLINK("https://klasma.github.io/Logging_2283/tillsynsmail/A 54030-2023 tillsynsbegäran mail.docx", "A 54030-2023")</f>
        <v/>
      </c>
    </row>
    <row r="246" ht="15" customHeight="1">
      <c r="A246" t="inlineStr">
        <is>
          <t>A 16702-2024</t>
        </is>
      </c>
      <c r="B246" s="1" t="n">
        <v>45409</v>
      </c>
      <c r="C246" s="1" t="n">
        <v>45670</v>
      </c>
      <c r="D246" t="inlineStr">
        <is>
          <t>VÄSTERNORRLANDS LÄN</t>
        </is>
      </c>
      <c r="E246" t="inlineStr">
        <is>
          <t>SOLLEFTEÅ</t>
        </is>
      </c>
      <c r="F246" t="inlineStr">
        <is>
          <t>SCA</t>
        </is>
      </c>
      <c r="G246" t="n">
        <v>2.4</v>
      </c>
      <c r="H246" t="n">
        <v>0</v>
      </c>
      <c r="I246" t="n">
        <v>0</v>
      </c>
      <c r="J246" t="n">
        <v>3</v>
      </c>
      <c r="K246" t="n">
        <v>0</v>
      </c>
      <c r="L246" t="n">
        <v>0</v>
      </c>
      <c r="M246" t="n">
        <v>0</v>
      </c>
      <c r="N246" t="n">
        <v>0</v>
      </c>
      <c r="O246" t="n">
        <v>3</v>
      </c>
      <c r="P246" t="n">
        <v>0</v>
      </c>
      <c r="Q246" t="n">
        <v>3</v>
      </c>
      <c r="R246" s="2" t="inlineStr">
        <is>
          <t>Gammelgransskål
Rosenticka
Ullticka</t>
        </is>
      </c>
      <c r="S246">
        <f>HYPERLINK("https://klasma.github.io/Logging_2283/artfynd/A 16702-2024 artfynd.xlsx", "A 16702-2024")</f>
        <v/>
      </c>
      <c r="T246">
        <f>HYPERLINK("https://klasma.github.io/Logging_2283/kartor/A 16702-2024 karta.png", "A 16702-2024")</f>
        <v/>
      </c>
      <c r="V246">
        <f>HYPERLINK("https://klasma.github.io/Logging_2283/klagomål/A 16702-2024 FSC-klagomål.docx", "A 16702-2024")</f>
        <v/>
      </c>
      <c r="W246">
        <f>HYPERLINK("https://klasma.github.io/Logging_2283/klagomålsmail/A 16702-2024 FSC-klagomål mail.docx", "A 16702-2024")</f>
        <v/>
      </c>
      <c r="X246">
        <f>HYPERLINK("https://klasma.github.io/Logging_2283/tillsyn/A 16702-2024 tillsynsbegäran.docx", "A 16702-2024")</f>
        <v/>
      </c>
      <c r="Y246">
        <f>HYPERLINK("https://klasma.github.io/Logging_2283/tillsynsmail/A 16702-2024 tillsynsbegäran mail.docx", "A 16702-2024")</f>
        <v/>
      </c>
    </row>
    <row r="247" ht="15" customHeight="1">
      <c r="A247" t="inlineStr">
        <is>
          <t>A 21097-2024</t>
        </is>
      </c>
      <c r="B247" s="1" t="n">
        <v>45440</v>
      </c>
      <c r="C247" s="1" t="n">
        <v>45670</v>
      </c>
      <c r="D247" t="inlineStr">
        <is>
          <t>VÄSTERNORRLANDS LÄN</t>
        </is>
      </c>
      <c r="E247" t="inlineStr">
        <is>
          <t>SOLLEFTEÅ</t>
        </is>
      </c>
      <c r="F247" t="inlineStr">
        <is>
          <t>SCA</t>
        </is>
      </c>
      <c r="G247" t="n">
        <v>7.7</v>
      </c>
      <c r="H247" t="n">
        <v>1</v>
      </c>
      <c r="I247" t="n">
        <v>1</v>
      </c>
      <c r="J247" t="n">
        <v>2</v>
      </c>
      <c r="K247" t="n">
        <v>0</v>
      </c>
      <c r="L247" t="n">
        <v>0</v>
      </c>
      <c r="M247" t="n">
        <v>0</v>
      </c>
      <c r="N247" t="n">
        <v>0</v>
      </c>
      <c r="O247" t="n">
        <v>2</v>
      </c>
      <c r="P247" t="n">
        <v>0</v>
      </c>
      <c r="Q247" t="n">
        <v>3</v>
      </c>
      <c r="R247" s="2" t="inlineStr">
        <is>
          <t>Lunglav
Ullticka
Lappranunkel</t>
        </is>
      </c>
      <c r="S247">
        <f>HYPERLINK("https://klasma.github.io/Logging_2283/artfynd/A 21097-2024 artfynd.xlsx", "A 21097-2024")</f>
        <v/>
      </c>
      <c r="T247">
        <f>HYPERLINK("https://klasma.github.io/Logging_2283/kartor/A 21097-2024 karta.png", "A 21097-2024")</f>
        <v/>
      </c>
      <c r="V247">
        <f>HYPERLINK("https://klasma.github.io/Logging_2283/klagomål/A 21097-2024 FSC-klagomål.docx", "A 21097-2024")</f>
        <v/>
      </c>
      <c r="W247">
        <f>HYPERLINK("https://klasma.github.io/Logging_2283/klagomålsmail/A 21097-2024 FSC-klagomål mail.docx", "A 21097-2024")</f>
        <v/>
      </c>
      <c r="X247">
        <f>HYPERLINK("https://klasma.github.io/Logging_2283/tillsyn/A 21097-2024 tillsynsbegäran.docx", "A 21097-2024")</f>
        <v/>
      </c>
      <c r="Y247">
        <f>HYPERLINK("https://klasma.github.io/Logging_2283/tillsynsmail/A 21097-2024 tillsynsbegäran mail.docx", "A 21097-2024")</f>
        <v/>
      </c>
    </row>
    <row r="248" ht="15" customHeight="1">
      <c r="A248" t="inlineStr">
        <is>
          <t>A 23939-2024</t>
        </is>
      </c>
      <c r="B248" s="1" t="n">
        <v>45456</v>
      </c>
      <c r="C248" s="1" t="n">
        <v>45670</v>
      </c>
      <c r="D248" t="inlineStr">
        <is>
          <t>VÄSTERNORRLANDS LÄN</t>
        </is>
      </c>
      <c r="E248" t="inlineStr">
        <is>
          <t>SOLLEFTEÅ</t>
        </is>
      </c>
      <c r="F248" t="inlineStr">
        <is>
          <t>SCA</t>
        </is>
      </c>
      <c r="G248" t="n">
        <v>3</v>
      </c>
      <c r="H248" t="n">
        <v>1</v>
      </c>
      <c r="I248" t="n">
        <v>1</v>
      </c>
      <c r="J248" t="n">
        <v>2</v>
      </c>
      <c r="K248" t="n">
        <v>0</v>
      </c>
      <c r="L248" t="n">
        <v>0</v>
      </c>
      <c r="M248" t="n">
        <v>0</v>
      </c>
      <c r="N248" t="n">
        <v>0</v>
      </c>
      <c r="O248" t="n">
        <v>2</v>
      </c>
      <c r="P248" t="n">
        <v>0</v>
      </c>
      <c r="Q248" t="n">
        <v>3</v>
      </c>
      <c r="R248" s="2" t="inlineStr">
        <is>
          <t>Lunglav
Talltita
Stuplav</t>
        </is>
      </c>
      <c r="S248">
        <f>HYPERLINK("https://klasma.github.io/Logging_2283/artfynd/A 23939-2024 artfynd.xlsx", "A 23939-2024")</f>
        <v/>
      </c>
      <c r="T248">
        <f>HYPERLINK("https://klasma.github.io/Logging_2283/kartor/A 23939-2024 karta.png", "A 23939-2024")</f>
        <v/>
      </c>
      <c r="V248">
        <f>HYPERLINK("https://klasma.github.io/Logging_2283/klagomål/A 23939-2024 FSC-klagomål.docx", "A 23939-2024")</f>
        <v/>
      </c>
      <c r="W248">
        <f>HYPERLINK("https://klasma.github.io/Logging_2283/klagomålsmail/A 23939-2024 FSC-klagomål mail.docx", "A 23939-2024")</f>
        <v/>
      </c>
      <c r="X248">
        <f>HYPERLINK("https://klasma.github.io/Logging_2283/tillsyn/A 23939-2024 tillsynsbegäran.docx", "A 23939-2024")</f>
        <v/>
      </c>
      <c r="Y248">
        <f>HYPERLINK("https://klasma.github.io/Logging_2283/tillsynsmail/A 23939-2024 tillsynsbegäran mail.docx", "A 23939-2024")</f>
        <v/>
      </c>
      <c r="Z248">
        <f>HYPERLINK("https://klasma.github.io/Logging_2283/fåglar/A 23939-2024 prioriterade fågelarter.docx", "A 23939-2024")</f>
        <v/>
      </c>
    </row>
    <row r="249" ht="15" customHeight="1">
      <c r="A249" t="inlineStr">
        <is>
          <t>A 24757-2024</t>
        </is>
      </c>
      <c r="B249" s="1" t="n">
        <v>45460</v>
      </c>
      <c r="C249" s="1" t="n">
        <v>45670</v>
      </c>
      <c r="D249" t="inlineStr">
        <is>
          <t>VÄSTERNORRLANDS LÄN</t>
        </is>
      </c>
      <c r="E249" t="inlineStr">
        <is>
          <t>SOLLEFTEÅ</t>
        </is>
      </c>
      <c r="G249" t="n">
        <v>1.4</v>
      </c>
      <c r="H249" t="n">
        <v>1</v>
      </c>
      <c r="I249" t="n">
        <v>0</v>
      </c>
      <c r="J249" t="n">
        <v>2</v>
      </c>
      <c r="K249" t="n">
        <v>0</v>
      </c>
      <c r="L249" t="n">
        <v>0</v>
      </c>
      <c r="M249" t="n">
        <v>0</v>
      </c>
      <c r="N249" t="n">
        <v>0</v>
      </c>
      <c r="O249" t="n">
        <v>2</v>
      </c>
      <c r="P249" t="n">
        <v>0</v>
      </c>
      <c r="Q249" t="n">
        <v>3</v>
      </c>
      <c r="R249" s="2" t="inlineStr">
        <is>
          <t>Harticka
Lunglav
Revlummer</t>
        </is>
      </c>
      <c r="S249">
        <f>HYPERLINK("https://klasma.github.io/Logging_2283/artfynd/A 24757-2024 artfynd.xlsx", "A 24757-2024")</f>
        <v/>
      </c>
      <c r="T249">
        <f>HYPERLINK("https://klasma.github.io/Logging_2283/kartor/A 24757-2024 karta.png", "A 24757-2024")</f>
        <v/>
      </c>
      <c r="V249">
        <f>HYPERLINK("https://klasma.github.io/Logging_2283/klagomål/A 24757-2024 FSC-klagomål.docx", "A 24757-2024")</f>
        <v/>
      </c>
      <c r="W249">
        <f>HYPERLINK("https://klasma.github.io/Logging_2283/klagomålsmail/A 24757-2024 FSC-klagomål mail.docx", "A 24757-2024")</f>
        <v/>
      </c>
      <c r="X249">
        <f>HYPERLINK("https://klasma.github.io/Logging_2283/tillsyn/A 24757-2024 tillsynsbegäran.docx", "A 24757-2024")</f>
        <v/>
      </c>
      <c r="Y249">
        <f>HYPERLINK("https://klasma.github.io/Logging_2283/tillsynsmail/A 24757-2024 tillsynsbegäran mail.docx", "A 24757-2024")</f>
        <v/>
      </c>
    </row>
    <row r="250" ht="15" customHeight="1">
      <c r="A250" t="inlineStr">
        <is>
          <t>A 32256-2024</t>
        </is>
      </c>
      <c r="B250" s="1" t="n">
        <v>45511</v>
      </c>
      <c r="C250" s="1" t="n">
        <v>45670</v>
      </c>
      <c r="D250" t="inlineStr">
        <is>
          <t>VÄSTERNORRLANDS LÄN</t>
        </is>
      </c>
      <c r="E250" t="inlineStr">
        <is>
          <t>SOLLEFTEÅ</t>
        </is>
      </c>
      <c r="F250" t="inlineStr">
        <is>
          <t>SCA</t>
        </is>
      </c>
      <c r="G250" t="n">
        <v>3.9</v>
      </c>
      <c r="H250" t="n">
        <v>1</v>
      </c>
      <c r="I250" t="n">
        <v>1</v>
      </c>
      <c r="J250" t="n">
        <v>2</v>
      </c>
      <c r="K250" t="n">
        <v>0</v>
      </c>
      <c r="L250" t="n">
        <v>0</v>
      </c>
      <c r="M250" t="n">
        <v>0</v>
      </c>
      <c r="N250" t="n">
        <v>0</v>
      </c>
      <c r="O250" t="n">
        <v>2</v>
      </c>
      <c r="P250" t="n">
        <v>0</v>
      </c>
      <c r="Q250" t="n">
        <v>3</v>
      </c>
      <c r="R250" s="2" t="inlineStr">
        <is>
          <t>Tretåig hackspett
Vedtrappmossa
Fjällig taggsvamp s.str.</t>
        </is>
      </c>
      <c r="S250">
        <f>HYPERLINK("https://klasma.github.io/Logging_2283/artfynd/A 32256-2024 artfynd.xlsx", "A 32256-2024")</f>
        <v/>
      </c>
      <c r="T250">
        <f>HYPERLINK("https://klasma.github.io/Logging_2283/kartor/A 32256-2024 karta.png", "A 32256-2024")</f>
        <v/>
      </c>
      <c r="V250">
        <f>HYPERLINK("https://klasma.github.io/Logging_2283/klagomål/A 32256-2024 FSC-klagomål.docx", "A 32256-2024")</f>
        <v/>
      </c>
      <c r="W250">
        <f>HYPERLINK("https://klasma.github.io/Logging_2283/klagomålsmail/A 32256-2024 FSC-klagomål mail.docx", "A 32256-2024")</f>
        <v/>
      </c>
      <c r="X250">
        <f>HYPERLINK("https://klasma.github.io/Logging_2283/tillsyn/A 32256-2024 tillsynsbegäran.docx", "A 32256-2024")</f>
        <v/>
      </c>
      <c r="Y250">
        <f>HYPERLINK("https://klasma.github.io/Logging_2283/tillsynsmail/A 32256-2024 tillsynsbegäran mail.docx", "A 32256-2024")</f>
        <v/>
      </c>
      <c r="Z250">
        <f>HYPERLINK("https://klasma.github.io/Logging_2283/fåglar/A 32256-2024 prioriterade fågelarter.docx", "A 32256-2024")</f>
        <v/>
      </c>
    </row>
    <row r="251" ht="15" customHeight="1">
      <c r="A251" t="inlineStr">
        <is>
          <t>A 38096-2024</t>
        </is>
      </c>
      <c r="B251" s="1" t="n">
        <v>45545</v>
      </c>
      <c r="C251" s="1" t="n">
        <v>45670</v>
      </c>
      <c r="D251" t="inlineStr">
        <is>
          <t>VÄSTERNORRLANDS LÄN</t>
        </is>
      </c>
      <c r="E251" t="inlineStr">
        <is>
          <t>SOLLEFTEÅ</t>
        </is>
      </c>
      <c r="F251" t="inlineStr">
        <is>
          <t>SCA</t>
        </is>
      </c>
      <c r="G251" t="n">
        <v>5.2</v>
      </c>
      <c r="H251" t="n">
        <v>1</v>
      </c>
      <c r="I251" t="n">
        <v>2</v>
      </c>
      <c r="J251" t="n">
        <v>1</v>
      </c>
      <c r="K251" t="n">
        <v>0</v>
      </c>
      <c r="L251" t="n">
        <v>0</v>
      </c>
      <c r="M251" t="n">
        <v>0</v>
      </c>
      <c r="N251" t="n">
        <v>0</v>
      </c>
      <c r="O251" t="n">
        <v>1</v>
      </c>
      <c r="P251" t="n">
        <v>0</v>
      </c>
      <c r="Q251" t="n">
        <v>3</v>
      </c>
      <c r="R251" s="2" t="inlineStr">
        <is>
          <t>Lunglav
Bollvitmossa
Lappranunkel</t>
        </is>
      </c>
      <c r="S251">
        <f>HYPERLINK("https://klasma.github.io/Logging_2283/artfynd/A 38096-2024 artfynd.xlsx", "A 38096-2024")</f>
        <v/>
      </c>
      <c r="T251">
        <f>HYPERLINK("https://klasma.github.io/Logging_2283/kartor/A 38096-2024 karta.png", "A 38096-2024")</f>
        <v/>
      </c>
      <c r="V251">
        <f>HYPERLINK("https://klasma.github.io/Logging_2283/klagomål/A 38096-2024 FSC-klagomål.docx", "A 38096-2024")</f>
        <v/>
      </c>
      <c r="W251">
        <f>HYPERLINK("https://klasma.github.io/Logging_2283/klagomålsmail/A 38096-2024 FSC-klagomål mail.docx", "A 38096-2024")</f>
        <v/>
      </c>
      <c r="X251">
        <f>HYPERLINK("https://klasma.github.io/Logging_2283/tillsyn/A 38096-2024 tillsynsbegäran.docx", "A 38096-2024")</f>
        <v/>
      </c>
      <c r="Y251">
        <f>HYPERLINK("https://klasma.github.io/Logging_2283/tillsynsmail/A 38096-2024 tillsynsbegäran mail.docx", "A 38096-2024")</f>
        <v/>
      </c>
    </row>
    <row r="252" ht="15" customHeight="1">
      <c r="A252" t="inlineStr">
        <is>
          <t>A 42951-2024</t>
        </is>
      </c>
      <c r="B252" s="1" t="n">
        <v>45567</v>
      </c>
      <c r="C252" s="1" t="n">
        <v>45670</v>
      </c>
      <c r="D252" t="inlineStr">
        <is>
          <t>VÄSTERNORRLANDS LÄN</t>
        </is>
      </c>
      <c r="E252" t="inlineStr">
        <is>
          <t>SOLLEFTEÅ</t>
        </is>
      </c>
      <c r="F252" t="inlineStr">
        <is>
          <t>SCA</t>
        </is>
      </c>
      <c r="G252" t="n">
        <v>8</v>
      </c>
      <c r="H252" t="n">
        <v>2</v>
      </c>
      <c r="I252" t="n">
        <v>0</v>
      </c>
      <c r="J252" t="n">
        <v>1</v>
      </c>
      <c r="K252" t="n">
        <v>1</v>
      </c>
      <c r="L252" t="n">
        <v>0</v>
      </c>
      <c r="M252" t="n">
        <v>0</v>
      </c>
      <c r="N252" t="n">
        <v>0</v>
      </c>
      <c r="O252" t="n">
        <v>2</v>
      </c>
      <c r="P252" t="n">
        <v>1</v>
      </c>
      <c r="Q252" t="n">
        <v>3</v>
      </c>
      <c r="R252" s="2" t="inlineStr">
        <is>
          <t>Knärot
Rosenticka
Revlummer</t>
        </is>
      </c>
      <c r="S252">
        <f>HYPERLINK("https://klasma.github.io/Logging_2283/artfynd/A 42951-2024 artfynd.xlsx", "A 42951-2024")</f>
        <v/>
      </c>
      <c r="T252">
        <f>HYPERLINK("https://klasma.github.io/Logging_2283/kartor/A 42951-2024 karta.png", "A 42951-2024")</f>
        <v/>
      </c>
      <c r="U252">
        <f>HYPERLINK("https://klasma.github.io/Logging_2283/knärot/A 42951-2024 karta knärot.png", "A 42951-2024")</f>
        <v/>
      </c>
      <c r="V252">
        <f>HYPERLINK("https://klasma.github.io/Logging_2283/klagomål/A 42951-2024 FSC-klagomål.docx", "A 42951-2024")</f>
        <v/>
      </c>
      <c r="W252">
        <f>HYPERLINK("https://klasma.github.io/Logging_2283/klagomålsmail/A 42951-2024 FSC-klagomål mail.docx", "A 42951-2024")</f>
        <v/>
      </c>
      <c r="X252">
        <f>HYPERLINK("https://klasma.github.io/Logging_2283/tillsyn/A 42951-2024 tillsynsbegäran.docx", "A 42951-2024")</f>
        <v/>
      </c>
      <c r="Y252">
        <f>HYPERLINK("https://klasma.github.io/Logging_2283/tillsynsmail/A 42951-2024 tillsynsbegäran mail.docx", "A 42951-2024")</f>
        <v/>
      </c>
    </row>
    <row r="253" ht="15" customHeight="1">
      <c r="A253" t="inlineStr">
        <is>
          <t>A 51064-2024</t>
        </is>
      </c>
      <c r="B253" s="1" t="n">
        <v>45603</v>
      </c>
      <c r="C253" s="1" t="n">
        <v>45670</v>
      </c>
      <c r="D253" t="inlineStr">
        <is>
          <t>VÄSTERNORRLANDS LÄN</t>
        </is>
      </c>
      <c r="E253" t="inlineStr">
        <is>
          <t>SOLLEFTEÅ</t>
        </is>
      </c>
      <c r="F253" t="inlineStr">
        <is>
          <t>SCA</t>
        </is>
      </c>
      <c r="G253" t="n">
        <v>1.6</v>
      </c>
      <c r="H253" t="n">
        <v>1</v>
      </c>
      <c r="I253" t="n">
        <v>0</v>
      </c>
      <c r="J253" t="n">
        <v>2</v>
      </c>
      <c r="K253" t="n">
        <v>1</v>
      </c>
      <c r="L253" t="n">
        <v>0</v>
      </c>
      <c r="M253" t="n">
        <v>0</v>
      </c>
      <c r="N253" t="n">
        <v>0</v>
      </c>
      <c r="O253" t="n">
        <v>3</v>
      </c>
      <c r="P253" t="n">
        <v>1</v>
      </c>
      <c r="Q253" t="n">
        <v>3</v>
      </c>
      <c r="R253" s="2" t="inlineStr">
        <is>
          <t>Knärot
Lunglav
Rosenticka</t>
        </is>
      </c>
      <c r="S253">
        <f>HYPERLINK("https://klasma.github.io/Logging_2283/artfynd/A 51064-2024 artfynd.xlsx", "A 51064-2024")</f>
        <v/>
      </c>
      <c r="T253">
        <f>HYPERLINK("https://klasma.github.io/Logging_2283/kartor/A 51064-2024 karta.png", "A 51064-2024")</f>
        <v/>
      </c>
      <c r="U253">
        <f>HYPERLINK("https://klasma.github.io/Logging_2283/knärot/A 51064-2024 karta knärot.png", "A 51064-2024")</f>
        <v/>
      </c>
      <c r="V253">
        <f>HYPERLINK("https://klasma.github.io/Logging_2283/klagomål/A 51064-2024 FSC-klagomål.docx", "A 51064-2024")</f>
        <v/>
      </c>
      <c r="W253">
        <f>HYPERLINK("https://klasma.github.io/Logging_2283/klagomålsmail/A 51064-2024 FSC-klagomål mail.docx", "A 51064-2024")</f>
        <v/>
      </c>
      <c r="X253">
        <f>HYPERLINK("https://klasma.github.io/Logging_2283/tillsyn/A 51064-2024 tillsynsbegäran.docx", "A 51064-2024")</f>
        <v/>
      </c>
      <c r="Y253">
        <f>HYPERLINK("https://klasma.github.io/Logging_2283/tillsynsmail/A 51064-2024 tillsynsbegäran mail.docx", "A 51064-2024")</f>
        <v/>
      </c>
    </row>
    <row r="254" ht="15" customHeight="1">
      <c r="A254" t="inlineStr">
        <is>
          <t>A 53852-2024</t>
        </is>
      </c>
      <c r="B254" s="1" t="n">
        <v>45615</v>
      </c>
      <c r="C254" s="1" t="n">
        <v>45670</v>
      </c>
      <c r="D254" t="inlineStr">
        <is>
          <t>VÄSTERNORRLANDS LÄN</t>
        </is>
      </c>
      <c r="E254" t="inlineStr">
        <is>
          <t>SOLLEFTEÅ</t>
        </is>
      </c>
      <c r="F254" t="inlineStr">
        <is>
          <t>SCA</t>
        </is>
      </c>
      <c r="G254" t="n">
        <v>0.7</v>
      </c>
      <c r="H254" t="n">
        <v>1</v>
      </c>
      <c r="I254" t="n">
        <v>2</v>
      </c>
      <c r="J254" t="n">
        <v>1</v>
      </c>
      <c r="K254" t="n">
        <v>0</v>
      </c>
      <c r="L254" t="n">
        <v>0</v>
      </c>
      <c r="M254" t="n">
        <v>0</v>
      </c>
      <c r="N254" t="n">
        <v>0</v>
      </c>
      <c r="O254" t="n">
        <v>1</v>
      </c>
      <c r="P254" t="n">
        <v>0</v>
      </c>
      <c r="Q254" t="n">
        <v>3</v>
      </c>
      <c r="R254" s="2" t="inlineStr">
        <is>
          <t>Garnlav
Korallrot
Ögonpyrola</t>
        </is>
      </c>
      <c r="S254">
        <f>HYPERLINK("https://klasma.github.io/Logging_2283/artfynd/A 53852-2024 artfynd.xlsx", "A 53852-2024")</f>
        <v/>
      </c>
      <c r="T254">
        <f>HYPERLINK("https://klasma.github.io/Logging_2283/kartor/A 53852-2024 karta.png", "A 53852-2024")</f>
        <v/>
      </c>
      <c r="V254">
        <f>HYPERLINK("https://klasma.github.io/Logging_2283/klagomål/A 53852-2024 FSC-klagomål.docx", "A 53852-2024")</f>
        <v/>
      </c>
      <c r="W254">
        <f>HYPERLINK("https://klasma.github.io/Logging_2283/klagomålsmail/A 53852-2024 FSC-klagomål mail.docx", "A 53852-2024")</f>
        <v/>
      </c>
      <c r="X254">
        <f>HYPERLINK("https://klasma.github.io/Logging_2283/tillsyn/A 53852-2024 tillsynsbegäran.docx", "A 53852-2024")</f>
        <v/>
      </c>
      <c r="Y254">
        <f>HYPERLINK("https://klasma.github.io/Logging_2283/tillsynsmail/A 53852-2024 tillsynsbegäran mail.docx", "A 53852-2024")</f>
        <v/>
      </c>
    </row>
    <row r="255" ht="15" customHeight="1">
      <c r="A255" t="inlineStr">
        <is>
          <t>A 53682-2024</t>
        </is>
      </c>
      <c r="B255" s="1" t="n">
        <v>45615</v>
      </c>
      <c r="C255" s="1" t="n">
        <v>45670</v>
      </c>
      <c r="D255" t="inlineStr">
        <is>
          <t>VÄSTERNORRLANDS LÄN</t>
        </is>
      </c>
      <c r="E255" t="inlineStr">
        <is>
          <t>SOLLEFTEÅ</t>
        </is>
      </c>
      <c r="F255" t="inlineStr">
        <is>
          <t>SCA</t>
        </is>
      </c>
      <c r="G255" t="n">
        <v>9.5</v>
      </c>
      <c r="H255" t="n">
        <v>0</v>
      </c>
      <c r="I255" t="n">
        <v>0</v>
      </c>
      <c r="J255" t="n">
        <v>2</v>
      </c>
      <c r="K255" t="n">
        <v>1</v>
      </c>
      <c r="L255" t="n">
        <v>0</v>
      </c>
      <c r="M255" t="n">
        <v>0</v>
      </c>
      <c r="N255" t="n">
        <v>0</v>
      </c>
      <c r="O255" t="n">
        <v>3</v>
      </c>
      <c r="P255" t="n">
        <v>1</v>
      </c>
      <c r="Q255" t="n">
        <v>3</v>
      </c>
      <c r="R255" s="2" t="inlineStr">
        <is>
          <t>Tallgråticka
Blå taggsvamp
Skrovlig taggsvamp</t>
        </is>
      </c>
      <c r="S255">
        <f>HYPERLINK("https://klasma.github.io/Logging_2283/artfynd/A 53682-2024 artfynd.xlsx", "A 53682-2024")</f>
        <v/>
      </c>
      <c r="T255">
        <f>HYPERLINK("https://klasma.github.io/Logging_2283/kartor/A 53682-2024 karta.png", "A 53682-2024")</f>
        <v/>
      </c>
      <c r="V255">
        <f>HYPERLINK("https://klasma.github.io/Logging_2283/klagomål/A 53682-2024 FSC-klagomål.docx", "A 53682-2024")</f>
        <v/>
      </c>
      <c r="W255">
        <f>HYPERLINK("https://klasma.github.io/Logging_2283/klagomålsmail/A 53682-2024 FSC-klagomål mail.docx", "A 53682-2024")</f>
        <v/>
      </c>
      <c r="X255">
        <f>HYPERLINK("https://klasma.github.io/Logging_2283/tillsyn/A 53682-2024 tillsynsbegäran.docx", "A 53682-2024")</f>
        <v/>
      </c>
      <c r="Y255">
        <f>HYPERLINK("https://klasma.github.io/Logging_2283/tillsynsmail/A 53682-2024 tillsynsbegäran mail.docx", "A 53682-2024")</f>
        <v/>
      </c>
    </row>
    <row r="256" ht="15" customHeight="1">
      <c r="A256" t="inlineStr">
        <is>
          <t>A 54624-2024</t>
        </is>
      </c>
      <c r="B256" s="1" t="n">
        <v>45617</v>
      </c>
      <c r="C256" s="1" t="n">
        <v>45670</v>
      </c>
      <c r="D256" t="inlineStr">
        <is>
          <t>VÄSTERNORRLANDS LÄN</t>
        </is>
      </c>
      <c r="E256" t="inlineStr">
        <is>
          <t>SOLLEFTEÅ</t>
        </is>
      </c>
      <c r="G256" t="n">
        <v>11.5</v>
      </c>
      <c r="H256" t="n">
        <v>0</v>
      </c>
      <c r="I256" t="n">
        <v>2</v>
      </c>
      <c r="J256" t="n">
        <v>1</v>
      </c>
      <c r="K256" t="n">
        <v>0</v>
      </c>
      <c r="L256" t="n">
        <v>0</v>
      </c>
      <c r="M256" t="n">
        <v>0</v>
      </c>
      <c r="N256" t="n">
        <v>0</v>
      </c>
      <c r="O256" t="n">
        <v>1</v>
      </c>
      <c r="P256" t="n">
        <v>0</v>
      </c>
      <c r="Q256" t="n">
        <v>3</v>
      </c>
      <c r="R256" s="2" t="inlineStr">
        <is>
          <t>Ullticka
Stuplav
Vedticka</t>
        </is>
      </c>
      <c r="S256">
        <f>HYPERLINK("https://klasma.github.io/Logging_2283/artfynd/A 54624-2024 artfynd.xlsx", "A 54624-2024")</f>
        <v/>
      </c>
      <c r="T256">
        <f>HYPERLINK("https://klasma.github.io/Logging_2283/kartor/A 54624-2024 karta.png", "A 54624-2024")</f>
        <v/>
      </c>
      <c r="V256">
        <f>HYPERLINK("https://klasma.github.io/Logging_2283/klagomål/A 54624-2024 FSC-klagomål.docx", "A 54624-2024")</f>
        <v/>
      </c>
      <c r="W256">
        <f>HYPERLINK("https://klasma.github.io/Logging_2283/klagomålsmail/A 54624-2024 FSC-klagomål mail.docx", "A 54624-2024")</f>
        <v/>
      </c>
      <c r="X256">
        <f>HYPERLINK("https://klasma.github.io/Logging_2283/tillsyn/A 54624-2024 tillsynsbegäran.docx", "A 54624-2024")</f>
        <v/>
      </c>
      <c r="Y256">
        <f>HYPERLINK("https://klasma.github.io/Logging_2283/tillsynsmail/A 54624-2024 tillsynsbegäran mail.docx", "A 54624-2024")</f>
        <v/>
      </c>
    </row>
    <row r="257" ht="15" customHeight="1">
      <c r="A257" t="inlineStr">
        <is>
          <t>A 61323-2024</t>
        </is>
      </c>
      <c r="B257" s="1" t="n">
        <v>45646</v>
      </c>
      <c r="C257" s="1" t="n">
        <v>45670</v>
      </c>
      <c r="D257" t="inlineStr">
        <is>
          <t>VÄSTERNORRLANDS LÄN</t>
        </is>
      </c>
      <c r="E257" t="inlineStr">
        <is>
          <t>SOLLEFTEÅ</t>
        </is>
      </c>
      <c r="F257" t="inlineStr">
        <is>
          <t>SCA</t>
        </is>
      </c>
      <c r="G257" t="n">
        <v>5.2</v>
      </c>
      <c r="H257" t="n">
        <v>0</v>
      </c>
      <c r="I257" t="n">
        <v>0</v>
      </c>
      <c r="J257" t="n">
        <v>2</v>
      </c>
      <c r="K257" t="n">
        <v>1</v>
      </c>
      <c r="L257" t="n">
        <v>0</v>
      </c>
      <c r="M257" t="n">
        <v>0</v>
      </c>
      <c r="N257" t="n">
        <v>0</v>
      </c>
      <c r="O257" t="n">
        <v>3</v>
      </c>
      <c r="P257" t="n">
        <v>1</v>
      </c>
      <c r="Q257" t="n">
        <v>3</v>
      </c>
      <c r="R257" s="2" t="inlineStr">
        <is>
          <t>Ulltickeporing
Rosenticka
Ullticka</t>
        </is>
      </c>
      <c r="S257">
        <f>HYPERLINK("https://klasma.github.io/Logging_2283/artfynd/A 61323-2024 artfynd.xlsx", "A 61323-2024")</f>
        <v/>
      </c>
      <c r="T257">
        <f>HYPERLINK("https://klasma.github.io/Logging_2283/kartor/A 61323-2024 karta.png", "A 61323-2024")</f>
        <v/>
      </c>
      <c r="V257">
        <f>HYPERLINK("https://klasma.github.io/Logging_2283/klagomål/A 61323-2024 FSC-klagomål.docx", "A 61323-2024")</f>
        <v/>
      </c>
      <c r="W257">
        <f>HYPERLINK("https://klasma.github.io/Logging_2283/klagomålsmail/A 61323-2024 FSC-klagomål mail.docx", "A 61323-2024")</f>
        <v/>
      </c>
      <c r="X257">
        <f>HYPERLINK("https://klasma.github.io/Logging_2283/tillsyn/A 61323-2024 tillsynsbegäran.docx", "A 61323-2024")</f>
        <v/>
      </c>
      <c r="Y257">
        <f>HYPERLINK("https://klasma.github.io/Logging_2283/tillsynsmail/A 61323-2024 tillsynsbegäran mail.docx", "A 61323-2024")</f>
        <v/>
      </c>
    </row>
    <row r="258" ht="15" customHeight="1">
      <c r="A258" t="inlineStr">
        <is>
          <t>A 18452-2019</t>
        </is>
      </c>
      <c r="B258" s="1" t="n">
        <v>43559</v>
      </c>
      <c r="C258" s="1" t="n">
        <v>45670</v>
      </c>
      <c r="D258" t="inlineStr">
        <is>
          <t>VÄSTERNORRLANDS LÄN</t>
        </is>
      </c>
      <c r="E258" t="inlineStr">
        <is>
          <t>SOLLEFTEÅ</t>
        </is>
      </c>
      <c r="G258" t="n">
        <v>2.2</v>
      </c>
      <c r="H258" t="n">
        <v>0</v>
      </c>
      <c r="I258" t="n">
        <v>1</v>
      </c>
      <c r="J258" t="n">
        <v>1</v>
      </c>
      <c r="K258" t="n">
        <v>0</v>
      </c>
      <c r="L258" t="n">
        <v>0</v>
      </c>
      <c r="M258" t="n">
        <v>0</v>
      </c>
      <c r="N258" t="n">
        <v>0</v>
      </c>
      <c r="O258" t="n">
        <v>1</v>
      </c>
      <c r="P258" t="n">
        <v>0</v>
      </c>
      <c r="Q258" t="n">
        <v>2</v>
      </c>
      <c r="R258" s="2" t="inlineStr">
        <is>
          <t>Lunglav
Bollvitmossa</t>
        </is>
      </c>
      <c r="S258">
        <f>HYPERLINK("https://klasma.github.io/Logging_2283/artfynd/A 18452-2019 artfynd.xlsx", "A 18452-2019")</f>
        <v/>
      </c>
      <c r="T258">
        <f>HYPERLINK("https://klasma.github.io/Logging_2283/kartor/A 18452-2019 karta.png", "A 18452-2019")</f>
        <v/>
      </c>
      <c r="V258">
        <f>HYPERLINK("https://klasma.github.io/Logging_2283/klagomål/A 18452-2019 FSC-klagomål.docx", "A 18452-2019")</f>
        <v/>
      </c>
      <c r="W258">
        <f>HYPERLINK("https://klasma.github.io/Logging_2283/klagomålsmail/A 18452-2019 FSC-klagomål mail.docx", "A 18452-2019")</f>
        <v/>
      </c>
      <c r="X258">
        <f>HYPERLINK("https://klasma.github.io/Logging_2283/tillsyn/A 18452-2019 tillsynsbegäran.docx", "A 18452-2019")</f>
        <v/>
      </c>
      <c r="Y258">
        <f>HYPERLINK("https://klasma.github.io/Logging_2283/tillsynsmail/A 18452-2019 tillsynsbegäran mail.docx", "A 18452-2019")</f>
        <v/>
      </c>
    </row>
    <row r="259" ht="15" customHeight="1">
      <c r="A259" t="inlineStr">
        <is>
          <t>A 21120-2019</t>
        </is>
      </c>
      <c r="B259" s="1" t="n">
        <v>43578</v>
      </c>
      <c r="C259" s="1" t="n">
        <v>45670</v>
      </c>
      <c r="D259" t="inlineStr">
        <is>
          <t>VÄSTERNORRLANDS LÄN</t>
        </is>
      </c>
      <c r="E259" t="inlineStr">
        <is>
          <t>SOLLEFTEÅ</t>
        </is>
      </c>
      <c r="F259" t="inlineStr">
        <is>
          <t>SCA</t>
        </is>
      </c>
      <c r="G259" t="n">
        <v>54.4</v>
      </c>
      <c r="H259" t="n">
        <v>2</v>
      </c>
      <c r="I259" t="n">
        <v>0</v>
      </c>
      <c r="J259" t="n">
        <v>1</v>
      </c>
      <c r="K259" t="n">
        <v>0</v>
      </c>
      <c r="L259" t="n">
        <v>0</v>
      </c>
      <c r="M259" t="n">
        <v>0</v>
      </c>
      <c r="N259" t="n">
        <v>0</v>
      </c>
      <c r="O259" t="n">
        <v>1</v>
      </c>
      <c r="P259" t="n">
        <v>0</v>
      </c>
      <c r="Q259" t="n">
        <v>2</v>
      </c>
      <c r="R259" s="2" t="inlineStr">
        <is>
          <t>Buskskvätta
Revlummer</t>
        </is>
      </c>
      <c r="S259">
        <f>HYPERLINK("https://klasma.github.io/Logging_2283/artfynd/A 21120-2019 artfynd.xlsx", "A 21120-2019")</f>
        <v/>
      </c>
      <c r="T259">
        <f>HYPERLINK("https://klasma.github.io/Logging_2283/kartor/A 21120-2019 karta.png", "A 21120-2019")</f>
        <v/>
      </c>
      <c r="V259">
        <f>HYPERLINK("https://klasma.github.io/Logging_2283/klagomål/A 21120-2019 FSC-klagomål.docx", "A 21120-2019")</f>
        <v/>
      </c>
      <c r="W259">
        <f>HYPERLINK("https://klasma.github.io/Logging_2283/klagomålsmail/A 21120-2019 FSC-klagomål mail.docx", "A 21120-2019")</f>
        <v/>
      </c>
      <c r="X259">
        <f>HYPERLINK("https://klasma.github.io/Logging_2283/tillsyn/A 21120-2019 tillsynsbegäran.docx", "A 21120-2019")</f>
        <v/>
      </c>
      <c r="Y259">
        <f>HYPERLINK("https://klasma.github.io/Logging_2283/tillsynsmail/A 21120-2019 tillsynsbegäran mail.docx", "A 21120-2019")</f>
        <v/>
      </c>
      <c r="Z259">
        <f>HYPERLINK("https://klasma.github.io/Logging_2283/fåglar/A 21120-2019 prioriterade fågelarter.docx", "A 21120-2019")</f>
        <v/>
      </c>
    </row>
    <row r="260" ht="15" customHeight="1">
      <c r="A260" t="inlineStr">
        <is>
          <t>A 34918-2019</t>
        </is>
      </c>
      <c r="B260" s="1" t="n">
        <v>43658</v>
      </c>
      <c r="C260" s="1" t="n">
        <v>45670</v>
      </c>
      <c r="D260" t="inlineStr">
        <is>
          <t>VÄSTERNORRLANDS LÄN</t>
        </is>
      </c>
      <c r="E260" t="inlineStr">
        <is>
          <t>SOLLEFTEÅ</t>
        </is>
      </c>
      <c r="G260" t="n">
        <v>2.7</v>
      </c>
      <c r="H260" t="n">
        <v>0</v>
      </c>
      <c r="I260" t="n">
        <v>0</v>
      </c>
      <c r="J260" t="n">
        <v>2</v>
      </c>
      <c r="K260" t="n">
        <v>0</v>
      </c>
      <c r="L260" t="n">
        <v>0</v>
      </c>
      <c r="M260" t="n">
        <v>0</v>
      </c>
      <c r="N260" t="n">
        <v>0</v>
      </c>
      <c r="O260" t="n">
        <v>2</v>
      </c>
      <c r="P260" t="n">
        <v>0</v>
      </c>
      <c r="Q260" t="n">
        <v>2</v>
      </c>
      <c r="R260" s="2" t="inlineStr">
        <is>
          <t>Granticka
Ullticka</t>
        </is>
      </c>
      <c r="S260">
        <f>HYPERLINK("https://klasma.github.io/Logging_2283/artfynd/A 34918-2019 artfynd.xlsx", "A 34918-2019")</f>
        <v/>
      </c>
      <c r="T260">
        <f>HYPERLINK("https://klasma.github.io/Logging_2283/kartor/A 34918-2019 karta.png", "A 34918-2019")</f>
        <v/>
      </c>
      <c r="V260">
        <f>HYPERLINK("https://klasma.github.io/Logging_2283/klagomål/A 34918-2019 FSC-klagomål.docx", "A 34918-2019")</f>
        <v/>
      </c>
      <c r="W260">
        <f>HYPERLINK("https://klasma.github.io/Logging_2283/klagomålsmail/A 34918-2019 FSC-klagomål mail.docx", "A 34918-2019")</f>
        <v/>
      </c>
      <c r="X260">
        <f>HYPERLINK("https://klasma.github.io/Logging_2283/tillsyn/A 34918-2019 tillsynsbegäran.docx", "A 34918-2019")</f>
        <v/>
      </c>
      <c r="Y260">
        <f>HYPERLINK("https://klasma.github.io/Logging_2283/tillsynsmail/A 34918-2019 tillsynsbegäran mail.docx", "A 34918-2019")</f>
        <v/>
      </c>
    </row>
    <row r="261" ht="15" customHeight="1">
      <c r="A261" t="inlineStr">
        <is>
          <t>A 66366-2019</t>
        </is>
      </c>
      <c r="B261" s="1" t="n">
        <v>43808</v>
      </c>
      <c r="C261" s="1" t="n">
        <v>45670</v>
      </c>
      <c r="D261" t="inlineStr">
        <is>
          <t>VÄSTERNORRLANDS LÄN</t>
        </is>
      </c>
      <c r="E261" t="inlineStr">
        <is>
          <t>SOLLEFTEÅ</t>
        </is>
      </c>
      <c r="G261" t="n">
        <v>2.9</v>
      </c>
      <c r="H261" t="n">
        <v>0</v>
      </c>
      <c r="I261" t="n">
        <v>1</v>
      </c>
      <c r="J261" t="n">
        <v>1</v>
      </c>
      <c r="K261" t="n">
        <v>0</v>
      </c>
      <c r="L261" t="n">
        <v>0</v>
      </c>
      <c r="M261" t="n">
        <v>0</v>
      </c>
      <c r="N261" t="n">
        <v>0</v>
      </c>
      <c r="O261" t="n">
        <v>1</v>
      </c>
      <c r="P261" t="n">
        <v>0</v>
      </c>
      <c r="Q261" t="n">
        <v>2</v>
      </c>
      <c r="R261" s="2" t="inlineStr">
        <is>
          <t>Lunglav
Stor aspticka</t>
        </is>
      </c>
      <c r="S261">
        <f>HYPERLINK("https://klasma.github.io/Logging_2283/artfynd/A 66366-2019 artfynd.xlsx", "A 66366-2019")</f>
        <v/>
      </c>
      <c r="T261">
        <f>HYPERLINK("https://klasma.github.io/Logging_2283/kartor/A 66366-2019 karta.png", "A 66366-2019")</f>
        <v/>
      </c>
      <c r="V261">
        <f>HYPERLINK("https://klasma.github.io/Logging_2283/klagomål/A 66366-2019 FSC-klagomål.docx", "A 66366-2019")</f>
        <v/>
      </c>
      <c r="W261">
        <f>HYPERLINK("https://klasma.github.io/Logging_2283/klagomålsmail/A 66366-2019 FSC-klagomål mail.docx", "A 66366-2019")</f>
        <v/>
      </c>
      <c r="X261">
        <f>HYPERLINK("https://klasma.github.io/Logging_2283/tillsyn/A 66366-2019 tillsynsbegäran.docx", "A 66366-2019")</f>
        <v/>
      </c>
      <c r="Y261">
        <f>HYPERLINK("https://klasma.github.io/Logging_2283/tillsynsmail/A 66366-2019 tillsynsbegäran mail.docx", "A 66366-2019")</f>
        <v/>
      </c>
    </row>
    <row r="262" ht="15" customHeight="1">
      <c r="A262" t="inlineStr">
        <is>
          <t>A 5314-2020</t>
        </is>
      </c>
      <c r="B262" s="1" t="n">
        <v>43857</v>
      </c>
      <c r="C262" s="1" t="n">
        <v>45670</v>
      </c>
      <c r="D262" t="inlineStr">
        <is>
          <t>VÄSTERNORRLANDS LÄN</t>
        </is>
      </c>
      <c r="E262" t="inlineStr">
        <is>
          <t>SOLLEFTEÅ</t>
        </is>
      </c>
      <c r="G262" t="n">
        <v>1.1</v>
      </c>
      <c r="H262" t="n">
        <v>0</v>
      </c>
      <c r="I262" t="n">
        <v>0</v>
      </c>
      <c r="J262" t="n">
        <v>2</v>
      </c>
      <c r="K262" t="n">
        <v>0</v>
      </c>
      <c r="L262" t="n">
        <v>0</v>
      </c>
      <c r="M262" t="n">
        <v>0</v>
      </c>
      <c r="N262" t="n">
        <v>0</v>
      </c>
      <c r="O262" t="n">
        <v>2</v>
      </c>
      <c r="P262" t="n">
        <v>0</v>
      </c>
      <c r="Q262" t="n">
        <v>2</v>
      </c>
      <c r="R262" s="2" t="inlineStr">
        <is>
          <t>Kolflarnlav
Vedskivlav</t>
        </is>
      </c>
      <c r="S262">
        <f>HYPERLINK("https://klasma.github.io/Logging_2283/artfynd/A 5314-2020 artfynd.xlsx", "A 5314-2020")</f>
        <v/>
      </c>
      <c r="T262">
        <f>HYPERLINK("https://klasma.github.io/Logging_2283/kartor/A 5314-2020 karta.png", "A 5314-2020")</f>
        <v/>
      </c>
      <c r="V262">
        <f>HYPERLINK("https://klasma.github.io/Logging_2283/klagomål/A 5314-2020 FSC-klagomål.docx", "A 5314-2020")</f>
        <v/>
      </c>
      <c r="W262">
        <f>HYPERLINK("https://klasma.github.io/Logging_2283/klagomålsmail/A 5314-2020 FSC-klagomål mail.docx", "A 5314-2020")</f>
        <v/>
      </c>
      <c r="X262">
        <f>HYPERLINK("https://klasma.github.io/Logging_2283/tillsyn/A 5314-2020 tillsynsbegäran.docx", "A 5314-2020")</f>
        <v/>
      </c>
      <c r="Y262">
        <f>HYPERLINK("https://klasma.github.io/Logging_2283/tillsynsmail/A 5314-2020 tillsynsbegäran mail.docx", "A 5314-2020")</f>
        <v/>
      </c>
    </row>
    <row r="263" ht="15" customHeight="1">
      <c r="A263" t="inlineStr">
        <is>
          <t>A 29505-2020</t>
        </is>
      </c>
      <c r="B263" s="1" t="n">
        <v>44004</v>
      </c>
      <c r="C263" s="1" t="n">
        <v>45670</v>
      </c>
      <c r="D263" t="inlineStr">
        <is>
          <t>VÄSTERNORRLANDS LÄN</t>
        </is>
      </c>
      <c r="E263" t="inlineStr">
        <is>
          <t>SOLLEFTEÅ</t>
        </is>
      </c>
      <c r="F263" t="inlineStr">
        <is>
          <t>SCA</t>
        </is>
      </c>
      <c r="G263" t="n">
        <v>1.9</v>
      </c>
      <c r="H263" t="n">
        <v>0</v>
      </c>
      <c r="I263" t="n">
        <v>1</v>
      </c>
      <c r="J263" t="n">
        <v>1</v>
      </c>
      <c r="K263" t="n">
        <v>0</v>
      </c>
      <c r="L263" t="n">
        <v>0</v>
      </c>
      <c r="M263" t="n">
        <v>0</v>
      </c>
      <c r="N263" t="n">
        <v>0</v>
      </c>
      <c r="O263" t="n">
        <v>1</v>
      </c>
      <c r="P263" t="n">
        <v>0</v>
      </c>
      <c r="Q263" t="n">
        <v>2</v>
      </c>
      <c r="R263" s="2" t="inlineStr">
        <is>
          <t>Lunglav
Bårdlav</t>
        </is>
      </c>
      <c r="S263">
        <f>HYPERLINK("https://klasma.github.io/Logging_2283/artfynd/A 29505-2020 artfynd.xlsx", "A 29505-2020")</f>
        <v/>
      </c>
      <c r="T263">
        <f>HYPERLINK("https://klasma.github.io/Logging_2283/kartor/A 29505-2020 karta.png", "A 29505-2020")</f>
        <v/>
      </c>
      <c r="V263">
        <f>HYPERLINK("https://klasma.github.io/Logging_2283/klagomål/A 29505-2020 FSC-klagomål.docx", "A 29505-2020")</f>
        <v/>
      </c>
      <c r="W263">
        <f>HYPERLINK("https://klasma.github.io/Logging_2283/klagomålsmail/A 29505-2020 FSC-klagomål mail.docx", "A 29505-2020")</f>
        <v/>
      </c>
      <c r="X263">
        <f>HYPERLINK("https://klasma.github.io/Logging_2283/tillsyn/A 29505-2020 tillsynsbegäran.docx", "A 29505-2020")</f>
        <v/>
      </c>
      <c r="Y263">
        <f>HYPERLINK("https://klasma.github.io/Logging_2283/tillsynsmail/A 29505-2020 tillsynsbegäran mail.docx", "A 29505-2020")</f>
        <v/>
      </c>
    </row>
    <row r="264" ht="15" customHeight="1">
      <c r="A264" t="inlineStr">
        <is>
          <t>A 35220-2020</t>
        </is>
      </c>
      <c r="B264" s="1" t="n">
        <v>44041</v>
      </c>
      <c r="C264" s="1" t="n">
        <v>45670</v>
      </c>
      <c r="D264" t="inlineStr">
        <is>
          <t>VÄSTERNORRLANDS LÄN</t>
        </is>
      </c>
      <c r="E264" t="inlineStr">
        <is>
          <t>SOLLEFTEÅ</t>
        </is>
      </c>
      <c r="F264" t="inlineStr">
        <is>
          <t>SCA</t>
        </is>
      </c>
      <c r="G264" t="n">
        <v>3.4</v>
      </c>
      <c r="H264" t="n">
        <v>2</v>
      </c>
      <c r="I264" t="n">
        <v>0</v>
      </c>
      <c r="J264" t="n">
        <v>1</v>
      </c>
      <c r="K264" t="n">
        <v>0</v>
      </c>
      <c r="L264" t="n">
        <v>0</v>
      </c>
      <c r="M264" t="n">
        <v>0</v>
      </c>
      <c r="N264" t="n">
        <v>0</v>
      </c>
      <c r="O264" t="n">
        <v>1</v>
      </c>
      <c r="P264" t="n">
        <v>0</v>
      </c>
      <c r="Q264" t="n">
        <v>2</v>
      </c>
      <c r="R264" s="2" t="inlineStr">
        <is>
          <t>Järpe
Tjäder</t>
        </is>
      </c>
      <c r="S264">
        <f>HYPERLINK("https://klasma.github.io/Logging_2283/artfynd/A 35220-2020 artfynd.xlsx", "A 35220-2020")</f>
        <v/>
      </c>
      <c r="T264">
        <f>HYPERLINK("https://klasma.github.io/Logging_2283/kartor/A 35220-2020 karta.png", "A 35220-2020")</f>
        <v/>
      </c>
      <c r="V264">
        <f>HYPERLINK("https://klasma.github.io/Logging_2283/klagomål/A 35220-2020 FSC-klagomål.docx", "A 35220-2020")</f>
        <v/>
      </c>
      <c r="W264">
        <f>HYPERLINK("https://klasma.github.io/Logging_2283/klagomålsmail/A 35220-2020 FSC-klagomål mail.docx", "A 35220-2020")</f>
        <v/>
      </c>
      <c r="X264">
        <f>HYPERLINK("https://klasma.github.io/Logging_2283/tillsyn/A 35220-2020 tillsynsbegäran.docx", "A 35220-2020")</f>
        <v/>
      </c>
      <c r="Y264">
        <f>HYPERLINK("https://klasma.github.io/Logging_2283/tillsynsmail/A 35220-2020 tillsynsbegäran mail.docx", "A 35220-2020")</f>
        <v/>
      </c>
      <c r="Z264">
        <f>HYPERLINK("https://klasma.github.io/Logging_2283/fåglar/A 35220-2020 prioriterade fågelarter.docx", "A 35220-2020")</f>
        <v/>
      </c>
    </row>
    <row r="265" ht="15" customHeight="1">
      <c r="A265" t="inlineStr">
        <is>
          <t>A 2309-2021</t>
        </is>
      </c>
      <c r="B265" s="1" t="n">
        <v>44213</v>
      </c>
      <c r="C265" s="1" t="n">
        <v>45670</v>
      </c>
      <c r="D265" t="inlineStr">
        <is>
          <t>VÄSTERNORRLANDS LÄN</t>
        </is>
      </c>
      <c r="E265" t="inlineStr">
        <is>
          <t>SOLLEFTEÅ</t>
        </is>
      </c>
      <c r="G265" t="n">
        <v>2.1</v>
      </c>
      <c r="H265" t="n">
        <v>1</v>
      </c>
      <c r="I265" t="n">
        <v>0</v>
      </c>
      <c r="J265" t="n">
        <v>2</v>
      </c>
      <c r="K265" t="n">
        <v>0</v>
      </c>
      <c r="L265" t="n">
        <v>0</v>
      </c>
      <c r="M265" t="n">
        <v>0</v>
      </c>
      <c r="N265" t="n">
        <v>0</v>
      </c>
      <c r="O265" t="n">
        <v>2</v>
      </c>
      <c r="P265" t="n">
        <v>0</v>
      </c>
      <c r="Q265" t="n">
        <v>2</v>
      </c>
      <c r="R265" s="2" t="inlineStr">
        <is>
          <t>Tretåig hackspett
Ullticka</t>
        </is>
      </c>
      <c r="S265">
        <f>HYPERLINK("https://klasma.github.io/Logging_2283/artfynd/A 2309-2021 artfynd.xlsx", "A 2309-2021")</f>
        <v/>
      </c>
      <c r="T265">
        <f>HYPERLINK("https://klasma.github.io/Logging_2283/kartor/A 2309-2021 karta.png", "A 2309-2021")</f>
        <v/>
      </c>
      <c r="V265">
        <f>HYPERLINK("https://klasma.github.io/Logging_2283/klagomål/A 2309-2021 FSC-klagomål.docx", "A 2309-2021")</f>
        <v/>
      </c>
      <c r="W265">
        <f>HYPERLINK("https://klasma.github.io/Logging_2283/klagomålsmail/A 2309-2021 FSC-klagomål mail.docx", "A 2309-2021")</f>
        <v/>
      </c>
      <c r="X265">
        <f>HYPERLINK("https://klasma.github.io/Logging_2283/tillsyn/A 2309-2021 tillsynsbegäran.docx", "A 2309-2021")</f>
        <v/>
      </c>
      <c r="Y265">
        <f>HYPERLINK("https://klasma.github.io/Logging_2283/tillsynsmail/A 2309-2021 tillsynsbegäran mail.docx", "A 2309-2021")</f>
        <v/>
      </c>
      <c r="Z265">
        <f>HYPERLINK("https://klasma.github.io/Logging_2283/fåglar/A 2309-2021 prioriterade fågelarter.docx", "A 2309-2021")</f>
        <v/>
      </c>
    </row>
    <row r="266" ht="15" customHeight="1">
      <c r="A266" t="inlineStr">
        <is>
          <t>A 20836-2021</t>
        </is>
      </c>
      <c r="B266" s="1" t="n">
        <v>44318</v>
      </c>
      <c r="C266" s="1" t="n">
        <v>45670</v>
      </c>
      <c r="D266" t="inlineStr">
        <is>
          <t>VÄSTERNORRLANDS LÄN</t>
        </is>
      </c>
      <c r="E266" t="inlineStr">
        <is>
          <t>SOLLEFTEÅ</t>
        </is>
      </c>
      <c r="F266" t="inlineStr">
        <is>
          <t>SCA</t>
        </is>
      </c>
      <c r="G266" t="n">
        <v>4.8</v>
      </c>
      <c r="H266" t="n">
        <v>1</v>
      </c>
      <c r="I266" t="n">
        <v>0</v>
      </c>
      <c r="J266" t="n">
        <v>2</v>
      </c>
      <c r="K266" t="n">
        <v>0</v>
      </c>
      <c r="L266" t="n">
        <v>0</v>
      </c>
      <c r="M266" t="n">
        <v>0</v>
      </c>
      <c r="N266" t="n">
        <v>0</v>
      </c>
      <c r="O266" t="n">
        <v>2</v>
      </c>
      <c r="P266" t="n">
        <v>0</v>
      </c>
      <c r="Q266" t="n">
        <v>2</v>
      </c>
      <c r="R266" s="2" t="inlineStr">
        <is>
          <t>Garnlav
Talltita</t>
        </is>
      </c>
      <c r="S266">
        <f>HYPERLINK("https://klasma.github.io/Logging_2283/artfynd/A 20836-2021 artfynd.xlsx", "A 20836-2021")</f>
        <v/>
      </c>
      <c r="T266">
        <f>HYPERLINK("https://klasma.github.io/Logging_2283/kartor/A 20836-2021 karta.png", "A 20836-2021")</f>
        <v/>
      </c>
      <c r="V266">
        <f>HYPERLINK("https://klasma.github.io/Logging_2283/klagomål/A 20836-2021 FSC-klagomål.docx", "A 20836-2021")</f>
        <v/>
      </c>
      <c r="W266">
        <f>HYPERLINK("https://klasma.github.io/Logging_2283/klagomålsmail/A 20836-2021 FSC-klagomål mail.docx", "A 20836-2021")</f>
        <v/>
      </c>
      <c r="X266">
        <f>HYPERLINK("https://klasma.github.io/Logging_2283/tillsyn/A 20836-2021 tillsynsbegäran.docx", "A 20836-2021")</f>
        <v/>
      </c>
      <c r="Y266">
        <f>HYPERLINK("https://klasma.github.io/Logging_2283/tillsynsmail/A 20836-2021 tillsynsbegäran mail.docx", "A 20836-2021")</f>
        <v/>
      </c>
      <c r="Z266">
        <f>HYPERLINK("https://klasma.github.io/Logging_2283/fåglar/A 20836-2021 prioriterade fågelarter.docx", "A 20836-2021")</f>
        <v/>
      </c>
    </row>
    <row r="267" ht="15" customHeight="1">
      <c r="A267" t="inlineStr">
        <is>
          <t>A 27983-2021</t>
        </is>
      </c>
      <c r="B267" s="1" t="n">
        <v>44354</v>
      </c>
      <c r="C267" s="1" t="n">
        <v>45670</v>
      </c>
      <c r="D267" t="inlineStr">
        <is>
          <t>VÄSTERNORRLANDS LÄN</t>
        </is>
      </c>
      <c r="E267" t="inlineStr">
        <is>
          <t>SOLLEFTEÅ</t>
        </is>
      </c>
      <c r="F267" t="inlineStr">
        <is>
          <t>SCA</t>
        </is>
      </c>
      <c r="G267" t="n">
        <v>5.4</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27983-2021 artfynd.xlsx", "A 27983-2021")</f>
        <v/>
      </c>
      <c r="T267">
        <f>HYPERLINK("https://klasma.github.io/Logging_2283/kartor/A 27983-2021 karta.png", "A 27983-2021")</f>
        <v/>
      </c>
      <c r="V267">
        <f>HYPERLINK("https://klasma.github.io/Logging_2283/klagomål/A 27983-2021 FSC-klagomål.docx", "A 27983-2021")</f>
        <v/>
      </c>
      <c r="W267">
        <f>HYPERLINK("https://klasma.github.io/Logging_2283/klagomålsmail/A 27983-2021 FSC-klagomål mail.docx", "A 27983-2021")</f>
        <v/>
      </c>
      <c r="X267">
        <f>HYPERLINK("https://klasma.github.io/Logging_2283/tillsyn/A 27983-2021 tillsynsbegäran.docx", "A 27983-2021")</f>
        <v/>
      </c>
      <c r="Y267">
        <f>HYPERLINK("https://klasma.github.io/Logging_2283/tillsynsmail/A 27983-2021 tillsynsbegäran mail.docx", "A 27983-2021")</f>
        <v/>
      </c>
    </row>
    <row r="268" ht="15" customHeight="1">
      <c r="A268" t="inlineStr">
        <is>
          <t>A 35071-2021</t>
        </is>
      </c>
      <c r="B268" s="1" t="n">
        <v>44383</v>
      </c>
      <c r="C268" s="1" t="n">
        <v>45670</v>
      </c>
      <c r="D268" t="inlineStr">
        <is>
          <t>VÄSTERNORRLANDS LÄN</t>
        </is>
      </c>
      <c r="E268" t="inlineStr">
        <is>
          <t>SOLLEFTEÅ</t>
        </is>
      </c>
      <c r="F268" t="inlineStr">
        <is>
          <t>SCA</t>
        </is>
      </c>
      <c r="G268" t="n">
        <v>1.8</v>
      </c>
      <c r="H268" t="n">
        <v>0</v>
      </c>
      <c r="I268" t="n">
        <v>2</v>
      </c>
      <c r="J268" t="n">
        <v>0</v>
      </c>
      <c r="K268" t="n">
        <v>0</v>
      </c>
      <c r="L268" t="n">
        <v>0</v>
      </c>
      <c r="M268" t="n">
        <v>0</v>
      </c>
      <c r="N268" t="n">
        <v>0</v>
      </c>
      <c r="O268" t="n">
        <v>0</v>
      </c>
      <c r="P268" t="n">
        <v>0</v>
      </c>
      <c r="Q268" t="n">
        <v>2</v>
      </c>
      <c r="R268" s="2" t="inlineStr">
        <is>
          <t>Norrlandslav
Vedticka</t>
        </is>
      </c>
      <c r="S268">
        <f>HYPERLINK("https://klasma.github.io/Logging_2283/artfynd/A 35071-2021 artfynd.xlsx", "A 35071-2021")</f>
        <v/>
      </c>
      <c r="T268">
        <f>HYPERLINK("https://klasma.github.io/Logging_2283/kartor/A 35071-2021 karta.png", "A 35071-2021")</f>
        <v/>
      </c>
      <c r="V268">
        <f>HYPERLINK("https://klasma.github.io/Logging_2283/klagomål/A 35071-2021 FSC-klagomål.docx", "A 35071-2021")</f>
        <v/>
      </c>
      <c r="W268">
        <f>HYPERLINK("https://klasma.github.io/Logging_2283/klagomålsmail/A 35071-2021 FSC-klagomål mail.docx", "A 35071-2021")</f>
        <v/>
      </c>
      <c r="X268">
        <f>HYPERLINK("https://klasma.github.io/Logging_2283/tillsyn/A 35071-2021 tillsynsbegäran.docx", "A 35071-2021")</f>
        <v/>
      </c>
      <c r="Y268">
        <f>HYPERLINK("https://klasma.github.io/Logging_2283/tillsynsmail/A 35071-2021 tillsynsbegäran mail.docx", "A 35071-2021")</f>
        <v/>
      </c>
    </row>
    <row r="269" ht="15" customHeight="1">
      <c r="A269" t="inlineStr">
        <is>
          <t>A 39329-2021</t>
        </is>
      </c>
      <c r="B269" s="1" t="n">
        <v>44414</v>
      </c>
      <c r="C269" s="1" t="n">
        <v>45670</v>
      </c>
      <c r="D269" t="inlineStr">
        <is>
          <t>VÄSTERNORRLANDS LÄN</t>
        </is>
      </c>
      <c r="E269" t="inlineStr">
        <is>
          <t>SOLLEFTEÅ</t>
        </is>
      </c>
      <c r="F269" t="inlineStr">
        <is>
          <t>SCA</t>
        </is>
      </c>
      <c r="G269" t="n">
        <v>2.7</v>
      </c>
      <c r="H269" t="n">
        <v>0</v>
      </c>
      <c r="I269" t="n">
        <v>1</v>
      </c>
      <c r="J269" t="n">
        <v>1</v>
      </c>
      <c r="K269" t="n">
        <v>0</v>
      </c>
      <c r="L269" t="n">
        <v>0</v>
      </c>
      <c r="M269" t="n">
        <v>0</v>
      </c>
      <c r="N269" t="n">
        <v>0</v>
      </c>
      <c r="O269" t="n">
        <v>1</v>
      </c>
      <c r="P269" t="n">
        <v>0</v>
      </c>
      <c r="Q269" t="n">
        <v>2</v>
      </c>
      <c r="R269" s="2" t="inlineStr">
        <is>
          <t>Mörk kolflarnlav
Bollvitmossa</t>
        </is>
      </c>
      <c r="S269">
        <f>HYPERLINK("https://klasma.github.io/Logging_2283/artfynd/A 39329-2021 artfynd.xlsx", "A 39329-2021")</f>
        <v/>
      </c>
      <c r="T269">
        <f>HYPERLINK("https://klasma.github.io/Logging_2283/kartor/A 39329-2021 karta.png", "A 39329-2021")</f>
        <v/>
      </c>
      <c r="V269">
        <f>HYPERLINK("https://klasma.github.io/Logging_2283/klagomål/A 39329-2021 FSC-klagomål.docx", "A 39329-2021")</f>
        <v/>
      </c>
      <c r="W269">
        <f>HYPERLINK("https://klasma.github.io/Logging_2283/klagomålsmail/A 39329-2021 FSC-klagomål mail.docx", "A 39329-2021")</f>
        <v/>
      </c>
      <c r="X269">
        <f>HYPERLINK("https://klasma.github.io/Logging_2283/tillsyn/A 39329-2021 tillsynsbegäran.docx", "A 39329-2021")</f>
        <v/>
      </c>
      <c r="Y269">
        <f>HYPERLINK("https://klasma.github.io/Logging_2283/tillsynsmail/A 39329-2021 tillsynsbegäran mail.docx", "A 39329-2021")</f>
        <v/>
      </c>
    </row>
    <row r="270" ht="15" customHeight="1">
      <c r="A270" t="inlineStr">
        <is>
          <t>A 45213-2021</t>
        </is>
      </c>
      <c r="B270" s="1" t="n">
        <v>44431</v>
      </c>
      <c r="C270" s="1" t="n">
        <v>45670</v>
      </c>
      <c r="D270" t="inlineStr">
        <is>
          <t>VÄSTERNORRLANDS LÄN</t>
        </is>
      </c>
      <c r="E270" t="inlineStr">
        <is>
          <t>SOLLEFTEÅ</t>
        </is>
      </c>
      <c r="F270" t="inlineStr">
        <is>
          <t>SCA</t>
        </is>
      </c>
      <c r="G270" t="n">
        <v>2.3</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45213-2021 artfynd.xlsx", "A 45213-2021")</f>
        <v/>
      </c>
      <c r="T270">
        <f>HYPERLINK("https://klasma.github.io/Logging_2283/kartor/A 45213-2021 karta.png", "A 45213-2021")</f>
        <v/>
      </c>
      <c r="V270">
        <f>HYPERLINK("https://klasma.github.io/Logging_2283/klagomål/A 45213-2021 FSC-klagomål.docx", "A 45213-2021")</f>
        <v/>
      </c>
      <c r="W270">
        <f>HYPERLINK("https://klasma.github.io/Logging_2283/klagomålsmail/A 45213-2021 FSC-klagomål mail.docx", "A 45213-2021")</f>
        <v/>
      </c>
      <c r="X270">
        <f>HYPERLINK("https://klasma.github.io/Logging_2283/tillsyn/A 45213-2021 tillsynsbegäran.docx", "A 45213-2021")</f>
        <v/>
      </c>
      <c r="Y270">
        <f>HYPERLINK("https://klasma.github.io/Logging_2283/tillsynsmail/A 45213-2021 tillsynsbegäran mail.docx", "A 45213-2021")</f>
        <v/>
      </c>
    </row>
    <row r="271" ht="15" customHeight="1">
      <c r="A271" t="inlineStr">
        <is>
          <t>A 47858-2021</t>
        </is>
      </c>
      <c r="B271" s="1" t="n">
        <v>44448</v>
      </c>
      <c r="C271" s="1" t="n">
        <v>45670</v>
      </c>
      <c r="D271" t="inlineStr">
        <is>
          <t>VÄSTERNORRLANDS LÄN</t>
        </is>
      </c>
      <c r="E271" t="inlineStr">
        <is>
          <t>SOLLEFTEÅ</t>
        </is>
      </c>
      <c r="G271" t="n">
        <v>7.7</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47858-2021 artfynd.xlsx", "A 47858-2021")</f>
        <v/>
      </c>
      <c r="T271">
        <f>HYPERLINK("https://klasma.github.io/Logging_2283/kartor/A 47858-2021 karta.png", "A 47858-2021")</f>
        <v/>
      </c>
      <c r="V271">
        <f>HYPERLINK("https://klasma.github.io/Logging_2283/klagomål/A 47858-2021 FSC-klagomål.docx", "A 47858-2021")</f>
        <v/>
      </c>
      <c r="W271">
        <f>HYPERLINK("https://klasma.github.io/Logging_2283/klagomålsmail/A 47858-2021 FSC-klagomål mail.docx", "A 47858-2021")</f>
        <v/>
      </c>
      <c r="X271">
        <f>HYPERLINK("https://klasma.github.io/Logging_2283/tillsyn/A 47858-2021 tillsynsbegäran.docx", "A 47858-2021")</f>
        <v/>
      </c>
      <c r="Y271">
        <f>HYPERLINK("https://klasma.github.io/Logging_2283/tillsynsmail/A 47858-2021 tillsynsbegäran mail.docx", "A 47858-2021")</f>
        <v/>
      </c>
    </row>
    <row r="272" ht="15" customHeight="1">
      <c r="A272" t="inlineStr">
        <is>
          <t>A 51024-2021</t>
        </is>
      </c>
      <c r="B272" s="1" t="n">
        <v>44461</v>
      </c>
      <c r="C272" s="1" t="n">
        <v>45670</v>
      </c>
      <c r="D272" t="inlineStr">
        <is>
          <t>VÄSTERNORRLANDS LÄN</t>
        </is>
      </c>
      <c r="E272" t="inlineStr">
        <is>
          <t>SOLLEFTEÅ</t>
        </is>
      </c>
      <c r="F272" t="inlineStr">
        <is>
          <t>SCA</t>
        </is>
      </c>
      <c r="G272" t="n">
        <v>7.1</v>
      </c>
      <c r="H272" t="n">
        <v>0</v>
      </c>
      <c r="I272" t="n">
        <v>0</v>
      </c>
      <c r="J272" t="n">
        <v>2</v>
      </c>
      <c r="K272" t="n">
        <v>0</v>
      </c>
      <c r="L272" t="n">
        <v>0</v>
      </c>
      <c r="M272" t="n">
        <v>0</v>
      </c>
      <c r="N272" t="n">
        <v>0</v>
      </c>
      <c r="O272" t="n">
        <v>2</v>
      </c>
      <c r="P272" t="n">
        <v>0</v>
      </c>
      <c r="Q272" t="n">
        <v>2</v>
      </c>
      <c r="R272" s="2" t="inlineStr">
        <is>
          <t>Tallticka
Ullticka</t>
        </is>
      </c>
      <c r="S272">
        <f>HYPERLINK("https://klasma.github.io/Logging_2283/artfynd/A 51024-2021 artfynd.xlsx", "A 51024-2021")</f>
        <v/>
      </c>
      <c r="T272">
        <f>HYPERLINK("https://klasma.github.io/Logging_2283/kartor/A 51024-2021 karta.png", "A 51024-2021")</f>
        <v/>
      </c>
      <c r="V272">
        <f>HYPERLINK("https://klasma.github.io/Logging_2283/klagomål/A 51024-2021 FSC-klagomål.docx", "A 51024-2021")</f>
        <v/>
      </c>
      <c r="W272">
        <f>HYPERLINK("https://klasma.github.io/Logging_2283/klagomålsmail/A 51024-2021 FSC-klagomål mail.docx", "A 51024-2021")</f>
        <v/>
      </c>
      <c r="X272">
        <f>HYPERLINK("https://klasma.github.io/Logging_2283/tillsyn/A 51024-2021 tillsynsbegäran.docx", "A 51024-2021")</f>
        <v/>
      </c>
      <c r="Y272">
        <f>HYPERLINK("https://klasma.github.io/Logging_2283/tillsynsmail/A 51024-2021 tillsynsbegäran mail.docx", "A 51024-2021")</f>
        <v/>
      </c>
    </row>
    <row r="273" ht="15" customHeight="1">
      <c r="A273" t="inlineStr">
        <is>
          <t>A 54153-2021</t>
        </is>
      </c>
      <c r="B273" s="1" t="n">
        <v>44469</v>
      </c>
      <c r="C273" s="1" t="n">
        <v>45670</v>
      </c>
      <c r="D273" t="inlineStr">
        <is>
          <t>VÄSTERNORRLANDS LÄN</t>
        </is>
      </c>
      <c r="E273" t="inlineStr">
        <is>
          <t>SOLLEFTEÅ</t>
        </is>
      </c>
      <c r="G273" t="n">
        <v>1.4</v>
      </c>
      <c r="H273" t="n">
        <v>0</v>
      </c>
      <c r="I273" t="n">
        <v>0</v>
      </c>
      <c r="J273" t="n">
        <v>2</v>
      </c>
      <c r="K273" t="n">
        <v>0</v>
      </c>
      <c r="L273" t="n">
        <v>0</v>
      </c>
      <c r="M273" t="n">
        <v>0</v>
      </c>
      <c r="N273" t="n">
        <v>0</v>
      </c>
      <c r="O273" t="n">
        <v>2</v>
      </c>
      <c r="P273" t="n">
        <v>0</v>
      </c>
      <c r="Q273" t="n">
        <v>2</v>
      </c>
      <c r="R273" s="2" t="inlineStr">
        <is>
          <t>Garnlav
Rosenticka</t>
        </is>
      </c>
      <c r="S273">
        <f>HYPERLINK("https://klasma.github.io/Logging_2283/artfynd/A 54153-2021 artfynd.xlsx", "A 54153-2021")</f>
        <v/>
      </c>
      <c r="T273">
        <f>HYPERLINK("https://klasma.github.io/Logging_2283/kartor/A 54153-2021 karta.png", "A 54153-2021")</f>
        <v/>
      </c>
      <c r="V273">
        <f>HYPERLINK("https://klasma.github.io/Logging_2283/klagomål/A 54153-2021 FSC-klagomål.docx", "A 54153-2021")</f>
        <v/>
      </c>
      <c r="W273">
        <f>HYPERLINK("https://klasma.github.io/Logging_2283/klagomålsmail/A 54153-2021 FSC-klagomål mail.docx", "A 54153-2021")</f>
        <v/>
      </c>
      <c r="X273">
        <f>HYPERLINK("https://klasma.github.io/Logging_2283/tillsyn/A 54153-2021 tillsynsbegäran.docx", "A 54153-2021")</f>
        <v/>
      </c>
      <c r="Y273">
        <f>HYPERLINK("https://klasma.github.io/Logging_2283/tillsynsmail/A 54153-2021 tillsynsbegäran mail.docx", "A 54153-2021")</f>
        <v/>
      </c>
    </row>
    <row r="274" ht="15" customHeight="1">
      <c r="A274" t="inlineStr">
        <is>
          <t>A 65419-2021</t>
        </is>
      </c>
      <c r="B274" s="1" t="n">
        <v>44515</v>
      </c>
      <c r="C274" s="1" t="n">
        <v>45670</v>
      </c>
      <c r="D274" t="inlineStr">
        <is>
          <t>VÄSTERNORRLANDS LÄN</t>
        </is>
      </c>
      <c r="E274" t="inlineStr">
        <is>
          <t>SOLLEFTEÅ</t>
        </is>
      </c>
      <c r="F274" t="inlineStr">
        <is>
          <t>SCA</t>
        </is>
      </c>
      <c r="G274" t="n">
        <v>2.3</v>
      </c>
      <c r="H274" t="n">
        <v>0</v>
      </c>
      <c r="I274" t="n">
        <v>0</v>
      </c>
      <c r="J274" t="n">
        <v>2</v>
      </c>
      <c r="K274" t="n">
        <v>0</v>
      </c>
      <c r="L274" t="n">
        <v>0</v>
      </c>
      <c r="M274" t="n">
        <v>0</v>
      </c>
      <c r="N274" t="n">
        <v>0</v>
      </c>
      <c r="O274" t="n">
        <v>2</v>
      </c>
      <c r="P274" t="n">
        <v>0</v>
      </c>
      <c r="Q274" t="n">
        <v>2</v>
      </c>
      <c r="R274" s="2" t="inlineStr">
        <is>
          <t>Garnlav
Granticka</t>
        </is>
      </c>
      <c r="S274">
        <f>HYPERLINK("https://klasma.github.io/Logging_2283/artfynd/A 65419-2021 artfynd.xlsx", "A 65419-2021")</f>
        <v/>
      </c>
      <c r="T274">
        <f>HYPERLINK("https://klasma.github.io/Logging_2283/kartor/A 65419-2021 karta.png", "A 65419-2021")</f>
        <v/>
      </c>
      <c r="V274">
        <f>HYPERLINK("https://klasma.github.io/Logging_2283/klagomål/A 65419-2021 FSC-klagomål.docx", "A 65419-2021")</f>
        <v/>
      </c>
      <c r="W274">
        <f>HYPERLINK("https://klasma.github.io/Logging_2283/klagomålsmail/A 65419-2021 FSC-klagomål mail.docx", "A 65419-2021")</f>
        <v/>
      </c>
      <c r="X274">
        <f>HYPERLINK("https://klasma.github.io/Logging_2283/tillsyn/A 65419-2021 tillsynsbegäran.docx", "A 65419-2021")</f>
        <v/>
      </c>
      <c r="Y274">
        <f>HYPERLINK("https://klasma.github.io/Logging_2283/tillsynsmail/A 65419-2021 tillsynsbegäran mail.docx", "A 65419-2021")</f>
        <v/>
      </c>
    </row>
    <row r="275" ht="15" customHeight="1">
      <c r="A275" t="inlineStr">
        <is>
          <t>A 9583-2022</t>
        </is>
      </c>
      <c r="B275" s="1" t="n">
        <v>44617</v>
      </c>
      <c r="C275" s="1" t="n">
        <v>45670</v>
      </c>
      <c r="D275" t="inlineStr">
        <is>
          <t>VÄSTERNORRLANDS LÄN</t>
        </is>
      </c>
      <c r="E275" t="inlineStr">
        <is>
          <t>SOLLEFTEÅ</t>
        </is>
      </c>
      <c r="F275" t="inlineStr">
        <is>
          <t>Övriga Aktiebolag</t>
        </is>
      </c>
      <c r="G275" t="n">
        <v>2.3</v>
      </c>
      <c r="H275" t="n">
        <v>0</v>
      </c>
      <c r="I275" t="n">
        <v>0</v>
      </c>
      <c r="J275" t="n">
        <v>2</v>
      </c>
      <c r="K275" t="n">
        <v>0</v>
      </c>
      <c r="L275" t="n">
        <v>0</v>
      </c>
      <c r="M275" t="n">
        <v>0</v>
      </c>
      <c r="N275" t="n">
        <v>0</v>
      </c>
      <c r="O275" t="n">
        <v>2</v>
      </c>
      <c r="P275" t="n">
        <v>0</v>
      </c>
      <c r="Q275" t="n">
        <v>2</v>
      </c>
      <c r="R275" s="2" t="inlineStr">
        <is>
          <t>Garnlav
Lunglav</t>
        </is>
      </c>
      <c r="S275">
        <f>HYPERLINK("https://klasma.github.io/Logging_2283/artfynd/A 9583-2022 artfynd.xlsx", "A 9583-2022")</f>
        <v/>
      </c>
      <c r="T275">
        <f>HYPERLINK("https://klasma.github.io/Logging_2283/kartor/A 9583-2022 karta.png", "A 9583-2022")</f>
        <v/>
      </c>
      <c r="V275">
        <f>HYPERLINK("https://klasma.github.io/Logging_2283/klagomål/A 9583-2022 FSC-klagomål.docx", "A 9583-2022")</f>
        <v/>
      </c>
      <c r="W275">
        <f>HYPERLINK("https://klasma.github.io/Logging_2283/klagomålsmail/A 9583-2022 FSC-klagomål mail.docx", "A 9583-2022")</f>
        <v/>
      </c>
      <c r="X275">
        <f>HYPERLINK("https://klasma.github.io/Logging_2283/tillsyn/A 9583-2022 tillsynsbegäran.docx", "A 9583-2022")</f>
        <v/>
      </c>
      <c r="Y275">
        <f>HYPERLINK("https://klasma.github.io/Logging_2283/tillsynsmail/A 9583-2022 tillsynsbegäran mail.docx", "A 9583-2022")</f>
        <v/>
      </c>
    </row>
    <row r="276" ht="15" customHeight="1">
      <c r="A276" t="inlineStr">
        <is>
          <t>A 13059-2022</t>
        </is>
      </c>
      <c r="B276" s="1" t="n">
        <v>44643</v>
      </c>
      <c r="C276" s="1" t="n">
        <v>45670</v>
      </c>
      <c r="D276" t="inlineStr">
        <is>
          <t>VÄSTERNORRLANDS LÄN</t>
        </is>
      </c>
      <c r="E276" t="inlineStr">
        <is>
          <t>SOLLEFTEÅ</t>
        </is>
      </c>
      <c r="G276" t="n">
        <v>9.9</v>
      </c>
      <c r="H276" t="n">
        <v>0</v>
      </c>
      <c r="I276" t="n">
        <v>0</v>
      </c>
      <c r="J276" t="n">
        <v>2</v>
      </c>
      <c r="K276" t="n">
        <v>0</v>
      </c>
      <c r="L276" t="n">
        <v>0</v>
      </c>
      <c r="M276" t="n">
        <v>0</v>
      </c>
      <c r="N276" t="n">
        <v>0</v>
      </c>
      <c r="O276" t="n">
        <v>2</v>
      </c>
      <c r="P276" t="n">
        <v>0</v>
      </c>
      <c r="Q276" t="n">
        <v>2</v>
      </c>
      <c r="R276" s="2" t="inlineStr">
        <is>
          <t>Garnlav
Ullticka</t>
        </is>
      </c>
      <c r="S276">
        <f>HYPERLINK("https://klasma.github.io/Logging_2283/artfynd/A 13059-2022 artfynd.xlsx", "A 13059-2022")</f>
        <v/>
      </c>
      <c r="T276">
        <f>HYPERLINK("https://klasma.github.io/Logging_2283/kartor/A 13059-2022 karta.png", "A 13059-2022")</f>
        <v/>
      </c>
      <c r="V276">
        <f>HYPERLINK("https://klasma.github.io/Logging_2283/klagomål/A 13059-2022 FSC-klagomål.docx", "A 13059-2022")</f>
        <v/>
      </c>
      <c r="W276">
        <f>HYPERLINK("https://klasma.github.io/Logging_2283/klagomålsmail/A 13059-2022 FSC-klagomål mail.docx", "A 13059-2022")</f>
        <v/>
      </c>
      <c r="X276">
        <f>HYPERLINK("https://klasma.github.io/Logging_2283/tillsyn/A 13059-2022 tillsynsbegäran.docx", "A 13059-2022")</f>
        <v/>
      </c>
      <c r="Y276">
        <f>HYPERLINK("https://klasma.github.io/Logging_2283/tillsynsmail/A 13059-2022 tillsynsbegäran mail.docx", "A 13059-2022")</f>
        <v/>
      </c>
    </row>
    <row r="277" ht="15" customHeight="1">
      <c r="A277" t="inlineStr">
        <is>
          <t>A 13658-2022</t>
        </is>
      </c>
      <c r="B277" s="1" t="n">
        <v>44648</v>
      </c>
      <c r="C277" s="1" t="n">
        <v>45670</v>
      </c>
      <c r="D277" t="inlineStr">
        <is>
          <t>VÄSTERNORRLANDS LÄN</t>
        </is>
      </c>
      <c r="E277" t="inlineStr">
        <is>
          <t>SOLLEFTEÅ</t>
        </is>
      </c>
      <c r="G277" t="n">
        <v>7.4</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HYPERLINK("https://klasma.github.io/Logging_2283/artfynd/A 13658-2022 artfynd.xlsx", "A 13658-2022")</f>
        <v/>
      </c>
      <c r="T277">
        <f>HYPERLINK("https://klasma.github.io/Logging_2283/kartor/A 13658-2022 karta.png", "A 13658-2022")</f>
        <v/>
      </c>
      <c r="V277">
        <f>HYPERLINK("https://klasma.github.io/Logging_2283/klagomål/A 13658-2022 FSC-klagomål.docx", "A 13658-2022")</f>
        <v/>
      </c>
      <c r="W277">
        <f>HYPERLINK("https://klasma.github.io/Logging_2283/klagomålsmail/A 13658-2022 FSC-klagomål mail.docx", "A 13658-2022")</f>
        <v/>
      </c>
      <c r="X277">
        <f>HYPERLINK("https://klasma.github.io/Logging_2283/tillsyn/A 13658-2022 tillsynsbegäran.docx", "A 13658-2022")</f>
        <v/>
      </c>
      <c r="Y277">
        <f>HYPERLINK("https://klasma.github.io/Logging_2283/tillsynsmail/A 13658-2022 tillsynsbegäran mail.docx", "A 13658-2022")</f>
        <v/>
      </c>
    </row>
    <row r="278" ht="15" customHeight="1">
      <c r="A278" t="inlineStr">
        <is>
          <t>A 18019-2022</t>
        </is>
      </c>
      <c r="B278" s="1" t="n">
        <v>44684</v>
      </c>
      <c r="C278" s="1" t="n">
        <v>45670</v>
      </c>
      <c r="D278" t="inlineStr">
        <is>
          <t>VÄSTERNORRLANDS LÄN</t>
        </is>
      </c>
      <c r="E278" t="inlineStr">
        <is>
          <t>SOLLEFTEÅ</t>
        </is>
      </c>
      <c r="F278" t="inlineStr">
        <is>
          <t>SCA</t>
        </is>
      </c>
      <c r="G278" t="n">
        <v>2.6</v>
      </c>
      <c r="H278" t="n">
        <v>0</v>
      </c>
      <c r="I278" t="n">
        <v>0</v>
      </c>
      <c r="J278" t="n">
        <v>2</v>
      </c>
      <c r="K278" t="n">
        <v>0</v>
      </c>
      <c r="L278" t="n">
        <v>0</v>
      </c>
      <c r="M278" t="n">
        <v>0</v>
      </c>
      <c r="N278" t="n">
        <v>0</v>
      </c>
      <c r="O278" t="n">
        <v>2</v>
      </c>
      <c r="P278" t="n">
        <v>0</v>
      </c>
      <c r="Q278" t="n">
        <v>2</v>
      </c>
      <c r="R278" s="2" t="inlineStr">
        <is>
          <t>Gammelgransskål
Ullticka</t>
        </is>
      </c>
      <c r="S278">
        <f>HYPERLINK("https://klasma.github.io/Logging_2283/artfynd/A 18019-2022 artfynd.xlsx", "A 18019-2022")</f>
        <v/>
      </c>
      <c r="T278">
        <f>HYPERLINK("https://klasma.github.io/Logging_2283/kartor/A 18019-2022 karta.png", "A 18019-2022")</f>
        <v/>
      </c>
      <c r="V278">
        <f>HYPERLINK("https://klasma.github.io/Logging_2283/klagomål/A 18019-2022 FSC-klagomål.docx", "A 18019-2022")</f>
        <v/>
      </c>
      <c r="W278">
        <f>HYPERLINK("https://klasma.github.io/Logging_2283/klagomålsmail/A 18019-2022 FSC-klagomål mail.docx", "A 18019-2022")</f>
        <v/>
      </c>
      <c r="X278">
        <f>HYPERLINK("https://klasma.github.io/Logging_2283/tillsyn/A 18019-2022 tillsynsbegäran.docx", "A 18019-2022")</f>
        <v/>
      </c>
      <c r="Y278">
        <f>HYPERLINK("https://klasma.github.io/Logging_2283/tillsynsmail/A 18019-2022 tillsynsbegäran mail.docx", "A 18019-2022")</f>
        <v/>
      </c>
    </row>
    <row r="279" ht="15" customHeight="1">
      <c r="A279" t="inlineStr">
        <is>
          <t>A 20956-2022</t>
        </is>
      </c>
      <c r="B279" s="1" t="n">
        <v>44701</v>
      </c>
      <c r="C279" s="1" t="n">
        <v>45670</v>
      </c>
      <c r="D279" t="inlineStr">
        <is>
          <t>VÄSTERNORRLANDS LÄN</t>
        </is>
      </c>
      <c r="E279" t="inlineStr">
        <is>
          <t>SOLLEFTEÅ</t>
        </is>
      </c>
      <c r="F279" t="inlineStr">
        <is>
          <t>SCA</t>
        </is>
      </c>
      <c r="G279" t="n">
        <v>2.5</v>
      </c>
      <c r="H279" t="n">
        <v>0</v>
      </c>
      <c r="I279" t="n">
        <v>0</v>
      </c>
      <c r="J279" t="n">
        <v>2</v>
      </c>
      <c r="K279" t="n">
        <v>0</v>
      </c>
      <c r="L279" t="n">
        <v>0</v>
      </c>
      <c r="M279" t="n">
        <v>0</v>
      </c>
      <c r="N279" t="n">
        <v>0</v>
      </c>
      <c r="O279" t="n">
        <v>2</v>
      </c>
      <c r="P279" t="n">
        <v>0</v>
      </c>
      <c r="Q279" t="n">
        <v>2</v>
      </c>
      <c r="R279" s="2" t="inlineStr">
        <is>
          <t>Kandelabersvamp
Stiftgelélav</t>
        </is>
      </c>
      <c r="S279">
        <f>HYPERLINK("https://klasma.github.io/Logging_2283/artfynd/A 20956-2022 artfynd.xlsx", "A 20956-2022")</f>
        <v/>
      </c>
      <c r="T279">
        <f>HYPERLINK("https://klasma.github.io/Logging_2283/kartor/A 20956-2022 karta.png", "A 20956-2022")</f>
        <v/>
      </c>
      <c r="V279">
        <f>HYPERLINK("https://klasma.github.io/Logging_2283/klagomål/A 20956-2022 FSC-klagomål.docx", "A 20956-2022")</f>
        <v/>
      </c>
      <c r="W279">
        <f>HYPERLINK("https://klasma.github.io/Logging_2283/klagomålsmail/A 20956-2022 FSC-klagomål mail.docx", "A 20956-2022")</f>
        <v/>
      </c>
      <c r="X279">
        <f>HYPERLINK("https://klasma.github.io/Logging_2283/tillsyn/A 20956-2022 tillsynsbegäran.docx", "A 20956-2022")</f>
        <v/>
      </c>
      <c r="Y279">
        <f>HYPERLINK("https://klasma.github.io/Logging_2283/tillsynsmail/A 20956-2022 tillsynsbegäran mail.docx", "A 20956-2022")</f>
        <v/>
      </c>
    </row>
    <row r="280" ht="15" customHeight="1">
      <c r="A280" t="inlineStr">
        <is>
          <t>A 24321-2022</t>
        </is>
      </c>
      <c r="B280" s="1" t="n">
        <v>44725</v>
      </c>
      <c r="C280" s="1" t="n">
        <v>45670</v>
      </c>
      <c r="D280" t="inlineStr">
        <is>
          <t>VÄSTERNORRLANDS LÄN</t>
        </is>
      </c>
      <c r="E280" t="inlineStr">
        <is>
          <t>SOLLEFTEÅ</t>
        </is>
      </c>
      <c r="F280" t="inlineStr">
        <is>
          <t>SCA</t>
        </is>
      </c>
      <c r="G280" t="n">
        <v>1.1</v>
      </c>
      <c r="H280" t="n">
        <v>1</v>
      </c>
      <c r="I280" t="n">
        <v>0</v>
      </c>
      <c r="J280" t="n">
        <v>1</v>
      </c>
      <c r="K280" t="n">
        <v>1</v>
      </c>
      <c r="L280" t="n">
        <v>0</v>
      </c>
      <c r="M280" t="n">
        <v>0</v>
      </c>
      <c r="N280" t="n">
        <v>0</v>
      </c>
      <c r="O280" t="n">
        <v>2</v>
      </c>
      <c r="P280" t="n">
        <v>1</v>
      </c>
      <c r="Q280" t="n">
        <v>2</v>
      </c>
      <c r="R280" s="2" t="inlineStr">
        <is>
          <t>Knärot
Garnlav</t>
        </is>
      </c>
      <c r="S280">
        <f>HYPERLINK("https://klasma.github.io/Logging_2283/artfynd/A 24321-2022 artfynd.xlsx", "A 24321-2022")</f>
        <v/>
      </c>
      <c r="T280">
        <f>HYPERLINK("https://klasma.github.io/Logging_2283/kartor/A 24321-2022 karta.png", "A 24321-2022")</f>
        <v/>
      </c>
      <c r="U280">
        <f>HYPERLINK("https://klasma.github.io/Logging_2283/knärot/A 24321-2022 karta knärot.png", "A 24321-2022")</f>
        <v/>
      </c>
      <c r="V280">
        <f>HYPERLINK("https://klasma.github.io/Logging_2283/klagomål/A 24321-2022 FSC-klagomål.docx", "A 24321-2022")</f>
        <v/>
      </c>
      <c r="W280">
        <f>HYPERLINK("https://klasma.github.io/Logging_2283/klagomålsmail/A 24321-2022 FSC-klagomål mail.docx", "A 24321-2022")</f>
        <v/>
      </c>
      <c r="X280">
        <f>HYPERLINK("https://klasma.github.io/Logging_2283/tillsyn/A 24321-2022 tillsynsbegäran.docx", "A 24321-2022")</f>
        <v/>
      </c>
      <c r="Y280">
        <f>HYPERLINK("https://klasma.github.io/Logging_2283/tillsynsmail/A 24321-2022 tillsynsbegäran mail.docx", "A 24321-2022")</f>
        <v/>
      </c>
    </row>
    <row r="281" ht="15" customHeight="1">
      <c r="A281" t="inlineStr">
        <is>
          <t>A 29549-2022</t>
        </is>
      </c>
      <c r="B281" s="1" t="n">
        <v>44753</v>
      </c>
      <c r="C281" s="1" t="n">
        <v>45670</v>
      </c>
      <c r="D281" t="inlineStr">
        <is>
          <t>VÄSTERNORRLANDS LÄN</t>
        </is>
      </c>
      <c r="E281" t="inlineStr">
        <is>
          <t>SOLLEFTEÅ</t>
        </is>
      </c>
      <c r="F281" t="inlineStr">
        <is>
          <t>SCA</t>
        </is>
      </c>
      <c r="G281" t="n">
        <v>36.7</v>
      </c>
      <c r="H281" t="n">
        <v>0</v>
      </c>
      <c r="I281" t="n">
        <v>0</v>
      </c>
      <c r="J281" t="n">
        <v>2</v>
      </c>
      <c r="K281" t="n">
        <v>0</v>
      </c>
      <c r="L281" t="n">
        <v>0</v>
      </c>
      <c r="M281" t="n">
        <v>0</v>
      </c>
      <c r="N281" t="n">
        <v>0</v>
      </c>
      <c r="O281" t="n">
        <v>2</v>
      </c>
      <c r="P281" t="n">
        <v>0</v>
      </c>
      <c r="Q281" t="n">
        <v>2</v>
      </c>
      <c r="R281" s="2" t="inlineStr">
        <is>
          <t>Kolflarnlav
Skrovlig taggsvamp</t>
        </is>
      </c>
      <c r="S281">
        <f>HYPERLINK("https://klasma.github.io/Logging_2283/artfynd/A 29549-2022 artfynd.xlsx", "A 29549-2022")</f>
        <v/>
      </c>
      <c r="T281">
        <f>HYPERLINK("https://klasma.github.io/Logging_2283/kartor/A 29549-2022 karta.png", "A 29549-2022")</f>
        <v/>
      </c>
      <c r="V281">
        <f>HYPERLINK("https://klasma.github.io/Logging_2283/klagomål/A 29549-2022 FSC-klagomål.docx", "A 29549-2022")</f>
        <v/>
      </c>
      <c r="W281">
        <f>HYPERLINK("https://klasma.github.io/Logging_2283/klagomålsmail/A 29549-2022 FSC-klagomål mail.docx", "A 29549-2022")</f>
        <v/>
      </c>
      <c r="X281">
        <f>HYPERLINK("https://klasma.github.io/Logging_2283/tillsyn/A 29549-2022 tillsynsbegäran.docx", "A 29549-2022")</f>
        <v/>
      </c>
      <c r="Y281">
        <f>HYPERLINK("https://klasma.github.io/Logging_2283/tillsynsmail/A 29549-2022 tillsynsbegäran mail.docx", "A 29549-2022")</f>
        <v/>
      </c>
    </row>
    <row r="282" ht="15" customHeight="1">
      <c r="A282" t="inlineStr">
        <is>
          <t>A 33087-2022</t>
        </is>
      </c>
      <c r="B282" s="1" t="n">
        <v>44785</v>
      </c>
      <c r="C282" s="1" t="n">
        <v>45670</v>
      </c>
      <c r="D282" t="inlineStr">
        <is>
          <t>VÄSTERNORRLANDS LÄN</t>
        </is>
      </c>
      <c r="E282" t="inlineStr">
        <is>
          <t>SOLLEFTEÅ</t>
        </is>
      </c>
      <c r="G282" t="n">
        <v>0.5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33087-2022 artfynd.xlsx", "A 33087-2022")</f>
        <v/>
      </c>
      <c r="T282">
        <f>HYPERLINK("https://klasma.github.io/Logging_2283/kartor/A 33087-2022 karta.png", "A 33087-2022")</f>
        <v/>
      </c>
      <c r="V282">
        <f>HYPERLINK("https://klasma.github.io/Logging_2283/klagomål/A 33087-2022 FSC-klagomål.docx", "A 33087-2022")</f>
        <v/>
      </c>
      <c r="W282">
        <f>HYPERLINK("https://klasma.github.io/Logging_2283/klagomålsmail/A 33087-2022 FSC-klagomål mail.docx", "A 33087-2022")</f>
        <v/>
      </c>
      <c r="X282">
        <f>HYPERLINK("https://klasma.github.io/Logging_2283/tillsyn/A 33087-2022 tillsynsbegäran.docx", "A 33087-2022")</f>
        <v/>
      </c>
      <c r="Y282">
        <f>HYPERLINK("https://klasma.github.io/Logging_2283/tillsynsmail/A 33087-2022 tillsynsbegäran mail.docx", "A 33087-2022")</f>
        <v/>
      </c>
    </row>
    <row r="283" ht="15" customHeight="1">
      <c r="A283" t="inlineStr">
        <is>
          <t>A 34526-2022</t>
        </is>
      </c>
      <c r="B283" s="1" t="n">
        <v>44792</v>
      </c>
      <c r="C283" s="1" t="n">
        <v>45670</v>
      </c>
      <c r="D283" t="inlineStr">
        <is>
          <t>VÄSTERNORRLANDS LÄN</t>
        </is>
      </c>
      <c r="E283" t="inlineStr">
        <is>
          <t>SOLLEFTEÅ</t>
        </is>
      </c>
      <c r="F283" t="inlineStr">
        <is>
          <t>SCA</t>
        </is>
      </c>
      <c r="G283" t="n">
        <v>1.4</v>
      </c>
      <c r="H283" t="n">
        <v>0</v>
      </c>
      <c r="I283" t="n">
        <v>0</v>
      </c>
      <c r="J283" t="n">
        <v>2</v>
      </c>
      <c r="K283" t="n">
        <v>0</v>
      </c>
      <c r="L283" t="n">
        <v>0</v>
      </c>
      <c r="M283" t="n">
        <v>0</v>
      </c>
      <c r="N283" t="n">
        <v>0</v>
      </c>
      <c r="O283" t="n">
        <v>2</v>
      </c>
      <c r="P283" t="n">
        <v>0</v>
      </c>
      <c r="Q283" t="n">
        <v>2</v>
      </c>
      <c r="R283" s="2" t="inlineStr">
        <is>
          <t>Garnlav
Mörk kolflarnlav</t>
        </is>
      </c>
      <c r="S283">
        <f>HYPERLINK("https://klasma.github.io/Logging_2283/artfynd/A 34526-2022 artfynd.xlsx", "A 34526-2022")</f>
        <v/>
      </c>
      <c r="T283">
        <f>HYPERLINK("https://klasma.github.io/Logging_2283/kartor/A 34526-2022 karta.png", "A 34526-2022")</f>
        <v/>
      </c>
      <c r="V283">
        <f>HYPERLINK("https://klasma.github.io/Logging_2283/klagomål/A 34526-2022 FSC-klagomål.docx", "A 34526-2022")</f>
        <v/>
      </c>
      <c r="W283">
        <f>HYPERLINK("https://klasma.github.io/Logging_2283/klagomålsmail/A 34526-2022 FSC-klagomål mail.docx", "A 34526-2022")</f>
        <v/>
      </c>
      <c r="X283">
        <f>HYPERLINK("https://klasma.github.io/Logging_2283/tillsyn/A 34526-2022 tillsynsbegäran.docx", "A 34526-2022")</f>
        <v/>
      </c>
      <c r="Y283">
        <f>HYPERLINK("https://klasma.github.io/Logging_2283/tillsynsmail/A 34526-2022 tillsynsbegäran mail.docx", "A 34526-2022")</f>
        <v/>
      </c>
    </row>
    <row r="284" ht="15" customHeight="1">
      <c r="A284" t="inlineStr">
        <is>
          <t>A 37243-2022</t>
        </is>
      </c>
      <c r="B284" s="1" t="n">
        <v>44806</v>
      </c>
      <c r="C284" s="1" t="n">
        <v>45670</v>
      </c>
      <c r="D284" t="inlineStr">
        <is>
          <t>VÄSTERNORRLANDS LÄN</t>
        </is>
      </c>
      <c r="E284" t="inlineStr">
        <is>
          <t>SOLLEFTEÅ</t>
        </is>
      </c>
      <c r="F284" t="inlineStr">
        <is>
          <t>SCA</t>
        </is>
      </c>
      <c r="G284" t="n">
        <v>7.1</v>
      </c>
      <c r="H284" t="n">
        <v>0</v>
      </c>
      <c r="I284" t="n">
        <v>1</v>
      </c>
      <c r="J284" t="n">
        <v>1</v>
      </c>
      <c r="K284" t="n">
        <v>0</v>
      </c>
      <c r="L284" t="n">
        <v>0</v>
      </c>
      <c r="M284" t="n">
        <v>0</v>
      </c>
      <c r="N284" t="n">
        <v>0</v>
      </c>
      <c r="O284" t="n">
        <v>1</v>
      </c>
      <c r="P284" t="n">
        <v>0</v>
      </c>
      <c r="Q284" t="n">
        <v>2</v>
      </c>
      <c r="R284" s="2" t="inlineStr">
        <is>
          <t>Violettgrå tagellav
Dropptaggsvamp</t>
        </is>
      </c>
      <c r="S284">
        <f>HYPERLINK("https://klasma.github.io/Logging_2283/artfynd/A 37243-2022 artfynd.xlsx", "A 37243-2022")</f>
        <v/>
      </c>
      <c r="T284">
        <f>HYPERLINK("https://klasma.github.io/Logging_2283/kartor/A 37243-2022 karta.png", "A 37243-2022")</f>
        <v/>
      </c>
      <c r="V284">
        <f>HYPERLINK("https://klasma.github.io/Logging_2283/klagomål/A 37243-2022 FSC-klagomål.docx", "A 37243-2022")</f>
        <v/>
      </c>
      <c r="W284">
        <f>HYPERLINK("https://klasma.github.io/Logging_2283/klagomålsmail/A 37243-2022 FSC-klagomål mail.docx", "A 37243-2022")</f>
        <v/>
      </c>
      <c r="X284">
        <f>HYPERLINK("https://klasma.github.io/Logging_2283/tillsyn/A 37243-2022 tillsynsbegäran.docx", "A 37243-2022")</f>
        <v/>
      </c>
      <c r="Y284">
        <f>HYPERLINK("https://klasma.github.io/Logging_2283/tillsynsmail/A 37243-2022 tillsynsbegäran mail.docx", "A 37243-2022")</f>
        <v/>
      </c>
    </row>
    <row r="285" ht="15" customHeight="1">
      <c r="A285" t="inlineStr">
        <is>
          <t>A 45083-2022</t>
        </is>
      </c>
      <c r="B285" s="1" t="n">
        <v>44841</v>
      </c>
      <c r="C285" s="1" t="n">
        <v>45670</v>
      </c>
      <c r="D285" t="inlineStr">
        <is>
          <t>VÄSTERNORRLANDS LÄN</t>
        </is>
      </c>
      <c r="E285" t="inlineStr">
        <is>
          <t>SOLLEFTEÅ</t>
        </is>
      </c>
      <c r="F285" t="inlineStr">
        <is>
          <t>SCA</t>
        </is>
      </c>
      <c r="G285" t="n">
        <v>4.3</v>
      </c>
      <c r="H285" t="n">
        <v>2</v>
      </c>
      <c r="I285" t="n">
        <v>0</v>
      </c>
      <c r="J285" t="n">
        <v>1</v>
      </c>
      <c r="K285" t="n">
        <v>0</v>
      </c>
      <c r="L285" t="n">
        <v>0</v>
      </c>
      <c r="M285" t="n">
        <v>0</v>
      </c>
      <c r="N285" t="n">
        <v>0</v>
      </c>
      <c r="O285" t="n">
        <v>1</v>
      </c>
      <c r="P285" t="n">
        <v>0</v>
      </c>
      <c r="Q285" t="n">
        <v>2</v>
      </c>
      <c r="R285" s="2" t="inlineStr">
        <is>
          <t>Talltita
Blåsippa</t>
        </is>
      </c>
      <c r="S285">
        <f>HYPERLINK("https://klasma.github.io/Logging_2283/artfynd/A 45083-2022 artfynd.xlsx", "A 45083-2022")</f>
        <v/>
      </c>
      <c r="T285">
        <f>HYPERLINK("https://klasma.github.io/Logging_2283/kartor/A 45083-2022 karta.png", "A 45083-2022")</f>
        <v/>
      </c>
      <c r="V285">
        <f>HYPERLINK("https://klasma.github.io/Logging_2283/klagomål/A 45083-2022 FSC-klagomål.docx", "A 45083-2022")</f>
        <v/>
      </c>
      <c r="W285">
        <f>HYPERLINK("https://klasma.github.io/Logging_2283/klagomålsmail/A 45083-2022 FSC-klagomål mail.docx", "A 45083-2022")</f>
        <v/>
      </c>
      <c r="X285">
        <f>HYPERLINK("https://klasma.github.io/Logging_2283/tillsyn/A 45083-2022 tillsynsbegäran.docx", "A 45083-2022")</f>
        <v/>
      </c>
      <c r="Y285">
        <f>HYPERLINK("https://klasma.github.io/Logging_2283/tillsynsmail/A 45083-2022 tillsynsbegäran mail.docx", "A 45083-2022")</f>
        <v/>
      </c>
      <c r="Z285">
        <f>HYPERLINK("https://klasma.github.io/Logging_2283/fåglar/A 45083-2022 prioriterade fågelarter.docx", "A 45083-2022")</f>
        <v/>
      </c>
    </row>
    <row r="286" ht="15" customHeight="1">
      <c r="A286" t="inlineStr">
        <is>
          <t>A 45084-2022</t>
        </is>
      </c>
      <c r="B286" s="1" t="n">
        <v>44841</v>
      </c>
      <c r="C286" s="1" t="n">
        <v>45670</v>
      </c>
      <c r="D286" t="inlineStr">
        <is>
          <t>VÄSTERNORRLANDS LÄN</t>
        </is>
      </c>
      <c r="E286" t="inlineStr">
        <is>
          <t>SOLLEFTEÅ</t>
        </is>
      </c>
      <c r="F286" t="inlineStr">
        <is>
          <t>SCA</t>
        </is>
      </c>
      <c r="G286" t="n">
        <v>5.5</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45084-2022 artfynd.xlsx", "A 45084-2022")</f>
        <v/>
      </c>
      <c r="T286">
        <f>HYPERLINK("https://klasma.github.io/Logging_2283/kartor/A 45084-2022 karta.png", "A 45084-2022")</f>
        <v/>
      </c>
      <c r="V286">
        <f>HYPERLINK("https://klasma.github.io/Logging_2283/klagomål/A 45084-2022 FSC-klagomål.docx", "A 45084-2022")</f>
        <v/>
      </c>
      <c r="W286">
        <f>HYPERLINK("https://klasma.github.io/Logging_2283/klagomålsmail/A 45084-2022 FSC-klagomål mail.docx", "A 45084-2022")</f>
        <v/>
      </c>
      <c r="X286">
        <f>HYPERLINK("https://klasma.github.io/Logging_2283/tillsyn/A 45084-2022 tillsynsbegäran.docx", "A 45084-2022")</f>
        <v/>
      </c>
      <c r="Y286">
        <f>HYPERLINK("https://klasma.github.io/Logging_2283/tillsynsmail/A 45084-2022 tillsynsbegäran mail.docx", "A 45084-2022")</f>
        <v/>
      </c>
    </row>
    <row r="287" ht="15" customHeight="1">
      <c r="A287" t="inlineStr">
        <is>
          <t>A 48073-2022</t>
        </is>
      </c>
      <c r="B287" s="1" t="n">
        <v>44855</v>
      </c>
      <c r="C287" s="1" t="n">
        <v>45670</v>
      </c>
      <c r="D287" t="inlineStr">
        <is>
          <t>VÄSTERNORRLANDS LÄN</t>
        </is>
      </c>
      <c r="E287" t="inlineStr">
        <is>
          <t>SOLLEFTEÅ</t>
        </is>
      </c>
      <c r="F287" t="inlineStr">
        <is>
          <t>SCA</t>
        </is>
      </c>
      <c r="G287" t="n">
        <v>4.3</v>
      </c>
      <c r="H287" t="n">
        <v>2</v>
      </c>
      <c r="I287" t="n">
        <v>0</v>
      </c>
      <c r="J287" t="n">
        <v>1</v>
      </c>
      <c r="K287" t="n">
        <v>0</v>
      </c>
      <c r="L287" t="n">
        <v>0</v>
      </c>
      <c r="M287" t="n">
        <v>0</v>
      </c>
      <c r="N287" t="n">
        <v>0</v>
      </c>
      <c r="O287" t="n">
        <v>1</v>
      </c>
      <c r="P287" t="n">
        <v>0</v>
      </c>
      <c r="Q287" t="n">
        <v>2</v>
      </c>
      <c r="R287" s="2" t="inlineStr">
        <is>
          <t>Talltita
Blåsippa</t>
        </is>
      </c>
      <c r="S287">
        <f>HYPERLINK("https://klasma.github.io/Logging_2283/artfynd/A 48073-2022 artfynd.xlsx", "A 48073-2022")</f>
        <v/>
      </c>
      <c r="T287">
        <f>HYPERLINK("https://klasma.github.io/Logging_2283/kartor/A 48073-2022 karta.png", "A 48073-2022")</f>
        <v/>
      </c>
      <c r="V287">
        <f>HYPERLINK("https://klasma.github.io/Logging_2283/klagomål/A 48073-2022 FSC-klagomål.docx", "A 48073-2022")</f>
        <v/>
      </c>
      <c r="W287">
        <f>HYPERLINK("https://klasma.github.io/Logging_2283/klagomålsmail/A 48073-2022 FSC-klagomål mail.docx", "A 48073-2022")</f>
        <v/>
      </c>
      <c r="X287">
        <f>HYPERLINK("https://klasma.github.io/Logging_2283/tillsyn/A 48073-2022 tillsynsbegäran.docx", "A 48073-2022")</f>
        <v/>
      </c>
      <c r="Y287">
        <f>HYPERLINK("https://klasma.github.io/Logging_2283/tillsynsmail/A 48073-2022 tillsynsbegäran mail.docx", "A 48073-2022")</f>
        <v/>
      </c>
      <c r="Z287">
        <f>HYPERLINK("https://klasma.github.io/Logging_2283/fåglar/A 48073-2022 prioriterade fågelarter.docx", "A 48073-2022")</f>
        <v/>
      </c>
    </row>
    <row r="288" ht="15" customHeight="1">
      <c r="A288" t="inlineStr">
        <is>
          <t>A 55727-2022</t>
        </is>
      </c>
      <c r="B288" s="1" t="n">
        <v>44883</v>
      </c>
      <c r="C288" s="1" t="n">
        <v>45670</v>
      </c>
      <c r="D288" t="inlineStr">
        <is>
          <t>VÄSTERNORRLANDS LÄN</t>
        </is>
      </c>
      <c r="E288" t="inlineStr">
        <is>
          <t>SOLLEFTEÅ</t>
        </is>
      </c>
      <c r="G288" t="n">
        <v>16.7</v>
      </c>
      <c r="H288" t="n">
        <v>1</v>
      </c>
      <c r="I288" t="n">
        <v>0</v>
      </c>
      <c r="J288" t="n">
        <v>2</v>
      </c>
      <c r="K288" t="n">
        <v>0</v>
      </c>
      <c r="L288" t="n">
        <v>0</v>
      </c>
      <c r="M288" t="n">
        <v>0</v>
      </c>
      <c r="N288" t="n">
        <v>0</v>
      </c>
      <c r="O288" t="n">
        <v>2</v>
      </c>
      <c r="P288" t="n">
        <v>0</v>
      </c>
      <c r="Q288" t="n">
        <v>2</v>
      </c>
      <c r="R288" s="2" t="inlineStr">
        <is>
          <t>Rosenticka
Tretåig hackspett</t>
        </is>
      </c>
      <c r="S288">
        <f>HYPERLINK("https://klasma.github.io/Logging_2283/artfynd/A 55727-2022 artfynd.xlsx", "A 55727-2022")</f>
        <v/>
      </c>
      <c r="T288">
        <f>HYPERLINK("https://klasma.github.io/Logging_2283/kartor/A 55727-2022 karta.png", "A 55727-2022")</f>
        <v/>
      </c>
      <c r="V288">
        <f>HYPERLINK("https://klasma.github.io/Logging_2283/klagomål/A 55727-2022 FSC-klagomål.docx", "A 55727-2022")</f>
        <v/>
      </c>
      <c r="W288">
        <f>HYPERLINK("https://klasma.github.io/Logging_2283/klagomålsmail/A 55727-2022 FSC-klagomål mail.docx", "A 55727-2022")</f>
        <v/>
      </c>
      <c r="X288">
        <f>HYPERLINK("https://klasma.github.io/Logging_2283/tillsyn/A 55727-2022 tillsynsbegäran.docx", "A 55727-2022")</f>
        <v/>
      </c>
      <c r="Y288">
        <f>HYPERLINK("https://klasma.github.io/Logging_2283/tillsynsmail/A 55727-2022 tillsynsbegäran mail.docx", "A 55727-2022")</f>
        <v/>
      </c>
      <c r="Z288">
        <f>HYPERLINK("https://klasma.github.io/Logging_2283/fåglar/A 55727-2022 prioriterade fågelarter.docx", "A 55727-2022")</f>
        <v/>
      </c>
    </row>
    <row r="289" ht="15" customHeight="1">
      <c r="A289" t="inlineStr">
        <is>
          <t>A 3017-2023</t>
        </is>
      </c>
      <c r="B289" s="1" t="n">
        <v>44945</v>
      </c>
      <c r="C289" s="1" t="n">
        <v>45670</v>
      </c>
      <c r="D289" t="inlineStr">
        <is>
          <t>VÄSTERNORRLANDS LÄN</t>
        </is>
      </c>
      <c r="E289" t="inlineStr">
        <is>
          <t>SOLLEFTEÅ</t>
        </is>
      </c>
      <c r="G289" t="n">
        <v>3.6</v>
      </c>
      <c r="H289" t="n">
        <v>0</v>
      </c>
      <c r="I289" t="n">
        <v>0</v>
      </c>
      <c r="J289" t="n">
        <v>2</v>
      </c>
      <c r="K289" t="n">
        <v>0</v>
      </c>
      <c r="L289" t="n">
        <v>0</v>
      </c>
      <c r="M289" t="n">
        <v>0</v>
      </c>
      <c r="N289" t="n">
        <v>0</v>
      </c>
      <c r="O289" t="n">
        <v>2</v>
      </c>
      <c r="P289" t="n">
        <v>0</v>
      </c>
      <c r="Q289" t="n">
        <v>2</v>
      </c>
      <c r="R289" s="2" t="inlineStr">
        <is>
          <t>Harticka
Ullticka</t>
        </is>
      </c>
      <c r="S289">
        <f>HYPERLINK("https://klasma.github.io/Logging_2283/artfynd/A 3017-2023 artfynd.xlsx", "A 3017-2023")</f>
        <v/>
      </c>
      <c r="T289">
        <f>HYPERLINK("https://klasma.github.io/Logging_2283/kartor/A 3017-2023 karta.png", "A 3017-2023")</f>
        <v/>
      </c>
      <c r="V289">
        <f>HYPERLINK("https://klasma.github.io/Logging_2283/klagomål/A 3017-2023 FSC-klagomål.docx", "A 3017-2023")</f>
        <v/>
      </c>
      <c r="W289">
        <f>HYPERLINK("https://klasma.github.io/Logging_2283/klagomålsmail/A 3017-2023 FSC-klagomål mail.docx", "A 3017-2023")</f>
        <v/>
      </c>
      <c r="X289">
        <f>HYPERLINK("https://klasma.github.io/Logging_2283/tillsyn/A 3017-2023 tillsynsbegäran.docx", "A 3017-2023")</f>
        <v/>
      </c>
      <c r="Y289">
        <f>HYPERLINK("https://klasma.github.io/Logging_2283/tillsynsmail/A 3017-2023 tillsynsbegäran mail.docx", "A 3017-2023")</f>
        <v/>
      </c>
    </row>
    <row r="290" ht="15" customHeight="1">
      <c r="A290" t="inlineStr">
        <is>
          <t>A 8669-2023</t>
        </is>
      </c>
      <c r="B290" s="1" t="n">
        <v>44977</v>
      </c>
      <c r="C290" s="1" t="n">
        <v>45670</v>
      </c>
      <c r="D290" t="inlineStr">
        <is>
          <t>VÄSTERNORRLANDS LÄN</t>
        </is>
      </c>
      <c r="E290" t="inlineStr">
        <is>
          <t>SOLLEFTEÅ</t>
        </is>
      </c>
      <c r="F290" t="inlineStr">
        <is>
          <t>SCA</t>
        </is>
      </c>
      <c r="G290" t="n">
        <v>2.3</v>
      </c>
      <c r="H290" t="n">
        <v>1</v>
      </c>
      <c r="I290" t="n">
        <v>1</v>
      </c>
      <c r="J290" t="n">
        <v>1</v>
      </c>
      <c r="K290" t="n">
        <v>0</v>
      </c>
      <c r="L290" t="n">
        <v>0</v>
      </c>
      <c r="M290" t="n">
        <v>0</v>
      </c>
      <c r="N290" t="n">
        <v>0</v>
      </c>
      <c r="O290" t="n">
        <v>1</v>
      </c>
      <c r="P290" t="n">
        <v>0</v>
      </c>
      <c r="Q290" t="n">
        <v>2</v>
      </c>
      <c r="R290" s="2" t="inlineStr">
        <is>
          <t>Garnlav
Lappranunkel</t>
        </is>
      </c>
      <c r="S290">
        <f>HYPERLINK("https://klasma.github.io/Logging_2283/artfynd/A 8669-2023 artfynd.xlsx", "A 8669-2023")</f>
        <v/>
      </c>
      <c r="T290">
        <f>HYPERLINK("https://klasma.github.io/Logging_2283/kartor/A 8669-2023 karta.png", "A 8669-2023")</f>
        <v/>
      </c>
      <c r="V290">
        <f>HYPERLINK("https://klasma.github.io/Logging_2283/klagomål/A 8669-2023 FSC-klagomål.docx", "A 8669-2023")</f>
        <v/>
      </c>
      <c r="W290">
        <f>HYPERLINK("https://klasma.github.io/Logging_2283/klagomålsmail/A 8669-2023 FSC-klagomål mail.docx", "A 8669-2023")</f>
        <v/>
      </c>
      <c r="X290">
        <f>HYPERLINK("https://klasma.github.io/Logging_2283/tillsyn/A 8669-2023 tillsynsbegäran.docx", "A 8669-2023")</f>
        <v/>
      </c>
      <c r="Y290">
        <f>HYPERLINK("https://klasma.github.io/Logging_2283/tillsynsmail/A 8669-2023 tillsynsbegäran mail.docx", "A 8669-2023")</f>
        <v/>
      </c>
    </row>
    <row r="291" ht="15" customHeight="1">
      <c r="A291" t="inlineStr">
        <is>
          <t>A 9363-2023</t>
        </is>
      </c>
      <c r="B291" s="1" t="n">
        <v>44980</v>
      </c>
      <c r="C291" s="1" t="n">
        <v>45670</v>
      </c>
      <c r="D291" t="inlineStr">
        <is>
          <t>VÄSTERNORRLANDS LÄN</t>
        </is>
      </c>
      <c r="E291" t="inlineStr">
        <is>
          <t>SOLLEFTEÅ</t>
        </is>
      </c>
      <c r="F291" t="inlineStr">
        <is>
          <t>SCA</t>
        </is>
      </c>
      <c r="G291" t="n">
        <v>4.7</v>
      </c>
      <c r="H291" t="n">
        <v>0</v>
      </c>
      <c r="I291" t="n">
        <v>0</v>
      </c>
      <c r="J291" t="n">
        <v>2</v>
      </c>
      <c r="K291" t="n">
        <v>0</v>
      </c>
      <c r="L291" t="n">
        <v>0</v>
      </c>
      <c r="M291" t="n">
        <v>0</v>
      </c>
      <c r="N291" t="n">
        <v>0</v>
      </c>
      <c r="O291" t="n">
        <v>2</v>
      </c>
      <c r="P291" t="n">
        <v>0</v>
      </c>
      <c r="Q291" t="n">
        <v>2</v>
      </c>
      <c r="R291" s="2" t="inlineStr">
        <is>
          <t>Garnlav
Vedskivlav</t>
        </is>
      </c>
      <c r="S291">
        <f>HYPERLINK("https://klasma.github.io/Logging_2283/artfynd/A 9363-2023 artfynd.xlsx", "A 9363-2023")</f>
        <v/>
      </c>
      <c r="T291">
        <f>HYPERLINK("https://klasma.github.io/Logging_2283/kartor/A 9363-2023 karta.png", "A 9363-2023")</f>
        <v/>
      </c>
      <c r="V291">
        <f>HYPERLINK("https://klasma.github.io/Logging_2283/klagomål/A 9363-2023 FSC-klagomål.docx", "A 9363-2023")</f>
        <v/>
      </c>
      <c r="W291">
        <f>HYPERLINK("https://klasma.github.io/Logging_2283/klagomålsmail/A 9363-2023 FSC-klagomål mail.docx", "A 9363-2023")</f>
        <v/>
      </c>
      <c r="X291">
        <f>HYPERLINK("https://klasma.github.io/Logging_2283/tillsyn/A 9363-2023 tillsynsbegäran.docx", "A 9363-2023")</f>
        <v/>
      </c>
      <c r="Y291">
        <f>HYPERLINK("https://klasma.github.io/Logging_2283/tillsynsmail/A 9363-2023 tillsynsbegäran mail.docx", "A 9363-2023")</f>
        <v/>
      </c>
    </row>
    <row r="292" ht="15" customHeight="1">
      <c r="A292" t="inlineStr">
        <is>
          <t>A 13000-2023</t>
        </is>
      </c>
      <c r="B292" s="1" t="n">
        <v>45002</v>
      </c>
      <c r="C292" s="1" t="n">
        <v>45670</v>
      </c>
      <c r="D292" t="inlineStr">
        <is>
          <t>VÄSTERNORRLANDS LÄN</t>
        </is>
      </c>
      <c r="E292" t="inlineStr">
        <is>
          <t>SOLLEFTEÅ</t>
        </is>
      </c>
      <c r="F292" t="inlineStr">
        <is>
          <t>SCA</t>
        </is>
      </c>
      <c r="G292" t="n">
        <v>93.5</v>
      </c>
      <c r="H292" t="n">
        <v>1</v>
      </c>
      <c r="I292" t="n">
        <v>0</v>
      </c>
      <c r="J292" t="n">
        <v>1</v>
      </c>
      <c r="K292" t="n">
        <v>0</v>
      </c>
      <c r="L292" t="n">
        <v>0</v>
      </c>
      <c r="M292" t="n">
        <v>0</v>
      </c>
      <c r="N292" t="n">
        <v>0</v>
      </c>
      <c r="O292" t="n">
        <v>1</v>
      </c>
      <c r="P292" t="n">
        <v>0</v>
      </c>
      <c r="Q292" t="n">
        <v>2</v>
      </c>
      <c r="R292" s="2" t="inlineStr">
        <is>
          <t>Månlåsbräken
Fläcknycklar</t>
        </is>
      </c>
      <c r="S292">
        <f>HYPERLINK("https://klasma.github.io/Logging_2283/artfynd/A 13000-2023 artfynd.xlsx", "A 13000-2023")</f>
        <v/>
      </c>
      <c r="T292">
        <f>HYPERLINK("https://klasma.github.io/Logging_2283/kartor/A 13000-2023 karta.png", "A 13000-2023")</f>
        <v/>
      </c>
      <c r="U292">
        <f>HYPERLINK("https://klasma.github.io/Logging_2283/knärot/A 13000-2023 karta knärot.png", "A 13000-2023")</f>
        <v/>
      </c>
      <c r="V292">
        <f>HYPERLINK("https://klasma.github.io/Logging_2283/klagomål/A 13000-2023 FSC-klagomål.docx", "A 13000-2023")</f>
        <v/>
      </c>
      <c r="W292">
        <f>HYPERLINK("https://klasma.github.io/Logging_2283/klagomålsmail/A 13000-2023 FSC-klagomål mail.docx", "A 13000-2023")</f>
        <v/>
      </c>
      <c r="X292">
        <f>HYPERLINK("https://klasma.github.io/Logging_2283/tillsyn/A 13000-2023 tillsynsbegäran.docx", "A 13000-2023")</f>
        <v/>
      </c>
      <c r="Y292">
        <f>HYPERLINK("https://klasma.github.io/Logging_2283/tillsynsmail/A 13000-2023 tillsynsbegäran mail.docx", "A 13000-2023")</f>
        <v/>
      </c>
    </row>
    <row r="293" ht="15" customHeight="1">
      <c r="A293" t="inlineStr">
        <is>
          <t>A 33036-2023</t>
        </is>
      </c>
      <c r="B293" s="1" t="n">
        <v>45125</v>
      </c>
      <c r="C293" s="1" t="n">
        <v>45670</v>
      </c>
      <c r="D293" t="inlineStr">
        <is>
          <t>VÄSTERNORRLANDS LÄN</t>
        </is>
      </c>
      <c r="E293" t="inlineStr">
        <is>
          <t>SOLLEFTEÅ</t>
        </is>
      </c>
      <c r="F293" t="inlineStr">
        <is>
          <t>SCA</t>
        </is>
      </c>
      <c r="G293" t="n">
        <v>12</v>
      </c>
      <c r="H293" t="n">
        <v>0</v>
      </c>
      <c r="I293" t="n">
        <v>1</v>
      </c>
      <c r="J293" t="n">
        <v>1</v>
      </c>
      <c r="K293" t="n">
        <v>0</v>
      </c>
      <c r="L293" t="n">
        <v>0</v>
      </c>
      <c r="M293" t="n">
        <v>0</v>
      </c>
      <c r="N293" t="n">
        <v>0</v>
      </c>
      <c r="O293" t="n">
        <v>1</v>
      </c>
      <c r="P293" t="n">
        <v>0</v>
      </c>
      <c r="Q293" t="n">
        <v>2</v>
      </c>
      <c r="R293" s="2" t="inlineStr">
        <is>
          <t>Småflikig brosklav
Stuplav</t>
        </is>
      </c>
      <c r="S293">
        <f>HYPERLINK("https://klasma.github.io/Logging_2283/artfynd/A 33036-2023 artfynd.xlsx", "A 33036-2023")</f>
        <v/>
      </c>
      <c r="T293">
        <f>HYPERLINK("https://klasma.github.io/Logging_2283/kartor/A 33036-2023 karta.png", "A 33036-2023")</f>
        <v/>
      </c>
      <c r="V293">
        <f>HYPERLINK("https://klasma.github.io/Logging_2283/klagomål/A 33036-2023 FSC-klagomål.docx", "A 33036-2023")</f>
        <v/>
      </c>
      <c r="W293">
        <f>HYPERLINK("https://klasma.github.io/Logging_2283/klagomålsmail/A 33036-2023 FSC-klagomål mail.docx", "A 33036-2023")</f>
        <v/>
      </c>
      <c r="X293">
        <f>HYPERLINK("https://klasma.github.io/Logging_2283/tillsyn/A 33036-2023 tillsynsbegäran.docx", "A 33036-2023")</f>
        <v/>
      </c>
      <c r="Y293">
        <f>HYPERLINK("https://klasma.github.io/Logging_2283/tillsynsmail/A 33036-2023 tillsynsbegäran mail.docx", "A 33036-2023")</f>
        <v/>
      </c>
    </row>
    <row r="294" ht="15" customHeight="1">
      <c r="A294" t="inlineStr">
        <is>
          <t>A 35587-2023</t>
        </is>
      </c>
      <c r="B294" s="1" t="n">
        <v>45147</v>
      </c>
      <c r="C294" s="1" t="n">
        <v>45670</v>
      </c>
      <c r="D294" t="inlineStr">
        <is>
          <t>VÄSTERNORRLANDS LÄN</t>
        </is>
      </c>
      <c r="E294" t="inlineStr">
        <is>
          <t>SOLLEFTEÅ</t>
        </is>
      </c>
      <c r="F294" t="inlineStr">
        <is>
          <t>Holmen skog AB</t>
        </is>
      </c>
      <c r="G294" t="n">
        <v>5.1</v>
      </c>
      <c r="H294" t="n">
        <v>0</v>
      </c>
      <c r="I294" t="n">
        <v>1</v>
      </c>
      <c r="J294" t="n">
        <v>0</v>
      </c>
      <c r="K294" t="n">
        <v>1</v>
      </c>
      <c r="L294" t="n">
        <v>0</v>
      </c>
      <c r="M294" t="n">
        <v>0</v>
      </c>
      <c r="N294" t="n">
        <v>0</v>
      </c>
      <c r="O294" t="n">
        <v>1</v>
      </c>
      <c r="P294" t="n">
        <v>1</v>
      </c>
      <c r="Q294" t="n">
        <v>2</v>
      </c>
      <c r="R294" s="2" t="inlineStr">
        <is>
          <t>Fläckporing
Dropptaggsvamp</t>
        </is>
      </c>
      <c r="S294">
        <f>HYPERLINK("https://klasma.github.io/Logging_2283/artfynd/A 35587-2023 artfynd.xlsx", "A 35587-2023")</f>
        <v/>
      </c>
      <c r="T294">
        <f>HYPERLINK("https://klasma.github.io/Logging_2283/kartor/A 35587-2023 karta.png", "A 35587-2023")</f>
        <v/>
      </c>
      <c r="V294">
        <f>HYPERLINK("https://klasma.github.io/Logging_2283/klagomål/A 35587-2023 FSC-klagomål.docx", "A 35587-2023")</f>
        <v/>
      </c>
      <c r="W294">
        <f>HYPERLINK("https://klasma.github.io/Logging_2283/klagomålsmail/A 35587-2023 FSC-klagomål mail.docx", "A 35587-2023")</f>
        <v/>
      </c>
      <c r="X294">
        <f>HYPERLINK("https://klasma.github.io/Logging_2283/tillsyn/A 35587-2023 tillsynsbegäran.docx", "A 35587-2023")</f>
        <v/>
      </c>
      <c r="Y294">
        <f>HYPERLINK("https://klasma.github.io/Logging_2283/tillsynsmail/A 35587-2023 tillsynsbegäran mail.docx", "A 35587-2023")</f>
        <v/>
      </c>
    </row>
    <row r="295" ht="15" customHeight="1">
      <c r="A295" t="inlineStr">
        <is>
          <t>A 40419-2023</t>
        </is>
      </c>
      <c r="B295" s="1" t="n">
        <v>45169</v>
      </c>
      <c r="C295" s="1" t="n">
        <v>45670</v>
      </c>
      <c r="D295" t="inlineStr">
        <is>
          <t>VÄSTERNORRLANDS LÄN</t>
        </is>
      </c>
      <c r="E295" t="inlineStr">
        <is>
          <t>SOLLEFTEÅ</t>
        </is>
      </c>
      <c r="F295" t="inlineStr">
        <is>
          <t>SCA</t>
        </is>
      </c>
      <c r="G295" t="n">
        <v>7.9</v>
      </c>
      <c r="H295" t="n">
        <v>1</v>
      </c>
      <c r="I295" t="n">
        <v>0</v>
      </c>
      <c r="J295" t="n">
        <v>1</v>
      </c>
      <c r="K295" t="n">
        <v>1</v>
      </c>
      <c r="L295" t="n">
        <v>0</v>
      </c>
      <c r="M295" t="n">
        <v>0</v>
      </c>
      <c r="N295" t="n">
        <v>0</v>
      </c>
      <c r="O295" t="n">
        <v>2</v>
      </c>
      <c r="P295" t="n">
        <v>1</v>
      </c>
      <c r="Q295" t="n">
        <v>2</v>
      </c>
      <c r="R295" s="2" t="inlineStr">
        <is>
          <t>Knärot
Lunglav</t>
        </is>
      </c>
      <c r="S295">
        <f>HYPERLINK("https://klasma.github.io/Logging_2283/artfynd/A 40419-2023 artfynd.xlsx", "A 40419-2023")</f>
        <v/>
      </c>
      <c r="T295">
        <f>HYPERLINK("https://klasma.github.io/Logging_2283/kartor/A 40419-2023 karta.png", "A 40419-2023")</f>
        <v/>
      </c>
      <c r="U295">
        <f>HYPERLINK("https://klasma.github.io/Logging_2283/knärot/A 40419-2023 karta knärot.png", "A 40419-2023")</f>
        <v/>
      </c>
      <c r="V295">
        <f>HYPERLINK("https://klasma.github.io/Logging_2283/klagomål/A 40419-2023 FSC-klagomål.docx", "A 40419-2023")</f>
        <v/>
      </c>
      <c r="W295">
        <f>HYPERLINK("https://klasma.github.io/Logging_2283/klagomålsmail/A 40419-2023 FSC-klagomål mail.docx", "A 40419-2023")</f>
        <v/>
      </c>
      <c r="X295">
        <f>HYPERLINK("https://klasma.github.io/Logging_2283/tillsyn/A 40419-2023 tillsynsbegäran.docx", "A 40419-2023")</f>
        <v/>
      </c>
      <c r="Y295">
        <f>HYPERLINK("https://klasma.github.io/Logging_2283/tillsynsmail/A 40419-2023 tillsynsbegäran mail.docx", "A 40419-2023")</f>
        <v/>
      </c>
    </row>
    <row r="296" ht="15" customHeight="1">
      <c r="A296" t="inlineStr">
        <is>
          <t>A 40866-2023</t>
        </is>
      </c>
      <c r="B296" s="1" t="n">
        <v>45173</v>
      </c>
      <c r="C296" s="1" t="n">
        <v>45670</v>
      </c>
      <c r="D296" t="inlineStr">
        <is>
          <t>VÄSTERNORRLANDS LÄN</t>
        </is>
      </c>
      <c r="E296" t="inlineStr">
        <is>
          <t>SOLLEFTEÅ</t>
        </is>
      </c>
      <c r="G296" t="n">
        <v>1.7</v>
      </c>
      <c r="H296" t="n">
        <v>1</v>
      </c>
      <c r="I296" t="n">
        <v>1</v>
      </c>
      <c r="J296" t="n">
        <v>0</v>
      </c>
      <c r="K296" t="n">
        <v>0</v>
      </c>
      <c r="L296" t="n">
        <v>0</v>
      </c>
      <c r="M296" t="n">
        <v>0</v>
      </c>
      <c r="N296" t="n">
        <v>0</v>
      </c>
      <c r="O296" t="n">
        <v>0</v>
      </c>
      <c r="P296" t="n">
        <v>0</v>
      </c>
      <c r="Q296" t="n">
        <v>2</v>
      </c>
      <c r="R296" s="2" t="inlineStr">
        <is>
          <t>Tibast
Skogsödla</t>
        </is>
      </c>
      <c r="S296">
        <f>HYPERLINK("https://klasma.github.io/Logging_2283/artfynd/A 40866-2023 artfynd.xlsx", "A 40866-2023")</f>
        <v/>
      </c>
      <c r="T296">
        <f>HYPERLINK("https://klasma.github.io/Logging_2283/kartor/A 40866-2023 karta.png", "A 40866-2023")</f>
        <v/>
      </c>
      <c r="V296">
        <f>HYPERLINK("https://klasma.github.io/Logging_2283/klagomål/A 40866-2023 FSC-klagomål.docx", "A 40866-2023")</f>
        <v/>
      </c>
      <c r="W296">
        <f>HYPERLINK("https://klasma.github.io/Logging_2283/klagomålsmail/A 40866-2023 FSC-klagomål mail.docx", "A 40866-2023")</f>
        <v/>
      </c>
      <c r="X296">
        <f>HYPERLINK("https://klasma.github.io/Logging_2283/tillsyn/A 40866-2023 tillsynsbegäran.docx", "A 40866-2023")</f>
        <v/>
      </c>
      <c r="Y296">
        <f>HYPERLINK("https://klasma.github.io/Logging_2283/tillsynsmail/A 40866-2023 tillsynsbegäran mail.docx", "A 40866-2023")</f>
        <v/>
      </c>
    </row>
    <row r="297" ht="15" customHeight="1">
      <c r="A297" t="inlineStr">
        <is>
          <t>A 48489-2023</t>
        </is>
      </c>
      <c r="B297" s="1" t="n">
        <v>45206</v>
      </c>
      <c r="C297" s="1" t="n">
        <v>45670</v>
      </c>
      <c r="D297" t="inlineStr">
        <is>
          <t>VÄSTERNORRLANDS LÄN</t>
        </is>
      </c>
      <c r="E297" t="inlineStr">
        <is>
          <t>SOLLEFTEÅ</t>
        </is>
      </c>
      <c r="F297" t="inlineStr">
        <is>
          <t>SCA</t>
        </is>
      </c>
      <c r="G297" t="n">
        <v>51.8</v>
      </c>
      <c r="H297" t="n">
        <v>2</v>
      </c>
      <c r="I297" t="n">
        <v>0</v>
      </c>
      <c r="J297" t="n">
        <v>2</v>
      </c>
      <c r="K297" t="n">
        <v>0</v>
      </c>
      <c r="L297" t="n">
        <v>0</v>
      </c>
      <c r="M297" t="n">
        <v>0</v>
      </c>
      <c r="N297" t="n">
        <v>0</v>
      </c>
      <c r="O297" t="n">
        <v>2</v>
      </c>
      <c r="P297" t="n">
        <v>0</v>
      </c>
      <c r="Q297" t="n">
        <v>2</v>
      </c>
      <c r="R297" s="2" t="inlineStr">
        <is>
          <t>Spillkråka
Talltita</t>
        </is>
      </c>
      <c r="S297">
        <f>HYPERLINK("https://klasma.github.io/Logging_2283/artfynd/A 48489-2023 artfynd.xlsx", "A 48489-2023")</f>
        <v/>
      </c>
      <c r="T297">
        <f>HYPERLINK("https://klasma.github.io/Logging_2283/kartor/A 48489-2023 karta.png", "A 48489-2023")</f>
        <v/>
      </c>
      <c r="V297">
        <f>HYPERLINK("https://klasma.github.io/Logging_2283/klagomål/A 48489-2023 FSC-klagomål.docx", "A 48489-2023")</f>
        <v/>
      </c>
      <c r="W297">
        <f>HYPERLINK("https://klasma.github.io/Logging_2283/klagomålsmail/A 48489-2023 FSC-klagomål mail.docx", "A 48489-2023")</f>
        <v/>
      </c>
      <c r="X297">
        <f>HYPERLINK("https://klasma.github.io/Logging_2283/tillsyn/A 48489-2023 tillsynsbegäran.docx", "A 48489-2023")</f>
        <v/>
      </c>
      <c r="Y297">
        <f>HYPERLINK("https://klasma.github.io/Logging_2283/tillsynsmail/A 48489-2023 tillsynsbegäran mail.docx", "A 48489-2023")</f>
        <v/>
      </c>
      <c r="Z297">
        <f>HYPERLINK("https://klasma.github.io/Logging_2283/fåglar/A 48489-2023 prioriterade fågelarter.docx", "A 48489-2023")</f>
        <v/>
      </c>
    </row>
    <row r="298" ht="15" customHeight="1">
      <c r="A298" t="inlineStr">
        <is>
          <t>A 53949-2023</t>
        </is>
      </c>
      <c r="B298" s="1" t="n">
        <v>45224</v>
      </c>
      <c r="C298" s="1" t="n">
        <v>45670</v>
      </c>
      <c r="D298" t="inlineStr">
        <is>
          <t>VÄSTERNORRLANDS LÄN</t>
        </is>
      </c>
      <c r="E298" t="inlineStr">
        <is>
          <t>SOLLEFTEÅ</t>
        </is>
      </c>
      <c r="G298" t="n">
        <v>4</v>
      </c>
      <c r="H298" t="n">
        <v>1</v>
      </c>
      <c r="I298" t="n">
        <v>0</v>
      </c>
      <c r="J298" t="n">
        <v>1</v>
      </c>
      <c r="K298" t="n">
        <v>0</v>
      </c>
      <c r="L298" t="n">
        <v>0</v>
      </c>
      <c r="M298" t="n">
        <v>0</v>
      </c>
      <c r="N298" t="n">
        <v>0</v>
      </c>
      <c r="O298" t="n">
        <v>1</v>
      </c>
      <c r="P298" t="n">
        <v>0</v>
      </c>
      <c r="Q298" t="n">
        <v>2</v>
      </c>
      <c r="R298" s="2" t="inlineStr">
        <is>
          <t>Granticka
Fläcknycklar</t>
        </is>
      </c>
      <c r="S298">
        <f>HYPERLINK("https://klasma.github.io/Logging_2283/artfynd/A 53949-2023 artfynd.xlsx", "A 53949-2023")</f>
        <v/>
      </c>
      <c r="T298">
        <f>HYPERLINK("https://klasma.github.io/Logging_2283/kartor/A 53949-2023 karta.png", "A 53949-2023")</f>
        <v/>
      </c>
      <c r="V298">
        <f>HYPERLINK("https://klasma.github.io/Logging_2283/klagomål/A 53949-2023 FSC-klagomål.docx", "A 53949-2023")</f>
        <v/>
      </c>
      <c r="W298">
        <f>HYPERLINK("https://klasma.github.io/Logging_2283/klagomålsmail/A 53949-2023 FSC-klagomål mail.docx", "A 53949-2023")</f>
        <v/>
      </c>
      <c r="X298">
        <f>HYPERLINK("https://klasma.github.io/Logging_2283/tillsyn/A 53949-2023 tillsynsbegäran.docx", "A 53949-2023")</f>
        <v/>
      </c>
      <c r="Y298">
        <f>HYPERLINK("https://klasma.github.io/Logging_2283/tillsynsmail/A 53949-2023 tillsynsbegäran mail.docx", "A 53949-2023")</f>
        <v/>
      </c>
    </row>
    <row r="299" ht="15" customHeight="1">
      <c r="A299" t="inlineStr">
        <is>
          <t>A 58827-2023</t>
        </is>
      </c>
      <c r="B299" s="1" t="n">
        <v>45247</v>
      </c>
      <c r="C299" s="1" t="n">
        <v>45670</v>
      </c>
      <c r="D299" t="inlineStr">
        <is>
          <t>VÄSTERNORRLANDS LÄN</t>
        </is>
      </c>
      <c r="E299" t="inlineStr">
        <is>
          <t>SOLLEFTEÅ</t>
        </is>
      </c>
      <c r="G299" t="n">
        <v>2.2</v>
      </c>
      <c r="H299" t="n">
        <v>1</v>
      </c>
      <c r="I299" t="n">
        <v>0</v>
      </c>
      <c r="J299" t="n">
        <v>1</v>
      </c>
      <c r="K299" t="n">
        <v>0</v>
      </c>
      <c r="L299" t="n">
        <v>0</v>
      </c>
      <c r="M299" t="n">
        <v>0</v>
      </c>
      <c r="N299" t="n">
        <v>0</v>
      </c>
      <c r="O299" t="n">
        <v>1</v>
      </c>
      <c r="P299" t="n">
        <v>0</v>
      </c>
      <c r="Q299" t="n">
        <v>2</v>
      </c>
      <c r="R299" s="2" t="inlineStr">
        <is>
          <t>Garnlav
Mattlummer</t>
        </is>
      </c>
      <c r="S299">
        <f>HYPERLINK("https://klasma.github.io/Logging_2283/artfynd/A 58827-2023 artfynd.xlsx", "A 58827-2023")</f>
        <v/>
      </c>
      <c r="T299">
        <f>HYPERLINK("https://klasma.github.io/Logging_2283/kartor/A 58827-2023 karta.png", "A 58827-2023")</f>
        <v/>
      </c>
      <c r="V299">
        <f>HYPERLINK("https://klasma.github.io/Logging_2283/klagomål/A 58827-2023 FSC-klagomål.docx", "A 58827-2023")</f>
        <v/>
      </c>
      <c r="W299">
        <f>HYPERLINK("https://klasma.github.io/Logging_2283/klagomålsmail/A 58827-2023 FSC-klagomål mail.docx", "A 58827-2023")</f>
        <v/>
      </c>
      <c r="X299">
        <f>HYPERLINK("https://klasma.github.io/Logging_2283/tillsyn/A 58827-2023 tillsynsbegäran.docx", "A 58827-2023")</f>
        <v/>
      </c>
      <c r="Y299">
        <f>HYPERLINK("https://klasma.github.io/Logging_2283/tillsynsmail/A 58827-2023 tillsynsbegäran mail.docx", "A 58827-2023")</f>
        <v/>
      </c>
    </row>
    <row r="300" ht="15" customHeight="1">
      <c r="A300" t="inlineStr">
        <is>
          <t>A 2515-2024</t>
        </is>
      </c>
      <c r="B300" s="1" t="n">
        <v>45313</v>
      </c>
      <c r="C300" s="1" t="n">
        <v>45670</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6698-2024</t>
        </is>
      </c>
      <c r="B301" s="1" t="n">
        <v>45341</v>
      </c>
      <c r="C301" s="1" t="n">
        <v>45670</v>
      </c>
      <c r="D301" t="inlineStr">
        <is>
          <t>VÄSTERNORRLANDS LÄN</t>
        </is>
      </c>
      <c r="E301" t="inlineStr">
        <is>
          <t>SOLLEFTEÅ</t>
        </is>
      </c>
      <c r="F301" t="inlineStr">
        <is>
          <t>SCA</t>
        </is>
      </c>
      <c r="G301" t="n">
        <v>3</v>
      </c>
      <c r="H301" t="n">
        <v>0</v>
      </c>
      <c r="I301" t="n">
        <v>0</v>
      </c>
      <c r="J301" t="n">
        <v>2</v>
      </c>
      <c r="K301" t="n">
        <v>0</v>
      </c>
      <c r="L301" t="n">
        <v>0</v>
      </c>
      <c r="M301" t="n">
        <v>0</v>
      </c>
      <c r="N301" t="n">
        <v>0</v>
      </c>
      <c r="O301" t="n">
        <v>2</v>
      </c>
      <c r="P301" t="n">
        <v>0</v>
      </c>
      <c r="Q301" t="n">
        <v>2</v>
      </c>
      <c r="R301" s="2" t="inlineStr">
        <is>
          <t>Granticka
Harticka</t>
        </is>
      </c>
      <c r="S301">
        <f>HYPERLINK("https://klasma.github.io/Logging_2283/artfynd/A 6698-2024 artfynd.xlsx", "A 6698-2024")</f>
        <v/>
      </c>
      <c r="T301">
        <f>HYPERLINK("https://klasma.github.io/Logging_2283/kartor/A 6698-2024 karta.png", "A 6698-2024")</f>
        <v/>
      </c>
      <c r="V301">
        <f>HYPERLINK("https://klasma.github.io/Logging_2283/klagomål/A 6698-2024 FSC-klagomål.docx", "A 6698-2024")</f>
        <v/>
      </c>
      <c r="W301">
        <f>HYPERLINK("https://klasma.github.io/Logging_2283/klagomålsmail/A 6698-2024 FSC-klagomål mail.docx", "A 6698-2024")</f>
        <v/>
      </c>
      <c r="X301">
        <f>HYPERLINK("https://klasma.github.io/Logging_2283/tillsyn/A 6698-2024 tillsynsbegäran.docx", "A 6698-2024")</f>
        <v/>
      </c>
      <c r="Y301">
        <f>HYPERLINK("https://klasma.github.io/Logging_2283/tillsynsmail/A 6698-2024 tillsynsbegäran mail.docx", "A 6698-2024")</f>
        <v/>
      </c>
    </row>
    <row r="302" ht="15" customHeight="1">
      <c r="A302" t="inlineStr">
        <is>
          <t>A 7108-2024</t>
        </is>
      </c>
      <c r="B302" s="1" t="n">
        <v>45343</v>
      </c>
      <c r="C302" s="1" t="n">
        <v>45670</v>
      </c>
      <c r="D302" t="inlineStr">
        <is>
          <t>VÄSTERNORRLANDS LÄN</t>
        </is>
      </c>
      <c r="E302" t="inlineStr">
        <is>
          <t>SOLLEFTEÅ</t>
        </is>
      </c>
      <c r="F302" t="inlineStr">
        <is>
          <t>SCA</t>
        </is>
      </c>
      <c r="G302" t="n">
        <v>3.8</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HYPERLINK("https://klasma.github.io/Logging_2283/artfynd/A 7108-2024 artfynd.xlsx", "A 7108-2024")</f>
        <v/>
      </c>
      <c r="T302">
        <f>HYPERLINK("https://klasma.github.io/Logging_2283/kartor/A 7108-2024 karta.png", "A 7108-2024")</f>
        <v/>
      </c>
      <c r="V302">
        <f>HYPERLINK("https://klasma.github.io/Logging_2283/klagomål/A 7108-2024 FSC-klagomål.docx", "A 7108-2024")</f>
        <v/>
      </c>
      <c r="W302">
        <f>HYPERLINK("https://klasma.github.io/Logging_2283/klagomålsmail/A 7108-2024 FSC-klagomål mail.docx", "A 7108-2024")</f>
        <v/>
      </c>
      <c r="X302">
        <f>HYPERLINK("https://klasma.github.io/Logging_2283/tillsyn/A 7108-2024 tillsynsbegäran.docx", "A 7108-2024")</f>
        <v/>
      </c>
      <c r="Y302">
        <f>HYPERLINK("https://klasma.github.io/Logging_2283/tillsynsmail/A 7108-2024 tillsynsbegäran mail.docx", "A 7108-2024")</f>
        <v/>
      </c>
    </row>
    <row r="303" ht="15" customHeight="1">
      <c r="A303" t="inlineStr">
        <is>
          <t>A 7109-2024</t>
        </is>
      </c>
      <c r="B303" s="1" t="n">
        <v>45343</v>
      </c>
      <c r="C303" s="1" t="n">
        <v>45670</v>
      </c>
      <c r="D303" t="inlineStr">
        <is>
          <t>VÄSTERNORRLANDS LÄN</t>
        </is>
      </c>
      <c r="E303" t="inlineStr">
        <is>
          <t>SOLLEFTEÅ</t>
        </is>
      </c>
      <c r="F303" t="inlineStr">
        <is>
          <t>SCA</t>
        </is>
      </c>
      <c r="G303" t="n">
        <v>11</v>
      </c>
      <c r="H303" t="n">
        <v>1</v>
      </c>
      <c r="I303" t="n">
        <v>0</v>
      </c>
      <c r="J303" t="n">
        <v>2</v>
      </c>
      <c r="K303" t="n">
        <v>0</v>
      </c>
      <c r="L303" t="n">
        <v>0</v>
      </c>
      <c r="M303" t="n">
        <v>0</v>
      </c>
      <c r="N303" t="n">
        <v>0</v>
      </c>
      <c r="O303" t="n">
        <v>2</v>
      </c>
      <c r="P303" t="n">
        <v>0</v>
      </c>
      <c r="Q303" t="n">
        <v>2</v>
      </c>
      <c r="R303" s="2" t="inlineStr">
        <is>
          <t>Garnlav
Tretåig hackspett</t>
        </is>
      </c>
      <c r="S303">
        <f>HYPERLINK("https://klasma.github.io/Logging_2283/artfynd/A 7109-2024 artfynd.xlsx", "A 7109-2024")</f>
        <v/>
      </c>
      <c r="T303">
        <f>HYPERLINK("https://klasma.github.io/Logging_2283/kartor/A 7109-2024 karta.png", "A 7109-2024")</f>
        <v/>
      </c>
      <c r="V303">
        <f>HYPERLINK("https://klasma.github.io/Logging_2283/klagomål/A 7109-2024 FSC-klagomål.docx", "A 7109-2024")</f>
        <v/>
      </c>
      <c r="W303">
        <f>HYPERLINK("https://klasma.github.io/Logging_2283/klagomålsmail/A 7109-2024 FSC-klagomål mail.docx", "A 7109-2024")</f>
        <v/>
      </c>
      <c r="X303">
        <f>HYPERLINK("https://klasma.github.io/Logging_2283/tillsyn/A 7109-2024 tillsynsbegäran.docx", "A 7109-2024")</f>
        <v/>
      </c>
      <c r="Y303">
        <f>HYPERLINK("https://klasma.github.io/Logging_2283/tillsynsmail/A 7109-2024 tillsynsbegäran mail.docx", "A 7109-2024")</f>
        <v/>
      </c>
      <c r="Z303">
        <f>HYPERLINK("https://klasma.github.io/Logging_2283/fåglar/A 7109-2024 prioriterade fågelarter.docx", "A 7109-2024")</f>
        <v/>
      </c>
    </row>
    <row r="304" ht="15" customHeight="1">
      <c r="A304" t="inlineStr">
        <is>
          <t>A 9554-2024</t>
        </is>
      </c>
      <c r="B304" s="1" t="n">
        <v>45360</v>
      </c>
      <c r="C304" s="1" t="n">
        <v>45670</v>
      </c>
      <c r="D304" t="inlineStr">
        <is>
          <t>VÄSTERNORRLANDS LÄN</t>
        </is>
      </c>
      <c r="E304" t="inlineStr">
        <is>
          <t>SOLLEFTEÅ</t>
        </is>
      </c>
      <c r="F304" t="inlineStr">
        <is>
          <t>SCA</t>
        </is>
      </c>
      <c r="G304" t="n">
        <v>7.3</v>
      </c>
      <c r="H304" t="n">
        <v>2</v>
      </c>
      <c r="I304" t="n">
        <v>0</v>
      </c>
      <c r="J304" t="n">
        <v>0</v>
      </c>
      <c r="K304" t="n">
        <v>1</v>
      </c>
      <c r="L304" t="n">
        <v>0</v>
      </c>
      <c r="M304" t="n">
        <v>0</v>
      </c>
      <c r="N304" t="n">
        <v>0</v>
      </c>
      <c r="O304" t="n">
        <v>1</v>
      </c>
      <c r="P304" t="n">
        <v>1</v>
      </c>
      <c r="Q304" t="n">
        <v>2</v>
      </c>
      <c r="R304" s="2" t="inlineStr">
        <is>
          <t>Knärot
Revlummer</t>
        </is>
      </c>
      <c r="S304">
        <f>HYPERLINK("https://klasma.github.io/Logging_2283/artfynd/A 9554-2024 artfynd.xlsx", "A 9554-2024")</f>
        <v/>
      </c>
      <c r="T304">
        <f>HYPERLINK("https://klasma.github.io/Logging_2283/kartor/A 9554-2024 karta.png", "A 9554-2024")</f>
        <v/>
      </c>
      <c r="U304">
        <f>HYPERLINK("https://klasma.github.io/Logging_2283/knärot/A 9554-2024 karta knärot.png", "A 9554-2024")</f>
        <v/>
      </c>
      <c r="V304">
        <f>HYPERLINK("https://klasma.github.io/Logging_2283/klagomål/A 9554-2024 FSC-klagomål.docx", "A 9554-2024")</f>
        <v/>
      </c>
      <c r="W304">
        <f>HYPERLINK("https://klasma.github.io/Logging_2283/klagomålsmail/A 9554-2024 FSC-klagomål mail.docx", "A 9554-2024")</f>
        <v/>
      </c>
      <c r="X304">
        <f>HYPERLINK("https://klasma.github.io/Logging_2283/tillsyn/A 9554-2024 tillsynsbegäran.docx", "A 9554-2024")</f>
        <v/>
      </c>
      <c r="Y304">
        <f>HYPERLINK("https://klasma.github.io/Logging_2283/tillsynsmail/A 9554-2024 tillsynsbegäran mail.docx", "A 9554-2024")</f>
        <v/>
      </c>
    </row>
    <row r="305" ht="15" customHeight="1">
      <c r="A305" t="inlineStr">
        <is>
          <t>A 19080-2024</t>
        </is>
      </c>
      <c r="B305" s="1" t="n">
        <v>45428</v>
      </c>
      <c r="C305" s="1" t="n">
        <v>45670</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Garnlav
Stor aspticka</t>
        </is>
      </c>
      <c r="S305">
        <f>HYPERLINK("https://klasma.github.io/Logging_2283/artfynd/A 19080-2024 artfynd.xlsx", "A 19080-2024")</f>
        <v/>
      </c>
      <c r="T305">
        <f>HYPERLINK("https://klasma.github.io/Logging_2283/kartor/A 19080-2024 karta.png", "A 19080-2024")</f>
        <v/>
      </c>
      <c r="V305">
        <f>HYPERLINK("https://klasma.github.io/Logging_2283/klagomål/A 19080-2024 FSC-klagomål.docx", "A 19080-2024")</f>
        <v/>
      </c>
      <c r="W305">
        <f>HYPERLINK("https://klasma.github.io/Logging_2283/klagomålsmail/A 19080-2024 FSC-klagomål mail.docx", "A 19080-2024")</f>
        <v/>
      </c>
      <c r="X305">
        <f>HYPERLINK("https://klasma.github.io/Logging_2283/tillsyn/A 19080-2024 tillsynsbegäran.docx", "A 19080-2024")</f>
        <v/>
      </c>
      <c r="Y305">
        <f>HYPERLINK("https://klasma.github.io/Logging_2283/tillsynsmail/A 19080-2024 tillsynsbegäran mail.docx", "A 19080-2024")</f>
        <v/>
      </c>
    </row>
    <row r="306" ht="15" customHeight="1">
      <c r="A306" t="inlineStr">
        <is>
          <t>A 27644-2024</t>
        </is>
      </c>
      <c r="B306" s="1" t="n">
        <v>45474</v>
      </c>
      <c r="C306" s="1" t="n">
        <v>45670</v>
      </c>
      <c r="D306" t="inlineStr">
        <is>
          <t>VÄSTERNORRLANDS LÄN</t>
        </is>
      </c>
      <c r="E306" t="inlineStr">
        <is>
          <t>SOLLEFTEÅ</t>
        </is>
      </c>
      <c r="F306" t="inlineStr">
        <is>
          <t>SCA</t>
        </is>
      </c>
      <c r="G306" t="n">
        <v>2.8</v>
      </c>
      <c r="H306" t="n">
        <v>1</v>
      </c>
      <c r="I306" t="n">
        <v>0</v>
      </c>
      <c r="J306" t="n">
        <v>1</v>
      </c>
      <c r="K306" t="n">
        <v>0</v>
      </c>
      <c r="L306" t="n">
        <v>0</v>
      </c>
      <c r="M306" t="n">
        <v>0</v>
      </c>
      <c r="N306" t="n">
        <v>0</v>
      </c>
      <c r="O306" t="n">
        <v>1</v>
      </c>
      <c r="P306" t="n">
        <v>0</v>
      </c>
      <c r="Q306" t="n">
        <v>2</v>
      </c>
      <c r="R306" s="2" t="inlineStr">
        <is>
          <t>Granticka
Fläcknycklar</t>
        </is>
      </c>
      <c r="S306">
        <f>HYPERLINK("https://klasma.github.io/Logging_2283/artfynd/A 27644-2024 artfynd.xlsx", "A 27644-2024")</f>
        <v/>
      </c>
      <c r="T306">
        <f>HYPERLINK("https://klasma.github.io/Logging_2283/kartor/A 27644-2024 karta.png", "A 27644-2024")</f>
        <v/>
      </c>
      <c r="V306">
        <f>HYPERLINK("https://klasma.github.io/Logging_2283/klagomål/A 27644-2024 FSC-klagomål.docx", "A 27644-2024")</f>
        <v/>
      </c>
      <c r="W306">
        <f>HYPERLINK("https://klasma.github.io/Logging_2283/klagomålsmail/A 27644-2024 FSC-klagomål mail.docx", "A 27644-2024")</f>
        <v/>
      </c>
      <c r="X306">
        <f>HYPERLINK("https://klasma.github.io/Logging_2283/tillsyn/A 27644-2024 tillsynsbegäran.docx", "A 27644-2024")</f>
        <v/>
      </c>
      <c r="Y306">
        <f>HYPERLINK("https://klasma.github.io/Logging_2283/tillsynsmail/A 27644-2024 tillsynsbegäran mail.docx", "A 27644-2024")</f>
        <v/>
      </c>
    </row>
    <row r="307" ht="15" customHeight="1">
      <c r="A307" t="inlineStr">
        <is>
          <t>A 29264-2024</t>
        </is>
      </c>
      <c r="B307" s="1" t="n">
        <v>45482</v>
      </c>
      <c r="C307" s="1" t="n">
        <v>45670</v>
      </c>
      <c r="D307" t="inlineStr">
        <is>
          <t>VÄSTERNORRLANDS LÄN</t>
        </is>
      </c>
      <c r="E307" t="inlineStr">
        <is>
          <t>SOLLEFTEÅ</t>
        </is>
      </c>
      <c r="F307" t="inlineStr">
        <is>
          <t>SCA</t>
        </is>
      </c>
      <c r="G307" t="n">
        <v>3</v>
      </c>
      <c r="H307" t="n">
        <v>2</v>
      </c>
      <c r="I307" t="n">
        <v>0</v>
      </c>
      <c r="J307" t="n">
        <v>1</v>
      </c>
      <c r="K307" t="n">
        <v>0</v>
      </c>
      <c r="L307" t="n">
        <v>0</v>
      </c>
      <c r="M307" t="n">
        <v>0</v>
      </c>
      <c r="N307" t="n">
        <v>0</v>
      </c>
      <c r="O307" t="n">
        <v>1</v>
      </c>
      <c r="P307" t="n">
        <v>0</v>
      </c>
      <c r="Q307" t="n">
        <v>2</v>
      </c>
      <c r="R307" s="2" t="inlineStr">
        <is>
          <t>Tretåig hackspett
Fläcknycklar</t>
        </is>
      </c>
      <c r="S307">
        <f>HYPERLINK("https://klasma.github.io/Logging_2283/artfynd/A 29264-2024 artfynd.xlsx", "A 29264-2024")</f>
        <v/>
      </c>
      <c r="T307">
        <f>HYPERLINK("https://klasma.github.io/Logging_2283/kartor/A 29264-2024 karta.png", "A 29264-2024")</f>
        <v/>
      </c>
      <c r="V307">
        <f>HYPERLINK("https://klasma.github.io/Logging_2283/klagomål/A 29264-2024 FSC-klagomål.docx", "A 29264-2024")</f>
        <v/>
      </c>
      <c r="W307">
        <f>HYPERLINK("https://klasma.github.io/Logging_2283/klagomålsmail/A 29264-2024 FSC-klagomål mail.docx", "A 29264-2024")</f>
        <v/>
      </c>
      <c r="X307">
        <f>HYPERLINK("https://klasma.github.io/Logging_2283/tillsyn/A 29264-2024 tillsynsbegäran.docx", "A 29264-2024")</f>
        <v/>
      </c>
      <c r="Y307">
        <f>HYPERLINK("https://klasma.github.io/Logging_2283/tillsynsmail/A 29264-2024 tillsynsbegäran mail.docx", "A 29264-2024")</f>
        <v/>
      </c>
      <c r="Z307">
        <f>HYPERLINK("https://klasma.github.io/Logging_2283/fåglar/A 29264-2024 prioriterade fågelarter.docx", "A 29264-2024")</f>
        <v/>
      </c>
    </row>
    <row r="308" ht="15" customHeight="1">
      <c r="A308" t="inlineStr">
        <is>
          <t>A 29919-2024</t>
        </is>
      </c>
      <c r="B308" s="1" t="n">
        <v>45488</v>
      </c>
      <c r="C308" s="1" t="n">
        <v>45670</v>
      </c>
      <c r="D308" t="inlineStr">
        <is>
          <t>VÄSTERNORRLANDS LÄN</t>
        </is>
      </c>
      <c r="E308" t="inlineStr">
        <is>
          <t>SOLLEFTEÅ</t>
        </is>
      </c>
      <c r="G308" t="n">
        <v>8.1</v>
      </c>
      <c r="H308" t="n">
        <v>0</v>
      </c>
      <c r="I308" t="n">
        <v>0</v>
      </c>
      <c r="J308" t="n">
        <v>2</v>
      </c>
      <c r="K308" t="n">
        <v>0</v>
      </c>
      <c r="L308" t="n">
        <v>0</v>
      </c>
      <c r="M308" t="n">
        <v>0</v>
      </c>
      <c r="N308" t="n">
        <v>0</v>
      </c>
      <c r="O308" t="n">
        <v>2</v>
      </c>
      <c r="P308" t="n">
        <v>0</v>
      </c>
      <c r="Q308" t="n">
        <v>2</v>
      </c>
      <c r="R308" s="2" t="inlineStr">
        <is>
          <t>Garnlav
Rosenticka</t>
        </is>
      </c>
      <c r="S308">
        <f>HYPERLINK("https://klasma.github.io/Logging_2283/artfynd/A 29919-2024 artfynd.xlsx", "A 29919-2024")</f>
        <v/>
      </c>
      <c r="T308">
        <f>HYPERLINK("https://klasma.github.io/Logging_2283/kartor/A 29919-2024 karta.png", "A 29919-2024")</f>
        <v/>
      </c>
      <c r="V308">
        <f>HYPERLINK("https://klasma.github.io/Logging_2283/klagomål/A 29919-2024 FSC-klagomål.docx", "A 29919-2024")</f>
        <v/>
      </c>
      <c r="W308">
        <f>HYPERLINK("https://klasma.github.io/Logging_2283/klagomålsmail/A 29919-2024 FSC-klagomål mail.docx", "A 29919-2024")</f>
        <v/>
      </c>
      <c r="X308">
        <f>HYPERLINK("https://klasma.github.io/Logging_2283/tillsyn/A 29919-2024 tillsynsbegäran.docx", "A 29919-2024")</f>
        <v/>
      </c>
      <c r="Y308">
        <f>HYPERLINK("https://klasma.github.io/Logging_2283/tillsynsmail/A 29919-2024 tillsynsbegäran mail.docx", "A 29919-2024")</f>
        <v/>
      </c>
    </row>
    <row r="309" ht="15" customHeight="1">
      <c r="A309" t="inlineStr">
        <is>
          <t>A 29917-2024</t>
        </is>
      </c>
      <c r="B309" s="1" t="n">
        <v>45487</v>
      </c>
      <c r="C309" s="1" t="n">
        <v>45670</v>
      </c>
      <c r="D309" t="inlineStr">
        <is>
          <t>VÄSTERNORRLANDS LÄN</t>
        </is>
      </c>
      <c r="E309" t="inlineStr">
        <is>
          <t>SOLLEFTEÅ</t>
        </is>
      </c>
      <c r="G309" t="n">
        <v>1.1</v>
      </c>
      <c r="H309" t="n">
        <v>0</v>
      </c>
      <c r="I309" t="n">
        <v>0</v>
      </c>
      <c r="J309" t="n">
        <v>2</v>
      </c>
      <c r="K309" t="n">
        <v>0</v>
      </c>
      <c r="L309" t="n">
        <v>0</v>
      </c>
      <c r="M309" t="n">
        <v>0</v>
      </c>
      <c r="N309" t="n">
        <v>0</v>
      </c>
      <c r="O309" t="n">
        <v>2</v>
      </c>
      <c r="P309" t="n">
        <v>0</v>
      </c>
      <c r="Q309" t="n">
        <v>2</v>
      </c>
      <c r="R309" s="2" t="inlineStr">
        <is>
          <t>Garnlav
Mörk kolflarnlav</t>
        </is>
      </c>
      <c r="S309">
        <f>HYPERLINK("https://klasma.github.io/Logging_2283/artfynd/A 29917-2024 artfynd.xlsx", "A 29917-2024")</f>
        <v/>
      </c>
      <c r="T309">
        <f>HYPERLINK("https://klasma.github.io/Logging_2283/kartor/A 29917-2024 karta.png", "A 29917-2024")</f>
        <v/>
      </c>
      <c r="V309">
        <f>HYPERLINK("https://klasma.github.io/Logging_2283/klagomål/A 29917-2024 FSC-klagomål.docx", "A 29917-2024")</f>
        <v/>
      </c>
      <c r="W309">
        <f>HYPERLINK("https://klasma.github.io/Logging_2283/klagomålsmail/A 29917-2024 FSC-klagomål mail.docx", "A 29917-2024")</f>
        <v/>
      </c>
      <c r="X309">
        <f>HYPERLINK("https://klasma.github.io/Logging_2283/tillsyn/A 29917-2024 tillsynsbegäran.docx", "A 29917-2024")</f>
        <v/>
      </c>
      <c r="Y309">
        <f>HYPERLINK("https://klasma.github.io/Logging_2283/tillsynsmail/A 29917-2024 tillsynsbegäran mail.docx", "A 29917-2024")</f>
        <v/>
      </c>
    </row>
    <row r="310" ht="15" customHeight="1">
      <c r="A310" t="inlineStr">
        <is>
          <t>A 31491-2024</t>
        </is>
      </c>
      <c r="B310" s="1" t="n">
        <v>45505</v>
      </c>
      <c r="C310" s="1" t="n">
        <v>45670</v>
      </c>
      <c r="D310" t="inlineStr">
        <is>
          <t>VÄSTERNORRLANDS LÄN</t>
        </is>
      </c>
      <c r="E310" t="inlineStr">
        <is>
          <t>SOLLEFTEÅ</t>
        </is>
      </c>
      <c r="F310" t="inlineStr">
        <is>
          <t>SCA</t>
        </is>
      </c>
      <c r="G310" t="n">
        <v>17.2</v>
      </c>
      <c r="H310" t="n">
        <v>1</v>
      </c>
      <c r="I310" t="n">
        <v>0</v>
      </c>
      <c r="J310" t="n">
        <v>2</v>
      </c>
      <c r="K310" t="n">
        <v>0</v>
      </c>
      <c r="L310" t="n">
        <v>0</v>
      </c>
      <c r="M310" t="n">
        <v>0</v>
      </c>
      <c r="N310" t="n">
        <v>0</v>
      </c>
      <c r="O310" t="n">
        <v>2</v>
      </c>
      <c r="P310" t="n">
        <v>0</v>
      </c>
      <c r="Q310" t="n">
        <v>2</v>
      </c>
      <c r="R310" s="2" t="inlineStr">
        <is>
          <t>Lunglav
Tretåig hackspett</t>
        </is>
      </c>
      <c r="S310">
        <f>HYPERLINK("https://klasma.github.io/Logging_2283/artfynd/A 31491-2024 artfynd.xlsx", "A 31491-2024")</f>
        <v/>
      </c>
      <c r="T310">
        <f>HYPERLINK("https://klasma.github.io/Logging_2283/kartor/A 31491-2024 karta.png", "A 31491-2024")</f>
        <v/>
      </c>
      <c r="V310">
        <f>HYPERLINK("https://klasma.github.io/Logging_2283/klagomål/A 31491-2024 FSC-klagomål.docx", "A 31491-2024")</f>
        <v/>
      </c>
      <c r="W310">
        <f>HYPERLINK("https://klasma.github.io/Logging_2283/klagomålsmail/A 31491-2024 FSC-klagomål mail.docx", "A 31491-2024")</f>
        <v/>
      </c>
      <c r="X310">
        <f>HYPERLINK("https://klasma.github.io/Logging_2283/tillsyn/A 31491-2024 tillsynsbegäran.docx", "A 31491-2024")</f>
        <v/>
      </c>
      <c r="Y310">
        <f>HYPERLINK("https://klasma.github.io/Logging_2283/tillsynsmail/A 31491-2024 tillsynsbegäran mail.docx", "A 31491-2024")</f>
        <v/>
      </c>
      <c r="Z310">
        <f>HYPERLINK("https://klasma.github.io/Logging_2283/fåglar/A 31491-2024 prioriterade fågelarter.docx", "A 31491-2024")</f>
        <v/>
      </c>
    </row>
    <row r="311" ht="15" customHeight="1">
      <c r="A311" t="inlineStr">
        <is>
          <t>A 34812-2024</t>
        </is>
      </c>
      <c r="B311" s="1" t="n">
        <v>45526</v>
      </c>
      <c r="C311" s="1" t="n">
        <v>45670</v>
      </c>
      <c r="D311" t="inlineStr">
        <is>
          <t>VÄSTERNORRLANDS LÄN</t>
        </is>
      </c>
      <c r="E311" t="inlineStr">
        <is>
          <t>SOLLEFTEÅ</t>
        </is>
      </c>
      <c r="G311" t="n">
        <v>8.1</v>
      </c>
      <c r="H311" t="n">
        <v>0</v>
      </c>
      <c r="I311" t="n">
        <v>1</v>
      </c>
      <c r="J311" t="n">
        <v>1</v>
      </c>
      <c r="K311" t="n">
        <v>0</v>
      </c>
      <c r="L311" t="n">
        <v>0</v>
      </c>
      <c r="M311" t="n">
        <v>0</v>
      </c>
      <c r="N311" t="n">
        <v>0</v>
      </c>
      <c r="O311" t="n">
        <v>1</v>
      </c>
      <c r="P311" t="n">
        <v>0</v>
      </c>
      <c r="Q311" t="n">
        <v>2</v>
      </c>
      <c r="R311" s="2" t="inlineStr">
        <is>
          <t>Garnlav
Dropptaggsvamp</t>
        </is>
      </c>
      <c r="S311">
        <f>HYPERLINK("https://klasma.github.io/Logging_2283/artfynd/A 34812-2024 artfynd.xlsx", "A 34812-2024")</f>
        <v/>
      </c>
      <c r="T311">
        <f>HYPERLINK("https://klasma.github.io/Logging_2283/kartor/A 34812-2024 karta.png", "A 34812-2024")</f>
        <v/>
      </c>
      <c r="V311">
        <f>HYPERLINK("https://klasma.github.io/Logging_2283/klagomål/A 34812-2024 FSC-klagomål.docx", "A 34812-2024")</f>
        <v/>
      </c>
      <c r="W311">
        <f>HYPERLINK("https://klasma.github.io/Logging_2283/klagomålsmail/A 34812-2024 FSC-klagomål mail.docx", "A 34812-2024")</f>
        <v/>
      </c>
      <c r="X311">
        <f>HYPERLINK("https://klasma.github.io/Logging_2283/tillsyn/A 34812-2024 tillsynsbegäran.docx", "A 34812-2024")</f>
        <v/>
      </c>
      <c r="Y311">
        <f>HYPERLINK("https://klasma.github.io/Logging_2283/tillsynsmail/A 34812-2024 tillsynsbegäran mail.docx", "A 34812-2024")</f>
        <v/>
      </c>
    </row>
    <row r="312" ht="15" customHeight="1">
      <c r="A312" t="inlineStr">
        <is>
          <t>A 34814-2024</t>
        </is>
      </c>
      <c r="B312" s="1" t="n">
        <v>45526</v>
      </c>
      <c r="C312" s="1" t="n">
        <v>45670</v>
      </c>
      <c r="D312" t="inlineStr">
        <is>
          <t>VÄSTERNORRLANDS LÄN</t>
        </is>
      </c>
      <c r="E312" t="inlineStr">
        <is>
          <t>SOLLEFTEÅ</t>
        </is>
      </c>
      <c r="F312" t="inlineStr">
        <is>
          <t>SCA</t>
        </is>
      </c>
      <c r="G312" t="n">
        <v>6.9</v>
      </c>
      <c r="H312" t="n">
        <v>0</v>
      </c>
      <c r="I312" t="n">
        <v>0</v>
      </c>
      <c r="J312" t="n">
        <v>2</v>
      </c>
      <c r="K312" t="n">
        <v>0</v>
      </c>
      <c r="L312" t="n">
        <v>0</v>
      </c>
      <c r="M312" t="n">
        <v>0</v>
      </c>
      <c r="N312" t="n">
        <v>0</v>
      </c>
      <c r="O312" t="n">
        <v>2</v>
      </c>
      <c r="P312" t="n">
        <v>0</v>
      </c>
      <c r="Q312" t="n">
        <v>2</v>
      </c>
      <c r="R312" s="2" t="inlineStr">
        <is>
          <t>Kolflarnlav
Lunglav</t>
        </is>
      </c>
      <c r="S312">
        <f>HYPERLINK("https://klasma.github.io/Logging_2283/artfynd/A 34814-2024 artfynd.xlsx", "A 34814-2024")</f>
        <v/>
      </c>
      <c r="T312">
        <f>HYPERLINK("https://klasma.github.io/Logging_2283/kartor/A 34814-2024 karta.png", "A 34814-2024")</f>
        <v/>
      </c>
      <c r="V312">
        <f>HYPERLINK("https://klasma.github.io/Logging_2283/klagomål/A 34814-2024 FSC-klagomål.docx", "A 34814-2024")</f>
        <v/>
      </c>
      <c r="W312">
        <f>HYPERLINK("https://klasma.github.io/Logging_2283/klagomålsmail/A 34814-2024 FSC-klagomål mail.docx", "A 34814-2024")</f>
        <v/>
      </c>
      <c r="X312">
        <f>HYPERLINK("https://klasma.github.io/Logging_2283/tillsyn/A 34814-2024 tillsynsbegäran.docx", "A 34814-2024")</f>
        <v/>
      </c>
      <c r="Y312">
        <f>HYPERLINK("https://klasma.github.io/Logging_2283/tillsynsmail/A 34814-2024 tillsynsbegäran mail.docx", "A 34814-2024")</f>
        <v/>
      </c>
    </row>
    <row r="313" ht="15" customHeight="1">
      <c r="A313" t="inlineStr">
        <is>
          <t>A 36912-2024</t>
        </is>
      </c>
      <c r="B313" s="1" t="n">
        <v>45538</v>
      </c>
      <c r="C313" s="1" t="n">
        <v>45670</v>
      </c>
      <c r="D313" t="inlineStr">
        <is>
          <t>VÄSTERNORRLANDS LÄN</t>
        </is>
      </c>
      <c r="E313" t="inlineStr">
        <is>
          <t>SOLLEFTEÅ</t>
        </is>
      </c>
      <c r="F313" t="inlineStr">
        <is>
          <t>SCA</t>
        </is>
      </c>
      <c r="G313" t="n">
        <v>2</v>
      </c>
      <c r="H313" t="n">
        <v>1</v>
      </c>
      <c r="I313" t="n">
        <v>0</v>
      </c>
      <c r="J313" t="n">
        <v>2</v>
      </c>
      <c r="K313" t="n">
        <v>0</v>
      </c>
      <c r="L313" t="n">
        <v>0</v>
      </c>
      <c r="M313" t="n">
        <v>0</v>
      </c>
      <c r="N313" t="n">
        <v>0</v>
      </c>
      <c r="O313" t="n">
        <v>2</v>
      </c>
      <c r="P313" t="n">
        <v>0</v>
      </c>
      <c r="Q313" t="n">
        <v>2</v>
      </c>
      <c r="R313" s="2" t="inlineStr">
        <is>
          <t>Talltita
Ullticka</t>
        </is>
      </c>
      <c r="S313">
        <f>HYPERLINK("https://klasma.github.io/Logging_2283/artfynd/A 36912-2024 artfynd.xlsx", "A 36912-2024")</f>
        <v/>
      </c>
      <c r="T313">
        <f>HYPERLINK("https://klasma.github.io/Logging_2283/kartor/A 36912-2024 karta.png", "A 36912-2024")</f>
        <v/>
      </c>
      <c r="V313">
        <f>HYPERLINK("https://klasma.github.io/Logging_2283/klagomål/A 36912-2024 FSC-klagomål.docx", "A 36912-2024")</f>
        <v/>
      </c>
      <c r="W313">
        <f>HYPERLINK("https://klasma.github.io/Logging_2283/klagomålsmail/A 36912-2024 FSC-klagomål mail.docx", "A 36912-2024")</f>
        <v/>
      </c>
      <c r="X313">
        <f>HYPERLINK("https://klasma.github.io/Logging_2283/tillsyn/A 36912-2024 tillsynsbegäran.docx", "A 36912-2024")</f>
        <v/>
      </c>
      <c r="Y313">
        <f>HYPERLINK("https://klasma.github.io/Logging_2283/tillsynsmail/A 36912-2024 tillsynsbegäran mail.docx", "A 36912-2024")</f>
        <v/>
      </c>
      <c r="Z313">
        <f>HYPERLINK("https://klasma.github.io/Logging_2283/fåglar/A 36912-2024 prioriterade fågelarter.docx", "A 36912-2024")</f>
        <v/>
      </c>
    </row>
    <row r="314" ht="15" customHeight="1">
      <c r="A314" t="inlineStr">
        <is>
          <t>A 38017-2024</t>
        </is>
      </c>
      <c r="B314" s="1" t="n">
        <v>45544</v>
      </c>
      <c r="C314" s="1" t="n">
        <v>45670</v>
      </c>
      <c r="D314" t="inlineStr">
        <is>
          <t>VÄSTERNORRLANDS LÄN</t>
        </is>
      </c>
      <c r="E314" t="inlineStr">
        <is>
          <t>SOLLEFTEÅ</t>
        </is>
      </c>
      <c r="F314" t="inlineStr">
        <is>
          <t>SCA</t>
        </is>
      </c>
      <c r="G314" t="n">
        <v>1.9</v>
      </c>
      <c r="H314" t="n">
        <v>0</v>
      </c>
      <c r="I314" t="n">
        <v>1</v>
      </c>
      <c r="J314" t="n">
        <v>1</v>
      </c>
      <c r="K314" t="n">
        <v>0</v>
      </c>
      <c r="L314" t="n">
        <v>0</v>
      </c>
      <c r="M314" t="n">
        <v>0</v>
      </c>
      <c r="N314" t="n">
        <v>0</v>
      </c>
      <c r="O314" t="n">
        <v>1</v>
      </c>
      <c r="P314" t="n">
        <v>0</v>
      </c>
      <c r="Q314" t="n">
        <v>2</v>
      </c>
      <c r="R314" s="2" t="inlineStr">
        <is>
          <t>Garnlav
Bårdlav</t>
        </is>
      </c>
      <c r="S314">
        <f>HYPERLINK("https://klasma.github.io/Logging_2283/artfynd/A 38017-2024 artfynd.xlsx", "A 38017-2024")</f>
        <v/>
      </c>
      <c r="T314">
        <f>HYPERLINK("https://klasma.github.io/Logging_2283/kartor/A 38017-2024 karta.png", "A 38017-2024")</f>
        <v/>
      </c>
      <c r="V314">
        <f>HYPERLINK("https://klasma.github.io/Logging_2283/klagomål/A 38017-2024 FSC-klagomål.docx", "A 38017-2024")</f>
        <v/>
      </c>
      <c r="W314">
        <f>HYPERLINK("https://klasma.github.io/Logging_2283/klagomålsmail/A 38017-2024 FSC-klagomål mail.docx", "A 38017-2024")</f>
        <v/>
      </c>
      <c r="X314">
        <f>HYPERLINK("https://klasma.github.io/Logging_2283/tillsyn/A 38017-2024 tillsynsbegäran.docx", "A 38017-2024")</f>
        <v/>
      </c>
      <c r="Y314">
        <f>HYPERLINK("https://klasma.github.io/Logging_2283/tillsynsmail/A 38017-2024 tillsynsbegäran mail.docx", "A 38017-2024")</f>
        <v/>
      </c>
    </row>
    <row r="315" ht="15" customHeight="1">
      <c r="A315" t="inlineStr">
        <is>
          <t>A 40576-2024</t>
        </is>
      </c>
      <c r="B315" s="1" t="n">
        <v>45555</v>
      </c>
      <c r="C315" s="1" t="n">
        <v>45670</v>
      </c>
      <c r="D315" t="inlineStr">
        <is>
          <t>VÄSTERNORRLANDS LÄN</t>
        </is>
      </c>
      <c r="E315" t="inlineStr">
        <is>
          <t>SOLLEFTEÅ</t>
        </is>
      </c>
      <c r="F315" t="inlineStr">
        <is>
          <t>SCA</t>
        </is>
      </c>
      <c r="G315" t="n">
        <v>11.7</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HYPERLINK("https://klasma.github.io/Logging_2283/artfynd/A 40576-2024 artfynd.xlsx", "A 40576-2024")</f>
        <v/>
      </c>
      <c r="T315">
        <f>HYPERLINK("https://klasma.github.io/Logging_2283/kartor/A 40576-2024 karta.png", "A 40576-2024")</f>
        <v/>
      </c>
      <c r="V315">
        <f>HYPERLINK("https://klasma.github.io/Logging_2283/klagomål/A 40576-2024 FSC-klagomål.docx", "A 40576-2024")</f>
        <v/>
      </c>
      <c r="W315">
        <f>HYPERLINK("https://klasma.github.io/Logging_2283/klagomålsmail/A 40576-2024 FSC-klagomål mail.docx", "A 40576-2024")</f>
        <v/>
      </c>
      <c r="X315">
        <f>HYPERLINK("https://klasma.github.io/Logging_2283/tillsyn/A 40576-2024 tillsynsbegäran.docx", "A 40576-2024")</f>
        <v/>
      </c>
      <c r="Y315">
        <f>HYPERLINK("https://klasma.github.io/Logging_2283/tillsynsmail/A 40576-2024 tillsynsbegäran mail.docx", "A 40576-2024")</f>
        <v/>
      </c>
      <c r="Z315">
        <f>HYPERLINK("https://klasma.github.io/Logging_2283/fåglar/A 40576-2024 prioriterade fågelarter.docx", "A 40576-2024")</f>
        <v/>
      </c>
    </row>
    <row r="316" ht="15" customHeight="1">
      <c r="A316" t="inlineStr">
        <is>
          <t>A 41337-2024</t>
        </is>
      </c>
      <c r="B316" s="1" t="n">
        <v>45559</v>
      </c>
      <c r="C316" s="1" t="n">
        <v>45670</v>
      </c>
      <c r="D316" t="inlineStr">
        <is>
          <t>VÄSTERNORRLANDS LÄN</t>
        </is>
      </c>
      <c r="E316" t="inlineStr">
        <is>
          <t>SOLLEFTEÅ</t>
        </is>
      </c>
      <c r="G316" t="n">
        <v>30.1</v>
      </c>
      <c r="H316" t="n">
        <v>0</v>
      </c>
      <c r="I316" t="n">
        <v>0</v>
      </c>
      <c r="J316" t="n">
        <v>2</v>
      </c>
      <c r="K316" t="n">
        <v>0</v>
      </c>
      <c r="L316" t="n">
        <v>0</v>
      </c>
      <c r="M316" t="n">
        <v>0</v>
      </c>
      <c r="N316" t="n">
        <v>0</v>
      </c>
      <c r="O316" t="n">
        <v>2</v>
      </c>
      <c r="P316" t="n">
        <v>0</v>
      </c>
      <c r="Q316" t="n">
        <v>2</v>
      </c>
      <c r="R316" s="2" t="inlineStr">
        <is>
          <t>Granticka
Rosenticka</t>
        </is>
      </c>
      <c r="S316">
        <f>HYPERLINK("https://klasma.github.io/Logging_2283/artfynd/A 41337-2024 artfynd.xlsx", "A 41337-2024")</f>
        <v/>
      </c>
      <c r="T316">
        <f>HYPERLINK("https://klasma.github.io/Logging_2283/kartor/A 41337-2024 karta.png", "A 41337-2024")</f>
        <v/>
      </c>
      <c r="V316">
        <f>HYPERLINK("https://klasma.github.io/Logging_2283/klagomål/A 41337-2024 FSC-klagomål.docx", "A 41337-2024")</f>
        <v/>
      </c>
      <c r="W316">
        <f>HYPERLINK("https://klasma.github.io/Logging_2283/klagomålsmail/A 41337-2024 FSC-klagomål mail.docx", "A 41337-2024")</f>
        <v/>
      </c>
      <c r="X316">
        <f>HYPERLINK("https://klasma.github.io/Logging_2283/tillsyn/A 41337-2024 tillsynsbegäran.docx", "A 41337-2024")</f>
        <v/>
      </c>
      <c r="Y316">
        <f>HYPERLINK("https://klasma.github.io/Logging_2283/tillsynsmail/A 41337-2024 tillsynsbegäran mail.docx", "A 41337-2024")</f>
        <v/>
      </c>
    </row>
    <row r="317" ht="15" customHeight="1">
      <c r="A317" t="inlineStr">
        <is>
          <t>A 48016-2024</t>
        </is>
      </c>
      <c r="B317" s="1" t="n">
        <v>45589</v>
      </c>
      <c r="C317" s="1" t="n">
        <v>45670</v>
      </c>
      <c r="D317" t="inlineStr">
        <is>
          <t>VÄSTERNORRLANDS LÄN</t>
        </is>
      </c>
      <c r="E317" t="inlineStr">
        <is>
          <t>SOLLEFTEÅ</t>
        </is>
      </c>
      <c r="F317" t="inlineStr">
        <is>
          <t>SCA</t>
        </is>
      </c>
      <c r="G317" t="n">
        <v>2.6</v>
      </c>
      <c r="H317" t="n">
        <v>1</v>
      </c>
      <c r="I317" t="n">
        <v>0</v>
      </c>
      <c r="J317" t="n">
        <v>2</v>
      </c>
      <c r="K317" t="n">
        <v>0</v>
      </c>
      <c r="L317" t="n">
        <v>0</v>
      </c>
      <c r="M317" t="n">
        <v>0</v>
      </c>
      <c r="N317" t="n">
        <v>0</v>
      </c>
      <c r="O317" t="n">
        <v>2</v>
      </c>
      <c r="P317" t="n">
        <v>0</v>
      </c>
      <c r="Q317" t="n">
        <v>2</v>
      </c>
      <c r="R317" s="2" t="inlineStr">
        <is>
          <t>Järpe
Ullticka</t>
        </is>
      </c>
      <c r="S317">
        <f>HYPERLINK("https://klasma.github.io/Logging_2283/artfynd/A 48016-2024 artfynd.xlsx", "A 48016-2024")</f>
        <v/>
      </c>
      <c r="T317">
        <f>HYPERLINK("https://klasma.github.io/Logging_2283/kartor/A 48016-2024 karta.png", "A 48016-2024")</f>
        <v/>
      </c>
      <c r="V317">
        <f>HYPERLINK("https://klasma.github.io/Logging_2283/klagomål/A 48016-2024 FSC-klagomål.docx", "A 48016-2024")</f>
        <v/>
      </c>
      <c r="W317">
        <f>HYPERLINK("https://klasma.github.io/Logging_2283/klagomålsmail/A 48016-2024 FSC-klagomål mail.docx", "A 48016-2024")</f>
        <v/>
      </c>
      <c r="X317">
        <f>HYPERLINK("https://klasma.github.io/Logging_2283/tillsyn/A 48016-2024 tillsynsbegäran.docx", "A 48016-2024")</f>
        <v/>
      </c>
      <c r="Y317">
        <f>HYPERLINK("https://klasma.github.io/Logging_2283/tillsynsmail/A 48016-2024 tillsynsbegäran mail.docx", "A 48016-2024")</f>
        <v/>
      </c>
      <c r="Z317">
        <f>HYPERLINK("https://klasma.github.io/Logging_2283/fåglar/A 48016-2024 prioriterade fågelarter.docx", "A 48016-2024")</f>
        <v/>
      </c>
    </row>
    <row r="318" ht="15" customHeight="1">
      <c r="A318" t="inlineStr">
        <is>
          <t>A 48533-2024</t>
        </is>
      </c>
      <c r="B318" s="1" t="n">
        <v>45593</v>
      </c>
      <c r="C318" s="1" t="n">
        <v>45670</v>
      </c>
      <c r="D318" t="inlineStr">
        <is>
          <t>VÄSTERNORRLANDS LÄN</t>
        </is>
      </c>
      <c r="E318" t="inlineStr">
        <is>
          <t>SOLLEFTEÅ</t>
        </is>
      </c>
      <c r="F318" t="inlineStr">
        <is>
          <t>SCA</t>
        </is>
      </c>
      <c r="G318" t="n">
        <v>3.3</v>
      </c>
      <c r="H318" t="n">
        <v>0</v>
      </c>
      <c r="I318" t="n">
        <v>0</v>
      </c>
      <c r="J318" t="n">
        <v>2</v>
      </c>
      <c r="K318" t="n">
        <v>0</v>
      </c>
      <c r="L318" t="n">
        <v>0</v>
      </c>
      <c r="M318" t="n">
        <v>0</v>
      </c>
      <c r="N318" t="n">
        <v>0</v>
      </c>
      <c r="O318" t="n">
        <v>2</v>
      </c>
      <c r="P318" t="n">
        <v>0</v>
      </c>
      <c r="Q318" t="n">
        <v>2</v>
      </c>
      <c r="R318" s="2" t="inlineStr">
        <is>
          <t>Gammelgransskål
Garnlav</t>
        </is>
      </c>
      <c r="S318">
        <f>HYPERLINK("https://klasma.github.io/Logging_2283/artfynd/A 48533-2024 artfynd.xlsx", "A 48533-2024")</f>
        <v/>
      </c>
      <c r="T318">
        <f>HYPERLINK("https://klasma.github.io/Logging_2283/kartor/A 48533-2024 karta.png", "A 48533-2024")</f>
        <v/>
      </c>
      <c r="V318">
        <f>HYPERLINK("https://klasma.github.io/Logging_2283/klagomål/A 48533-2024 FSC-klagomål.docx", "A 48533-2024")</f>
        <v/>
      </c>
      <c r="W318">
        <f>HYPERLINK("https://klasma.github.io/Logging_2283/klagomålsmail/A 48533-2024 FSC-klagomål mail.docx", "A 48533-2024")</f>
        <v/>
      </c>
      <c r="X318">
        <f>HYPERLINK("https://klasma.github.io/Logging_2283/tillsyn/A 48533-2024 tillsynsbegäran.docx", "A 48533-2024")</f>
        <v/>
      </c>
      <c r="Y318">
        <f>HYPERLINK("https://klasma.github.io/Logging_2283/tillsynsmail/A 48533-2024 tillsynsbegäran mail.docx", "A 48533-2024")</f>
        <v/>
      </c>
    </row>
    <row r="319" ht="15" customHeight="1">
      <c r="A319" t="inlineStr">
        <is>
          <t>A 54486-2024</t>
        </is>
      </c>
      <c r="B319" s="1" t="n">
        <v>45617</v>
      </c>
      <c r="C319" s="1" t="n">
        <v>45670</v>
      </c>
      <c r="D319" t="inlineStr">
        <is>
          <t>VÄSTERNORRLANDS LÄN</t>
        </is>
      </c>
      <c r="E319" t="inlineStr">
        <is>
          <t>SOLLEFTEÅ</t>
        </is>
      </c>
      <c r="G319" t="n">
        <v>18.3</v>
      </c>
      <c r="H319" t="n">
        <v>2</v>
      </c>
      <c r="I319" t="n">
        <v>1</v>
      </c>
      <c r="J319" t="n">
        <v>0</v>
      </c>
      <c r="K319" t="n">
        <v>0</v>
      </c>
      <c r="L319" t="n">
        <v>0</v>
      </c>
      <c r="M319" t="n">
        <v>0</v>
      </c>
      <c r="N319" t="n">
        <v>0</v>
      </c>
      <c r="O319" t="n">
        <v>0</v>
      </c>
      <c r="P319" t="n">
        <v>0</v>
      </c>
      <c r="Q319" t="n">
        <v>2</v>
      </c>
      <c r="R319" s="2" t="inlineStr">
        <is>
          <t>Tvåblad
Ängsnycklar</t>
        </is>
      </c>
      <c r="S319">
        <f>HYPERLINK("https://klasma.github.io/Logging_2283/artfynd/A 54486-2024 artfynd.xlsx", "A 54486-2024")</f>
        <v/>
      </c>
      <c r="T319">
        <f>HYPERLINK("https://klasma.github.io/Logging_2283/kartor/A 54486-2024 karta.png", "A 54486-2024")</f>
        <v/>
      </c>
      <c r="V319">
        <f>HYPERLINK("https://klasma.github.io/Logging_2283/klagomål/A 54486-2024 FSC-klagomål.docx", "A 54486-2024")</f>
        <v/>
      </c>
      <c r="W319">
        <f>HYPERLINK("https://klasma.github.io/Logging_2283/klagomålsmail/A 54486-2024 FSC-klagomål mail.docx", "A 54486-2024")</f>
        <v/>
      </c>
      <c r="X319">
        <f>HYPERLINK("https://klasma.github.io/Logging_2283/tillsyn/A 54486-2024 tillsynsbegäran.docx", "A 54486-2024")</f>
        <v/>
      </c>
      <c r="Y319">
        <f>HYPERLINK("https://klasma.github.io/Logging_2283/tillsynsmail/A 54486-2024 tillsynsbegäran mail.docx", "A 54486-2024")</f>
        <v/>
      </c>
    </row>
    <row r="320" ht="15" customHeight="1">
      <c r="A320" t="inlineStr">
        <is>
          <t>A 58314-2024</t>
        </is>
      </c>
      <c r="B320" s="1" t="n">
        <v>45632</v>
      </c>
      <c r="C320" s="1" t="n">
        <v>45670</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Garnlav
Gränsticka</t>
        </is>
      </c>
      <c r="S320">
        <f>HYPERLINK("https://klasma.github.io/Logging_2283/artfynd/A 58314-2024 artfynd.xlsx", "A 58314-2024")</f>
        <v/>
      </c>
      <c r="T320">
        <f>HYPERLINK("https://klasma.github.io/Logging_2283/kartor/A 58314-2024 karta.png", "A 58314-2024")</f>
        <v/>
      </c>
      <c r="V320">
        <f>HYPERLINK("https://klasma.github.io/Logging_2283/klagomål/A 58314-2024 FSC-klagomål.docx", "A 58314-2024")</f>
        <v/>
      </c>
      <c r="W320">
        <f>HYPERLINK("https://klasma.github.io/Logging_2283/klagomålsmail/A 58314-2024 FSC-klagomål mail.docx", "A 58314-2024")</f>
        <v/>
      </c>
      <c r="X320">
        <f>HYPERLINK("https://klasma.github.io/Logging_2283/tillsyn/A 58314-2024 tillsynsbegäran.docx", "A 58314-2024")</f>
        <v/>
      </c>
      <c r="Y320">
        <f>HYPERLINK("https://klasma.github.io/Logging_2283/tillsynsmail/A 58314-2024 tillsynsbegäran mail.docx", "A 58314-2024")</f>
        <v/>
      </c>
    </row>
    <row r="321" ht="15" customHeight="1">
      <c r="A321" t="inlineStr">
        <is>
          <t>A 59020-2024</t>
        </is>
      </c>
      <c r="B321" s="1" t="n">
        <v>45636</v>
      </c>
      <c r="C321" s="1" t="n">
        <v>45670</v>
      </c>
      <c r="D321" t="inlineStr">
        <is>
          <t>VÄSTERNORRLANDS LÄN</t>
        </is>
      </c>
      <c r="E321" t="inlineStr">
        <is>
          <t>SOLLEFTEÅ</t>
        </is>
      </c>
      <c r="F321" t="inlineStr">
        <is>
          <t>SCA</t>
        </is>
      </c>
      <c r="G321" t="n">
        <v>9.300000000000001</v>
      </c>
      <c r="H321" t="n">
        <v>0</v>
      </c>
      <c r="I321" t="n">
        <v>1</v>
      </c>
      <c r="J321" t="n">
        <v>1</v>
      </c>
      <c r="K321" t="n">
        <v>0</v>
      </c>
      <c r="L321" t="n">
        <v>0</v>
      </c>
      <c r="M321" t="n">
        <v>0</v>
      </c>
      <c r="N321" t="n">
        <v>0</v>
      </c>
      <c r="O321" t="n">
        <v>1</v>
      </c>
      <c r="P321" t="n">
        <v>0</v>
      </c>
      <c r="Q321" t="n">
        <v>2</v>
      </c>
      <c r="R321" s="2" t="inlineStr">
        <is>
          <t>Kortskaftad ärgspik
Bronshjon</t>
        </is>
      </c>
      <c r="S321">
        <f>HYPERLINK("https://klasma.github.io/Logging_2283/artfynd/A 59020-2024 artfynd.xlsx", "A 59020-2024")</f>
        <v/>
      </c>
      <c r="T321">
        <f>HYPERLINK("https://klasma.github.io/Logging_2283/kartor/A 59020-2024 karta.png", "A 59020-2024")</f>
        <v/>
      </c>
      <c r="V321">
        <f>HYPERLINK("https://klasma.github.io/Logging_2283/klagomål/A 59020-2024 FSC-klagomål.docx", "A 59020-2024")</f>
        <v/>
      </c>
      <c r="W321">
        <f>HYPERLINK("https://klasma.github.io/Logging_2283/klagomålsmail/A 59020-2024 FSC-klagomål mail.docx", "A 59020-2024")</f>
        <v/>
      </c>
      <c r="X321">
        <f>HYPERLINK("https://klasma.github.io/Logging_2283/tillsyn/A 59020-2024 tillsynsbegäran.docx", "A 59020-2024")</f>
        <v/>
      </c>
      <c r="Y321">
        <f>HYPERLINK("https://klasma.github.io/Logging_2283/tillsynsmail/A 59020-2024 tillsynsbegäran mail.docx", "A 59020-2024")</f>
        <v/>
      </c>
    </row>
    <row r="322" ht="15" customHeight="1">
      <c r="A322" t="inlineStr">
        <is>
          <t>A 58880-2024</t>
        </is>
      </c>
      <c r="B322" s="1" t="n">
        <v>45636</v>
      </c>
      <c r="C322" s="1" t="n">
        <v>45670</v>
      </c>
      <c r="D322" t="inlineStr">
        <is>
          <t>VÄSTERNORRLANDS LÄN</t>
        </is>
      </c>
      <c r="E322" t="inlineStr">
        <is>
          <t>SOLLEFTEÅ</t>
        </is>
      </c>
      <c r="F322" t="inlineStr">
        <is>
          <t>SCA</t>
        </is>
      </c>
      <c r="G322" t="n">
        <v>2</v>
      </c>
      <c r="H322" t="n">
        <v>0</v>
      </c>
      <c r="I322" t="n">
        <v>0</v>
      </c>
      <c r="J322" t="n">
        <v>2</v>
      </c>
      <c r="K322" t="n">
        <v>0</v>
      </c>
      <c r="L322" t="n">
        <v>0</v>
      </c>
      <c r="M322" t="n">
        <v>0</v>
      </c>
      <c r="N322" t="n">
        <v>0</v>
      </c>
      <c r="O322" t="n">
        <v>2</v>
      </c>
      <c r="P322" t="n">
        <v>0</v>
      </c>
      <c r="Q322" t="n">
        <v>2</v>
      </c>
      <c r="R322" s="2" t="inlineStr">
        <is>
          <t>Gammelgransskål
Garnlav</t>
        </is>
      </c>
      <c r="S322">
        <f>HYPERLINK("https://klasma.github.io/Logging_2283/artfynd/A 58880-2024 artfynd.xlsx", "A 58880-2024")</f>
        <v/>
      </c>
      <c r="T322">
        <f>HYPERLINK("https://klasma.github.io/Logging_2283/kartor/A 58880-2024 karta.png", "A 58880-2024")</f>
        <v/>
      </c>
      <c r="V322">
        <f>HYPERLINK("https://klasma.github.io/Logging_2283/klagomål/A 58880-2024 FSC-klagomål.docx", "A 58880-2024")</f>
        <v/>
      </c>
      <c r="W322">
        <f>HYPERLINK("https://klasma.github.io/Logging_2283/klagomålsmail/A 58880-2024 FSC-klagomål mail.docx", "A 58880-2024")</f>
        <v/>
      </c>
      <c r="X322">
        <f>HYPERLINK("https://klasma.github.io/Logging_2283/tillsyn/A 58880-2024 tillsynsbegäran.docx", "A 58880-2024")</f>
        <v/>
      </c>
      <c r="Y322">
        <f>HYPERLINK("https://klasma.github.io/Logging_2283/tillsynsmail/A 58880-2024 tillsynsbegäran mail.docx", "A 58880-2024")</f>
        <v/>
      </c>
    </row>
    <row r="323" ht="15" customHeight="1">
      <c r="A323" t="inlineStr">
        <is>
          <t>A 60665-2024</t>
        </is>
      </c>
      <c r="B323" s="1" t="n">
        <v>45644</v>
      </c>
      <c r="C323" s="1" t="n">
        <v>45670</v>
      </c>
      <c r="D323" t="inlineStr">
        <is>
          <t>VÄSTERNORRLANDS LÄN</t>
        </is>
      </c>
      <c r="E323" t="inlineStr">
        <is>
          <t>SOLLEFTEÅ</t>
        </is>
      </c>
      <c r="F323" t="inlineStr">
        <is>
          <t>SCA</t>
        </is>
      </c>
      <c r="G323" t="n">
        <v>65.7</v>
      </c>
      <c r="H323" t="n">
        <v>2</v>
      </c>
      <c r="I323" t="n">
        <v>0</v>
      </c>
      <c r="J323" t="n">
        <v>1</v>
      </c>
      <c r="K323" t="n">
        <v>0</v>
      </c>
      <c r="L323" t="n">
        <v>0</v>
      </c>
      <c r="M323" t="n">
        <v>0</v>
      </c>
      <c r="N323" t="n">
        <v>0</v>
      </c>
      <c r="O323" t="n">
        <v>1</v>
      </c>
      <c r="P323" t="n">
        <v>0</v>
      </c>
      <c r="Q323" t="n">
        <v>2</v>
      </c>
      <c r="R323" s="2" t="inlineStr">
        <is>
          <t>Talltita
Fläcknycklar</t>
        </is>
      </c>
      <c r="S323">
        <f>HYPERLINK("https://klasma.github.io/Logging_2283/artfynd/A 60665-2024 artfynd.xlsx", "A 60665-2024")</f>
        <v/>
      </c>
      <c r="T323">
        <f>HYPERLINK("https://klasma.github.io/Logging_2283/kartor/A 60665-2024 karta.png", "A 60665-2024")</f>
        <v/>
      </c>
      <c r="V323">
        <f>HYPERLINK("https://klasma.github.io/Logging_2283/klagomål/A 60665-2024 FSC-klagomål.docx", "A 60665-2024")</f>
        <v/>
      </c>
      <c r="W323">
        <f>HYPERLINK("https://klasma.github.io/Logging_2283/klagomålsmail/A 60665-2024 FSC-klagomål mail.docx", "A 60665-2024")</f>
        <v/>
      </c>
      <c r="X323">
        <f>HYPERLINK("https://klasma.github.io/Logging_2283/tillsyn/A 60665-2024 tillsynsbegäran.docx", "A 60665-2024")</f>
        <v/>
      </c>
      <c r="Y323">
        <f>HYPERLINK("https://klasma.github.io/Logging_2283/tillsynsmail/A 60665-2024 tillsynsbegäran mail.docx", "A 60665-2024")</f>
        <v/>
      </c>
      <c r="Z323">
        <f>HYPERLINK("https://klasma.github.io/Logging_2283/fåglar/A 60665-2024 prioriterade fågelarter.docx", "A 60665-2024")</f>
        <v/>
      </c>
    </row>
    <row r="324" ht="15" customHeight="1">
      <c r="A324" t="inlineStr">
        <is>
          <t>A 26253-2019</t>
        </is>
      </c>
      <c r="B324" s="1" t="n">
        <v>43609</v>
      </c>
      <c r="C324" s="1" t="n">
        <v>45670</v>
      </c>
      <c r="D324" t="inlineStr">
        <is>
          <t>VÄSTERNORRLANDS LÄN</t>
        </is>
      </c>
      <c r="E324" t="inlineStr">
        <is>
          <t>SOLLEFTEÅ</t>
        </is>
      </c>
      <c r="F324" t="inlineStr">
        <is>
          <t>SCA</t>
        </is>
      </c>
      <c r="G324" t="n">
        <v>2.3</v>
      </c>
      <c r="H324" t="n">
        <v>1</v>
      </c>
      <c r="I324" t="n">
        <v>0</v>
      </c>
      <c r="J324" t="n">
        <v>0</v>
      </c>
      <c r="K324" t="n">
        <v>0</v>
      </c>
      <c r="L324" t="n">
        <v>0</v>
      </c>
      <c r="M324" t="n">
        <v>0</v>
      </c>
      <c r="N324" t="n">
        <v>0</v>
      </c>
      <c r="O324" t="n">
        <v>0</v>
      </c>
      <c r="P324" t="n">
        <v>0</v>
      </c>
      <c r="Q324" t="n">
        <v>1</v>
      </c>
      <c r="R324" s="2" t="inlineStr">
        <is>
          <t>Revlummer</t>
        </is>
      </c>
      <c r="S324">
        <f>HYPERLINK("https://klasma.github.io/Logging_2283/artfynd/A 26253-2019 artfynd.xlsx", "A 26253-2019")</f>
        <v/>
      </c>
      <c r="T324">
        <f>HYPERLINK("https://klasma.github.io/Logging_2283/kartor/A 26253-2019 karta.png", "A 26253-2019")</f>
        <v/>
      </c>
      <c r="V324">
        <f>HYPERLINK("https://klasma.github.io/Logging_2283/klagomål/A 26253-2019 FSC-klagomål.docx", "A 26253-2019")</f>
        <v/>
      </c>
      <c r="W324">
        <f>HYPERLINK("https://klasma.github.io/Logging_2283/klagomålsmail/A 26253-2019 FSC-klagomål mail.docx", "A 26253-2019")</f>
        <v/>
      </c>
      <c r="X324">
        <f>HYPERLINK("https://klasma.github.io/Logging_2283/tillsyn/A 26253-2019 tillsynsbegäran.docx", "A 26253-2019")</f>
        <v/>
      </c>
      <c r="Y324">
        <f>HYPERLINK("https://klasma.github.io/Logging_2283/tillsynsmail/A 26253-2019 tillsynsbegäran mail.docx", "A 26253-2019")</f>
        <v/>
      </c>
    </row>
    <row r="325" ht="15" customHeight="1">
      <c r="A325" t="inlineStr">
        <is>
          <t>A 28600-2019</t>
        </is>
      </c>
      <c r="B325" s="1" t="n">
        <v>43626</v>
      </c>
      <c r="C325" s="1" t="n">
        <v>45670</v>
      </c>
      <c r="D325" t="inlineStr">
        <is>
          <t>VÄSTERNORRLANDS LÄN</t>
        </is>
      </c>
      <c r="E325" t="inlineStr">
        <is>
          <t>SOLLEFTEÅ</t>
        </is>
      </c>
      <c r="F325" t="inlineStr">
        <is>
          <t>SCA</t>
        </is>
      </c>
      <c r="G325" t="n">
        <v>5.9</v>
      </c>
      <c r="H325" t="n">
        <v>0</v>
      </c>
      <c r="I325" t="n">
        <v>0</v>
      </c>
      <c r="J325" t="n">
        <v>1</v>
      </c>
      <c r="K325" t="n">
        <v>0</v>
      </c>
      <c r="L325" t="n">
        <v>0</v>
      </c>
      <c r="M325" t="n">
        <v>0</v>
      </c>
      <c r="N325" t="n">
        <v>0</v>
      </c>
      <c r="O325" t="n">
        <v>1</v>
      </c>
      <c r="P325" t="n">
        <v>0</v>
      </c>
      <c r="Q325" t="n">
        <v>1</v>
      </c>
      <c r="R325" s="2" t="inlineStr">
        <is>
          <t>Tallriska</t>
        </is>
      </c>
      <c r="S325">
        <f>HYPERLINK("https://klasma.github.io/Logging_2283/artfynd/A 28600-2019 artfynd.xlsx", "A 28600-2019")</f>
        <v/>
      </c>
      <c r="T325">
        <f>HYPERLINK("https://klasma.github.io/Logging_2283/kartor/A 28600-2019 karta.png", "A 28600-2019")</f>
        <v/>
      </c>
      <c r="V325">
        <f>HYPERLINK("https://klasma.github.io/Logging_2283/klagomål/A 28600-2019 FSC-klagomål.docx", "A 28600-2019")</f>
        <v/>
      </c>
      <c r="W325">
        <f>HYPERLINK("https://klasma.github.io/Logging_2283/klagomålsmail/A 28600-2019 FSC-klagomål mail.docx", "A 28600-2019")</f>
        <v/>
      </c>
      <c r="X325">
        <f>HYPERLINK("https://klasma.github.io/Logging_2283/tillsyn/A 28600-2019 tillsynsbegäran.docx", "A 28600-2019")</f>
        <v/>
      </c>
      <c r="Y325">
        <f>HYPERLINK("https://klasma.github.io/Logging_2283/tillsynsmail/A 28600-2019 tillsynsbegäran mail.docx", "A 28600-2019")</f>
        <v/>
      </c>
    </row>
    <row r="326" ht="15" customHeight="1">
      <c r="A326" t="inlineStr">
        <is>
          <t>A 36982-2019</t>
        </is>
      </c>
      <c r="B326" s="1" t="n">
        <v>43676</v>
      </c>
      <c r="C326" s="1" t="n">
        <v>45670</v>
      </c>
      <c r="D326" t="inlineStr">
        <is>
          <t>VÄSTERNORRLANDS LÄN</t>
        </is>
      </c>
      <c r="E326" t="inlineStr">
        <is>
          <t>SOLLEFTEÅ</t>
        </is>
      </c>
      <c r="G326" t="n">
        <v>1.2</v>
      </c>
      <c r="H326" t="n">
        <v>0</v>
      </c>
      <c r="I326" t="n">
        <v>1</v>
      </c>
      <c r="J326" t="n">
        <v>0</v>
      </c>
      <c r="K326" t="n">
        <v>0</v>
      </c>
      <c r="L326" t="n">
        <v>0</v>
      </c>
      <c r="M326" t="n">
        <v>0</v>
      </c>
      <c r="N326" t="n">
        <v>0</v>
      </c>
      <c r="O326" t="n">
        <v>0</v>
      </c>
      <c r="P326" t="n">
        <v>0</v>
      </c>
      <c r="Q326" t="n">
        <v>1</v>
      </c>
      <c r="R326" s="2" t="inlineStr">
        <is>
          <t>Trådticka</t>
        </is>
      </c>
      <c r="S326">
        <f>HYPERLINK("https://klasma.github.io/Logging_2283/artfynd/A 36982-2019 artfynd.xlsx", "A 36982-2019")</f>
        <v/>
      </c>
      <c r="T326">
        <f>HYPERLINK("https://klasma.github.io/Logging_2283/kartor/A 36982-2019 karta.png", "A 36982-2019")</f>
        <v/>
      </c>
      <c r="V326">
        <f>HYPERLINK("https://klasma.github.io/Logging_2283/klagomål/A 36982-2019 FSC-klagomål.docx", "A 36982-2019")</f>
        <v/>
      </c>
      <c r="W326">
        <f>HYPERLINK("https://klasma.github.io/Logging_2283/klagomålsmail/A 36982-2019 FSC-klagomål mail.docx", "A 36982-2019")</f>
        <v/>
      </c>
      <c r="X326">
        <f>HYPERLINK("https://klasma.github.io/Logging_2283/tillsyn/A 36982-2019 tillsynsbegäran.docx", "A 36982-2019")</f>
        <v/>
      </c>
      <c r="Y326">
        <f>HYPERLINK("https://klasma.github.io/Logging_2283/tillsynsmail/A 36982-2019 tillsynsbegäran mail.docx", "A 36982-2019")</f>
        <v/>
      </c>
    </row>
    <row r="327" ht="15" customHeight="1">
      <c r="A327" t="inlineStr">
        <is>
          <t>A 38091-2019</t>
        </is>
      </c>
      <c r="B327" s="1" t="n">
        <v>43682</v>
      </c>
      <c r="C327" s="1" t="n">
        <v>45670</v>
      </c>
      <c r="D327" t="inlineStr">
        <is>
          <t>VÄSTERNORRLANDS LÄN</t>
        </is>
      </c>
      <c r="E327" t="inlineStr">
        <is>
          <t>SOLLEFTEÅ</t>
        </is>
      </c>
      <c r="F327" t="inlineStr">
        <is>
          <t>Holmen skog AB</t>
        </is>
      </c>
      <c r="G327" t="n">
        <v>4.7</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38091-2019 artfynd.xlsx", "A 38091-2019")</f>
        <v/>
      </c>
      <c r="T327">
        <f>HYPERLINK("https://klasma.github.io/Logging_2283/kartor/A 38091-2019 karta.png", "A 38091-2019")</f>
        <v/>
      </c>
      <c r="V327">
        <f>HYPERLINK("https://klasma.github.io/Logging_2283/klagomål/A 38091-2019 FSC-klagomål.docx", "A 38091-2019")</f>
        <v/>
      </c>
      <c r="W327">
        <f>HYPERLINK("https://klasma.github.io/Logging_2283/klagomålsmail/A 38091-2019 FSC-klagomål mail.docx", "A 38091-2019")</f>
        <v/>
      </c>
      <c r="X327">
        <f>HYPERLINK("https://klasma.github.io/Logging_2283/tillsyn/A 38091-2019 tillsynsbegäran.docx", "A 38091-2019")</f>
        <v/>
      </c>
      <c r="Y327">
        <f>HYPERLINK("https://klasma.github.io/Logging_2283/tillsynsmail/A 38091-2019 tillsynsbegäran mail.docx", "A 38091-2019")</f>
        <v/>
      </c>
      <c r="Z327">
        <f>HYPERLINK("https://klasma.github.io/Logging_2283/fåglar/A 38091-2019 prioriterade fågelarter.docx", "A 38091-2019")</f>
        <v/>
      </c>
    </row>
    <row r="328" ht="15" customHeight="1">
      <c r="A328" t="inlineStr">
        <is>
          <t>A 51669-2019</t>
        </is>
      </c>
      <c r="B328" s="1" t="n">
        <v>43740</v>
      </c>
      <c r="C328" s="1" t="n">
        <v>45670</v>
      </c>
      <c r="D328" t="inlineStr">
        <is>
          <t>VÄSTERNORRLANDS LÄN</t>
        </is>
      </c>
      <c r="E328" t="inlineStr">
        <is>
          <t>SOLLEFTEÅ</t>
        </is>
      </c>
      <c r="F328" t="inlineStr">
        <is>
          <t>SCA</t>
        </is>
      </c>
      <c r="G328" t="n">
        <v>3.6</v>
      </c>
      <c r="H328" t="n">
        <v>0</v>
      </c>
      <c r="I328" t="n">
        <v>0</v>
      </c>
      <c r="J328" t="n">
        <v>1</v>
      </c>
      <c r="K328" t="n">
        <v>0</v>
      </c>
      <c r="L328" t="n">
        <v>0</v>
      </c>
      <c r="M328" t="n">
        <v>0</v>
      </c>
      <c r="N328" t="n">
        <v>0</v>
      </c>
      <c r="O328" t="n">
        <v>1</v>
      </c>
      <c r="P328" t="n">
        <v>0</v>
      </c>
      <c r="Q328" t="n">
        <v>1</v>
      </c>
      <c r="R328" s="2" t="inlineStr">
        <is>
          <t>Rosenticka</t>
        </is>
      </c>
      <c r="S328">
        <f>HYPERLINK("https://klasma.github.io/Logging_2283/artfynd/A 51669-2019 artfynd.xlsx", "A 51669-2019")</f>
        <v/>
      </c>
      <c r="T328">
        <f>HYPERLINK("https://klasma.github.io/Logging_2283/kartor/A 51669-2019 karta.png", "A 51669-2019")</f>
        <v/>
      </c>
      <c r="V328">
        <f>HYPERLINK("https://klasma.github.io/Logging_2283/klagomål/A 51669-2019 FSC-klagomål.docx", "A 51669-2019")</f>
        <v/>
      </c>
      <c r="W328">
        <f>HYPERLINK("https://klasma.github.io/Logging_2283/klagomålsmail/A 51669-2019 FSC-klagomål mail.docx", "A 51669-2019")</f>
        <v/>
      </c>
      <c r="X328">
        <f>HYPERLINK("https://klasma.github.io/Logging_2283/tillsyn/A 51669-2019 tillsynsbegäran.docx", "A 51669-2019")</f>
        <v/>
      </c>
      <c r="Y328">
        <f>HYPERLINK("https://klasma.github.io/Logging_2283/tillsynsmail/A 51669-2019 tillsynsbegäran mail.docx", "A 51669-2019")</f>
        <v/>
      </c>
    </row>
    <row r="329" ht="15" customHeight="1">
      <c r="A329" t="inlineStr">
        <is>
          <t>A 59511-2019</t>
        </is>
      </c>
      <c r="B329" s="1" t="n">
        <v>43773</v>
      </c>
      <c r="C329" s="1" t="n">
        <v>45670</v>
      </c>
      <c r="D329" t="inlineStr">
        <is>
          <t>VÄSTERNORRLANDS LÄN</t>
        </is>
      </c>
      <c r="E329" t="inlineStr">
        <is>
          <t>SOLLEFTEÅ</t>
        </is>
      </c>
      <c r="F329" t="inlineStr">
        <is>
          <t>Holmen skog AB</t>
        </is>
      </c>
      <c r="G329" t="n">
        <v>4.8</v>
      </c>
      <c r="H329" t="n">
        <v>0</v>
      </c>
      <c r="I329" t="n">
        <v>0</v>
      </c>
      <c r="J329" t="n">
        <v>1</v>
      </c>
      <c r="K329" t="n">
        <v>0</v>
      </c>
      <c r="L329" t="n">
        <v>0</v>
      </c>
      <c r="M329" t="n">
        <v>0</v>
      </c>
      <c r="N329" t="n">
        <v>0</v>
      </c>
      <c r="O329" t="n">
        <v>1</v>
      </c>
      <c r="P329" t="n">
        <v>0</v>
      </c>
      <c r="Q329" t="n">
        <v>1</v>
      </c>
      <c r="R329" s="2" t="inlineStr">
        <is>
          <t>Lunglav</t>
        </is>
      </c>
      <c r="S329">
        <f>HYPERLINK("https://klasma.github.io/Logging_2283/artfynd/A 59511-2019 artfynd.xlsx", "A 59511-2019")</f>
        <v/>
      </c>
      <c r="T329">
        <f>HYPERLINK("https://klasma.github.io/Logging_2283/kartor/A 59511-2019 karta.png", "A 59511-2019")</f>
        <v/>
      </c>
      <c r="V329">
        <f>HYPERLINK("https://klasma.github.io/Logging_2283/klagomål/A 59511-2019 FSC-klagomål.docx", "A 59511-2019")</f>
        <v/>
      </c>
      <c r="W329">
        <f>HYPERLINK("https://klasma.github.io/Logging_2283/klagomålsmail/A 59511-2019 FSC-klagomål mail.docx", "A 59511-2019")</f>
        <v/>
      </c>
      <c r="X329">
        <f>HYPERLINK("https://klasma.github.io/Logging_2283/tillsyn/A 59511-2019 tillsynsbegäran.docx", "A 59511-2019")</f>
        <v/>
      </c>
      <c r="Y329">
        <f>HYPERLINK("https://klasma.github.io/Logging_2283/tillsynsmail/A 59511-2019 tillsynsbegäran mail.docx", "A 59511-2019")</f>
        <v/>
      </c>
    </row>
    <row r="330" ht="15" customHeight="1">
      <c r="A330" t="inlineStr">
        <is>
          <t>A 9178-2020</t>
        </is>
      </c>
      <c r="B330" s="1" t="n">
        <v>43879</v>
      </c>
      <c r="C330" s="1" t="n">
        <v>45670</v>
      </c>
      <c r="D330" t="inlineStr">
        <is>
          <t>VÄSTERNORRLANDS LÄN</t>
        </is>
      </c>
      <c r="E330" t="inlineStr">
        <is>
          <t>SOLLEFTEÅ</t>
        </is>
      </c>
      <c r="G330" t="n">
        <v>5.3</v>
      </c>
      <c r="H330" t="n">
        <v>1</v>
      </c>
      <c r="I330" t="n">
        <v>0</v>
      </c>
      <c r="J330" t="n">
        <v>0</v>
      </c>
      <c r="K330" t="n">
        <v>0</v>
      </c>
      <c r="L330" t="n">
        <v>0</v>
      </c>
      <c r="M330" t="n">
        <v>0</v>
      </c>
      <c r="N330" t="n">
        <v>0</v>
      </c>
      <c r="O330" t="n">
        <v>0</v>
      </c>
      <c r="P330" t="n">
        <v>0</v>
      </c>
      <c r="Q330" t="n">
        <v>1</v>
      </c>
      <c r="R330" s="2" t="inlineStr">
        <is>
          <t>Fläcknycklar</t>
        </is>
      </c>
      <c r="S330">
        <f>HYPERLINK("https://klasma.github.io/Logging_2283/artfynd/A 9178-2020 artfynd.xlsx", "A 9178-2020")</f>
        <v/>
      </c>
      <c r="T330">
        <f>HYPERLINK("https://klasma.github.io/Logging_2283/kartor/A 9178-2020 karta.png", "A 9178-2020")</f>
        <v/>
      </c>
      <c r="V330">
        <f>HYPERLINK("https://klasma.github.io/Logging_2283/klagomål/A 9178-2020 FSC-klagomål.docx", "A 9178-2020")</f>
        <v/>
      </c>
      <c r="W330">
        <f>HYPERLINK("https://klasma.github.io/Logging_2283/klagomålsmail/A 9178-2020 FSC-klagomål mail.docx", "A 9178-2020")</f>
        <v/>
      </c>
      <c r="X330">
        <f>HYPERLINK("https://klasma.github.io/Logging_2283/tillsyn/A 9178-2020 tillsynsbegäran.docx", "A 9178-2020")</f>
        <v/>
      </c>
      <c r="Y330">
        <f>HYPERLINK("https://klasma.github.io/Logging_2283/tillsynsmail/A 9178-2020 tillsynsbegäran mail.docx", "A 9178-2020")</f>
        <v/>
      </c>
    </row>
    <row r="331" ht="15" customHeight="1">
      <c r="A331" t="inlineStr">
        <is>
          <t>A 12526-2020</t>
        </is>
      </c>
      <c r="B331" s="1" t="n">
        <v>43896</v>
      </c>
      <c r="C331" s="1" t="n">
        <v>45670</v>
      </c>
      <c r="D331" t="inlineStr">
        <is>
          <t>VÄSTERNORRLANDS LÄN</t>
        </is>
      </c>
      <c r="E331" t="inlineStr">
        <is>
          <t>SOLLEFTEÅ</t>
        </is>
      </c>
      <c r="F331" t="inlineStr">
        <is>
          <t>SCA</t>
        </is>
      </c>
      <c r="G331" t="n">
        <v>14.7</v>
      </c>
      <c r="H331" t="n">
        <v>1</v>
      </c>
      <c r="I331" t="n">
        <v>0</v>
      </c>
      <c r="J331" t="n">
        <v>1</v>
      </c>
      <c r="K331" t="n">
        <v>0</v>
      </c>
      <c r="L331" t="n">
        <v>0</v>
      </c>
      <c r="M331" t="n">
        <v>0</v>
      </c>
      <c r="N331" t="n">
        <v>0</v>
      </c>
      <c r="O331" t="n">
        <v>1</v>
      </c>
      <c r="P331" t="n">
        <v>0</v>
      </c>
      <c r="Q331" t="n">
        <v>1</v>
      </c>
      <c r="R331" s="2" t="inlineStr">
        <is>
          <t>Talltita</t>
        </is>
      </c>
      <c r="S331">
        <f>HYPERLINK("https://klasma.github.io/Logging_2283/artfynd/A 12526-2020 artfynd.xlsx", "A 12526-2020")</f>
        <v/>
      </c>
      <c r="T331">
        <f>HYPERLINK("https://klasma.github.io/Logging_2283/kartor/A 12526-2020 karta.png", "A 12526-2020")</f>
        <v/>
      </c>
      <c r="V331">
        <f>HYPERLINK("https://klasma.github.io/Logging_2283/klagomål/A 12526-2020 FSC-klagomål.docx", "A 12526-2020")</f>
        <v/>
      </c>
      <c r="W331">
        <f>HYPERLINK("https://klasma.github.io/Logging_2283/klagomålsmail/A 12526-2020 FSC-klagomål mail.docx", "A 12526-2020")</f>
        <v/>
      </c>
      <c r="X331">
        <f>HYPERLINK("https://klasma.github.io/Logging_2283/tillsyn/A 12526-2020 tillsynsbegäran.docx", "A 12526-2020")</f>
        <v/>
      </c>
      <c r="Y331">
        <f>HYPERLINK("https://klasma.github.io/Logging_2283/tillsynsmail/A 12526-2020 tillsynsbegäran mail.docx", "A 12526-2020")</f>
        <v/>
      </c>
      <c r="Z331">
        <f>HYPERLINK("https://klasma.github.io/Logging_2283/fåglar/A 12526-2020 prioriterade fågelarter.docx", "A 12526-2020")</f>
        <v/>
      </c>
    </row>
    <row r="332" ht="15" customHeight="1">
      <c r="A332" t="inlineStr">
        <is>
          <t>A 19166-2020</t>
        </is>
      </c>
      <c r="B332" s="1" t="n">
        <v>43936</v>
      </c>
      <c r="C332" s="1" t="n">
        <v>45670</v>
      </c>
      <c r="D332" t="inlineStr">
        <is>
          <t>VÄSTERNORRLANDS LÄN</t>
        </is>
      </c>
      <c r="E332" t="inlineStr">
        <is>
          <t>SOLLEFTEÅ</t>
        </is>
      </c>
      <c r="G332" t="n">
        <v>3</v>
      </c>
      <c r="H332" t="n">
        <v>0</v>
      </c>
      <c r="I332" t="n">
        <v>0</v>
      </c>
      <c r="J332" t="n">
        <v>1</v>
      </c>
      <c r="K332" t="n">
        <v>0</v>
      </c>
      <c r="L332" t="n">
        <v>0</v>
      </c>
      <c r="M332" t="n">
        <v>0</v>
      </c>
      <c r="N332" t="n">
        <v>0</v>
      </c>
      <c r="O332" t="n">
        <v>1</v>
      </c>
      <c r="P332" t="n">
        <v>0</v>
      </c>
      <c r="Q332" t="n">
        <v>1</v>
      </c>
      <c r="R332" s="2" t="inlineStr">
        <is>
          <t>Garnlav</t>
        </is>
      </c>
      <c r="S332">
        <f>HYPERLINK("https://klasma.github.io/Logging_2283/artfynd/A 19166-2020 artfynd.xlsx", "A 19166-2020")</f>
        <v/>
      </c>
      <c r="T332">
        <f>HYPERLINK("https://klasma.github.io/Logging_2283/kartor/A 19166-2020 karta.png", "A 19166-2020")</f>
        <v/>
      </c>
      <c r="V332">
        <f>HYPERLINK("https://klasma.github.io/Logging_2283/klagomål/A 19166-2020 FSC-klagomål.docx", "A 19166-2020")</f>
        <v/>
      </c>
      <c r="W332">
        <f>HYPERLINK("https://klasma.github.io/Logging_2283/klagomålsmail/A 19166-2020 FSC-klagomål mail.docx", "A 19166-2020")</f>
        <v/>
      </c>
      <c r="X332">
        <f>HYPERLINK("https://klasma.github.io/Logging_2283/tillsyn/A 19166-2020 tillsynsbegäran.docx", "A 19166-2020")</f>
        <v/>
      </c>
      <c r="Y332">
        <f>HYPERLINK("https://klasma.github.io/Logging_2283/tillsynsmail/A 19166-2020 tillsynsbegäran mail.docx", "A 19166-2020")</f>
        <v/>
      </c>
    </row>
    <row r="333" ht="15" customHeight="1">
      <c r="A333" t="inlineStr">
        <is>
          <t>A 24641-2020</t>
        </is>
      </c>
      <c r="B333" s="1" t="n">
        <v>43977</v>
      </c>
      <c r="C333" s="1" t="n">
        <v>45670</v>
      </c>
      <c r="D333" t="inlineStr">
        <is>
          <t>VÄSTERNORRLANDS LÄN</t>
        </is>
      </c>
      <c r="E333" t="inlineStr">
        <is>
          <t>SOLLEFTEÅ</t>
        </is>
      </c>
      <c r="F333" t="inlineStr">
        <is>
          <t>SCA</t>
        </is>
      </c>
      <c r="G333" t="n">
        <v>3.9</v>
      </c>
      <c r="H333" t="n">
        <v>1</v>
      </c>
      <c r="I333" t="n">
        <v>0</v>
      </c>
      <c r="J333" t="n">
        <v>0</v>
      </c>
      <c r="K333" t="n">
        <v>1</v>
      </c>
      <c r="L333" t="n">
        <v>0</v>
      </c>
      <c r="M333" t="n">
        <v>0</v>
      </c>
      <c r="N333" t="n">
        <v>0</v>
      </c>
      <c r="O333" t="n">
        <v>1</v>
      </c>
      <c r="P333" t="n">
        <v>1</v>
      </c>
      <c r="Q333" t="n">
        <v>1</v>
      </c>
      <c r="R333" s="2" t="inlineStr">
        <is>
          <t>Knärot</t>
        </is>
      </c>
      <c r="S333">
        <f>HYPERLINK("https://klasma.github.io/Logging_2283/artfynd/A 24641-2020 artfynd.xlsx", "A 24641-2020")</f>
        <v/>
      </c>
      <c r="T333">
        <f>HYPERLINK("https://klasma.github.io/Logging_2283/kartor/A 24641-2020 karta.png", "A 24641-2020")</f>
        <v/>
      </c>
      <c r="U333">
        <f>HYPERLINK("https://klasma.github.io/Logging_2283/knärot/A 24641-2020 karta knärot.png", "A 24641-2020")</f>
        <v/>
      </c>
      <c r="V333">
        <f>HYPERLINK("https://klasma.github.io/Logging_2283/klagomål/A 24641-2020 FSC-klagomål.docx", "A 24641-2020")</f>
        <v/>
      </c>
      <c r="W333">
        <f>HYPERLINK("https://klasma.github.io/Logging_2283/klagomålsmail/A 24641-2020 FSC-klagomål mail.docx", "A 24641-2020")</f>
        <v/>
      </c>
      <c r="X333">
        <f>HYPERLINK("https://klasma.github.io/Logging_2283/tillsyn/A 24641-2020 tillsynsbegäran.docx", "A 24641-2020")</f>
        <v/>
      </c>
      <c r="Y333">
        <f>HYPERLINK("https://klasma.github.io/Logging_2283/tillsynsmail/A 24641-2020 tillsynsbegäran mail.docx", "A 24641-2020")</f>
        <v/>
      </c>
    </row>
    <row r="334" ht="15" customHeight="1">
      <c r="A334" t="inlineStr">
        <is>
          <t>A 27177-2020</t>
        </is>
      </c>
      <c r="B334" s="1" t="n">
        <v>43991</v>
      </c>
      <c r="C334" s="1" t="n">
        <v>45670</v>
      </c>
      <c r="D334" t="inlineStr">
        <is>
          <t>VÄSTERNORRLANDS LÄN</t>
        </is>
      </c>
      <c r="E334" t="inlineStr">
        <is>
          <t>SOLLEFTEÅ</t>
        </is>
      </c>
      <c r="F334" t="inlineStr">
        <is>
          <t>Holmen skog AB</t>
        </is>
      </c>
      <c r="G334" t="n">
        <v>0.8</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27177-2020 artfynd.xlsx", "A 27177-2020")</f>
        <v/>
      </c>
      <c r="T334">
        <f>HYPERLINK("https://klasma.github.io/Logging_2283/kartor/A 27177-2020 karta.png", "A 27177-2020")</f>
        <v/>
      </c>
      <c r="U334">
        <f>HYPERLINK("https://klasma.github.io/Logging_2283/knärot/A 27177-2020 karta knärot.png", "A 27177-2020")</f>
        <v/>
      </c>
      <c r="V334">
        <f>HYPERLINK("https://klasma.github.io/Logging_2283/klagomål/A 27177-2020 FSC-klagomål.docx", "A 27177-2020")</f>
        <v/>
      </c>
      <c r="W334">
        <f>HYPERLINK("https://klasma.github.io/Logging_2283/klagomålsmail/A 27177-2020 FSC-klagomål mail.docx", "A 27177-2020")</f>
        <v/>
      </c>
      <c r="X334">
        <f>HYPERLINK("https://klasma.github.io/Logging_2283/tillsyn/A 27177-2020 tillsynsbegäran.docx", "A 27177-2020")</f>
        <v/>
      </c>
      <c r="Y334">
        <f>HYPERLINK("https://klasma.github.io/Logging_2283/tillsynsmail/A 27177-2020 tillsynsbegäran mail.docx", "A 27177-2020")</f>
        <v/>
      </c>
      <c r="Z334">
        <f>HYPERLINK("https://klasma.github.io/Logging_2283/fåglar/A 27177-2020 prioriterade fågelarter.docx", "A 27177-2020")</f>
        <v/>
      </c>
    </row>
    <row r="335" ht="15" customHeight="1">
      <c r="A335" t="inlineStr">
        <is>
          <t>A 47840-2020</t>
        </is>
      </c>
      <c r="B335" s="1" t="n">
        <v>44098</v>
      </c>
      <c r="C335" s="1" t="n">
        <v>45670</v>
      </c>
      <c r="D335" t="inlineStr">
        <is>
          <t>VÄSTERNORRLANDS LÄN</t>
        </is>
      </c>
      <c r="E335" t="inlineStr">
        <is>
          <t>SOLLEFTEÅ</t>
        </is>
      </c>
      <c r="F335" t="inlineStr">
        <is>
          <t>SCA</t>
        </is>
      </c>
      <c r="G335" t="n">
        <v>9.699999999999999</v>
      </c>
      <c r="H335" t="n">
        <v>1</v>
      </c>
      <c r="I335" t="n">
        <v>0</v>
      </c>
      <c r="J335" t="n">
        <v>0</v>
      </c>
      <c r="K335" t="n">
        <v>1</v>
      </c>
      <c r="L335" t="n">
        <v>0</v>
      </c>
      <c r="M335" t="n">
        <v>0</v>
      </c>
      <c r="N335" t="n">
        <v>0</v>
      </c>
      <c r="O335" t="n">
        <v>1</v>
      </c>
      <c r="P335" t="n">
        <v>1</v>
      </c>
      <c r="Q335" t="n">
        <v>1</v>
      </c>
      <c r="R335" s="2" t="inlineStr">
        <is>
          <t>Knärot</t>
        </is>
      </c>
      <c r="S335">
        <f>HYPERLINK("https://klasma.github.io/Logging_2283/artfynd/A 47840-2020 artfynd.xlsx", "A 47840-2020")</f>
        <v/>
      </c>
      <c r="T335">
        <f>HYPERLINK("https://klasma.github.io/Logging_2283/kartor/A 47840-2020 karta.png", "A 47840-2020")</f>
        <v/>
      </c>
      <c r="U335">
        <f>HYPERLINK("https://klasma.github.io/Logging_2283/knärot/A 47840-2020 karta knärot.png", "A 47840-2020")</f>
        <v/>
      </c>
      <c r="V335">
        <f>HYPERLINK("https://klasma.github.io/Logging_2283/klagomål/A 47840-2020 FSC-klagomål.docx", "A 47840-2020")</f>
        <v/>
      </c>
      <c r="W335">
        <f>HYPERLINK("https://klasma.github.io/Logging_2283/klagomålsmail/A 47840-2020 FSC-klagomål mail.docx", "A 47840-2020")</f>
        <v/>
      </c>
      <c r="X335">
        <f>HYPERLINK("https://klasma.github.io/Logging_2283/tillsyn/A 47840-2020 tillsynsbegäran.docx", "A 47840-2020")</f>
        <v/>
      </c>
      <c r="Y335">
        <f>HYPERLINK("https://klasma.github.io/Logging_2283/tillsynsmail/A 47840-2020 tillsynsbegäran mail.docx", "A 47840-2020")</f>
        <v/>
      </c>
    </row>
    <row r="336" ht="15" customHeight="1">
      <c r="A336" t="inlineStr">
        <is>
          <t>A 68651-2020</t>
        </is>
      </c>
      <c r="B336" s="1" t="n">
        <v>44186</v>
      </c>
      <c r="C336" s="1" t="n">
        <v>45670</v>
      </c>
      <c r="D336" t="inlineStr">
        <is>
          <t>VÄSTERNORRLANDS LÄN</t>
        </is>
      </c>
      <c r="E336" t="inlineStr">
        <is>
          <t>SOLLEFTEÅ</t>
        </is>
      </c>
      <c r="F336" t="inlineStr">
        <is>
          <t>SCA</t>
        </is>
      </c>
      <c r="G336" t="n">
        <v>1.5</v>
      </c>
      <c r="H336" t="n">
        <v>0</v>
      </c>
      <c r="I336" t="n">
        <v>0</v>
      </c>
      <c r="J336" t="n">
        <v>1</v>
      </c>
      <c r="K336" t="n">
        <v>0</v>
      </c>
      <c r="L336" t="n">
        <v>0</v>
      </c>
      <c r="M336" t="n">
        <v>0</v>
      </c>
      <c r="N336" t="n">
        <v>0</v>
      </c>
      <c r="O336" t="n">
        <v>1</v>
      </c>
      <c r="P336" t="n">
        <v>0</v>
      </c>
      <c r="Q336" t="n">
        <v>1</v>
      </c>
      <c r="R336" s="2" t="inlineStr">
        <is>
          <t>Harticka</t>
        </is>
      </c>
      <c r="S336">
        <f>HYPERLINK("https://klasma.github.io/Logging_2283/artfynd/A 68651-2020 artfynd.xlsx", "A 68651-2020")</f>
        <v/>
      </c>
      <c r="T336">
        <f>HYPERLINK("https://klasma.github.io/Logging_2283/kartor/A 68651-2020 karta.png", "A 68651-2020")</f>
        <v/>
      </c>
      <c r="V336">
        <f>HYPERLINK("https://klasma.github.io/Logging_2283/klagomål/A 68651-2020 FSC-klagomål.docx", "A 68651-2020")</f>
        <v/>
      </c>
      <c r="W336">
        <f>HYPERLINK("https://klasma.github.io/Logging_2283/klagomålsmail/A 68651-2020 FSC-klagomål mail.docx", "A 68651-2020")</f>
        <v/>
      </c>
      <c r="X336">
        <f>HYPERLINK("https://klasma.github.io/Logging_2283/tillsyn/A 68651-2020 tillsynsbegäran.docx", "A 68651-2020")</f>
        <v/>
      </c>
      <c r="Y336">
        <f>HYPERLINK("https://klasma.github.io/Logging_2283/tillsynsmail/A 68651-2020 tillsynsbegäran mail.docx", "A 68651-2020")</f>
        <v/>
      </c>
    </row>
    <row r="337" ht="15" customHeight="1">
      <c r="A337" t="inlineStr">
        <is>
          <t>A 68789-2020</t>
        </is>
      </c>
      <c r="B337" s="1" t="n">
        <v>44186</v>
      </c>
      <c r="C337" s="1" t="n">
        <v>45670</v>
      </c>
      <c r="D337" t="inlineStr">
        <is>
          <t>VÄSTERNORRLANDS LÄN</t>
        </is>
      </c>
      <c r="E337" t="inlineStr">
        <is>
          <t>SOLLEFTEÅ</t>
        </is>
      </c>
      <c r="G337" t="n">
        <v>2.1</v>
      </c>
      <c r="H337" t="n">
        <v>0</v>
      </c>
      <c r="I337" t="n">
        <v>1</v>
      </c>
      <c r="J337" t="n">
        <v>0</v>
      </c>
      <c r="K337" t="n">
        <v>0</v>
      </c>
      <c r="L337" t="n">
        <v>0</v>
      </c>
      <c r="M337" t="n">
        <v>0</v>
      </c>
      <c r="N337" t="n">
        <v>0</v>
      </c>
      <c r="O337" t="n">
        <v>0</v>
      </c>
      <c r="P337" t="n">
        <v>0</v>
      </c>
      <c r="Q337" t="n">
        <v>1</v>
      </c>
      <c r="R337" s="2" t="inlineStr">
        <is>
          <t>Svart trolldruva</t>
        </is>
      </c>
      <c r="S337">
        <f>HYPERLINK("https://klasma.github.io/Logging_2283/artfynd/A 68789-2020 artfynd.xlsx", "A 68789-2020")</f>
        <v/>
      </c>
      <c r="T337">
        <f>HYPERLINK("https://klasma.github.io/Logging_2283/kartor/A 68789-2020 karta.png", "A 68789-2020")</f>
        <v/>
      </c>
      <c r="U337">
        <f>HYPERLINK("https://klasma.github.io/Logging_2283/knärot/A 68789-2020 karta knärot.png", "A 68789-2020")</f>
        <v/>
      </c>
      <c r="V337">
        <f>HYPERLINK("https://klasma.github.io/Logging_2283/klagomål/A 68789-2020 FSC-klagomål.docx", "A 68789-2020")</f>
        <v/>
      </c>
      <c r="W337">
        <f>HYPERLINK("https://klasma.github.io/Logging_2283/klagomålsmail/A 68789-2020 FSC-klagomål mail.docx", "A 68789-2020")</f>
        <v/>
      </c>
      <c r="X337">
        <f>HYPERLINK("https://klasma.github.io/Logging_2283/tillsyn/A 68789-2020 tillsynsbegäran.docx", "A 68789-2020")</f>
        <v/>
      </c>
      <c r="Y337">
        <f>HYPERLINK("https://klasma.github.io/Logging_2283/tillsynsmail/A 68789-2020 tillsynsbegäran mail.docx", "A 68789-2020")</f>
        <v/>
      </c>
    </row>
    <row r="338" ht="15" customHeight="1">
      <c r="A338" t="inlineStr">
        <is>
          <t>A 15101-2021</t>
        </is>
      </c>
      <c r="B338" s="1" t="n">
        <v>44281</v>
      </c>
      <c r="C338" s="1" t="n">
        <v>45670</v>
      </c>
      <c r="D338" t="inlineStr">
        <is>
          <t>VÄSTERNORRLANDS LÄN</t>
        </is>
      </c>
      <c r="E338" t="inlineStr">
        <is>
          <t>SOLLEFTEÅ</t>
        </is>
      </c>
      <c r="F338" t="inlineStr">
        <is>
          <t>SCA</t>
        </is>
      </c>
      <c r="G338" t="n">
        <v>1.1</v>
      </c>
      <c r="H338" t="n">
        <v>0</v>
      </c>
      <c r="I338" t="n">
        <v>0</v>
      </c>
      <c r="J338" t="n">
        <v>1</v>
      </c>
      <c r="K338" t="n">
        <v>0</v>
      </c>
      <c r="L338" t="n">
        <v>0</v>
      </c>
      <c r="M338" t="n">
        <v>0</v>
      </c>
      <c r="N338" t="n">
        <v>0</v>
      </c>
      <c r="O338" t="n">
        <v>1</v>
      </c>
      <c r="P338" t="n">
        <v>0</v>
      </c>
      <c r="Q338" t="n">
        <v>1</v>
      </c>
      <c r="R338" s="2" t="inlineStr">
        <is>
          <t>Garnlav</t>
        </is>
      </c>
      <c r="S338">
        <f>HYPERLINK("https://klasma.github.io/Logging_2283/artfynd/A 15101-2021 artfynd.xlsx", "A 15101-2021")</f>
        <v/>
      </c>
      <c r="T338">
        <f>HYPERLINK("https://klasma.github.io/Logging_2283/kartor/A 15101-2021 karta.png", "A 15101-2021")</f>
        <v/>
      </c>
      <c r="V338">
        <f>HYPERLINK("https://klasma.github.io/Logging_2283/klagomål/A 15101-2021 FSC-klagomål.docx", "A 15101-2021")</f>
        <v/>
      </c>
      <c r="W338">
        <f>HYPERLINK("https://klasma.github.io/Logging_2283/klagomålsmail/A 15101-2021 FSC-klagomål mail.docx", "A 15101-2021")</f>
        <v/>
      </c>
      <c r="X338">
        <f>HYPERLINK("https://klasma.github.io/Logging_2283/tillsyn/A 15101-2021 tillsynsbegäran.docx", "A 15101-2021")</f>
        <v/>
      </c>
      <c r="Y338">
        <f>HYPERLINK("https://klasma.github.io/Logging_2283/tillsynsmail/A 15101-2021 tillsynsbegäran mail.docx", "A 15101-2021")</f>
        <v/>
      </c>
    </row>
    <row r="339" ht="15" customHeight="1">
      <c r="A339" t="inlineStr">
        <is>
          <t>A 17377-2021</t>
        </is>
      </c>
      <c r="B339" s="1" t="n">
        <v>44298</v>
      </c>
      <c r="C339" s="1" t="n">
        <v>45670</v>
      </c>
      <c r="D339" t="inlineStr">
        <is>
          <t>VÄSTERNORRLANDS LÄN</t>
        </is>
      </c>
      <c r="E339" t="inlineStr">
        <is>
          <t>SOLLEFTEÅ</t>
        </is>
      </c>
      <c r="G339" t="n">
        <v>5.1</v>
      </c>
      <c r="H339" t="n">
        <v>0</v>
      </c>
      <c r="I339" t="n">
        <v>0</v>
      </c>
      <c r="J339" t="n">
        <v>1</v>
      </c>
      <c r="K339" t="n">
        <v>0</v>
      </c>
      <c r="L339" t="n">
        <v>0</v>
      </c>
      <c r="M339" t="n">
        <v>0</v>
      </c>
      <c r="N339" t="n">
        <v>0</v>
      </c>
      <c r="O339" t="n">
        <v>1</v>
      </c>
      <c r="P339" t="n">
        <v>0</v>
      </c>
      <c r="Q339" t="n">
        <v>1</v>
      </c>
      <c r="R339" s="2" t="inlineStr">
        <is>
          <t>Ullticka</t>
        </is>
      </c>
      <c r="S339">
        <f>HYPERLINK("https://klasma.github.io/Logging_2283/artfynd/A 17377-2021 artfynd.xlsx", "A 17377-2021")</f>
        <v/>
      </c>
      <c r="T339">
        <f>HYPERLINK("https://klasma.github.io/Logging_2283/kartor/A 17377-2021 karta.png", "A 17377-2021")</f>
        <v/>
      </c>
      <c r="V339">
        <f>HYPERLINK("https://klasma.github.io/Logging_2283/klagomål/A 17377-2021 FSC-klagomål.docx", "A 17377-2021")</f>
        <v/>
      </c>
      <c r="W339">
        <f>HYPERLINK("https://klasma.github.io/Logging_2283/klagomålsmail/A 17377-2021 FSC-klagomål mail.docx", "A 17377-2021")</f>
        <v/>
      </c>
      <c r="X339">
        <f>HYPERLINK("https://klasma.github.io/Logging_2283/tillsyn/A 17377-2021 tillsynsbegäran.docx", "A 17377-2021")</f>
        <v/>
      </c>
      <c r="Y339">
        <f>HYPERLINK("https://klasma.github.io/Logging_2283/tillsynsmail/A 17377-2021 tillsynsbegäran mail.docx", "A 17377-2021")</f>
        <v/>
      </c>
    </row>
    <row r="340" ht="15" customHeight="1">
      <c r="A340" t="inlineStr">
        <is>
          <t>A 18461-2021</t>
        </is>
      </c>
      <c r="B340" s="1" t="n">
        <v>44305</v>
      </c>
      <c r="C340" s="1" t="n">
        <v>45670</v>
      </c>
      <c r="D340" t="inlineStr">
        <is>
          <t>VÄSTERNORRLANDS LÄN</t>
        </is>
      </c>
      <c r="E340" t="inlineStr">
        <is>
          <t>SOLLEFTEÅ</t>
        </is>
      </c>
      <c r="F340" t="inlineStr">
        <is>
          <t>SCA</t>
        </is>
      </c>
      <c r="G340" t="n">
        <v>1.7</v>
      </c>
      <c r="H340" t="n">
        <v>1</v>
      </c>
      <c r="I340" t="n">
        <v>0</v>
      </c>
      <c r="J340" t="n">
        <v>1</v>
      </c>
      <c r="K340" t="n">
        <v>0</v>
      </c>
      <c r="L340" t="n">
        <v>0</v>
      </c>
      <c r="M340" t="n">
        <v>0</v>
      </c>
      <c r="N340" t="n">
        <v>0</v>
      </c>
      <c r="O340" t="n">
        <v>1</v>
      </c>
      <c r="P340" t="n">
        <v>0</v>
      </c>
      <c r="Q340" t="n">
        <v>1</v>
      </c>
      <c r="R340" s="2" t="inlineStr">
        <is>
          <t>Nordfladdermus</t>
        </is>
      </c>
      <c r="S340">
        <f>HYPERLINK("https://klasma.github.io/Logging_2283/artfynd/A 18461-2021 artfynd.xlsx", "A 18461-2021")</f>
        <v/>
      </c>
      <c r="T340">
        <f>HYPERLINK("https://klasma.github.io/Logging_2283/kartor/A 18461-2021 karta.png", "A 18461-2021")</f>
        <v/>
      </c>
      <c r="V340">
        <f>HYPERLINK("https://klasma.github.io/Logging_2283/klagomål/A 18461-2021 FSC-klagomål.docx", "A 18461-2021")</f>
        <v/>
      </c>
      <c r="W340">
        <f>HYPERLINK("https://klasma.github.io/Logging_2283/klagomålsmail/A 18461-2021 FSC-klagomål mail.docx", "A 18461-2021")</f>
        <v/>
      </c>
      <c r="X340">
        <f>HYPERLINK("https://klasma.github.io/Logging_2283/tillsyn/A 18461-2021 tillsynsbegäran.docx", "A 18461-2021")</f>
        <v/>
      </c>
      <c r="Y340">
        <f>HYPERLINK("https://klasma.github.io/Logging_2283/tillsynsmail/A 18461-2021 tillsynsbegäran mail.docx", "A 18461-2021")</f>
        <v/>
      </c>
    </row>
    <row r="341" ht="15" customHeight="1">
      <c r="A341" t="inlineStr">
        <is>
          <t>A 21360-2021</t>
        </is>
      </c>
      <c r="B341" s="1" t="n">
        <v>44320</v>
      </c>
      <c r="C341" s="1" t="n">
        <v>45670</v>
      </c>
      <c r="D341" t="inlineStr">
        <is>
          <t>VÄSTERNORRLANDS LÄN</t>
        </is>
      </c>
      <c r="E341" t="inlineStr">
        <is>
          <t>SOLLEFTEÅ</t>
        </is>
      </c>
      <c r="G341" t="n">
        <v>6.8</v>
      </c>
      <c r="H341" t="n">
        <v>1</v>
      </c>
      <c r="I341" t="n">
        <v>0</v>
      </c>
      <c r="J341" t="n">
        <v>0</v>
      </c>
      <c r="K341" t="n">
        <v>1</v>
      </c>
      <c r="L341" t="n">
        <v>0</v>
      </c>
      <c r="M341" t="n">
        <v>0</v>
      </c>
      <c r="N341" t="n">
        <v>0</v>
      </c>
      <c r="O341" t="n">
        <v>1</v>
      </c>
      <c r="P341" t="n">
        <v>1</v>
      </c>
      <c r="Q341" t="n">
        <v>1</v>
      </c>
      <c r="R341" s="2" t="inlineStr">
        <is>
          <t>Knärot</t>
        </is>
      </c>
      <c r="S341">
        <f>HYPERLINK("https://klasma.github.io/Logging_2283/artfynd/A 21360-2021 artfynd.xlsx", "A 21360-2021")</f>
        <v/>
      </c>
      <c r="T341">
        <f>HYPERLINK("https://klasma.github.io/Logging_2283/kartor/A 21360-2021 karta.png", "A 21360-2021")</f>
        <v/>
      </c>
      <c r="U341">
        <f>HYPERLINK("https://klasma.github.io/Logging_2283/knärot/A 21360-2021 karta knärot.png", "A 21360-2021")</f>
        <v/>
      </c>
      <c r="V341">
        <f>HYPERLINK("https://klasma.github.io/Logging_2283/klagomål/A 21360-2021 FSC-klagomål.docx", "A 21360-2021")</f>
        <v/>
      </c>
      <c r="W341">
        <f>HYPERLINK("https://klasma.github.io/Logging_2283/klagomålsmail/A 21360-2021 FSC-klagomål mail.docx", "A 21360-2021")</f>
        <v/>
      </c>
      <c r="X341">
        <f>HYPERLINK("https://klasma.github.io/Logging_2283/tillsyn/A 21360-2021 tillsynsbegäran.docx", "A 21360-2021")</f>
        <v/>
      </c>
      <c r="Y341">
        <f>HYPERLINK("https://klasma.github.io/Logging_2283/tillsynsmail/A 21360-2021 tillsynsbegäran mail.docx", "A 21360-2021")</f>
        <v/>
      </c>
    </row>
    <row r="342" ht="15" customHeight="1">
      <c r="A342" t="inlineStr">
        <is>
          <t>A 22862-2021</t>
        </is>
      </c>
      <c r="B342" s="1" t="n">
        <v>44326</v>
      </c>
      <c r="C342" s="1" t="n">
        <v>45670</v>
      </c>
      <c r="D342" t="inlineStr">
        <is>
          <t>VÄSTERNORRLANDS LÄN</t>
        </is>
      </c>
      <c r="E342" t="inlineStr">
        <is>
          <t>SOLLEFTEÅ</t>
        </is>
      </c>
      <c r="F342" t="inlineStr">
        <is>
          <t>Kommuner</t>
        </is>
      </c>
      <c r="G342" t="n">
        <v>2</v>
      </c>
      <c r="H342" t="n">
        <v>1</v>
      </c>
      <c r="I342" t="n">
        <v>0</v>
      </c>
      <c r="J342" t="n">
        <v>0</v>
      </c>
      <c r="K342" t="n">
        <v>1</v>
      </c>
      <c r="L342" t="n">
        <v>0</v>
      </c>
      <c r="M342" t="n">
        <v>0</v>
      </c>
      <c r="N342" t="n">
        <v>0</v>
      </c>
      <c r="O342" t="n">
        <v>1</v>
      </c>
      <c r="P342" t="n">
        <v>1</v>
      </c>
      <c r="Q342" t="n">
        <v>1</v>
      </c>
      <c r="R342" s="2" t="inlineStr">
        <is>
          <t>Lappuggla</t>
        </is>
      </c>
      <c r="S342">
        <f>HYPERLINK("https://klasma.github.io/Logging_2283/artfynd/A 22862-2021 artfynd.xlsx", "A 22862-2021")</f>
        <v/>
      </c>
      <c r="T342">
        <f>HYPERLINK("https://klasma.github.io/Logging_2283/kartor/A 22862-2021 karta.png", "A 22862-2021")</f>
        <v/>
      </c>
      <c r="V342">
        <f>HYPERLINK("https://klasma.github.io/Logging_2283/klagomål/A 22862-2021 FSC-klagomål.docx", "A 22862-2021")</f>
        <v/>
      </c>
      <c r="W342">
        <f>HYPERLINK("https://klasma.github.io/Logging_2283/klagomålsmail/A 22862-2021 FSC-klagomål mail.docx", "A 22862-2021")</f>
        <v/>
      </c>
      <c r="X342">
        <f>HYPERLINK("https://klasma.github.io/Logging_2283/tillsyn/A 22862-2021 tillsynsbegäran.docx", "A 22862-2021")</f>
        <v/>
      </c>
      <c r="Y342">
        <f>HYPERLINK("https://klasma.github.io/Logging_2283/tillsynsmail/A 22862-2021 tillsynsbegäran mail.docx", "A 22862-2021")</f>
        <v/>
      </c>
      <c r="Z342">
        <f>HYPERLINK("https://klasma.github.io/Logging_2283/fåglar/A 22862-2021 prioriterade fågelarter.docx", "A 22862-2021")</f>
        <v/>
      </c>
    </row>
    <row r="343" ht="15" customHeight="1">
      <c r="A343" t="inlineStr">
        <is>
          <t>A 37043-2021</t>
        </is>
      </c>
      <c r="B343" s="1" t="n">
        <v>44393</v>
      </c>
      <c r="C343" s="1" t="n">
        <v>45670</v>
      </c>
      <c r="D343" t="inlineStr">
        <is>
          <t>VÄSTERNORRLANDS LÄN</t>
        </is>
      </c>
      <c r="E343" t="inlineStr">
        <is>
          <t>SOLLEFTEÅ</t>
        </is>
      </c>
      <c r="F343" t="inlineStr">
        <is>
          <t>SCA</t>
        </is>
      </c>
      <c r="G343" t="n">
        <v>2.9</v>
      </c>
      <c r="H343" t="n">
        <v>0</v>
      </c>
      <c r="I343" t="n">
        <v>0</v>
      </c>
      <c r="J343" t="n">
        <v>1</v>
      </c>
      <c r="K343" t="n">
        <v>0</v>
      </c>
      <c r="L343" t="n">
        <v>0</v>
      </c>
      <c r="M343" t="n">
        <v>0</v>
      </c>
      <c r="N343" t="n">
        <v>0</v>
      </c>
      <c r="O343" t="n">
        <v>1</v>
      </c>
      <c r="P343" t="n">
        <v>0</v>
      </c>
      <c r="Q343" t="n">
        <v>1</v>
      </c>
      <c r="R343" s="2" t="inlineStr">
        <is>
          <t>Garnlav</t>
        </is>
      </c>
      <c r="S343">
        <f>HYPERLINK("https://klasma.github.io/Logging_2283/artfynd/A 37043-2021 artfynd.xlsx", "A 37043-2021")</f>
        <v/>
      </c>
      <c r="T343">
        <f>HYPERLINK("https://klasma.github.io/Logging_2283/kartor/A 37043-2021 karta.png", "A 37043-2021")</f>
        <v/>
      </c>
      <c r="V343">
        <f>HYPERLINK("https://klasma.github.io/Logging_2283/klagomål/A 37043-2021 FSC-klagomål.docx", "A 37043-2021")</f>
        <v/>
      </c>
      <c r="W343">
        <f>HYPERLINK("https://klasma.github.io/Logging_2283/klagomålsmail/A 37043-2021 FSC-klagomål mail.docx", "A 37043-2021")</f>
        <v/>
      </c>
      <c r="X343">
        <f>HYPERLINK("https://klasma.github.io/Logging_2283/tillsyn/A 37043-2021 tillsynsbegäran.docx", "A 37043-2021")</f>
        <v/>
      </c>
      <c r="Y343">
        <f>HYPERLINK("https://klasma.github.io/Logging_2283/tillsynsmail/A 37043-2021 tillsynsbegäran mail.docx", "A 37043-2021")</f>
        <v/>
      </c>
    </row>
    <row r="344" ht="15" customHeight="1">
      <c r="A344" t="inlineStr">
        <is>
          <t>A 42224-2021</t>
        </is>
      </c>
      <c r="B344" s="1" t="n">
        <v>44426</v>
      </c>
      <c r="C344" s="1" t="n">
        <v>45670</v>
      </c>
      <c r="D344" t="inlineStr">
        <is>
          <t>VÄSTERNORRLANDS LÄN</t>
        </is>
      </c>
      <c r="E344" t="inlineStr">
        <is>
          <t>SOLLEFTEÅ</t>
        </is>
      </c>
      <c r="G344" t="n">
        <v>0.6</v>
      </c>
      <c r="H344" t="n">
        <v>0</v>
      </c>
      <c r="I344" t="n">
        <v>1</v>
      </c>
      <c r="J344" t="n">
        <v>0</v>
      </c>
      <c r="K344" t="n">
        <v>0</v>
      </c>
      <c r="L344" t="n">
        <v>0</v>
      </c>
      <c r="M344" t="n">
        <v>0</v>
      </c>
      <c r="N344" t="n">
        <v>0</v>
      </c>
      <c r="O344" t="n">
        <v>0</v>
      </c>
      <c r="P344" t="n">
        <v>0</v>
      </c>
      <c r="Q344" t="n">
        <v>1</v>
      </c>
      <c r="R344" s="2" t="inlineStr">
        <is>
          <t>Svart trolldruva</t>
        </is>
      </c>
      <c r="S344">
        <f>HYPERLINK("https://klasma.github.io/Logging_2283/artfynd/A 42224-2021 artfynd.xlsx", "A 42224-2021")</f>
        <v/>
      </c>
      <c r="T344">
        <f>HYPERLINK("https://klasma.github.io/Logging_2283/kartor/A 42224-2021 karta.png", "A 42224-2021")</f>
        <v/>
      </c>
      <c r="V344">
        <f>HYPERLINK("https://klasma.github.io/Logging_2283/klagomål/A 42224-2021 FSC-klagomål.docx", "A 42224-2021")</f>
        <v/>
      </c>
      <c r="W344">
        <f>HYPERLINK("https://klasma.github.io/Logging_2283/klagomålsmail/A 42224-2021 FSC-klagomål mail.docx", "A 42224-2021")</f>
        <v/>
      </c>
      <c r="X344">
        <f>HYPERLINK("https://klasma.github.io/Logging_2283/tillsyn/A 42224-2021 tillsynsbegäran.docx", "A 42224-2021")</f>
        <v/>
      </c>
      <c r="Y344">
        <f>HYPERLINK("https://klasma.github.io/Logging_2283/tillsynsmail/A 42224-2021 tillsynsbegäran mail.docx", "A 42224-2021")</f>
        <v/>
      </c>
    </row>
    <row r="345" ht="15" customHeight="1">
      <c r="A345" t="inlineStr">
        <is>
          <t>A 51019-2021</t>
        </is>
      </c>
      <c r="B345" s="1" t="n">
        <v>44460</v>
      </c>
      <c r="C345" s="1" t="n">
        <v>45670</v>
      </c>
      <c r="D345" t="inlineStr">
        <is>
          <t>VÄSTERNORRLANDS LÄN</t>
        </is>
      </c>
      <c r="E345" t="inlineStr">
        <is>
          <t>SOLLEFTEÅ</t>
        </is>
      </c>
      <c r="F345" t="inlineStr">
        <is>
          <t>SCA</t>
        </is>
      </c>
      <c r="G345" t="n">
        <v>2.1</v>
      </c>
      <c r="H345" t="n">
        <v>1</v>
      </c>
      <c r="I345" t="n">
        <v>0</v>
      </c>
      <c r="J345" t="n">
        <v>0</v>
      </c>
      <c r="K345" t="n">
        <v>0</v>
      </c>
      <c r="L345" t="n">
        <v>0</v>
      </c>
      <c r="M345" t="n">
        <v>0</v>
      </c>
      <c r="N345" t="n">
        <v>0</v>
      </c>
      <c r="O345" t="n">
        <v>0</v>
      </c>
      <c r="P345" t="n">
        <v>0</v>
      </c>
      <c r="Q345" t="n">
        <v>1</v>
      </c>
      <c r="R345" s="2" t="inlineStr">
        <is>
          <t>Fläcknycklar</t>
        </is>
      </c>
      <c r="S345">
        <f>HYPERLINK("https://klasma.github.io/Logging_2283/artfynd/A 51019-2021 artfynd.xlsx", "A 51019-2021")</f>
        <v/>
      </c>
      <c r="T345">
        <f>HYPERLINK("https://klasma.github.io/Logging_2283/kartor/A 51019-2021 karta.png", "A 51019-2021")</f>
        <v/>
      </c>
      <c r="V345">
        <f>HYPERLINK("https://klasma.github.io/Logging_2283/klagomål/A 51019-2021 FSC-klagomål.docx", "A 51019-2021")</f>
        <v/>
      </c>
      <c r="W345">
        <f>HYPERLINK("https://klasma.github.io/Logging_2283/klagomålsmail/A 51019-2021 FSC-klagomål mail.docx", "A 51019-2021")</f>
        <v/>
      </c>
      <c r="X345">
        <f>HYPERLINK("https://klasma.github.io/Logging_2283/tillsyn/A 51019-2021 tillsynsbegäran.docx", "A 51019-2021")</f>
        <v/>
      </c>
      <c r="Y345">
        <f>HYPERLINK("https://klasma.github.io/Logging_2283/tillsynsmail/A 51019-2021 tillsynsbegäran mail.docx", "A 51019-2021")</f>
        <v/>
      </c>
    </row>
    <row r="346" ht="15" customHeight="1">
      <c r="A346" t="inlineStr">
        <is>
          <t>A 58572-2021</t>
        </is>
      </c>
      <c r="B346" s="1" t="n">
        <v>44488</v>
      </c>
      <c r="C346" s="1" t="n">
        <v>45670</v>
      </c>
      <c r="D346" t="inlineStr">
        <is>
          <t>VÄSTERNORRLANDS LÄN</t>
        </is>
      </c>
      <c r="E346" t="inlineStr">
        <is>
          <t>SOLLEFTEÅ</t>
        </is>
      </c>
      <c r="G346" t="n">
        <v>0.1</v>
      </c>
      <c r="H346" t="n">
        <v>0</v>
      </c>
      <c r="I346" t="n">
        <v>0</v>
      </c>
      <c r="J346" t="n">
        <v>1</v>
      </c>
      <c r="K346" t="n">
        <v>0</v>
      </c>
      <c r="L346" t="n">
        <v>0</v>
      </c>
      <c r="M346" t="n">
        <v>0</v>
      </c>
      <c r="N346" t="n">
        <v>0</v>
      </c>
      <c r="O346" t="n">
        <v>1</v>
      </c>
      <c r="P346" t="n">
        <v>0</v>
      </c>
      <c r="Q346" t="n">
        <v>1</v>
      </c>
      <c r="R346" s="2" t="inlineStr">
        <is>
          <t>Brunklöver</t>
        </is>
      </c>
      <c r="S346">
        <f>HYPERLINK("https://klasma.github.io/Logging_2283/artfynd/A 58572-2021 artfynd.xlsx", "A 58572-2021")</f>
        <v/>
      </c>
      <c r="T346">
        <f>HYPERLINK("https://klasma.github.io/Logging_2283/kartor/A 58572-2021 karta.png", "A 58572-2021")</f>
        <v/>
      </c>
      <c r="V346">
        <f>HYPERLINK("https://klasma.github.io/Logging_2283/klagomål/A 58572-2021 FSC-klagomål.docx", "A 58572-2021")</f>
        <v/>
      </c>
      <c r="W346">
        <f>HYPERLINK("https://klasma.github.io/Logging_2283/klagomålsmail/A 58572-2021 FSC-klagomål mail.docx", "A 58572-2021")</f>
        <v/>
      </c>
      <c r="X346">
        <f>HYPERLINK("https://klasma.github.io/Logging_2283/tillsyn/A 58572-2021 tillsynsbegäran.docx", "A 58572-2021")</f>
        <v/>
      </c>
      <c r="Y346">
        <f>HYPERLINK("https://klasma.github.io/Logging_2283/tillsynsmail/A 58572-2021 tillsynsbegäran mail.docx", "A 58572-2021")</f>
        <v/>
      </c>
    </row>
    <row r="347" ht="15" customHeight="1">
      <c r="A347" t="inlineStr">
        <is>
          <t>A 67402-2021</t>
        </is>
      </c>
      <c r="B347" s="1" t="n">
        <v>44523</v>
      </c>
      <c r="C347" s="1" t="n">
        <v>45670</v>
      </c>
      <c r="D347" t="inlineStr">
        <is>
          <t>VÄSTERNORRLANDS LÄN</t>
        </is>
      </c>
      <c r="E347" t="inlineStr">
        <is>
          <t>SOLLEFTEÅ</t>
        </is>
      </c>
      <c r="F347" t="inlineStr">
        <is>
          <t>SCA</t>
        </is>
      </c>
      <c r="G347" t="n">
        <v>11</v>
      </c>
      <c r="H347" t="n">
        <v>1</v>
      </c>
      <c r="I347" t="n">
        <v>0</v>
      </c>
      <c r="J347" t="n">
        <v>0</v>
      </c>
      <c r="K347" t="n">
        <v>1</v>
      </c>
      <c r="L347" t="n">
        <v>0</v>
      </c>
      <c r="M347" t="n">
        <v>0</v>
      </c>
      <c r="N347" t="n">
        <v>0</v>
      </c>
      <c r="O347" t="n">
        <v>1</v>
      </c>
      <c r="P347" t="n">
        <v>1</v>
      </c>
      <c r="Q347" t="n">
        <v>1</v>
      </c>
      <c r="R347" s="2" t="inlineStr">
        <is>
          <t>Knärot</t>
        </is>
      </c>
      <c r="S347">
        <f>HYPERLINK("https://klasma.github.io/Logging_2283/artfynd/A 67402-2021 artfynd.xlsx", "A 67402-2021")</f>
        <v/>
      </c>
      <c r="T347">
        <f>HYPERLINK("https://klasma.github.io/Logging_2283/kartor/A 67402-2021 karta.png", "A 67402-2021")</f>
        <v/>
      </c>
      <c r="U347">
        <f>HYPERLINK("https://klasma.github.io/Logging_2283/knärot/A 67402-2021 karta knärot.png", "A 67402-2021")</f>
        <v/>
      </c>
      <c r="V347">
        <f>HYPERLINK("https://klasma.github.io/Logging_2283/klagomål/A 67402-2021 FSC-klagomål.docx", "A 67402-2021")</f>
        <v/>
      </c>
      <c r="W347">
        <f>HYPERLINK("https://klasma.github.io/Logging_2283/klagomålsmail/A 67402-2021 FSC-klagomål mail.docx", "A 67402-2021")</f>
        <v/>
      </c>
      <c r="X347">
        <f>HYPERLINK("https://klasma.github.io/Logging_2283/tillsyn/A 67402-2021 tillsynsbegäran.docx", "A 67402-2021")</f>
        <v/>
      </c>
      <c r="Y347">
        <f>HYPERLINK("https://klasma.github.io/Logging_2283/tillsynsmail/A 67402-2021 tillsynsbegäran mail.docx", "A 67402-2021")</f>
        <v/>
      </c>
    </row>
    <row r="348" ht="15" customHeight="1">
      <c r="A348" t="inlineStr">
        <is>
          <t>A 68781-2021</t>
        </is>
      </c>
      <c r="B348" s="1" t="n">
        <v>44529</v>
      </c>
      <c r="C348" s="1" t="n">
        <v>45670</v>
      </c>
      <c r="D348" t="inlineStr">
        <is>
          <t>VÄSTERNORRLANDS LÄN</t>
        </is>
      </c>
      <c r="E348" t="inlineStr">
        <is>
          <t>SOLLEFTEÅ</t>
        </is>
      </c>
      <c r="F348" t="inlineStr">
        <is>
          <t>SCA</t>
        </is>
      </c>
      <c r="G348" t="n">
        <v>1.9</v>
      </c>
      <c r="H348" t="n">
        <v>1</v>
      </c>
      <c r="I348" t="n">
        <v>0</v>
      </c>
      <c r="J348" t="n">
        <v>0</v>
      </c>
      <c r="K348" t="n">
        <v>1</v>
      </c>
      <c r="L348" t="n">
        <v>0</v>
      </c>
      <c r="M348" t="n">
        <v>0</v>
      </c>
      <c r="N348" t="n">
        <v>0</v>
      </c>
      <c r="O348" t="n">
        <v>1</v>
      </c>
      <c r="P348" t="n">
        <v>1</v>
      </c>
      <c r="Q348" t="n">
        <v>1</v>
      </c>
      <c r="R348" s="2" t="inlineStr">
        <is>
          <t>Doftticka</t>
        </is>
      </c>
      <c r="S348">
        <f>HYPERLINK("https://klasma.github.io/Logging_2283/artfynd/A 68781-2021 artfynd.xlsx", "A 68781-2021")</f>
        <v/>
      </c>
      <c r="T348">
        <f>HYPERLINK("https://klasma.github.io/Logging_2283/kartor/A 68781-2021 karta.png", "A 68781-2021")</f>
        <v/>
      </c>
      <c r="V348">
        <f>HYPERLINK("https://klasma.github.io/Logging_2283/klagomål/A 68781-2021 FSC-klagomål.docx", "A 68781-2021")</f>
        <v/>
      </c>
      <c r="W348">
        <f>HYPERLINK("https://klasma.github.io/Logging_2283/klagomålsmail/A 68781-2021 FSC-klagomål mail.docx", "A 68781-2021")</f>
        <v/>
      </c>
      <c r="X348">
        <f>HYPERLINK("https://klasma.github.io/Logging_2283/tillsyn/A 68781-2021 tillsynsbegäran.docx", "A 68781-2021")</f>
        <v/>
      </c>
      <c r="Y348">
        <f>HYPERLINK("https://klasma.github.io/Logging_2283/tillsynsmail/A 68781-2021 tillsynsbegäran mail.docx", "A 68781-2021")</f>
        <v/>
      </c>
    </row>
    <row r="349" ht="15" customHeight="1">
      <c r="A349" t="inlineStr">
        <is>
          <t>A 71349-2021</t>
        </is>
      </c>
      <c r="B349" s="1" t="n">
        <v>44539</v>
      </c>
      <c r="C349" s="1" t="n">
        <v>45670</v>
      </c>
      <c r="D349" t="inlineStr">
        <is>
          <t>VÄSTERNORRLANDS LÄN</t>
        </is>
      </c>
      <c r="E349" t="inlineStr">
        <is>
          <t>SOLLEFTEÅ</t>
        </is>
      </c>
      <c r="G349" t="n">
        <v>0.5</v>
      </c>
      <c r="H349" t="n">
        <v>1</v>
      </c>
      <c r="I349" t="n">
        <v>0</v>
      </c>
      <c r="J349" t="n">
        <v>1</v>
      </c>
      <c r="K349" t="n">
        <v>0</v>
      </c>
      <c r="L349" t="n">
        <v>0</v>
      </c>
      <c r="M349" t="n">
        <v>0</v>
      </c>
      <c r="N349" t="n">
        <v>0</v>
      </c>
      <c r="O349" t="n">
        <v>1</v>
      </c>
      <c r="P349" t="n">
        <v>0</v>
      </c>
      <c r="Q349" t="n">
        <v>1</v>
      </c>
      <c r="R349" s="2" t="inlineStr">
        <is>
          <t>Björktrast</t>
        </is>
      </c>
      <c r="S349">
        <f>HYPERLINK("https://klasma.github.io/Logging_2283/artfynd/A 71349-2021 artfynd.xlsx", "A 71349-2021")</f>
        <v/>
      </c>
      <c r="T349">
        <f>HYPERLINK("https://klasma.github.io/Logging_2283/kartor/A 71349-2021 karta.png", "A 71349-2021")</f>
        <v/>
      </c>
      <c r="V349">
        <f>HYPERLINK("https://klasma.github.io/Logging_2283/klagomål/A 71349-2021 FSC-klagomål.docx", "A 71349-2021")</f>
        <v/>
      </c>
      <c r="W349">
        <f>HYPERLINK("https://klasma.github.io/Logging_2283/klagomålsmail/A 71349-2021 FSC-klagomål mail.docx", "A 71349-2021")</f>
        <v/>
      </c>
      <c r="X349">
        <f>HYPERLINK("https://klasma.github.io/Logging_2283/tillsyn/A 71349-2021 tillsynsbegäran.docx", "A 71349-2021")</f>
        <v/>
      </c>
      <c r="Y349">
        <f>HYPERLINK("https://klasma.github.io/Logging_2283/tillsynsmail/A 71349-2021 tillsynsbegäran mail.docx", "A 71349-2021")</f>
        <v/>
      </c>
      <c r="Z349">
        <f>HYPERLINK("https://klasma.github.io/Logging_2283/fåglar/A 71349-2021 prioriterade fågelarter.docx", "A 71349-2021")</f>
        <v/>
      </c>
    </row>
    <row r="350" ht="15" customHeight="1">
      <c r="A350" t="inlineStr">
        <is>
          <t>A 15669-2022</t>
        </is>
      </c>
      <c r="B350" s="1" t="n">
        <v>44662</v>
      </c>
      <c r="C350" s="1" t="n">
        <v>45670</v>
      </c>
      <c r="D350" t="inlineStr">
        <is>
          <t>VÄSTERNORRLANDS LÄN</t>
        </is>
      </c>
      <c r="E350" t="inlineStr">
        <is>
          <t>SOLLEFTEÅ</t>
        </is>
      </c>
      <c r="G350" t="n">
        <v>12.1</v>
      </c>
      <c r="H350" t="n">
        <v>0</v>
      </c>
      <c r="I350" t="n">
        <v>1</v>
      </c>
      <c r="J350" t="n">
        <v>0</v>
      </c>
      <c r="K350" t="n">
        <v>0</v>
      </c>
      <c r="L350" t="n">
        <v>0</v>
      </c>
      <c r="M350" t="n">
        <v>0</v>
      </c>
      <c r="N350" t="n">
        <v>0</v>
      </c>
      <c r="O350" t="n">
        <v>0</v>
      </c>
      <c r="P350" t="n">
        <v>0</v>
      </c>
      <c r="Q350" t="n">
        <v>1</v>
      </c>
      <c r="R350" s="2" t="inlineStr">
        <is>
          <t>Skinnlav</t>
        </is>
      </c>
      <c r="S350">
        <f>HYPERLINK("https://klasma.github.io/Logging_2283/artfynd/A 15669-2022 artfynd.xlsx", "A 15669-2022")</f>
        <v/>
      </c>
      <c r="T350">
        <f>HYPERLINK("https://klasma.github.io/Logging_2283/kartor/A 15669-2022 karta.png", "A 15669-2022")</f>
        <v/>
      </c>
      <c r="V350">
        <f>HYPERLINK("https://klasma.github.io/Logging_2283/klagomål/A 15669-2022 FSC-klagomål.docx", "A 15669-2022")</f>
        <v/>
      </c>
      <c r="W350">
        <f>HYPERLINK("https://klasma.github.io/Logging_2283/klagomålsmail/A 15669-2022 FSC-klagomål mail.docx", "A 15669-2022")</f>
        <v/>
      </c>
      <c r="X350">
        <f>HYPERLINK("https://klasma.github.io/Logging_2283/tillsyn/A 15669-2022 tillsynsbegäran.docx", "A 15669-2022")</f>
        <v/>
      </c>
      <c r="Y350">
        <f>HYPERLINK("https://klasma.github.io/Logging_2283/tillsynsmail/A 15669-2022 tillsynsbegäran mail.docx", "A 15669-2022")</f>
        <v/>
      </c>
    </row>
    <row r="351" ht="15" customHeight="1">
      <c r="A351" t="inlineStr">
        <is>
          <t>A 16269-2022</t>
        </is>
      </c>
      <c r="B351" s="1" t="n">
        <v>44670</v>
      </c>
      <c r="C351" s="1" t="n">
        <v>45670</v>
      </c>
      <c r="D351" t="inlineStr">
        <is>
          <t>VÄSTERNORRLANDS LÄN</t>
        </is>
      </c>
      <c r="E351" t="inlineStr">
        <is>
          <t>SOLLEFTEÅ</t>
        </is>
      </c>
      <c r="F351" t="inlineStr">
        <is>
          <t>Holmen skog AB</t>
        </is>
      </c>
      <c r="G351" t="n">
        <v>4.6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16269-2022 artfynd.xlsx", "A 16269-2022")</f>
        <v/>
      </c>
      <c r="T351">
        <f>HYPERLINK("https://klasma.github.io/Logging_2283/kartor/A 16269-2022 karta.png", "A 16269-2022")</f>
        <v/>
      </c>
      <c r="V351">
        <f>HYPERLINK("https://klasma.github.io/Logging_2283/klagomål/A 16269-2022 FSC-klagomål.docx", "A 16269-2022")</f>
        <v/>
      </c>
      <c r="W351">
        <f>HYPERLINK("https://klasma.github.io/Logging_2283/klagomålsmail/A 16269-2022 FSC-klagomål mail.docx", "A 16269-2022")</f>
        <v/>
      </c>
      <c r="X351">
        <f>HYPERLINK("https://klasma.github.io/Logging_2283/tillsyn/A 16269-2022 tillsynsbegäran.docx", "A 16269-2022")</f>
        <v/>
      </c>
      <c r="Y351">
        <f>HYPERLINK("https://klasma.github.io/Logging_2283/tillsynsmail/A 16269-2022 tillsynsbegäran mail.docx", "A 16269-2022")</f>
        <v/>
      </c>
      <c r="Z351">
        <f>HYPERLINK("https://klasma.github.io/Logging_2283/fåglar/A 16269-2022 prioriterade fågelarter.docx", "A 16269-2022")</f>
        <v/>
      </c>
    </row>
    <row r="352" ht="15" customHeight="1">
      <c r="A352" t="inlineStr">
        <is>
          <t>A 21708-2022</t>
        </is>
      </c>
      <c r="B352" s="1" t="n">
        <v>44707</v>
      </c>
      <c r="C352" s="1" t="n">
        <v>45670</v>
      </c>
      <c r="D352" t="inlineStr">
        <is>
          <t>VÄSTERNORRLANDS LÄN</t>
        </is>
      </c>
      <c r="E352" t="inlineStr">
        <is>
          <t>SOLLEFTEÅ</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HYPERLINK("https://klasma.github.io/Logging_2283/artfynd/A 21708-2022 artfynd.xlsx", "A 21708-2022")</f>
        <v/>
      </c>
      <c r="T352">
        <f>HYPERLINK("https://klasma.github.io/Logging_2283/kartor/A 21708-2022 karta.png", "A 21708-2022")</f>
        <v/>
      </c>
      <c r="V352">
        <f>HYPERLINK("https://klasma.github.io/Logging_2283/klagomål/A 21708-2022 FSC-klagomål.docx", "A 21708-2022")</f>
        <v/>
      </c>
      <c r="W352">
        <f>HYPERLINK("https://klasma.github.io/Logging_2283/klagomålsmail/A 21708-2022 FSC-klagomål mail.docx", "A 21708-2022")</f>
        <v/>
      </c>
      <c r="X352">
        <f>HYPERLINK("https://klasma.github.io/Logging_2283/tillsyn/A 21708-2022 tillsynsbegäran.docx", "A 21708-2022")</f>
        <v/>
      </c>
      <c r="Y352">
        <f>HYPERLINK("https://klasma.github.io/Logging_2283/tillsynsmail/A 21708-2022 tillsynsbegäran mail.docx", "A 21708-2022")</f>
        <v/>
      </c>
    </row>
    <row r="353" ht="15" customHeight="1">
      <c r="A353" t="inlineStr">
        <is>
          <t>A 22323-2022</t>
        </is>
      </c>
      <c r="B353" s="1" t="n">
        <v>44713</v>
      </c>
      <c r="C353" s="1" t="n">
        <v>45670</v>
      </c>
      <c r="D353" t="inlineStr">
        <is>
          <t>VÄSTERNORRLANDS LÄN</t>
        </is>
      </c>
      <c r="E353" t="inlineStr">
        <is>
          <t>SOLLEFTEÅ</t>
        </is>
      </c>
      <c r="F353" t="inlineStr">
        <is>
          <t>SCA</t>
        </is>
      </c>
      <c r="G353" t="n">
        <v>1.8</v>
      </c>
      <c r="H353" t="n">
        <v>0</v>
      </c>
      <c r="I353" t="n">
        <v>0</v>
      </c>
      <c r="J353" t="n">
        <v>1</v>
      </c>
      <c r="K353" t="n">
        <v>0</v>
      </c>
      <c r="L353" t="n">
        <v>0</v>
      </c>
      <c r="M353" t="n">
        <v>0</v>
      </c>
      <c r="N353" t="n">
        <v>0</v>
      </c>
      <c r="O353" t="n">
        <v>1</v>
      </c>
      <c r="P353" t="n">
        <v>0</v>
      </c>
      <c r="Q353" t="n">
        <v>1</v>
      </c>
      <c r="R353" s="2" t="inlineStr">
        <is>
          <t>Granticka</t>
        </is>
      </c>
      <c r="S353">
        <f>HYPERLINK("https://klasma.github.io/Logging_2283/artfynd/A 22323-2022 artfynd.xlsx", "A 22323-2022")</f>
        <v/>
      </c>
      <c r="T353">
        <f>HYPERLINK("https://klasma.github.io/Logging_2283/kartor/A 22323-2022 karta.png", "A 22323-2022")</f>
        <v/>
      </c>
      <c r="V353">
        <f>HYPERLINK("https://klasma.github.io/Logging_2283/klagomål/A 22323-2022 FSC-klagomål.docx", "A 22323-2022")</f>
        <v/>
      </c>
      <c r="W353">
        <f>HYPERLINK("https://klasma.github.io/Logging_2283/klagomålsmail/A 22323-2022 FSC-klagomål mail.docx", "A 22323-2022")</f>
        <v/>
      </c>
      <c r="X353">
        <f>HYPERLINK("https://klasma.github.io/Logging_2283/tillsyn/A 22323-2022 tillsynsbegäran.docx", "A 22323-2022")</f>
        <v/>
      </c>
      <c r="Y353">
        <f>HYPERLINK("https://klasma.github.io/Logging_2283/tillsynsmail/A 22323-2022 tillsynsbegäran mail.docx", "A 22323-2022")</f>
        <v/>
      </c>
    </row>
    <row r="354" ht="15" customHeight="1">
      <c r="A354" t="inlineStr">
        <is>
          <t>A 26121-2022</t>
        </is>
      </c>
      <c r="B354" s="1" t="n">
        <v>44734</v>
      </c>
      <c r="C354" s="1" t="n">
        <v>45670</v>
      </c>
      <c r="D354" t="inlineStr">
        <is>
          <t>VÄSTERNORRLANDS LÄN</t>
        </is>
      </c>
      <c r="E354" t="inlineStr">
        <is>
          <t>SOLLEFTEÅ</t>
        </is>
      </c>
      <c r="F354" t="inlineStr">
        <is>
          <t>SCA</t>
        </is>
      </c>
      <c r="G354" t="n">
        <v>6.3</v>
      </c>
      <c r="H354" t="n">
        <v>0</v>
      </c>
      <c r="I354" t="n">
        <v>0</v>
      </c>
      <c r="J354" t="n">
        <v>1</v>
      </c>
      <c r="K354" t="n">
        <v>0</v>
      </c>
      <c r="L354" t="n">
        <v>0</v>
      </c>
      <c r="M354" t="n">
        <v>0</v>
      </c>
      <c r="N354" t="n">
        <v>0</v>
      </c>
      <c r="O354" t="n">
        <v>1</v>
      </c>
      <c r="P354" t="n">
        <v>0</v>
      </c>
      <c r="Q354" t="n">
        <v>1</v>
      </c>
      <c r="R354" s="2" t="inlineStr">
        <is>
          <t>Veckticka</t>
        </is>
      </c>
      <c r="S354">
        <f>HYPERLINK("https://klasma.github.io/Logging_2283/artfynd/A 26121-2022 artfynd.xlsx", "A 26121-2022")</f>
        <v/>
      </c>
      <c r="T354">
        <f>HYPERLINK("https://klasma.github.io/Logging_2283/kartor/A 26121-2022 karta.png", "A 26121-2022")</f>
        <v/>
      </c>
      <c r="V354">
        <f>HYPERLINK("https://klasma.github.io/Logging_2283/klagomål/A 26121-2022 FSC-klagomål.docx", "A 26121-2022")</f>
        <v/>
      </c>
      <c r="W354">
        <f>HYPERLINK("https://klasma.github.io/Logging_2283/klagomålsmail/A 26121-2022 FSC-klagomål mail.docx", "A 26121-2022")</f>
        <v/>
      </c>
      <c r="X354">
        <f>HYPERLINK("https://klasma.github.io/Logging_2283/tillsyn/A 26121-2022 tillsynsbegäran.docx", "A 26121-2022")</f>
        <v/>
      </c>
      <c r="Y354">
        <f>HYPERLINK("https://klasma.github.io/Logging_2283/tillsynsmail/A 26121-2022 tillsynsbegäran mail.docx", "A 26121-2022")</f>
        <v/>
      </c>
    </row>
    <row r="355" ht="15" customHeight="1">
      <c r="A355" t="inlineStr">
        <is>
          <t>A 27106-2022</t>
        </is>
      </c>
      <c r="B355" s="1" t="n">
        <v>44741</v>
      </c>
      <c r="C355" s="1" t="n">
        <v>45670</v>
      </c>
      <c r="D355" t="inlineStr">
        <is>
          <t>VÄSTERNORRLANDS LÄN</t>
        </is>
      </c>
      <c r="E355" t="inlineStr">
        <is>
          <t>SOLLEFTEÅ</t>
        </is>
      </c>
      <c r="G355" t="n">
        <v>1.3</v>
      </c>
      <c r="H355" t="n">
        <v>1</v>
      </c>
      <c r="I355" t="n">
        <v>0</v>
      </c>
      <c r="J355" t="n">
        <v>0</v>
      </c>
      <c r="K355" t="n">
        <v>0</v>
      </c>
      <c r="L355" t="n">
        <v>0</v>
      </c>
      <c r="M355" t="n">
        <v>0</v>
      </c>
      <c r="N355" t="n">
        <v>0</v>
      </c>
      <c r="O355" t="n">
        <v>0</v>
      </c>
      <c r="P355" t="n">
        <v>0</v>
      </c>
      <c r="Q355" t="n">
        <v>1</v>
      </c>
      <c r="R355" s="2" t="inlineStr">
        <is>
          <t>Revlummer</t>
        </is>
      </c>
      <c r="S355">
        <f>HYPERLINK("https://klasma.github.io/Logging_2283/artfynd/A 27106-2022 artfynd.xlsx", "A 27106-2022")</f>
        <v/>
      </c>
      <c r="T355">
        <f>HYPERLINK("https://klasma.github.io/Logging_2283/kartor/A 27106-2022 karta.png", "A 27106-2022")</f>
        <v/>
      </c>
      <c r="V355">
        <f>HYPERLINK("https://klasma.github.io/Logging_2283/klagomål/A 27106-2022 FSC-klagomål.docx", "A 27106-2022")</f>
        <v/>
      </c>
      <c r="W355">
        <f>HYPERLINK("https://klasma.github.io/Logging_2283/klagomålsmail/A 27106-2022 FSC-klagomål mail.docx", "A 27106-2022")</f>
        <v/>
      </c>
      <c r="X355">
        <f>HYPERLINK("https://klasma.github.io/Logging_2283/tillsyn/A 27106-2022 tillsynsbegäran.docx", "A 27106-2022")</f>
        <v/>
      </c>
      <c r="Y355">
        <f>HYPERLINK("https://klasma.github.io/Logging_2283/tillsynsmail/A 27106-2022 tillsynsbegäran mail.docx", "A 27106-2022")</f>
        <v/>
      </c>
    </row>
    <row r="356" ht="15" customHeight="1">
      <c r="A356" t="inlineStr">
        <is>
          <t>A 29037-2022</t>
        </is>
      </c>
      <c r="B356" s="1" t="n">
        <v>44749</v>
      </c>
      <c r="C356" s="1" t="n">
        <v>45670</v>
      </c>
      <c r="D356" t="inlineStr">
        <is>
          <t>VÄSTERNORRLANDS LÄN</t>
        </is>
      </c>
      <c r="E356" t="inlineStr">
        <is>
          <t>SOLLEFTEÅ</t>
        </is>
      </c>
      <c r="F356" t="inlineStr">
        <is>
          <t>SCA</t>
        </is>
      </c>
      <c r="G356" t="n">
        <v>1</v>
      </c>
      <c r="H356" t="n">
        <v>0</v>
      </c>
      <c r="I356" t="n">
        <v>1</v>
      </c>
      <c r="J356" t="n">
        <v>0</v>
      </c>
      <c r="K356" t="n">
        <v>0</v>
      </c>
      <c r="L356" t="n">
        <v>0</v>
      </c>
      <c r="M356" t="n">
        <v>0</v>
      </c>
      <c r="N356" t="n">
        <v>0</v>
      </c>
      <c r="O356" t="n">
        <v>0</v>
      </c>
      <c r="P356" t="n">
        <v>0</v>
      </c>
      <c r="Q356" t="n">
        <v>1</v>
      </c>
      <c r="R356" s="2" t="inlineStr">
        <is>
          <t>Vanlig flatbagge</t>
        </is>
      </c>
      <c r="S356">
        <f>HYPERLINK("https://klasma.github.io/Logging_2283/artfynd/A 29037-2022 artfynd.xlsx", "A 29037-2022")</f>
        <v/>
      </c>
      <c r="T356">
        <f>HYPERLINK("https://klasma.github.io/Logging_2283/kartor/A 29037-2022 karta.png", "A 29037-2022")</f>
        <v/>
      </c>
      <c r="V356">
        <f>HYPERLINK("https://klasma.github.io/Logging_2283/klagomål/A 29037-2022 FSC-klagomål.docx", "A 29037-2022")</f>
        <v/>
      </c>
      <c r="W356">
        <f>HYPERLINK("https://klasma.github.io/Logging_2283/klagomålsmail/A 29037-2022 FSC-klagomål mail.docx", "A 29037-2022")</f>
        <v/>
      </c>
      <c r="X356">
        <f>HYPERLINK("https://klasma.github.io/Logging_2283/tillsyn/A 29037-2022 tillsynsbegäran.docx", "A 29037-2022")</f>
        <v/>
      </c>
      <c r="Y356">
        <f>HYPERLINK("https://klasma.github.io/Logging_2283/tillsynsmail/A 29037-2022 tillsynsbegäran mail.docx", "A 29037-2022")</f>
        <v/>
      </c>
    </row>
    <row r="357" ht="15" customHeight="1">
      <c r="A357" t="inlineStr">
        <is>
          <t>A 30047-2022</t>
        </is>
      </c>
      <c r="B357" s="1" t="n">
        <v>44757</v>
      </c>
      <c r="C357" s="1" t="n">
        <v>45670</v>
      </c>
      <c r="D357" t="inlineStr">
        <is>
          <t>VÄSTERNORRLANDS LÄN</t>
        </is>
      </c>
      <c r="E357" t="inlineStr">
        <is>
          <t>SOLLEFTEÅ</t>
        </is>
      </c>
      <c r="F357" t="inlineStr">
        <is>
          <t>SCA</t>
        </is>
      </c>
      <c r="G357" t="n">
        <v>2.5</v>
      </c>
      <c r="H357" t="n">
        <v>0</v>
      </c>
      <c r="I357" t="n">
        <v>0</v>
      </c>
      <c r="J357" t="n">
        <v>1</v>
      </c>
      <c r="K357" t="n">
        <v>0</v>
      </c>
      <c r="L357" t="n">
        <v>0</v>
      </c>
      <c r="M357" t="n">
        <v>0</v>
      </c>
      <c r="N357" t="n">
        <v>0</v>
      </c>
      <c r="O357" t="n">
        <v>1</v>
      </c>
      <c r="P357" t="n">
        <v>0</v>
      </c>
      <c r="Q357" t="n">
        <v>1</v>
      </c>
      <c r="R357" s="2" t="inlineStr">
        <is>
          <t>Garnlav</t>
        </is>
      </c>
      <c r="S357">
        <f>HYPERLINK("https://klasma.github.io/Logging_2283/artfynd/A 30047-2022 artfynd.xlsx", "A 30047-2022")</f>
        <v/>
      </c>
      <c r="T357">
        <f>HYPERLINK("https://klasma.github.io/Logging_2283/kartor/A 30047-2022 karta.png", "A 30047-2022")</f>
        <v/>
      </c>
      <c r="V357">
        <f>HYPERLINK("https://klasma.github.io/Logging_2283/klagomål/A 30047-2022 FSC-klagomål.docx", "A 30047-2022")</f>
        <v/>
      </c>
      <c r="W357">
        <f>HYPERLINK("https://klasma.github.io/Logging_2283/klagomålsmail/A 30047-2022 FSC-klagomål mail.docx", "A 30047-2022")</f>
        <v/>
      </c>
      <c r="X357">
        <f>HYPERLINK("https://klasma.github.io/Logging_2283/tillsyn/A 30047-2022 tillsynsbegäran.docx", "A 30047-2022")</f>
        <v/>
      </c>
      <c r="Y357">
        <f>HYPERLINK("https://klasma.github.io/Logging_2283/tillsynsmail/A 30047-2022 tillsynsbegäran mail.docx", "A 30047-2022")</f>
        <v/>
      </c>
    </row>
    <row r="358" ht="15" customHeight="1">
      <c r="A358" t="inlineStr">
        <is>
          <t>A 33216-2022</t>
        </is>
      </c>
      <c r="B358" s="1" t="n">
        <v>44785</v>
      </c>
      <c r="C358" s="1" t="n">
        <v>45670</v>
      </c>
      <c r="D358" t="inlineStr">
        <is>
          <t>VÄSTERNORRLANDS LÄN</t>
        </is>
      </c>
      <c r="E358" t="inlineStr">
        <is>
          <t>SOLLEFTEÅ</t>
        </is>
      </c>
      <c r="F358" t="inlineStr">
        <is>
          <t>SCA</t>
        </is>
      </c>
      <c r="G358" t="n">
        <v>4.4</v>
      </c>
      <c r="H358" t="n">
        <v>0</v>
      </c>
      <c r="I358" t="n">
        <v>0</v>
      </c>
      <c r="J358" t="n">
        <v>0</v>
      </c>
      <c r="K358" t="n">
        <v>1</v>
      </c>
      <c r="L358" t="n">
        <v>0</v>
      </c>
      <c r="M358" t="n">
        <v>0</v>
      </c>
      <c r="N358" t="n">
        <v>0</v>
      </c>
      <c r="O358" t="n">
        <v>1</v>
      </c>
      <c r="P358" t="n">
        <v>1</v>
      </c>
      <c r="Q358" t="n">
        <v>1</v>
      </c>
      <c r="R358" s="2" t="inlineStr">
        <is>
          <t>Rynkskinn</t>
        </is>
      </c>
      <c r="S358">
        <f>HYPERLINK("https://klasma.github.io/Logging_2283/artfynd/A 33216-2022 artfynd.xlsx", "A 33216-2022")</f>
        <v/>
      </c>
      <c r="T358">
        <f>HYPERLINK("https://klasma.github.io/Logging_2283/kartor/A 33216-2022 karta.png", "A 33216-2022")</f>
        <v/>
      </c>
      <c r="V358">
        <f>HYPERLINK("https://klasma.github.io/Logging_2283/klagomål/A 33216-2022 FSC-klagomål.docx", "A 33216-2022")</f>
        <v/>
      </c>
      <c r="W358">
        <f>HYPERLINK("https://klasma.github.io/Logging_2283/klagomålsmail/A 33216-2022 FSC-klagomål mail.docx", "A 33216-2022")</f>
        <v/>
      </c>
      <c r="X358">
        <f>HYPERLINK("https://klasma.github.io/Logging_2283/tillsyn/A 33216-2022 tillsynsbegäran.docx", "A 33216-2022")</f>
        <v/>
      </c>
      <c r="Y358">
        <f>HYPERLINK("https://klasma.github.io/Logging_2283/tillsynsmail/A 33216-2022 tillsynsbegäran mail.docx", "A 33216-2022")</f>
        <v/>
      </c>
    </row>
    <row r="359" ht="15" customHeight="1">
      <c r="A359" t="inlineStr">
        <is>
          <t>A 33504-2022</t>
        </is>
      </c>
      <c r="B359" s="1" t="n">
        <v>44788</v>
      </c>
      <c r="C359" s="1" t="n">
        <v>45670</v>
      </c>
      <c r="D359" t="inlineStr">
        <is>
          <t>VÄSTERNORRLANDS LÄN</t>
        </is>
      </c>
      <c r="E359" t="inlineStr">
        <is>
          <t>SOLLEFTEÅ</t>
        </is>
      </c>
      <c r="F359" t="inlineStr">
        <is>
          <t>SCA</t>
        </is>
      </c>
      <c r="G359" t="n">
        <v>5.2</v>
      </c>
      <c r="H359" t="n">
        <v>1</v>
      </c>
      <c r="I359" t="n">
        <v>0</v>
      </c>
      <c r="J359" t="n">
        <v>0</v>
      </c>
      <c r="K359" t="n">
        <v>1</v>
      </c>
      <c r="L359" t="n">
        <v>0</v>
      </c>
      <c r="M359" t="n">
        <v>0</v>
      </c>
      <c r="N359" t="n">
        <v>0</v>
      </c>
      <c r="O359" t="n">
        <v>1</v>
      </c>
      <c r="P359" t="n">
        <v>1</v>
      </c>
      <c r="Q359" t="n">
        <v>1</v>
      </c>
      <c r="R359" s="2" t="inlineStr">
        <is>
          <t>Knärot</t>
        </is>
      </c>
      <c r="S359">
        <f>HYPERLINK("https://klasma.github.io/Logging_2283/artfynd/A 33504-2022 artfynd.xlsx", "A 33504-2022")</f>
        <v/>
      </c>
      <c r="T359">
        <f>HYPERLINK("https://klasma.github.io/Logging_2283/kartor/A 33504-2022 karta.png", "A 33504-2022")</f>
        <v/>
      </c>
      <c r="U359">
        <f>HYPERLINK("https://klasma.github.io/Logging_2283/knärot/A 33504-2022 karta knärot.png", "A 33504-2022")</f>
        <v/>
      </c>
      <c r="V359">
        <f>HYPERLINK("https://klasma.github.io/Logging_2283/klagomål/A 33504-2022 FSC-klagomål.docx", "A 33504-2022")</f>
        <v/>
      </c>
      <c r="W359">
        <f>HYPERLINK("https://klasma.github.io/Logging_2283/klagomålsmail/A 33504-2022 FSC-klagomål mail.docx", "A 33504-2022")</f>
        <v/>
      </c>
      <c r="X359">
        <f>HYPERLINK("https://klasma.github.io/Logging_2283/tillsyn/A 33504-2022 tillsynsbegäran.docx", "A 33504-2022")</f>
        <v/>
      </c>
      <c r="Y359">
        <f>HYPERLINK("https://klasma.github.io/Logging_2283/tillsynsmail/A 33504-2022 tillsynsbegäran mail.docx", "A 33504-2022")</f>
        <v/>
      </c>
    </row>
    <row r="360" ht="15" customHeight="1">
      <c r="A360" t="inlineStr">
        <is>
          <t>A 35013-2022</t>
        </is>
      </c>
      <c r="B360" s="1" t="n">
        <v>44796</v>
      </c>
      <c r="C360" s="1" t="n">
        <v>45670</v>
      </c>
      <c r="D360" t="inlineStr">
        <is>
          <t>VÄSTERNORRLANDS LÄN</t>
        </is>
      </c>
      <c r="E360" t="inlineStr">
        <is>
          <t>SOLLEFTEÅ</t>
        </is>
      </c>
      <c r="F360" t="inlineStr">
        <is>
          <t>SCA</t>
        </is>
      </c>
      <c r="G360" t="n">
        <v>2.1</v>
      </c>
      <c r="H360" t="n">
        <v>0</v>
      </c>
      <c r="I360" t="n">
        <v>0</v>
      </c>
      <c r="J360" t="n">
        <v>1</v>
      </c>
      <c r="K360" t="n">
        <v>0</v>
      </c>
      <c r="L360" t="n">
        <v>0</v>
      </c>
      <c r="M360" t="n">
        <v>0</v>
      </c>
      <c r="N360" t="n">
        <v>0</v>
      </c>
      <c r="O360" t="n">
        <v>1</v>
      </c>
      <c r="P360" t="n">
        <v>0</v>
      </c>
      <c r="Q360" t="n">
        <v>1</v>
      </c>
      <c r="R360" s="2" t="inlineStr">
        <is>
          <t>Rosenticka</t>
        </is>
      </c>
      <c r="S360">
        <f>HYPERLINK("https://klasma.github.io/Logging_2283/artfynd/A 35013-2022 artfynd.xlsx", "A 35013-2022")</f>
        <v/>
      </c>
      <c r="T360">
        <f>HYPERLINK("https://klasma.github.io/Logging_2283/kartor/A 35013-2022 karta.png", "A 35013-2022")</f>
        <v/>
      </c>
      <c r="V360">
        <f>HYPERLINK("https://klasma.github.io/Logging_2283/klagomål/A 35013-2022 FSC-klagomål.docx", "A 35013-2022")</f>
        <v/>
      </c>
      <c r="W360">
        <f>HYPERLINK("https://klasma.github.io/Logging_2283/klagomålsmail/A 35013-2022 FSC-klagomål mail.docx", "A 35013-2022")</f>
        <v/>
      </c>
      <c r="X360">
        <f>HYPERLINK("https://klasma.github.io/Logging_2283/tillsyn/A 35013-2022 tillsynsbegäran.docx", "A 35013-2022")</f>
        <v/>
      </c>
      <c r="Y360">
        <f>HYPERLINK("https://klasma.github.io/Logging_2283/tillsynsmail/A 35013-2022 tillsynsbegäran mail.docx", "A 35013-2022")</f>
        <v/>
      </c>
    </row>
    <row r="361" ht="15" customHeight="1">
      <c r="A361" t="inlineStr">
        <is>
          <t>A 38367-2022</t>
        </is>
      </c>
      <c r="B361" s="1" t="n">
        <v>44812</v>
      </c>
      <c r="C361" s="1" t="n">
        <v>45670</v>
      </c>
      <c r="D361" t="inlineStr">
        <is>
          <t>VÄSTERNORRLANDS LÄN</t>
        </is>
      </c>
      <c r="E361" t="inlineStr">
        <is>
          <t>SOLLEFTEÅ</t>
        </is>
      </c>
      <c r="F361" t="inlineStr">
        <is>
          <t>Kommuner</t>
        </is>
      </c>
      <c r="G361" t="n">
        <v>19.6</v>
      </c>
      <c r="H361" t="n">
        <v>0</v>
      </c>
      <c r="I361" t="n">
        <v>0</v>
      </c>
      <c r="J361" t="n">
        <v>1</v>
      </c>
      <c r="K361" t="n">
        <v>0</v>
      </c>
      <c r="L361" t="n">
        <v>0</v>
      </c>
      <c r="M361" t="n">
        <v>0</v>
      </c>
      <c r="N361" t="n">
        <v>0</v>
      </c>
      <c r="O361" t="n">
        <v>1</v>
      </c>
      <c r="P361" t="n">
        <v>0</v>
      </c>
      <c r="Q361" t="n">
        <v>1</v>
      </c>
      <c r="R361" s="2" t="inlineStr">
        <is>
          <t>Garnlav</t>
        </is>
      </c>
      <c r="S361">
        <f>HYPERLINK("https://klasma.github.io/Logging_2283/artfynd/A 38367-2022 artfynd.xlsx", "A 38367-2022")</f>
        <v/>
      </c>
      <c r="T361">
        <f>HYPERLINK("https://klasma.github.io/Logging_2283/kartor/A 38367-2022 karta.png", "A 38367-2022")</f>
        <v/>
      </c>
      <c r="V361">
        <f>HYPERLINK("https://klasma.github.io/Logging_2283/klagomål/A 38367-2022 FSC-klagomål.docx", "A 38367-2022")</f>
        <v/>
      </c>
      <c r="W361">
        <f>HYPERLINK("https://klasma.github.io/Logging_2283/klagomålsmail/A 38367-2022 FSC-klagomål mail.docx", "A 38367-2022")</f>
        <v/>
      </c>
      <c r="X361">
        <f>HYPERLINK("https://klasma.github.io/Logging_2283/tillsyn/A 38367-2022 tillsynsbegäran.docx", "A 38367-2022")</f>
        <v/>
      </c>
      <c r="Y361">
        <f>HYPERLINK("https://klasma.github.io/Logging_2283/tillsynsmail/A 38367-2022 tillsynsbegäran mail.docx", "A 38367-2022")</f>
        <v/>
      </c>
    </row>
    <row r="362" ht="15" customHeight="1">
      <c r="A362" t="inlineStr">
        <is>
          <t>A 38363-2022</t>
        </is>
      </c>
      <c r="B362" s="1" t="n">
        <v>44812</v>
      </c>
      <c r="C362" s="1" t="n">
        <v>45670</v>
      </c>
      <c r="D362" t="inlineStr">
        <is>
          <t>VÄSTERNORRLANDS LÄN</t>
        </is>
      </c>
      <c r="E362" t="inlineStr">
        <is>
          <t>SOLLEFTEÅ</t>
        </is>
      </c>
      <c r="F362" t="inlineStr">
        <is>
          <t>Kommuner</t>
        </is>
      </c>
      <c r="G362" t="n">
        <v>16</v>
      </c>
      <c r="H362" t="n">
        <v>0</v>
      </c>
      <c r="I362" t="n">
        <v>0</v>
      </c>
      <c r="J362" t="n">
        <v>1</v>
      </c>
      <c r="K362" t="n">
        <v>0</v>
      </c>
      <c r="L362" t="n">
        <v>0</v>
      </c>
      <c r="M362" t="n">
        <v>0</v>
      </c>
      <c r="N362" t="n">
        <v>0</v>
      </c>
      <c r="O362" t="n">
        <v>1</v>
      </c>
      <c r="P362" t="n">
        <v>0</v>
      </c>
      <c r="Q362" t="n">
        <v>1</v>
      </c>
      <c r="R362" s="2" t="inlineStr">
        <is>
          <t>Garnlav</t>
        </is>
      </c>
      <c r="S362">
        <f>HYPERLINK("https://klasma.github.io/Logging_2283/artfynd/A 38363-2022 artfynd.xlsx", "A 38363-2022")</f>
        <v/>
      </c>
      <c r="T362">
        <f>HYPERLINK("https://klasma.github.io/Logging_2283/kartor/A 38363-2022 karta.png", "A 38363-2022")</f>
        <v/>
      </c>
      <c r="V362">
        <f>HYPERLINK("https://klasma.github.io/Logging_2283/klagomål/A 38363-2022 FSC-klagomål.docx", "A 38363-2022")</f>
        <v/>
      </c>
      <c r="W362">
        <f>HYPERLINK("https://klasma.github.io/Logging_2283/klagomålsmail/A 38363-2022 FSC-klagomål mail.docx", "A 38363-2022")</f>
        <v/>
      </c>
      <c r="X362">
        <f>HYPERLINK("https://klasma.github.io/Logging_2283/tillsyn/A 38363-2022 tillsynsbegäran.docx", "A 38363-2022")</f>
        <v/>
      </c>
      <c r="Y362">
        <f>HYPERLINK("https://klasma.github.io/Logging_2283/tillsynsmail/A 38363-2022 tillsynsbegäran mail.docx", "A 38363-2022")</f>
        <v/>
      </c>
    </row>
    <row r="363" ht="15" customHeight="1">
      <c r="A363" t="inlineStr">
        <is>
          <t>A 40626-2022</t>
        </is>
      </c>
      <c r="B363" s="1" t="n">
        <v>44824</v>
      </c>
      <c r="C363" s="1" t="n">
        <v>45670</v>
      </c>
      <c r="D363" t="inlineStr">
        <is>
          <t>VÄSTERNORRLANDS LÄN</t>
        </is>
      </c>
      <c r="E363" t="inlineStr">
        <is>
          <t>SOLLEFTEÅ</t>
        </is>
      </c>
      <c r="F363" t="inlineStr">
        <is>
          <t>SCA</t>
        </is>
      </c>
      <c r="G363" t="n">
        <v>2.5</v>
      </c>
      <c r="H363" t="n">
        <v>1</v>
      </c>
      <c r="I363" t="n">
        <v>0</v>
      </c>
      <c r="J363" t="n">
        <v>1</v>
      </c>
      <c r="K363" t="n">
        <v>0</v>
      </c>
      <c r="L363" t="n">
        <v>0</v>
      </c>
      <c r="M363" t="n">
        <v>0</v>
      </c>
      <c r="N363" t="n">
        <v>0</v>
      </c>
      <c r="O363" t="n">
        <v>1</v>
      </c>
      <c r="P363" t="n">
        <v>0</v>
      </c>
      <c r="Q363" t="n">
        <v>1</v>
      </c>
      <c r="R363" s="2" t="inlineStr">
        <is>
          <t>Spillkråka</t>
        </is>
      </c>
      <c r="S363">
        <f>HYPERLINK("https://klasma.github.io/Logging_2283/artfynd/A 40626-2022 artfynd.xlsx", "A 40626-2022")</f>
        <v/>
      </c>
      <c r="T363">
        <f>HYPERLINK("https://klasma.github.io/Logging_2283/kartor/A 40626-2022 karta.png", "A 40626-2022")</f>
        <v/>
      </c>
      <c r="V363">
        <f>HYPERLINK("https://klasma.github.io/Logging_2283/klagomål/A 40626-2022 FSC-klagomål.docx", "A 40626-2022")</f>
        <v/>
      </c>
      <c r="W363">
        <f>HYPERLINK("https://klasma.github.io/Logging_2283/klagomålsmail/A 40626-2022 FSC-klagomål mail.docx", "A 40626-2022")</f>
        <v/>
      </c>
      <c r="X363">
        <f>HYPERLINK("https://klasma.github.io/Logging_2283/tillsyn/A 40626-2022 tillsynsbegäran.docx", "A 40626-2022")</f>
        <v/>
      </c>
      <c r="Y363">
        <f>HYPERLINK("https://klasma.github.io/Logging_2283/tillsynsmail/A 40626-2022 tillsynsbegäran mail.docx", "A 40626-2022")</f>
        <v/>
      </c>
      <c r="Z363">
        <f>HYPERLINK("https://klasma.github.io/Logging_2283/fåglar/A 40626-2022 prioriterade fågelarter.docx", "A 40626-2022")</f>
        <v/>
      </c>
    </row>
    <row r="364" ht="15" customHeight="1">
      <c r="A364" t="inlineStr">
        <is>
          <t>A 44763-2022</t>
        </is>
      </c>
      <c r="B364" s="1" t="n">
        <v>44840</v>
      </c>
      <c r="C364" s="1" t="n">
        <v>45670</v>
      </c>
      <c r="D364" t="inlineStr">
        <is>
          <t>VÄSTERNORRLANDS LÄN</t>
        </is>
      </c>
      <c r="E364" t="inlineStr">
        <is>
          <t>SOLLEFTEÅ</t>
        </is>
      </c>
      <c r="F364" t="inlineStr">
        <is>
          <t>SCA</t>
        </is>
      </c>
      <c r="G364" t="n">
        <v>1.2</v>
      </c>
      <c r="H364" t="n">
        <v>0</v>
      </c>
      <c r="I364" t="n">
        <v>0</v>
      </c>
      <c r="J364" t="n">
        <v>1</v>
      </c>
      <c r="K364" t="n">
        <v>0</v>
      </c>
      <c r="L364" t="n">
        <v>0</v>
      </c>
      <c r="M364" t="n">
        <v>0</v>
      </c>
      <c r="N364" t="n">
        <v>0</v>
      </c>
      <c r="O364" t="n">
        <v>1</v>
      </c>
      <c r="P364" t="n">
        <v>0</v>
      </c>
      <c r="Q364" t="n">
        <v>1</v>
      </c>
      <c r="R364" s="2" t="inlineStr">
        <is>
          <t>Rosenticka</t>
        </is>
      </c>
      <c r="S364">
        <f>HYPERLINK("https://klasma.github.io/Logging_2283/artfynd/A 44763-2022 artfynd.xlsx", "A 44763-2022")</f>
        <v/>
      </c>
      <c r="T364">
        <f>HYPERLINK("https://klasma.github.io/Logging_2283/kartor/A 44763-2022 karta.png", "A 44763-2022")</f>
        <v/>
      </c>
      <c r="V364">
        <f>HYPERLINK("https://klasma.github.io/Logging_2283/klagomål/A 44763-2022 FSC-klagomål.docx", "A 44763-2022")</f>
        <v/>
      </c>
      <c r="W364">
        <f>HYPERLINK("https://klasma.github.io/Logging_2283/klagomålsmail/A 44763-2022 FSC-klagomål mail.docx", "A 44763-2022")</f>
        <v/>
      </c>
      <c r="X364">
        <f>HYPERLINK("https://klasma.github.io/Logging_2283/tillsyn/A 44763-2022 tillsynsbegäran.docx", "A 44763-2022")</f>
        <v/>
      </c>
      <c r="Y364">
        <f>HYPERLINK("https://klasma.github.io/Logging_2283/tillsynsmail/A 44763-2022 tillsynsbegäran mail.docx", "A 44763-2022")</f>
        <v/>
      </c>
    </row>
    <row r="365" ht="15" customHeight="1">
      <c r="A365" t="inlineStr">
        <is>
          <t>A 46041-2022</t>
        </is>
      </c>
      <c r="B365" s="1" t="n">
        <v>44846</v>
      </c>
      <c r="C365" s="1" t="n">
        <v>45670</v>
      </c>
      <c r="D365" t="inlineStr">
        <is>
          <t>VÄSTERNORRLANDS LÄN</t>
        </is>
      </c>
      <c r="E365" t="inlineStr">
        <is>
          <t>SOLLEFTEÅ</t>
        </is>
      </c>
      <c r="F365" t="inlineStr">
        <is>
          <t>SCA</t>
        </is>
      </c>
      <c r="G365" t="n">
        <v>21.1</v>
      </c>
      <c r="H365" t="n">
        <v>0</v>
      </c>
      <c r="I365" t="n">
        <v>0</v>
      </c>
      <c r="J365" t="n">
        <v>1</v>
      </c>
      <c r="K365" t="n">
        <v>0</v>
      </c>
      <c r="L365" t="n">
        <v>0</v>
      </c>
      <c r="M365" t="n">
        <v>0</v>
      </c>
      <c r="N365" t="n">
        <v>0</v>
      </c>
      <c r="O365" t="n">
        <v>1</v>
      </c>
      <c r="P365" t="n">
        <v>0</v>
      </c>
      <c r="Q365" t="n">
        <v>1</v>
      </c>
      <c r="R365" s="2" t="inlineStr">
        <is>
          <t>Lunglav</t>
        </is>
      </c>
      <c r="S365">
        <f>HYPERLINK("https://klasma.github.io/Logging_2283/artfynd/A 46041-2022 artfynd.xlsx", "A 46041-2022")</f>
        <v/>
      </c>
      <c r="T365">
        <f>HYPERLINK("https://klasma.github.io/Logging_2283/kartor/A 46041-2022 karta.png", "A 46041-2022")</f>
        <v/>
      </c>
      <c r="V365">
        <f>HYPERLINK("https://klasma.github.io/Logging_2283/klagomål/A 46041-2022 FSC-klagomål.docx", "A 46041-2022")</f>
        <v/>
      </c>
      <c r="W365">
        <f>HYPERLINK("https://klasma.github.io/Logging_2283/klagomålsmail/A 46041-2022 FSC-klagomål mail.docx", "A 46041-2022")</f>
        <v/>
      </c>
      <c r="X365">
        <f>HYPERLINK("https://klasma.github.io/Logging_2283/tillsyn/A 46041-2022 tillsynsbegäran.docx", "A 46041-2022")</f>
        <v/>
      </c>
      <c r="Y365">
        <f>HYPERLINK("https://klasma.github.io/Logging_2283/tillsynsmail/A 46041-2022 tillsynsbegäran mail.docx", "A 46041-2022")</f>
        <v/>
      </c>
    </row>
    <row r="366" ht="15" customHeight="1">
      <c r="A366" t="inlineStr">
        <is>
          <t>A 46376-2022</t>
        </is>
      </c>
      <c r="B366" s="1" t="n">
        <v>44848</v>
      </c>
      <c r="C366" s="1" t="n">
        <v>45670</v>
      </c>
      <c r="D366" t="inlineStr">
        <is>
          <t>VÄSTERNORRLANDS LÄN</t>
        </is>
      </c>
      <c r="E366" t="inlineStr">
        <is>
          <t>SOLLEFTEÅ</t>
        </is>
      </c>
      <c r="F366" t="inlineStr">
        <is>
          <t>Holmen skog AB</t>
        </is>
      </c>
      <c r="G366" t="n">
        <v>23.9</v>
      </c>
      <c r="H366" t="n">
        <v>0</v>
      </c>
      <c r="I366" t="n">
        <v>1</v>
      </c>
      <c r="J366" t="n">
        <v>0</v>
      </c>
      <c r="K366" t="n">
        <v>0</v>
      </c>
      <c r="L366" t="n">
        <v>0</v>
      </c>
      <c r="M366" t="n">
        <v>0</v>
      </c>
      <c r="N366" t="n">
        <v>0</v>
      </c>
      <c r="O366" t="n">
        <v>0</v>
      </c>
      <c r="P366" t="n">
        <v>0</v>
      </c>
      <c r="Q366" t="n">
        <v>1</v>
      </c>
      <c r="R366" s="2" t="inlineStr">
        <is>
          <t>Skarp dropptaggsvamp</t>
        </is>
      </c>
      <c r="S366">
        <f>HYPERLINK("https://klasma.github.io/Logging_2283/artfynd/A 46376-2022 artfynd.xlsx", "A 46376-2022")</f>
        <v/>
      </c>
      <c r="T366">
        <f>HYPERLINK("https://klasma.github.io/Logging_2283/kartor/A 46376-2022 karta.png", "A 46376-2022")</f>
        <v/>
      </c>
      <c r="V366">
        <f>HYPERLINK("https://klasma.github.io/Logging_2283/klagomål/A 46376-2022 FSC-klagomål.docx", "A 46376-2022")</f>
        <v/>
      </c>
      <c r="W366">
        <f>HYPERLINK("https://klasma.github.io/Logging_2283/klagomålsmail/A 46376-2022 FSC-klagomål mail.docx", "A 46376-2022")</f>
        <v/>
      </c>
      <c r="X366">
        <f>HYPERLINK("https://klasma.github.io/Logging_2283/tillsyn/A 46376-2022 tillsynsbegäran.docx", "A 46376-2022")</f>
        <v/>
      </c>
      <c r="Y366">
        <f>HYPERLINK("https://klasma.github.io/Logging_2283/tillsynsmail/A 46376-2022 tillsynsbegäran mail.docx", "A 46376-2022")</f>
        <v/>
      </c>
    </row>
    <row r="367" ht="15" customHeight="1">
      <c r="A367" t="inlineStr">
        <is>
          <t>A 46629-2022</t>
        </is>
      </c>
      <c r="B367" s="1" t="n">
        <v>44848</v>
      </c>
      <c r="C367" s="1" t="n">
        <v>45670</v>
      </c>
      <c r="D367" t="inlineStr">
        <is>
          <t>VÄSTERNORRLANDS LÄN</t>
        </is>
      </c>
      <c r="E367" t="inlineStr">
        <is>
          <t>SOLLEFTEÅ</t>
        </is>
      </c>
      <c r="F367" t="inlineStr">
        <is>
          <t>SCA</t>
        </is>
      </c>
      <c r="G367" t="n">
        <v>4.5</v>
      </c>
      <c r="H367" t="n">
        <v>1</v>
      </c>
      <c r="I367" t="n">
        <v>0</v>
      </c>
      <c r="J367" t="n">
        <v>0</v>
      </c>
      <c r="K367" t="n">
        <v>1</v>
      </c>
      <c r="L367" t="n">
        <v>0</v>
      </c>
      <c r="M367" t="n">
        <v>0</v>
      </c>
      <c r="N367" t="n">
        <v>0</v>
      </c>
      <c r="O367" t="n">
        <v>1</v>
      </c>
      <c r="P367" t="n">
        <v>1</v>
      </c>
      <c r="Q367" t="n">
        <v>1</v>
      </c>
      <c r="R367" s="2" t="inlineStr">
        <is>
          <t>Knärot</t>
        </is>
      </c>
      <c r="S367">
        <f>HYPERLINK("https://klasma.github.io/Logging_2283/artfynd/A 46629-2022 artfynd.xlsx", "A 46629-2022")</f>
        <v/>
      </c>
      <c r="T367">
        <f>HYPERLINK("https://klasma.github.io/Logging_2283/kartor/A 46629-2022 karta.png", "A 46629-2022")</f>
        <v/>
      </c>
      <c r="U367">
        <f>HYPERLINK("https://klasma.github.io/Logging_2283/knärot/A 46629-2022 karta knärot.png", "A 46629-2022")</f>
        <v/>
      </c>
      <c r="V367">
        <f>HYPERLINK("https://klasma.github.io/Logging_2283/klagomål/A 46629-2022 FSC-klagomål.docx", "A 46629-2022")</f>
        <v/>
      </c>
      <c r="W367">
        <f>HYPERLINK("https://klasma.github.io/Logging_2283/klagomålsmail/A 46629-2022 FSC-klagomål mail.docx", "A 46629-2022")</f>
        <v/>
      </c>
      <c r="X367">
        <f>HYPERLINK("https://klasma.github.io/Logging_2283/tillsyn/A 46629-2022 tillsynsbegäran.docx", "A 46629-2022")</f>
        <v/>
      </c>
      <c r="Y367">
        <f>HYPERLINK("https://klasma.github.io/Logging_2283/tillsynsmail/A 46629-2022 tillsynsbegäran mail.docx", "A 46629-2022")</f>
        <v/>
      </c>
    </row>
    <row r="368" ht="15" customHeight="1">
      <c r="A368" t="inlineStr">
        <is>
          <t>A 46630-2022</t>
        </is>
      </c>
      <c r="B368" s="1" t="n">
        <v>44848</v>
      </c>
      <c r="C368" s="1" t="n">
        <v>45670</v>
      </c>
      <c r="D368" t="inlineStr">
        <is>
          <t>VÄSTERNORRLANDS LÄN</t>
        </is>
      </c>
      <c r="E368" t="inlineStr">
        <is>
          <t>SOLLEFTEÅ</t>
        </is>
      </c>
      <c r="F368" t="inlineStr">
        <is>
          <t>SCA</t>
        </is>
      </c>
      <c r="G368" t="n">
        <v>3.1</v>
      </c>
      <c r="H368" t="n">
        <v>1</v>
      </c>
      <c r="I368" t="n">
        <v>0</v>
      </c>
      <c r="J368" t="n">
        <v>0</v>
      </c>
      <c r="K368" t="n">
        <v>1</v>
      </c>
      <c r="L368" t="n">
        <v>0</v>
      </c>
      <c r="M368" t="n">
        <v>0</v>
      </c>
      <c r="N368" t="n">
        <v>0</v>
      </c>
      <c r="O368" t="n">
        <v>1</v>
      </c>
      <c r="P368" t="n">
        <v>1</v>
      </c>
      <c r="Q368" t="n">
        <v>1</v>
      </c>
      <c r="R368" s="2" t="inlineStr">
        <is>
          <t>Knärot</t>
        </is>
      </c>
      <c r="S368">
        <f>HYPERLINK("https://klasma.github.io/Logging_2283/artfynd/A 46630-2022 artfynd.xlsx", "A 46630-2022")</f>
        <v/>
      </c>
      <c r="T368">
        <f>HYPERLINK("https://klasma.github.io/Logging_2283/kartor/A 46630-2022 karta.png", "A 46630-2022")</f>
        <v/>
      </c>
      <c r="U368">
        <f>HYPERLINK("https://klasma.github.io/Logging_2283/knärot/A 46630-2022 karta knärot.png", "A 46630-2022")</f>
        <v/>
      </c>
      <c r="V368">
        <f>HYPERLINK("https://klasma.github.io/Logging_2283/klagomål/A 46630-2022 FSC-klagomål.docx", "A 46630-2022")</f>
        <v/>
      </c>
      <c r="W368">
        <f>HYPERLINK("https://klasma.github.io/Logging_2283/klagomålsmail/A 46630-2022 FSC-klagomål mail.docx", "A 46630-2022")</f>
        <v/>
      </c>
      <c r="X368">
        <f>HYPERLINK("https://klasma.github.io/Logging_2283/tillsyn/A 46630-2022 tillsynsbegäran.docx", "A 46630-2022")</f>
        <v/>
      </c>
      <c r="Y368">
        <f>HYPERLINK("https://klasma.github.io/Logging_2283/tillsynsmail/A 46630-2022 tillsynsbegäran mail.docx", "A 46630-2022")</f>
        <v/>
      </c>
    </row>
    <row r="369" ht="15" customHeight="1">
      <c r="A369" t="inlineStr">
        <is>
          <t>A 52736-2022</t>
        </is>
      </c>
      <c r="B369" s="1" t="n">
        <v>44874</v>
      </c>
      <c r="C369" s="1" t="n">
        <v>45670</v>
      </c>
      <c r="D369" t="inlineStr">
        <is>
          <t>VÄSTERNORRLANDS LÄN</t>
        </is>
      </c>
      <c r="E369" t="inlineStr">
        <is>
          <t>SOLLEFTEÅ</t>
        </is>
      </c>
      <c r="F369" t="inlineStr">
        <is>
          <t>SCA</t>
        </is>
      </c>
      <c r="G369" t="n">
        <v>15.1</v>
      </c>
      <c r="H369" t="n">
        <v>0</v>
      </c>
      <c r="I369" t="n">
        <v>0</v>
      </c>
      <c r="J369" t="n">
        <v>1</v>
      </c>
      <c r="K369" t="n">
        <v>0</v>
      </c>
      <c r="L369" t="n">
        <v>0</v>
      </c>
      <c r="M369" t="n">
        <v>0</v>
      </c>
      <c r="N369" t="n">
        <v>0</v>
      </c>
      <c r="O369" t="n">
        <v>1</v>
      </c>
      <c r="P369" t="n">
        <v>0</v>
      </c>
      <c r="Q369" t="n">
        <v>1</v>
      </c>
      <c r="R369" s="2" t="inlineStr">
        <is>
          <t>Orange taggsvamp</t>
        </is>
      </c>
      <c r="S369">
        <f>HYPERLINK("https://klasma.github.io/Logging_2283/artfynd/A 52736-2022 artfynd.xlsx", "A 52736-2022")</f>
        <v/>
      </c>
      <c r="T369">
        <f>HYPERLINK("https://klasma.github.io/Logging_2283/kartor/A 52736-2022 karta.png", "A 52736-2022")</f>
        <v/>
      </c>
      <c r="V369">
        <f>HYPERLINK("https://klasma.github.io/Logging_2283/klagomål/A 52736-2022 FSC-klagomål.docx", "A 52736-2022")</f>
        <v/>
      </c>
      <c r="W369">
        <f>HYPERLINK("https://klasma.github.io/Logging_2283/klagomålsmail/A 52736-2022 FSC-klagomål mail.docx", "A 52736-2022")</f>
        <v/>
      </c>
      <c r="X369">
        <f>HYPERLINK("https://klasma.github.io/Logging_2283/tillsyn/A 52736-2022 tillsynsbegäran.docx", "A 52736-2022")</f>
        <v/>
      </c>
      <c r="Y369">
        <f>HYPERLINK("https://klasma.github.io/Logging_2283/tillsynsmail/A 52736-2022 tillsynsbegäran mail.docx", "A 52736-2022")</f>
        <v/>
      </c>
    </row>
    <row r="370" ht="15" customHeight="1">
      <c r="A370" t="inlineStr">
        <is>
          <t>A 54558-2022</t>
        </is>
      </c>
      <c r="B370" s="1" t="n">
        <v>44882</v>
      </c>
      <c r="C370" s="1" t="n">
        <v>45670</v>
      </c>
      <c r="D370" t="inlineStr">
        <is>
          <t>VÄSTERNORRLANDS LÄN</t>
        </is>
      </c>
      <c r="E370" t="inlineStr">
        <is>
          <t>SOLLEFTEÅ</t>
        </is>
      </c>
      <c r="G370" t="n">
        <v>5.8</v>
      </c>
      <c r="H370" t="n">
        <v>0</v>
      </c>
      <c r="I370" t="n">
        <v>1</v>
      </c>
      <c r="J370" t="n">
        <v>0</v>
      </c>
      <c r="K370" t="n">
        <v>0</v>
      </c>
      <c r="L370" t="n">
        <v>0</v>
      </c>
      <c r="M370" t="n">
        <v>0</v>
      </c>
      <c r="N370" t="n">
        <v>0</v>
      </c>
      <c r="O370" t="n">
        <v>0</v>
      </c>
      <c r="P370" t="n">
        <v>0</v>
      </c>
      <c r="Q370" t="n">
        <v>1</v>
      </c>
      <c r="R370" s="2" t="inlineStr">
        <is>
          <t>Strutbräken</t>
        </is>
      </c>
      <c r="S370">
        <f>HYPERLINK("https://klasma.github.io/Logging_2283/artfynd/A 54558-2022 artfynd.xlsx", "A 54558-2022")</f>
        <v/>
      </c>
      <c r="T370">
        <f>HYPERLINK("https://klasma.github.io/Logging_2283/kartor/A 54558-2022 karta.png", "A 54558-2022")</f>
        <v/>
      </c>
      <c r="V370">
        <f>HYPERLINK("https://klasma.github.io/Logging_2283/klagomål/A 54558-2022 FSC-klagomål.docx", "A 54558-2022")</f>
        <v/>
      </c>
      <c r="W370">
        <f>HYPERLINK("https://klasma.github.io/Logging_2283/klagomålsmail/A 54558-2022 FSC-klagomål mail.docx", "A 54558-2022")</f>
        <v/>
      </c>
      <c r="X370">
        <f>HYPERLINK("https://klasma.github.io/Logging_2283/tillsyn/A 54558-2022 tillsynsbegäran.docx", "A 54558-2022")</f>
        <v/>
      </c>
      <c r="Y370">
        <f>HYPERLINK("https://klasma.github.io/Logging_2283/tillsynsmail/A 54558-2022 tillsynsbegäran mail.docx", "A 54558-2022")</f>
        <v/>
      </c>
    </row>
    <row r="371" ht="15" customHeight="1">
      <c r="A371" t="inlineStr">
        <is>
          <t>A 56932-2022</t>
        </is>
      </c>
      <c r="B371" s="1" t="n">
        <v>44894</v>
      </c>
      <c r="C371" s="1" t="n">
        <v>45670</v>
      </c>
      <c r="D371" t="inlineStr">
        <is>
          <t>VÄSTERNORRLANDS LÄN</t>
        </is>
      </c>
      <c r="E371" t="inlineStr">
        <is>
          <t>SOLLEFTEÅ</t>
        </is>
      </c>
      <c r="F371" t="inlineStr">
        <is>
          <t>Holmen skog AB</t>
        </is>
      </c>
      <c r="G371" t="n">
        <v>1.9</v>
      </c>
      <c r="H371" t="n">
        <v>0</v>
      </c>
      <c r="I371" t="n">
        <v>0</v>
      </c>
      <c r="J371" t="n">
        <v>1</v>
      </c>
      <c r="K371" t="n">
        <v>0</v>
      </c>
      <c r="L371" t="n">
        <v>0</v>
      </c>
      <c r="M371" t="n">
        <v>0</v>
      </c>
      <c r="N371" t="n">
        <v>0</v>
      </c>
      <c r="O371" t="n">
        <v>1</v>
      </c>
      <c r="P371" t="n">
        <v>0</v>
      </c>
      <c r="Q371" t="n">
        <v>1</v>
      </c>
      <c r="R371" s="2" t="inlineStr">
        <is>
          <t>Koralltaggsvamp</t>
        </is>
      </c>
      <c r="S371">
        <f>HYPERLINK("https://klasma.github.io/Logging_2283/artfynd/A 56932-2022 artfynd.xlsx", "A 56932-2022")</f>
        <v/>
      </c>
      <c r="T371">
        <f>HYPERLINK("https://klasma.github.io/Logging_2283/kartor/A 56932-2022 karta.png", "A 56932-2022")</f>
        <v/>
      </c>
      <c r="V371">
        <f>HYPERLINK("https://klasma.github.io/Logging_2283/klagomål/A 56932-2022 FSC-klagomål.docx", "A 56932-2022")</f>
        <v/>
      </c>
      <c r="W371">
        <f>HYPERLINK("https://klasma.github.io/Logging_2283/klagomålsmail/A 56932-2022 FSC-klagomål mail.docx", "A 56932-2022")</f>
        <v/>
      </c>
      <c r="X371">
        <f>HYPERLINK("https://klasma.github.io/Logging_2283/tillsyn/A 56932-2022 tillsynsbegäran.docx", "A 56932-2022")</f>
        <v/>
      </c>
      <c r="Y371">
        <f>HYPERLINK("https://klasma.github.io/Logging_2283/tillsynsmail/A 56932-2022 tillsynsbegäran mail.docx", "A 56932-2022")</f>
        <v/>
      </c>
    </row>
    <row r="372" ht="15" customHeight="1">
      <c r="A372" t="inlineStr">
        <is>
          <t>A 60833-2022</t>
        </is>
      </c>
      <c r="B372" s="1" t="n">
        <v>44907</v>
      </c>
      <c r="C372" s="1" t="n">
        <v>45670</v>
      </c>
      <c r="D372" t="inlineStr">
        <is>
          <t>VÄSTERNORRLANDS LÄN</t>
        </is>
      </c>
      <c r="E372" t="inlineStr">
        <is>
          <t>SOLLEFTEÅ</t>
        </is>
      </c>
      <c r="G372" t="n">
        <v>4.4</v>
      </c>
      <c r="H372" t="n">
        <v>0</v>
      </c>
      <c r="I372" t="n">
        <v>0</v>
      </c>
      <c r="J372" t="n">
        <v>1</v>
      </c>
      <c r="K372" t="n">
        <v>0</v>
      </c>
      <c r="L372" t="n">
        <v>0</v>
      </c>
      <c r="M372" t="n">
        <v>0</v>
      </c>
      <c r="N372" t="n">
        <v>0</v>
      </c>
      <c r="O372" t="n">
        <v>1</v>
      </c>
      <c r="P372" t="n">
        <v>0</v>
      </c>
      <c r="Q372" t="n">
        <v>1</v>
      </c>
      <c r="R372" s="2" t="inlineStr">
        <is>
          <t>Kolflarnlav</t>
        </is>
      </c>
      <c r="S372">
        <f>HYPERLINK("https://klasma.github.io/Logging_2283/artfynd/A 60833-2022 artfynd.xlsx", "A 60833-2022")</f>
        <v/>
      </c>
      <c r="T372">
        <f>HYPERLINK("https://klasma.github.io/Logging_2283/kartor/A 60833-2022 karta.png", "A 60833-2022")</f>
        <v/>
      </c>
      <c r="V372">
        <f>HYPERLINK("https://klasma.github.io/Logging_2283/klagomål/A 60833-2022 FSC-klagomål.docx", "A 60833-2022")</f>
        <v/>
      </c>
      <c r="W372">
        <f>HYPERLINK("https://klasma.github.io/Logging_2283/klagomålsmail/A 60833-2022 FSC-klagomål mail.docx", "A 60833-2022")</f>
        <v/>
      </c>
      <c r="X372">
        <f>HYPERLINK("https://klasma.github.io/Logging_2283/tillsyn/A 60833-2022 tillsynsbegäran.docx", "A 60833-2022")</f>
        <v/>
      </c>
      <c r="Y372">
        <f>HYPERLINK("https://klasma.github.io/Logging_2283/tillsynsmail/A 60833-2022 tillsynsbegäran mail.docx", "A 60833-2022")</f>
        <v/>
      </c>
    </row>
    <row r="373" ht="15" customHeight="1">
      <c r="A373" t="inlineStr">
        <is>
          <t>A 60939-2022</t>
        </is>
      </c>
      <c r="B373" s="1" t="n">
        <v>44908</v>
      </c>
      <c r="C373" s="1" t="n">
        <v>45670</v>
      </c>
      <c r="D373" t="inlineStr">
        <is>
          <t>VÄSTERNORRLANDS LÄN</t>
        </is>
      </c>
      <c r="E373" t="inlineStr">
        <is>
          <t>SOLLEFTEÅ</t>
        </is>
      </c>
      <c r="G373" t="n">
        <v>4.4</v>
      </c>
      <c r="H373" t="n">
        <v>0</v>
      </c>
      <c r="I373" t="n">
        <v>0</v>
      </c>
      <c r="J373" t="n">
        <v>1</v>
      </c>
      <c r="K373" t="n">
        <v>0</v>
      </c>
      <c r="L373" t="n">
        <v>0</v>
      </c>
      <c r="M373" t="n">
        <v>0</v>
      </c>
      <c r="N373" t="n">
        <v>0</v>
      </c>
      <c r="O373" t="n">
        <v>1</v>
      </c>
      <c r="P373" t="n">
        <v>0</v>
      </c>
      <c r="Q373" t="n">
        <v>1</v>
      </c>
      <c r="R373" s="2" t="inlineStr">
        <is>
          <t>Garnlav</t>
        </is>
      </c>
      <c r="S373">
        <f>HYPERLINK("https://klasma.github.io/Logging_2283/artfynd/A 60939-2022 artfynd.xlsx", "A 60939-2022")</f>
        <v/>
      </c>
      <c r="T373">
        <f>HYPERLINK("https://klasma.github.io/Logging_2283/kartor/A 60939-2022 karta.png", "A 60939-2022")</f>
        <v/>
      </c>
      <c r="V373">
        <f>HYPERLINK("https://klasma.github.io/Logging_2283/klagomål/A 60939-2022 FSC-klagomål.docx", "A 60939-2022")</f>
        <v/>
      </c>
      <c r="W373">
        <f>HYPERLINK("https://klasma.github.io/Logging_2283/klagomålsmail/A 60939-2022 FSC-klagomål mail.docx", "A 60939-2022")</f>
        <v/>
      </c>
      <c r="X373">
        <f>HYPERLINK("https://klasma.github.io/Logging_2283/tillsyn/A 60939-2022 tillsynsbegäran.docx", "A 60939-2022")</f>
        <v/>
      </c>
      <c r="Y373">
        <f>HYPERLINK("https://klasma.github.io/Logging_2283/tillsynsmail/A 60939-2022 tillsynsbegäran mail.docx", "A 60939-2022")</f>
        <v/>
      </c>
    </row>
    <row r="374" ht="15" customHeight="1">
      <c r="A374" t="inlineStr">
        <is>
          <t>A 61660-2022</t>
        </is>
      </c>
      <c r="B374" s="1" t="n">
        <v>44917</v>
      </c>
      <c r="C374" s="1" t="n">
        <v>45670</v>
      </c>
      <c r="D374" t="inlineStr">
        <is>
          <t>VÄSTERNORRLANDS LÄN</t>
        </is>
      </c>
      <c r="E374" t="inlineStr">
        <is>
          <t>SOLLEFTEÅ</t>
        </is>
      </c>
      <c r="F374" t="inlineStr">
        <is>
          <t>SCA</t>
        </is>
      </c>
      <c r="G374" t="n">
        <v>3.9</v>
      </c>
      <c r="H374" t="n">
        <v>0</v>
      </c>
      <c r="I374" t="n">
        <v>0</v>
      </c>
      <c r="J374" t="n">
        <v>1</v>
      </c>
      <c r="K374" t="n">
        <v>0</v>
      </c>
      <c r="L374" t="n">
        <v>0</v>
      </c>
      <c r="M374" t="n">
        <v>0</v>
      </c>
      <c r="N374" t="n">
        <v>0</v>
      </c>
      <c r="O374" t="n">
        <v>1</v>
      </c>
      <c r="P374" t="n">
        <v>0</v>
      </c>
      <c r="Q374" t="n">
        <v>1</v>
      </c>
      <c r="R374" s="2" t="inlineStr">
        <is>
          <t>Backruta</t>
        </is>
      </c>
      <c r="S374">
        <f>HYPERLINK("https://klasma.github.io/Logging_2283/artfynd/A 61660-2022 artfynd.xlsx", "A 61660-2022")</f>
        <v/>
      </c>
      <c r="T374">
        <f>HYPERLINK("https://klasma.github.io/Logging_2283/kartor/A 61660-2022 karta.png", "A 61660-2022")</f>
        <v/>
      </c>
      <c r="V374">
        <f>HYPERLINK("https://klasma.github.io/Logging_2283/klagomål/A 61660-2022 FSC-klagomål.docx", "A 61660-2022")</f>
        <v/>
      </c>
      <c r="W374">
        <f>HYPERLINK("https://klasma.github.io/Logging_2283/klagomålsmail/A 61660-2022 FSC-klagomål mail.docx", "A 61660-2022")</f>
        <v/>
      </c>
      <c r="X374">
        <f>HYPERLINK("https://klasma.github.io/Logging_2283/tillsyn/A 61660-2022 tillsynsbegäran.docx", "A 61660-2022")</f>
        <v/>
      </c>
      <c r="Y374">
        <f>HYPERLINK("https://klasma.github.io/Logging_2283/tillsynsmail/A 61660-2022 tillsynsbegäran mail.docx", "A 61660-2022")</f>
        <v/>
      </c>
    </row>
    <row r="375" ht="15" customHeight="1">
      <c r="A375" t="inlineStr">
        <is>
          <t>A 986-2023</t>
        </is>
      </c>
      <c r="B375" s="1" t="n">
        <v>44935</v>
      </c>
      <c r="C375" s="1" t="n">
        <v>45670</v>
      </c>
      <c r="D375" t="inlineStr">
        <is>
          <t>VÄSTERNORRLANDS LÄN</t>
        </is>
      </c>
      <c r="E375" t="inlineStr">
        <is>
          <t>SOLLEFTEÅ</t>
        </is>
      </c>
      <c r="G375" t="n">
        <v>2.6</v>
      </c>
      <c r="H375" t="n">
        <v>1</v>
      </c>
      <c r="I375" t="n">
        <v>0</v>
      </c>
      <c r="J375" t="n">
        <v>0</v>
      </c>
      <c r="K375" t="n">
        <v>0</v>
      </c>
      <c r="L375" t="n">
        <v>0</v>
      </c>
      <c r="M375" t="n">
        <v>0</v>
      </c>
      <c r="N375" t="n">
        <v>0</v>
      </c>
      <c r="O375" t="n">
        <v>0</v>
      </c>
      <c r="P375" t="n">
        <v>0</v>
      </c>
      <c r="Q375" t="n">
        <v>1</v>
      </c>
      <c r="R375" s="2" t="inlineStr">
        <is>
          <t>Revlummer</t>
        </is>
      </c>
      <c r="S375">
        <f>HYPERLINK("https://klasma.github.io/Logging_2283/artfynd/A 986-2023 artfynd.xlsx", "A 986-2023")</f>
        <v/>
      </c>
      <c r="T375">
        <f>HYPERLINK("https://klasma.github.io/Logging_2283/kartor/A 986-2023 karta.png", "A 986-2023")</f>
        <v/>
      </c>
      <c r="V375">
        <f>HYPERLINK("https://klasma.github.io/Logging_2283/klagomål/A 986-2023 FSC-klagomål.docx", "A 986-2023")</f>
        <v/>
      </c>
      <c r="W375">
        <f>HYPERLINK("https://klasma.github.io/Logging_2283/klagomålsmail/A 986-2023 FSC-klagomål mail.docx", "A 986-2023")</f>
        <v/>
      </c>
      <c r="X375">
        <f>HYPERLINK("https://klasma.github.io/Logging_2283/tillsyn/A 986-2023 tillsynsbegäran.docx", "A 986-2023")</f>
        <v/>
      </c>
      <c r="Y375">
        <f>HYPERLINK("https://klasma.github.io/Logging_2283/tillsynsmail/A 986-2023 tillsynsbegäran mail.docx", "A 986-2023")</f>
        <v/>
      </c>
    </row>
    <row r="376" ht="15" customHeight="1">
      <c r="A376" t="inlineStr">
        <is>
          <t>A 12862-2023</t>
        </is>
      </c>
      <c r="B376" s="1" t="n">
        <v>45001</v>
      </c>
      <c r="C376" s="1" t="n">
        <v>45670</v>
      </c>
      <c r="D376" t="inlineStr">
        <is>
          <t>VÄSTERNORRLANDS LÄN</t>
        </is>
      </c>
      <c r="E376" t="inlineStr">
        <is>
          <t>SOLLEFTEÅ</t>
        </is>
      </c>
      <c r="F376" t="inlineStr">
        <is>
          <t>Övriga Aktiebolag</t>
        </is>
      </c>
      <c r="G376" t="n">
        <v>10.4</v>
      </c>
      <c r="H376" t="n">
        <v>0</v>
      </c>
      <c r="I376" t="n">
        <v>1</v>
      </c>
      <c r="J376" t="n">
        <v>0</v>
      </c>
      <c r="K376" t="n">
        <v>0</v>
      </c>
      <c r="L376" t="n">
        <v>0</v>
      </c>
      <c r="M376" t="n">
        <v>0</v>
      </c>
      <c r="N376" t="n">
        <v>0</v>
      </c>
      <c r="O376" t="n">
        <v>0</v>
      </c>
      <c r="P376" t="n">
        <v>0</v>
      </c>
      <c r="Q376" t="n">
        <v>1</v>
      </c>
      <c r="R376" s="2" t="inlineStr">
        <is>
          <t>Korallblylav</t>
        </is>
      </c>
      <c r="S376">
        <f>HYPERLINK("https://klasma.github.io/Logging_2283/artfynd/A 12862-2023 artfynd.xlsx", "A 12862-2023")</f>
        <v/>
      </c>
      <c r="T376">
        <f>HYPERLINK("https://klasma.github.io/Logging_2283/kartor/A 12862-2023 karta.png", "A 12862-2023")</f>
        <v/>
      </c>
      <c r="V376">
        <f>HYPERLINK("https://klasma.github.io/Logging_2283/klagomål/A 12862-2023 FSC-klagomål.docx", "A 12862-2023")</f>
        <v/>
      </c>
      <c r="W376">
        <f>HYPERLINK("https://klasma.github.io/Logging_2283/klagomålsmail/A 12862-2023 FSC-klagomål mail.docx", "A 12862-2023")</f>
        <v/>
      </c>
      <c r="X376">
        <f>HYPERLINK("https://klasma.github.io/Logging_2283/tillsyn/A 12862-2023 tillsynsbegäran.docx", "A 12862-2023")</f>
        <v/>
      </c>
      <c r="Y376">
        <f>HYPERLINK("https://klasma.github.io/Logging_2283/tillsynsmail/A 12862-2023 tillsynsbegäran mail.docx", "A 12862-2023")</f>
        <v/>
      </c>
    </row>
    <row r="377" ht="15" customHeight="1">
      <c r="A377" t="inlineStr">
        <is>
          <t>A 14674-2023</t>
        </is>
      </c>
      <c r="B377" s="1" t="n">
        <v>45013</v>
      </c>
      <c r="C377" s="1" t="n">
        <v>45670</v>
      </c>
      <c r="D377" t="inlineStr">
        <is>
          <t>VÄSTERNORRLANDS LÄN</t>
        </is>
      </c>
      <c r="E377" t="inlineStr">
        <is>
          <t>SOLLEFTEÅ</t>
        </is>
      </c>
      <c r="F377" t="inlineStr">
        <is>
          <t>Övriga statliga verk och myndigheter</t>
        </is>
      </c>
      <c r="G377" t="n">
        <v>11.7</v>
      </c>
      <c r="H377" t="n">
        <v>0</v>
      </c>
      <c r="I377" t="n">
        <v>0</v>
      </c>
      <c r="J377" t="n">
        <v>0</v>
      </c>
      <c r="K377" t="n">
        <v>1</v>
      </c>
      <c r="L377" t="n">
        <v>0</v>
      </c>
      <c r="M377" t="n">
        <v>0</v>
      </c>
      <c r="N377" t="n">
        <v>0</v>
      </c>
      <c r="O377" t="n">
        <v>1</v>
      </c>
      <c r="P377" t="n">
        <v>1</v>
      </c>
      <c r="Q377" t="n">
        <v>1</v>
      </c>
      <c r="R377" s="2" t="inlineStr">
        <is>
          <t>Rynkskinn</t>
        </is>
      </c>
      <c r="S377">
        <f>HYPERLINK("https://klasma.github.io/Logging_2283/artfynd/A 14674-2023 artfynd.xlsx", "A 14674-2023")</f>
        <v/>
      </c>
      <c r="T377">
        <f>HYPERLINK("https://klasma.github.io/Logging_2283/kartor/A 14674-2023 karta.png", "A 14674-2023")</f>
        <v/>
      </c>
      <c r="V377">
        <f>HYPERLINK("https://klasma.github.io/Logging_2283/klagomål/A 14674-2023 FSC-klagomål.docx", "A 14674-2023")</f>
        <v/>
      </c>
      <c r="W377">
        <f>HYPERLINK("https://klasma.github.io/Logging_2283/klagomålsmail/A 14674-2023 FSC-klagomål mail.docx", "A 14674-2023")</f>
        <v/>
      </c>
      <c r="X377">
        <f>HYPERLINK("https://klasma.github.io/Logging_2283/tillsyn/A 14674-2023 tillsynsbegäran.docx", "A 14674-2023")</f>
        <v/>
      </c>
      <c r="Y377">
        <f>HYPERLINK("https://klasma.github.io/Logging_2283/tillsynsmail/A 14674-2023 tillsynsbegäran mail.docx", "A 14674-2023")</f>
        <v/>
      </c>
    </row>
    <row r="378" ht="15" customHeight="1">
      <c r="A378" t="inlineStr">
        <is>
          <t>A 24548-2023</t>
        </is>
      </c>
      <c r="B378" s="1" t="n">
        <v>45082</v>
      </c>
      <c r="C378" s="1" t="n">
        <v>45670</v>
      </c>
      <c r="D378" t="inlineStr">
        <is>
          <t>VÄSTERNORRLANDS LÄN</t>
        </is>
      </c>
      <c r="E378" t="inlineStr">
        <is>
          <t>SOLLEFTEÅ</t>
        </is>
      </c>
      <c r="F378" t="inlineStr">
        <is>
          <t>SCA</t>
        </is>
      </c>
      <c r="G378" t="n">
        <v>3</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24548-2023 artfynd.xlsx", "A 24548-2023")</f>
        <v/>
      </c>
      <c r="T378">
        <f>HYPERLINK("https://klasma.github.io/Logging_2283/kartor/A 24548-2023 karta.png", "A 24548-2023")</f>
        <v/>
      </c>
      <c r="U378">
        <f>HYPERLINK("https://klasma.github.io/Logging_2283/knärot/A 24548-2023 karta knärot.png", "A 24548-2023")</f>
        <v/>
      </c>
      <c r="V378">
        <f>HYPERLINK("https://klasma.github.io/Logging_2283/klagomål/A 24548-2023 FSC-klagomål.docx", "A 24548-2023")</f>
        <v/>
      </c>
      <c r="W378">
        <f>HYPERLINK("https://klasma.github.io/Logging_2283/klagomålsmail/A 24548-2023 FSC-klagomål mail.docx", "A 24548-2023")</f>
        <v/>
      </c>
      <c r="X378">
        <f>HYPERLINK("https://klasma.github.io/Logging_2283/tillsyn/A 24548-2023 tillsynsbegäran.docx", "A 24548-2023")</f>
        <v/>
      </c>
      <c r="Y378">
        <f>HYPERLINK("https://klasma.github.io/Logging_2283/tillsynsmail/A 24548-2023 tillsynsbegäran mail.docx", "A 24548-2023")</f>
        <v/>
      </c>
      <c r="Z378">
        <f>HYPERLINK("https://klasma.github.io/Logging_2283/fåglar/A 24548-2023 prioriterade fågelarter.docx", "A 24548-2023")</f>
        <v/>
      </c>
    </row>
    <row r="379" ht="15" customHeight="1">
      <c r="A379" t="inlineStr">
        <is>
          <t>A 25310-2023</t>
        </is>
      </c>
      <c r="B379" s="1" t="n">
        <v>45087</v>
      </c>
      <c r="C379" s="1" t="n">
        <v>45670</v>
      </c>
      <c r="D379" t="inlineStr">
        <is>
          <t>VÄSTERNORRLANDS LÄN</t>
        </is>
      </c>
      <c r="E379" t="inlineStr">
        <is>
          <t>SOLLEFTEÅ</t>
        </is>
      </c>
      <c r="F379" t="inlineStr">
        <is>
          <t>SCA</t>
        </is>
      </c>
      <c r="G379" t="n">
        <v>1.1</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25310-2023 artfynd.xlsx", "A 25310-2023")</f>
        <v/>
      </c>
      <c r="T379">
        <f>HYPERLINK("https://klasma.github.io/Logging_2283/kartor/A 25310-2023 karta.png", "A 25310-2023")</f>
        <v/>
      </c>
      <c r="V379">
        <f>HYPERLINK("https://klasma.github.io/Logging_2283/klagomål/A 25310-2023 FSC-klagomål.docx", "A 25310-2023")</f>
        <v/>
      </c>
      <c r="W379">
        <f>HYPERLINK("https://klasma.github.io/Logging_2283/klagomålsmail/A 25310-2023 FSC-klagomål mail.docx", "A 25310-2023")</f>
        <v/>
      </c>
      <c r="X379">
        <f>HYPERLINK("https://klasma.github.io/Logging_2283/tillsyn/A 25310-2023 tillsynsbegäran.docx", "A 25310-2023")</f>
        <v/>
      </c>
      <c r="Y379">
        <f>HYPERLINK("https://klasma.github.io/Logging_2283/tillsynsmail/A 25310-2023 tillsynsbegäran mail.docx", "A 25310-2023")</f>
        <v/>
      </c>
      <c r="Z379">
        <f>HYPERLINK("https://klasma.github.io/Logging_2283/fåglar/A 25310-2023 prioriterade fågelarter.docx", "A 25310-2023")</f>
        <v/>
      </c>
    </row>
    <row r="380" ht="15" customHeight="1">
      <c r="A380" t="inlineStr">
        <is>
          <t>A 29958-2023</t>
        </is>
      </c>
      <c r="B380" s="1" t="n">
        <v>45107</v>
      </c>
      <c r="C380" s="1" t="n">
        <v>45670</v>
      </c>
      <c r="D380" t="inlineStr">
        <is>
          <t>VÄSTERNORRLANDS LÄN</t>
        </is>
      </c>
      <c r="E380" t="inlineStr">
        <is>
          <t>SOLLEFTEÅ</t>
        </is>
      </c>
      <c r="F380" t="inlineStr">
        <is>
          <t>SCA</t>
        </is>
      </c>
      <c r="G380" t="n">
        <v>7.5</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29958-2023 artfynd.xlsx", "A 29958-2023")</f>
        <v/>
      </c>
      <c r="T380">
        <f>HYPERLINK("https://klasma.github.io/Logging_2283/kartor/A 29958-2023 karta.png", "A 29958-2023")</f>
        <v/>
      </c>
      <c r="V380">
        <f>HYPERLINK("https://klasma.github.io/Logging_2283/klagomål/A 29958-2023 FSC-klagomål.docx", "A 29958-2023")</f>
        <v/>
      </c>
      <c r="W380">
        <f>HYPERLINK("https://klasma.github.io/Logging_2283/klagomålsmail/A 29958-2023 FSC-klagomål mail.docx", "A 29958-2023")</f>
        <v/>
      </c>
      <c r="X380">
        <f>HYPERLINK("https://klasma.github.io/Logging_2283/tillsyn/A 29958-2023 tillsynsbegäran.docx", "A 29958-2023")</f>
        <v/>
      </c>
      <c r="Y380">
        <f>HYPERLINK("https://klasma.github.io/Logging_2283/tillsynsmail/A 29958-2023 tillsynsbegäran mail.docx", "A 29958-2023")</f>
        <v/>
      </c>
      <c r="Z380">
        <f>HYPERLINK("https://klasma.github.io/Logging_2283/fåglar/A 29958-2023 prioriterade fågelarter.docx", "A 29958-2023")</f>
        <v/>
      </c>
    </row>
    <row r="381" ht="15" customHeight="1">
      <c r="A381" t="inlineStr">
        <is>
          <t>A 31912-2023</t>
        </is>
      </c>
      <c r="B381" s="1" t="n">
        <v>45118</v>
      </c>
      <c r="C381" s="1" t="n">
        <v>45670</v>
      </c>
      <c r="D381" t="inlineStr">
        <is>
          <t>VÄSTERNORRLANDS LÄN</t>
        </is>
      </c>
      <c r="E381" t="inlineStr">
        <is>
          <t>SOLLEFTEÅ</t>
        </is>
      </c>
      <c r="G381" t="n">
        <v>5.4</v>
      </c>
      <c r="H381" t="n">
        <v>0</v>
      </c>
      <c r="I381" t="n">
        <v>0</v>
      </c>
      <c r="J381" t="n">
        <v>1</v>
      </c>
      <c r="K381" t="n">
        <v>0</v>
      </c>
      <c r="L381" t="n">
        <v>0</v>
      </c>
      <c r="M381" t="n">
        <v>0</v>
      </c>
      <c r="N381" t="n">
        <v>0</v>
      </c>
      <c r="O381" t="n">
        <v>1</v>
      </c>
      <c r="P381" t="n">
        <v>0</v>
      </c>
      <c r="Q381" t="n">
        <v>1</v>
      </c>
      <c r="R381" s="2" t="inlineStr">
        <is>
          <t>Granticka</t>
        </is>
      </c>
      <c r="S381">
        <f>HYPERLINK("https://klasma.github.io/Logging_2283/artfynd/A 31912-2023 artfynd.xlsx", "A 31912-2023")</f>
        <v/>
      </c>
      <c r="T381">
        <f>HYPERLINK("https://klasma.github.io/Logging_2283/kartor/A 31912-2023 karta.png", "A 31912-2023")</f>
        <v/>
      </c>
      <c r="V381">
        <f>HYPERLINK("https://klasma.github.io/Logging_2283/klagomål/A 31912-2023 FSC-klagomål.docx", "A 31912-2023")</f>
        <v/>
      </c>
      <c r="W381">
        <f>HYPERLINK("https://klasma.github.io/Logging_2283/klagomålsmail/A 31912-2023 FSC-klagomål mail.docx", "A 31912-2023")</f>
        <v/>
      </c>
      <c r="X381">
        <f>HYPERLINK("https://klasma.github.io/Logging_2283/tillsyn/A 31912-2023 tillsynsbegäran.docx", "A 31912-2023")</f>
        <v/>
      </c>
      <c r="Y381">
        <f>HYPERLINK("https://klasma.github.io/Logging_2283/tillsynsmail/A 31912-2023 tillsynsbegäran mail.docx", "A 31912-2023")</f>
        <v/>
      </c>
    </row>
    <row r="382" ht="15" customHeight="1">
      <c r="A382" t="inlineStr">
        <is>
          <t>A 31920-2023</t>
        </is>
      </c>
      <c r="B382" s="1" t="n">
        <v>45118</v>
      </c>
      <c r="C382" s="1" t="n">
        <v>45670</v>
      </c>
      <c r="D382" t="inlineStr">
        <is>
          <t>VÄSTERNORRLANDS LÄN</t>
        </is>
      </c>
      <c r="E382" t="inlineStr">
        <is>
          <t>SOLLEFTEÅ</t>
        </is>
      </c>
      <c r="F382" t="inlineStr">
        <is>
          <t>SCA</t>
        </is>
      </c>
      <c r="G382" t="n">
        <v>2</v>
      </c>
      <c r="H382" t="n">
        <v>0</v>
      </c>
      <c r="I382" t="n">
        <v>0</v>
      </c>
      <c r="J382" t="n">
        <v>1</v>
      </c>
      <c r="K382" t="n">
        <v>0</v>
      </c>
      <c r="L382" t="n">
        <v>0</v>
      </c>
      <c r="M382" t="n">
        <v>0</v>
      </c>
      <c r="N382" t="n">
        <v>0</v>
      </c>
      <c r="O382" t="n">
        <v>1</v>
      </c>
      <c r="P382" t="n">
        <v>0</v>
      </c>
      <c r="Q382" t="n">
        <v>1</v>
      </c>
      <c r="R382" s="2" t="inlineStr">
        <is>
          <t>Ullticka</t>
        </is>
      </c>
      <c r="S382">
        <f>HYPERLINK("https://klasma.github.io/Logging_2283/artfynd/A 31920-2023 artfynd.xlsx", "A 31920-2023")</f>
        <v/>
      </c>
      <c r="T382">
        <f>HYPERLINK("https://klasma.github.io/Logging_2283/kartor/A 31920-2023 karta.png", "A 31920-2023")</f>
        <v/>
      </c>
      <c r="V382">
        <f>HYPERLINK("https://klasma.github.io/Logging_2283/klagomål/A 31920-2023 FSC-klagomål.docx", "A 31920-2023")</f>
        <v/>
      </c>
      <c r="W382">
        <f>HYPERLINK("https://klasma.github.io/Logging_2283/klagomålsmail/A 31920-2023 FSC-klagomål mail.docx", "A 31920-2023")</f>
        <v/>
      </c>
      <c r="X382">
        <f>HYPERLINK("https://klasma.github.io/Logging_2283/tillsyn/A 31920-2023 tillsynsbegäran.docx", "A 31920-2023")</f>
        <v/>
      </c>
      <c r="Y382">
        <f>HYPERLINK("https://klasma.github.io/Logging_2283/tillsynsmail/A 31920-2023 tillsynsbegäran mail.docx", "A 31920-2023")</f>
        <v/>
      </c>
    </row>
    <row r="383" ht="15" customHeight="1">
      <c r="A383" t="inlineStr">
        <is>
          <t>A 32734-2023</t>
        </is>
      </c>
      <c r="B383" s="1" t="n">
        <v>45121</v>
      </c>
      <c r="C383" s="1" t="n">
        <v>45670</v>
      </c>
      <c r="D383" t="inlineStr">
        <is>
          <t>VÄSTERNORRLANDS LÄN</t>
        </is>
      </c>
      <c r="E383" t="inlineStr">
        <is>
          <t>SOLLEFTEÅ</t>
        </is>
      </c>
      <c r="G383" t="n">
        <v>1.8</v>
      </c>
      <c r="H383" t="n">
        <v>0</v>
      </c>
      <c r="I383" t="n">
        <v>0</v>
      </c>
      <c r="J383" t="n">
        <v>1</v>
      </c>
      <c r="K383" t="n">
        <v>0</v>
      </c>
      <c r="L383" t="n">
        <v>0</v>
      </c>
      <c r="M383" t="n">
        <v>0</v>
      </c>
      <c r="N383" t="n">
        <v>0</v>
      </c>
      <c r="O383" t="n">
        <v>1</v>
      </c>
      <c r="P383" t="n">
        <v>0</v>
      </c>
      <c r="Q383" t="n">
        <v>1</v>
      </c>
      <c r="R383" s="2" t="inlineStr">
        <is>
          <t>Garnlav</t>
        </is>
      </c>
      <c r="S383">
        <f>HYPERLINK("https://klasma.github.io/Logging_2283/artfynd/A 32734-2023 artfynd.xlsx", "A 32734-2023")</f>
        <v/>
      </c>
      <c r="T383">
        <f>HYPERLINK("https://klasma.github.io/Logging_2283/kartor/A 32734-2023 karta.png", "A 32734-2023")</f>
        <v/>
      </c>
      <c r="V383">
        <f>HYPERLINK("https://klasma.github.io/Logging_2283/klagomål/A 32734-2023 FSC-klagomål.docx", "A 32734-2023")</f>
        <v/>
      </c>
      <c r="W383">
        <f>HYPERLINK("https://klasma.github.io/Logging_2283/klagomålsmail/A 32734-2023 FSC-klagomål mail.docx", "A 32734-2023")</f>
        <v/>
      </c>
      <c r="X383">
        <f>HYPERLINK("https://klasma.github.io/Logging_2283/tillsyn/A 32734-2023 tillsynsbegäran.docx", "A 32734-2023")</f>
        <v/>
      </c>
      <c r="Y383">
        <f>HYPERLINK("https://klasma.github.io/Logging_2283/tillsynsmail/A 32734-2023 tillsynsbegäran mail.docx", "A 32734-2023")</f>
        <v/>
      </c>
    </row>
    <row r="384" ht="15" customHeight="1">
      <c r="A384" t="inlineStr">
        <is>
          <t>A 34699-2023</t>
        </is>
      </c>
      <c r="B384" s="1" t="n">
        <v>45141</v>
      </c>
      <c r="C384" s="1" t="n">
        <v>45670</v>
      </c>
      <c r="D384" t="inlineStr">
        <is>
          <t>VÄSTERNORRLANDS LÄN</t>
        </is>
      </c>
      <c r="E384" t="inlineStr">
        <is>
          <t>SOLLEFTEÅ</t>
        </is>
      </c>
      <c r="F384" t="inlineStr">
        <is>
          <t>SCA</t>
        </is>
      </c>
      <c r="G384" t="n">
        <v>3</v>
      </c>
      <c r="H384" t="n">
        <v>1</v>
      </c>
      <c r="I384" t="n">
        <v>0</v>
      </c>
      <c r="J384" t="n">
        <v>0</v>
      </c>
      <c r="K384" t="n">
        <v>1</v>
      </c>
      <c r="L384" t="n">
        <v>0</v>
      </c>
      <c r="M384" t="n">
        <v>0</v>
      </c>
      <c r="N384" t="n">
        <v>0</v>
      </c>
      <c r="O384" t="n">
        <v>1</v>
      </c>
      <c r="P384" t="n">
        <v>1</v>
      </c>
      <c r="Q384" t="n">
        <v>1</v>
      </c>
      <c r="R384" s="2" t="inlineStr">
        <is>
          <t>Knärot</t>
        </is>
      </c>
      <c r="S384">
        <f>HYPERLINK("https://klasma.github.io/Logging_2283/artfynd/A 34699-2023 artfynd.xlsx", "A 34699-2023")</f>
        <v/>
      </c>
      <c r="T384">
        <f>HYPERLINK("https://klasma.github.io/Logging_2283/kartor/A 34699-2023 karta.png", "A 34699-2023")</f>
        <v/>
      </c>
      <c r="U384">
        <f>HYPERLINK("https://klasma.github.io/Logging_2283/knärot/A 34699-2023 karta knärot.png", "A 34699-2023")</f>
        <v/>
      </c>
      <c r="V384">
        <f>HYPERLINK("https://klasma.github.io/Logging_2283/klagomål/A 34699-2023 FSC-klagomål.docx", "A 34699-2023")</f>
        <v/>
      </c>
      <c r="W384">
        <f>HYPERLINK("https://klasma.github.io/Logging_2283/klagomålsmail/A 34699-2023 FSC-klagomål mail.docx", "A 34699-2023")</f>
        <v/>
      </c>
      <c r="X384">
        <f>HYPERLINK("https://klasma.github.io/Logging_2283/tillsyn/A 34699-2023 tillsynsbegäran.docx", "A 34699-2023")</f>
        <v/>
      </c>
      <c r="Y384">
        <f>HYPERLINK("https://klasma.github.io/Logging_2283/tillsynsmail/A 34699-2023 tillsynsbegäran mail.docx", "A 34699-2023")</f>
        <v/>
      </c>
    </row>
    <row r="385" ht="15" customHeight="1">
      <c r="A385" t="inlineStr">
        <is>
          <t>A 35295-2023</t>
        </is>
      </c>
      <c r="B385" s="1" t="n">
        <v>45145</v>
      </c>
      <c r="C385" s="1" t="n">
        <v>45670</v>
      </c>
      <c r="D385" t="inlineStr">
        <is>
          <t>VÄSTERNORRLANDS LÄN</t>
        </is>
      </c>
      <c r="E385" t="inlineStr">
        <is>
          <t>SOLLEFTEÅ</t>
        </is>
      </c>
      <c r="F385" t="inlineStr">
        <is>
          <t>SCA</t>
        </is>
      </c>
      <c r="G385" t="n">
        <v>8.9</v>
      </c>
      <c r="H385" t="n">
        <v>1</v>
      </c>
      <c r="I385" t="n">
        <v>0</v>
      </c>
      <c r="J385" t="n">
        <v>1</v>
      </c>
      <c r="K385" t="n">
        <v>0</v>
      </c>
      <c r="L385" t="n">
        <v>0</v>
      </c>
      <c r="M385" t="n">
        <v>0</v>
      </c>
      <c r="N385" t="n">
        <v>0</v>
      </c>
      <c r="O385" t="n">
        <v>1</v>
      </c>
      <c r="P385" t="n">
        <v>0</v>
      </c>
      <c r="Q385" t="n">
        <v>1</v>
      </c>
      <c r="R385" s="2" t="inlineStr">
        <is>
          <t>Talltita</t>
        </is>
      </c>
      <c r="S385">
        <f>HYPERLINK("https://klasma.github.io/Logging_2283/artfynd/A 35295-2023 artfynd.xlsx", "A 35295-2023")</f>
        <v/>
      </c>
      <c r="T385">
        <f>HYPERLINK("https://klasma.github.io/Logging_2283/kartor/A 35295-2023 karta.png", "A 35295-2023")</f>
        <v/>
      </c>
      <c r="V385">
        <f>HYPERLINK("https://klasma.github.io/Logging_2283/klagomål/A 35295-2023 FSC-klagomål.docx", "A 35295-2023")</f>
        <v/>
      </c>
      <c r="W385">
        <f>HYPERLINK("https://klasma.github.io/Logging_2283/klagomålsmail/A 35295-2023 FSC-klagomål mail.docx", "A 35295-2023")</f>
        <v/>
      </c>
      <c r="X385">
        <f>HYPERLINK("https://klasma.github.io/Logging_2283/tillsyn/A 35295-2023 tillsynsbegäran.docx", "A 35295-2023")</f>
        <v/>
      </c>
      <c r="Y385">
        <f>HYPERLINK("https://klasma.github.io/Logging_2283/tillsynsmail/A 35295-2023 tillsynsbegäran mail.docx", "A 35295-2023")</f>
        <v/>
      </c>
      <c r="Z385">
        <f>HYPERLINK("https://klasma.github.io/Logging_2283/fåglar/A 35295-2023 prioriterade fågelarter.docx", "A 35295-2023")</f>
        <v/>
      </c>
    </row>
    <row r="386" ht="15" customHeight="1">
      <c r="A386" t="inlineStr">
        <is>
          <t>A 38089-2023</t>
        </is>
      </c>
      <c r="B386" s="1" t="n">
        <v>45160</v>
      </c>
      <c r="C386" s="1" t="n">
        <v>45670</v>
      </c>
      <c r="D386" t="inlineStr">
        <is>
          <t>VÄSTERNORRLANDS LÄN</t>
        </is>
      </c>
      <c r="E386" t="inlineStr">
        <is>
          <t>SOLLEFTEÅ</t>
        </is>
      </c>
      <c r="F386" t="inlineStr">
        <is>
          <t>SCA</t>
        </is>
      </c>
      <c r="G386" t="n">
        <v>4.3</v>
      </c>
      <c r="H386" t="n">
        <v>0</v>
      </c>
      <c r="I386" t="n">
        <v>0</v>
      </c>
      <c r="J386" t="n">
        <v>1</v>
      </c>
      <c r="K386" t="n">
        <v>0</v>
      </c>
      <c r="L386" t="n">
        <v>0</v>
      </c>
      <c r="M386" t="n">
        <v>0</v>
      </c>
      <c r="N386" t="n">
        <v>0</v>
      </c>
      <c r="O386" t="n">
        <v>1</v>
      </c>
      <c r="P386" t="n">
        <v>0</v>
      </c>
      <c r="Q386" t="n">
        <v>1</v>
      </c>
      <c r="R386" s="2" t="inlineStr">
        <is>
          <t>Garnlav</t>
        </is>
      </c>
      <c r="S386">
        <f>HYPERLINK("https://klasma.github.io/Logging_2283/artfynd/A 38089-2023 artfynd.xlsx", "A 38089-2023")</f>
        <v/>
      </c>
      <c r="T386">
        <f>HYPERLINK("https://klasma.github.io/Logging_2283/kartor/A 38089-2023 karta.png", "A 38089-2023")</f>
        <v/>
      </c>
      <c r="V386">
        <f>HYPERLINK("https://klasma.github.io/Logging_2283/klagomål/A 38089-2023 FSC-klagomål.docx", "A 38089-2023")</f>
        <v/>
      </c>
      <c r="W386">
        <f>HYPERLINK("https://klasma.github.io/Logging_2283/klagomålsmail/A 38089-2023 FSC-klagomål mail.docx", "A 38089-2023")</f>
        <v/>
      </c>
      <c r="X386">
        <f>HYPERLINK("https://klasma.github.io/Logging_2283/tillsyn/A 38089-2023 tillsynsbegäran.docx", "A 38089-2023")</f>
        <v/>
      </c>
      <c r="Y386">
        <f>HYPERLINK("https://klasma.github.io/Logging_2283/tillsynsmail/A 38089-2023 tillsynsbegäran mail.docx", "A 38089-2023")</f>
        <v/>
      </c>
    </row>
    <row r="387" ht="15" customHeight="1">
      <c r="A387" t="inlineStr">
        <is>
          <t>A 38375-2023</t>
        </is>
      </c>
      <c r="B387" s="1" t="n">
        <v>45161</v>
      </c>
      <c r="C387" s="1" t="n">
        <v>45670</v>
      </c>
      <c r="D387" t="inlineStr">
        <is>
          <t>VÄSTERNORRLANDS LÄN</t>
        </is>
      </c>
      <c r="E387" t="inlineStr">
        <is>
          <t>SOLLEFTEÅ</t>
        </is>
      </c>
      <c r="F387" t="inlineStr">
        <is>
          <t>SCA</t>
        </is>
      </c>
      <c r="G387" t="n">
        <v>5.6</v>
      </c>
      <c r="H387" t="n">
        <v>0</v>
      </c>
      <c r="I387" t="n">
        <v>0</v>
      </c>
      <c r="J387" t="n">
        <v>1</v>
      </c>
      <c r="K387" t="n">
        <v>0</v>
      </c>
      <c r="L387" t="n">
        <v>0</v>
      </c>
      <c r="M387" t="n">
        <v>0</v>
      </c>
      <c r="N387" t="n">
        <v>0</v>
      </c>
      <c r="O387" t="n">
        <v>1</v>
      </c>
      <c r="P387" t="n">
        <v>0</v>
      </c>
      <c r="Q387" t="n">
        <v>1</v>
      </c>
      <c r="R387" s="2" t="inlineStr">
        <is>
          <t>Garnlav</t>
        </is>
      </c>
      <c r="S387">
        <f>HYPERLINK("https://klasma.github.io/Logging_2283/artfynd/A 38375-2023 artfynd.xlsx", "A 38375-2023")</f>
        <v/>
      </c>
      <c r="T387">
        <f>HYPERLINK("https://klasma.github.io/Logging_2283/kartor/A 38375-2023 karta.png", "A 38375-2023")</f>
        <v/>
      </c>
      <c r="V387">
        <f>HYPERLINK("https://klasma.github.io/Logging_2283/klagomål/A 38375-2023 FSC-klagomål.docx", "A 38375-2023")</f>
        <v/>
      </c>
      <c r="W387">
        <f>HYPERLINK("https://klasma.github.io/Logging_2283/klagomålsmail/A 38375-2023 FSC-klagomål mail.docx", "A 38375-2023")</f>
        <v/>
      </c>
      <c r="X387">
        <f>HYPERLINK("https://klasma.github.io/Logging_2283/tillsyn/A 38375-2023 tillsynsbegäran.docx", "A 38375-2023")</f>
        <v/>
      </c>
      <c r="Y387">
        <f>HYPERLINK("https://klasma.github.io/Logging_2283/tillsynsmail/A 38375-2023 tillsynsbegäran mail.docx", "A 38375-2023")</f>
        <v/>
      </c>
    </row>
    <row r="388" ht="15" customHeight="1">
      <c r="A388" t="inlineStr">
        <is>
          <t>A 39565-2023</t>
        </is>
      </c>
      <c r="B388" s="1" t="n">
        <v>45167</v>
      </c>
      <c r="C388" s="1" t="n">
        <v>45670</v>
      </c>
      <c r="D388" t="inlineStr">
        <is>
          <t>VÄSTERNORRLANDS LÄN</t>
        </is>
      </c>
      <c r="E388" t="inlineStr">
        <is>
          <t>SOLLEFTEÅ</t>
        </is>
      </c>
      <c r="G388" t="n">
        <v>3.2</v>
      </c>
      <c r="H388" t="n">
        <v>0</v>
      </c>
      <c r="I388" t="n">
        <v>0</v>
      </c>
      <c r="J388" t="n">
        <v>1</v>
      </c>
      <c r="K388" t="n">
        <v>0</v>
      </c>
      <c r="L388" t="n">
        <v>0</v>
      </c>
      <c r="M388" t="n">
        <v>0</v>
      </c>
      <c r="N388" t="n">
        <v>0</v>
      </c>
      <c r="O388" t="n">
        <v>1</v>
      </c>
      <c r="P388" t="n">
        <v>0</v>
      </c>
      <c r="Q388" t="n">
        <v>1</v>
      </c>
      <c r="R388" s="2" t="inlineStr">
        <is>
          <t>Ullticka</t>
        </is>
      </c>
      <c r="S388">
        <f>HYPERLINK("https://klasma.github.io/Logging_2283/artfynd/A 39565-2023 artfynd.xlsx", "A 39565-2023")</f>
        <v/>
      </c>
      <c r="T388">
        <f>HYPERLINK("https://klasma.github.io/Logging_2283/kartor/A 39565-2023 karta.png", "A 39565-2023")</f>
        <v/>
      </c>
      <c r="V388">
        <f>HYPERLINK("https://klasma.github.io/Logging_2283/klagomål/A 39565-2023 FSC-klagomål.docx", "A 39565-2023")</f>
        <v/>
      </c>
      <c r="W388">
        <f>HYPERLINK("https://klasma.github.io/Logging_2283/klagomålsmail/A 39565-2023 FSC-klagomål mail.docx", "A 39565-2023")</f>
        <v/>
      </c>
      <c r="X388">
        <f>HYPERLINK("https://klasma.github.io/Logging_2283/tillsyn/A 39565-2023 tillsynsbegäran.docx", "A 39565-2023")</f>
        <v/>
      </c>
      <c r="Y388">
        <f>HYPERLINK("https://klasma.github.io/Logging_2283/tillsynsmail/A 39565-2023 tillsynsbegäran mail.docx", "A 39565-2023")</f>
        <v/>
      </c>
    </row>
    <row r="389" ht="15" customHeight="1">
      <c r="A389" t="inlineStr">
        <is>
          <t>A 46203-2023</t>
        </is>
      </c>
      <c r="B389" s="1" t="n">
        <v>45190</v>
      </c>
      <c r="C389" s="1" t="n">
        <v>45670</v>
      </c>
      <c r="D389" t="inlineStr">
        <is>
          <t>VÄSTERNORRLANDS LÄN</t>
        </is>
      </c>
      <c r="E389" t="inlineStr">
        <is>
          <t>SOLLEFTEÅ</t>
        </is>
      </c>
      <c r="G389" t="n">
        <v>13</v>
      </c>
      <c r="H389" t="n">
        <v>0</v>
      </c>
      <c r="I389" t="n">
        <v>0</v>
      </c>
      <c r="J389" t="n">
        <v>1</v>
      </c>
      <c r="K389" t="n">
        <v>0</v>
      </c>
      <c r="L389" t="n">
        <v>0</v>
      </c>
      <c r="M389" t="n">
        <v>0</v>
      </c>
      <c r="N389" t="n">
        <v>0</v>
      </c>
      <c r="O389" t="n">
        <v>1</v>
      </c>
      <c r="P389" t="n">
        <v>0</v>
      </c>
      <c r="Q389" t="n">
        <v>1</v>
      </c>
      <c r="R389" s="2" t="inlineStr">
        <is>
          <t>Garnlav</t>
        </is>
      </c>
      <c r="S389">
        <f>HYPERLINK("https://klasma.github.io/Logging_2283/artfynd/A 46203-2023 artfynd.xlsx", "A 46203-2023")</f>
        <v/>
      </c>
      <c r="T389">
        <f>HYPERLINK("https://klasma.github.io/Logging_2283/kartor/A 46203-2023 karta.png", "A 46203-2023")</f>
        <v/>
      </c>
      <c r="V389">
        <f>HYPERLINK("https://klasma.github.io/Logging_2283/klagomål/A 46203-2023 FSC-klagomål.docx", "A 46203-2023")</f>
        <v/>
      </c>
      <c r="W389">
        <f>HYPERLINK("https://klasma.github.io/Logging_2283/klagomålsmail/A 46203-2023 FSC-klagomål mail.docx", "A 46203-2023")</f>
        <v/>
      </c>
      <c r="X389">
        <f>HYPERLINK("https://klasma.github.io/Logging_2283/tillsyn/A 46203-2023 tillsynsbegäran.docx", "A 46203-2023")</f>
        <v/>
      </c>
      <c r="Y389">
        <f>HYPERLINK("https://klasma.github.io/Logging_2283/tillsynsmail/A 46203-2023 tillsynsbegäran mail.docx", "A 46203-2023")</f>
        <v/>
      </c>
    </row>
    <row r="390" ht="15" customHeight="1">
      <c r="A390" t="inlineStr">
        <is>
          <t>A 48087-2023</t>
        </is>
      </c>
      <c r="B390" s="1" t="n">
        <v>45204</v>
      </c>
      <c r="C390" s="1" t="n">
        <v>45670</v>
      </c>
      <c r="D390" t="inlineStr">
        <is>
          <t>VÄSTERNORRLANDS LÄN</t>
        </is>
      </c>
      <c r="E390" t="inlineStr">
        <is>
          <t>SOLLEFTEÅ</t>
        </is>
      </c>
      <c r="F390" t="inlineStr">
        <is>
          <t>SCA</t>
        </is>
      </c>
      <c r="G390" t="n">
        <v>0.6</v>
      </c>
      <c r="H390" t="n">
        <v>0</v>
      </c>
      <c r="I390" t="n">
        <v>0</v>
      </c>
      <c r="J390" t="n">
        <v>1</v>
      </c>
      <c r="K390" t="n">
        <v>0</v>
      </c>
      <c r="L390" t="n">
        <v>0</v>
      </c>
      <c r="M390" t="n">
        <v>0</v>
      </c>
      <c r="N390" t="n">
        <v>0</v>
      </c>
      <c r="O390" t="n">
        <v>1</v>
      </c>
      <c r="P390" t="n">
        <v>0</v>
      </c>
      <c r="Q390" t="n">
        <v>1</v>
      </c>
      <c r="R390" s="2" t="inlineStr">
        <is>
          <t>Doftskinn</t>
        </is>
      </c>
      <c r="S390">
        <f>HYPERLINK("https://klasma.github.io/Logging_2283/artfynd/A 48087-2023 artfynd.xlsx", "A 48087-2023")</f>
        <v/>
      </c>
      <c r="T390">
        <f>HYPERLINK("https://klasma.github.io/Logging_2283/kartor/A 48087-2023 karta.png", "A 48087-2023")</f>
        <v/>
      </c>
      <c r="V390">
        <f>HYPERLINK("https://klasma.github.io/Logging_2283/klagomål/A 48087-2023 FSC-klagomål.docx", "A 48087-2023")</f>
        <v/>
      </c>
      <c r="W390">
        <f>HYPERLINK("https://klasma.github.io/Logging_2283/klagomålsmail/A 48087-2023 FSC-klagomål mail.docx", "A 48087-2023")</f>
        <v/>
      </c>
      <c r="X390">
        <f>HYPERLINK("https://klasma.github.io/Logging_2283/tillsyn/A 48087-2023 tillsynsbegäran.docx", "A 48087-2023")</f>
        <v/>
      </c>
      <c r="Y390">
        <f>HYPERLINK("https://klasma.github.io/Logging_2283/tillsynsmail/A 48087-2023 tillsynsbegäran mail.docx", "A 48087-2023")</f>
        <v/>
      </c>
    </row>
    <row r="391" ht="15" customHeight="1">
      <c r="A391" t="inlineStr">
        <is>
          <t>A 53059-2023</t>
        </is>
      </c>
      <c r="B391" s="1" t="n">
        <v>45226</v>
      </c>
      <c r="C391" s="1" t="n">
        <v>45670</v>
      </c>
      <c r="D391" t="inlineStr">
        <is>
          <t>VÄSTERNORRLANDS LÄN</t>
        </is>
      </c>
      <c r="E391" t="inlineStr">
        <is>
          <t>SOLLEFTEÅ</t>
        </is>
      </c>
      <c r="F391" t="inlineStr">
        <is>
          <t>SCA</t>
        </is>
      </c>
      <c r="G391" t="n">
        <v>1.3</v>
      </c>
      <c r="H391" t="n">
        <v>1</v>
      </c>
      <c r="I391" t="n">
        <v>0</v>
      </c>
      <c r="J391" t="n">
        <v>0</v>
      </c>
      <c r="K391" t="n">
        <v>1</v>
      </c>
      <c r="L391" t="n">
        <v>0</v>
      </c>
      <c r="M391" t="n">
        <v>0</v>
      </c>
      <c r="N391" t="n">
        <v>0</v>
      </c>
      <c r="O391" t="n">
        <v>1</v>
      </c>
      <c r="P391" t="n">
        <v>1</v>
      </c>
      <c r="Q391" t="n">
        <v>1</v>
      </c>
      <c r="R391" s="2" t="inlineStr">
        <is>
          <t>Knärot</t>
        </is>
      </c>
      <c r="S391">
        <f>HYPERLINK("https://klasma.github.io/Logging_2283/artfynd/A 53059-2023 artfynd.xlsx", "A 53059-2023")</f>
        <v/>
      </c>
      <c r="T391">
        <f>HYPERLINK("https://klasma.github.io/Logging_2283/kartor/A 53059-2023 karta.png", "A 53059-2023")</f>
        <v/>
      </c>
      <c r="U391">
        <f>HYPERLINK("https://klasma.github.io/Logging_2283/knärot/A 53059-2023 karta knärot.png", "A 53059-2023")</f>
        <v/>
      </c>
      <c r="V391">
        <f>HYPERLINK("https://klasma.github.io/Logging_2283/klagomål/A 53059-2023 FSC-klagomål.docx", "A 53059-2023")</f>
        <v/>
      </c>
      <c r="W391">
        <f>HYPERLINK("https://klasma.github.io/Logging_2283/klagomålsmail/A 53059-2023 FSC-klagomål mail.docx", "A 53059-2023")</f>
        <v/>
      </c>
      <c r="X391">
        <f>HYPERLINK("https://klasma.github.io/Logging_2283/tillsyn/A 53059-2023 tillsynsbegäran.docx", "A 53059-2023")</f>
        <v/>
      </c>
      <c r="Y391">
        <f>HYPERLINK("https://klasma.github.io/Logging_2283/tillsynsmail/A 53059-2023 tillsynsbegäran mail.docx", "A 53059-2023")</f>
        <v/>
      </c>
    </row>
    <row r="392" ht="15" customHeight="1">
      <c r="A392" t="inlineStr">
        <is>
          <t>A 53039-2023</t>
        </is>
      </c>
      <c r="B392" s="1" t="n">
        <v>45226</v>
      </c>
      <c r="C392" s="1" t="n">
        <v>45670</v>
      </c>
      <c r="D392" t="inlineStr">
        <is>
          <t>VÄSTERNORRLANDS LÄN</t>
        </is>
      </c>
      <c r="E392" t="inlineStr">
        <is>
          <t>SOLLEFTEÅ</t>
        </is>
      </c>
      <c r="F392" t="inlineStr">
        <is>
          <t>SCA</t>
        </is>
      </c>
      <c r="G392" t="n">
        <v>1.8</v>
      </c>
      <c r="H392" t="n">
        <v>1</v>
      </c>
      <c r="I392" t="n">
        <v>0</v>
      </c>
      <c r="J392" t="n">
        <v>1</v>
      </c>
      <c r="K392" t="n">
        <v>0</v>
      </c>
      <c r="L392" t="n">
        <v>0</v>
      </c>
      <c r="M392" t="n">
        <v>0</v>
      </c>
      <c r="N392" t="n">
        <v>0</v>
      </c>
      <c r="O392" t="n">
        <v>1</v>
      </c>
      <c r="P392" t="n">
        <v>0</v>
      </c>
      <c r="Q392" t="n">
        <v>1</v>
      </c>
      <c r="R392" s="2" t="inlineStr">
        <is>
          <t>Nordfladdermus</t>
        </is>
      </c>
      <c r="S392">
        <f>HYPERLINK("https://klasma.github.io/Logging_2283/artfynd/A 53039-2023 artfynd.xlsx", "A 53039-2023")</f>
        <v/>
      </c>
      <c r="T392">
        <f>HYPERLINK("https://klasma.github.io/Logging_2283/kartor/A 53039-2023 karta.png", "A 53039-2023")</f>
        <v/>
      </c>
      <c r="V392">
        <f>HYPERLINK("https://klasma.github.io/Logging_2283/klagomål/A 53039-2023 FSC-klagomål.docx", "A 53039-2023")</f>
        <v/>
      </c>
      <c r="W392">
        <f>HYPERLINK("https://klasma.github.io/Logging_2283/klagomålsmail/A 53039-2023 FSC-klagomål mail.docx", "A 53039-2023")</f>
        <v/>
      </c>
      <c r="X392">
        <f>HYPERLINK("https://klasma.github.io/Logging_2283/tillsyn/A 53039-2023 tillsynsbegäran.docx", "A 53039-2023")</f>
        <v/>
      </c>
      <c r="Y392">
        <f>HYPERLINK("https://klasma.github.io/Logging_2283/tillsynsmail/A 53039-2023 tillsynsbegäran mail.docx", "A 53039-2023")</f>
        <v/>
      </c>
    </row>
    <row r="393" ht="15" customHeight="1">
      <c r="A393" t="inlineStr">
        <is>
          <t>A 53446-2023</t>
        </is>
      </c>
      <c r="B393" s="1" t="n">
        <v>45229</v>
      </c>
      <c r="C393" s="1" t="n">
        <v>45670</v>
      </c>
      <c r="D393" t="inlineStr">
        <is>
          <t>VÄSTERNORRLANDS LÄN</t>
        </is>
      </c>
      <c r="E393" t="inlineStr">
        <is>
          <t>SOLLEFTEÅ</t>
        </is>
      </c>
      <c r="F393" t="inlineStr">
        <is>
          <t>SCA</t>
        </is>
      </c>
      <c r="G393" t="n">
        <v>2.2</v>
      </c>
      <c r="H393" t="n">
        <v>0</v>
      </c>
      <c r="I393" t="n">
        <v>0</v>
      </c>
      <c r="J393" t="n">
        <v>1</v>
      </c>
      <c r="K393" t="n">
        <v>0</v>
      </c>
      <c r="L393" t="n">
        <v>0</v>
      </c>
      <c r="M393" t="n">
        <v>0</v>
      </c>
      <c r="N393" t="n">
        <v>0</v>
      </c>
      <c r="O393" t="n">
        <v>1</v>
      </c>
      <c r="P393" t="n">
        <v>0</v>
      </c>
      <c r="Q393" t="n">
        <v>1</v>
      </c>
      <c r="R393" s="2" t="inlineStr">
        <is>
          <t>Kolflarnlav</t>
        </is>
      </c>
      <c r="S393">
        <f>HYPERLINK("https://klasma.github.io/Logging_2283/artfynd/A 53446-2023 artfynd.xlsx", "A 53446-2023")</f>
        <v/>
      </c>
      <c r="T393">
        <f>HYPERLINK("https://klasma.github.io/Logging_2283/kartor/A 53446-2023 karta.png", "A 53446-2023")</f>
        <v/>
      </c>
      <c r="V393">
        <f>HYPERLINK("https://klasma.github.io/Logging_2283/klagomål/A 53446-2023 FSC-klagomål.docx", "A 53446-2023")</f>
        <v/>
      </c>
      <c r="W393">
        <f>HYPERLINK("https://klasma.github.io/Logging_2283/klagomålsmail/A 53446-2023 FSC-klagomål mail.docx", "A 53446-2023")</f>
        <v/>
      </c>
      <c r="X393">
        <f>HYPERLINK("https://klasma.github.io/Logging_2283/tillsyn/A 53446-2023 tillsynsbegäran.docx", "A 53446-2023")</f>
        <v/>
      </c>
      <c r="Y393">
        <f>HYPERLINK("https://klasma.github.io/Logging_2283/tillsynsmail/A 53446-2023 tillsynsbegäran mail.docx", "A 53446-2023")</f>
        <v/>
      </c>
    </row>
    <row r="394" ht="15" customHeight="1">
      <c r="A394" t="inlineStr">
        <is>
          <t>A 56257-2023</t>
        </is>
      </c>
      <c r="B394" s="1" t="n">
        <v>45240</v>
      </c>
      <c r="C394" s="1" t="n">
        <v>45670</v>
      </c>
      <c r="D394" t="inlineStr">
        <is>
          <t>VÄSTERNORRLANDS LÄN</t>
        </is>
      </c>
      <c r="E394" t="inlineStr">
        <is>
          <t>SOLLEFTEÅ</t>
        </is>
      </c>
      <c r="F394" t="inlineStr">
        <is>
          <t>SCA</t>
        </is>
      </c>
      <c r="G394" t="n">
        <v>2.9</v>
      </c>
      <c r="H394" t="n">
        <v>0</v>
      </c>
      <c r="I394" t="n">
        <v>1</v>
      </c>
      <c r="J394" t="n">
        <v>0</v>
      </c>
      <c r="K394" t="n">
        <v>0</v>
      </c>
      <c r="L394" t="n">
        <v>0</v>
      </c>
      <c r="M394" t="n">
        <v>0</v>
      </c>
      <c r="N394" t="n">
        <v>0</v>
      </c>
      <c r="O394" t="n">
        <v>0</v>
      </c>
      <c r="P394" t="n">
        <v>0</v>
      </c>
      <c r="Q394" t="n">
        <v>1</v>
      </c>
      <c r="R394" s="2" t="inlineStr">
        <is>
          <t>Tibast</t>
        </is>
      </c>
      <c r="S394">
        <f>HYPERLINK("https://klasma.github.io/Logging_2283/artfynd/A 56257-2023 artfynd.xlsx", "A 56257-2023")</f>
        <v/>
      </c>
      <c r="T394">
        <f>HYPERLINK("https://klasma.github.io/Logging_2283/kartor/A 56257-2023 karta.png", "A 56257-2023")</f>
        <v/>
      </c>
      <c r="V394">
        <f>HYPERLINK("https://klasma.github.io/Logging_2283/klagomål/A 56257-2023 FSC-klagomål.docx", "A 56257-2023")</f>
        <v/>
      </c>
      <c r="W394">
        <f>HYPERLINK("https://klasma.github.io/Logging_2283/klagomålsmail/A 56257-2023 FSC-klagomål mail.docx", "A 56257-2023")</f>
        <v/>
      </c>
      <c r="X394">
        <f>HYPERLINK("https://klasma.github.io/Logging_2283/tillsyn/A 56257-2023 tillsynsbegäran.docx", "A 56257-2023")</f>
        <v/>
      </c>
      <c r="Y394">
        <f>HYPERLINK("https://klasma.github.io/Logging_2283/tillsynsmail/A 56257-2023 tillsynsbegäran mail.docx", "A 56257-2023")</f>
        <v/>
      </c>
    </row>
    <row r="395" ht="15" customHeight="1">
      <c r="A395" t="inlineStr">
        <is>
          <t>A 59100-2023</t>
        </is>
      </c>
      <c r="B395" s="1" t="n">
        <v>45252</v>
      </c>
      <c r="C395" s="1" t="n">
        <v>45670</v>
      </c>
      <c r="D395" t="inlineStr">
        <is>
          <t>VÄSTERNORRLANDS LÄN</t>
        </is>
      </c>
      <c r="E395" t="inlineStr">
        <is>
          <t>SOLLEFTEÅ</t>
        </is>
      </c>
      <c r="F395" t="inlineStr">
        <is>
          <t>SCA</t>
        </is>
      </c>
      <c r="G395" t="n">
        <v>4.2</v>
      </c>
      <c r="H395" t="n">
        <v>0</v>
      </c>
      <c r="I395" t="n">
        <v>0</v>
      </c>
      <c r="J395" t="n">
        <v>1</v>
      </c>
      <c r="K395" t="n">
        <v>0</v>
      </c>
      <c r="L395" t="n">
        <v>0</v>
      </c>
      <c r="M395" t="n">
        <v>0</v>
      </c>
      <c r="N395" t="n">
        <v>0</v>
      </c>
      <c r="O395" t="n">
        <v>1</v>
      </c>
      <c r="P395" t="n">
        <v>0</v>
      </c>
      <c r="Q395" t="n">
        <v>1</v>
      </c>
      <c r="R395" s="2" t="inlineStr">
        <is>
          <t>Skrovlig taggsvamp</t>
        </is>
      </c>
      <c r="S395">
        <f>HYPERLINK("https://klasma.github.io/Logging_2283/artfynd/A 59100-2023 artfynd.xlsx", "A 59100-2023")</f>
        <v/>
      </c>
      <c r="T395">
        <f>HYPERLINK("https://klasma.github.io/Logging_2283/kartor/A 59100-2023 karta.png", "A 59100-2023")</f>
        <v/>
      </c>
      <c r="V395">
        <f>HYPERLINK("https://klasma.github.io/Logging_2283/klagomål/A 59100-2023 FSC-klagomål.docx", "A 59100-2023")</f>
        <v/>
      </c>
      <c r="W395">
        <f>HYPERLINK("https://klasma.github.io/Logging_2283/klagomålsmail/A 59100-2023 FSC-klagomål mail.docx", "A 59100-2023")</f>
        <v/>
      </c>
      <c r="X395">
        <f>HYPERLINK("https://klasma.github.io/Logging_2283/tillsyn/A 59100-2023 tillsynsbegäran.docx", "A 59100-2023")</f>
        <v/>
      </c>
      <c r="Y395">
        <f>HYPERLINK("https://klasma.github.io/Logging_2283/tillsynsmail/A 59100-2023 tillsynsbegäran mail.docx", "A 59100-2023")</f>
        <v/>
      </c>
    </row>
    <row r="396" ht="15" customHeight="1">
      <c r="A396" t="inlineStr">
        <is>
          <t>A 386-2024</t>
        </is>
      </c>
      <c r="B396" s="1" t="n">
        <v>45296</v>
      </c>
      <c r="C396" s="1" t="n">
        <v>45670</v>
      </c>
      <c r="D396" t="inlineStr">
        <is>
          <t>VÄSTERNORRLANDS LÄN</t>
        </is>
      </c>
      <c r="E396" t="inlineStr">
        <is>
          <t>SOLLEFTEÅ</t>
        </is>
      </c>
      <c r="G396" t="n">
        <v>3.7</v>
      </c>
      <c r="H396" t="n">
        <v>0</v>
      </c>
      <c r="I396" t="n">
        <v>0</v>
      </c>
      <c r="J396" t="n">
        <v>1</v>
      </c>
      <c r="K396" t="n">
        <v>0</v>
      </c>
      <c r="L396" t="n">
        <v>0</v>
      </c>
      <c r="M396" t="n">
        <v>0</v>
      </c>
      <c r="N396" t="n">
        <v>0</v>
      </c>
      <c r="O396" t="n">
        <v>1</v>
      </c>
      <c r="P396" t="n">
        <v>0</v>
      </c>
      <c r="Q396" t="n">
        <v>1</v>
      </c>
      <c r="R396" s="2" t="inlineStr">
        <is>
          <t>Kolflarnlav</t>
        </is>
      </c>
      <c r="S396">
        <f>HYPERLINK("https://klasma.github.io/Logging_2283/artfynd/A 386-2024 artfynd.xlsx", "A 386-2024")</f>
        <v/>
      </c>
      <c r="T396">
        <f>HYPERLINK("https://klasma.github.io/Logging_2283/kartor/A 386-2024 karta.png", "A 386-2024")</f>
        <v/>
      </c>
      <c r="V396">
        <f>HYPERLINK("https://klasma.github.io/Logging_2283/klagomål/A 386-2024 FSC-klagomål.docx", "A 386-2024")</f>
        <v/>
      </c>
      <c r="W396">
        <f>HYPERLINK("https://klasma.github.io/Logging_2283/klagomålsmail/A 386-2024 FSC-klagomål mail.docx", "A 386-2024")</f>
        <v/>
      </c>
      <c r="X396">
        <f>HYPERLINK("https://klasma.github.io/Logging_2283/tillsyn/A 386-2024 tillsynsbegäran.docx", "A 386-2024")</f>
        <v/>
      </c>
      <c r="Y396">
        <f>HYPERLINK("https://klasma.github.io/Logging_2283/tillsynsmail/A 386-2024 tillsynsbegäran mail.docx", "A 386-2024")</f>
        <v/>
      </c>
    </row>
    <row r="397" ht="15" customHeight="1">
      <c r="A397" t="inlineStr">
        <is>
          <t>A 2423-2024</t>
        </is>
      </c>
      <c r="B397" s="1" t="n">
        <v>45310</v>
      </c>
      <c r="C397" s="1" t="n">
        <v>45670</v>
      </c>
      <c r="D397" t="inlineStr">
        <is>
          <t>VÄSTERNORRLANDS LÄN</t>
        </is>
      </c>
      <c r="E397" t="inlineStr">
        <is>
          <t>SOLLEFTEÅ</t>
        </is>
      </c>
      <c r="F397" t="inlineStr">
        <is>
          <t>SCA</t>
        </is>
      </c>
      <c r="G397" t="n">
        <v>3.2</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2423-2024 artfynd.xlsx", "A 2423-2024")</f>
        <v/>
      </c>
      <c r="T397">
        <f>HYPERLINK("https://klasma.github.io/Logging_2283/kartor/A 2423-2024 karta.png", "A 2423-2024")</f>
        <v/>
      </c>
      <c r="V397">
        <f>HYPERLINK("https://klasma.github.io/Logging_2283/klagomål/A 2423-2024 FSC-klagomål.docx", "A 2423-2024")</f>
        <v/>
      </c>
      <c r="W397">
        <f>HYPERLINK("https://klasma.github.io/Logging_2283/klagomålsmail/A 2423-2024 FSC-klagomål mail.docx", "A 2423-2024")</f>
        <v/>
      </c>
      <c r="X397">
        <f>HYPERLINK("https://klasma.github.io/Logging_2283/tillsyn/A 2423-2024 tillsynsbegäran.docx", "A 2423-2024")</f>
        <v/>
      </c>
      <c r="Y397">
        <f>HYPERLINK("https://klasma.github.io/Logging_2283/tillsynsmail/A 2423-2024 tillsynsbegäran mail.docx", "A 2423-2024")</f>
        <v/>
      </c>
      <c r="Z397">
        <f>HYPERLINK("https://klasma.github.io/Logging_2283/fåglar/A 2423-2024 prioriterade fågelarter.docx", "A 2423-2024")</f>
        <v/>
      </c>
    </row>
    <row r="398" ht="15" customHeight="1">
      <c r="A398" t="inlineStr">
        <is>
          <t>A 2570-2024</t>
        </is>
      </c>
      <c r="B398" s="1" t="n">
        <v>45313</v>
      </c>
      <c r="C398" s="1" t="n">
        <v>45670</v>
      </c>
      <c r="D398" t="inlineStr">
        <is>
          <t>VÄSTERNORRLANDS LÄN</t>
        </is>
      </c>
      <c r="E398" t="inlineStr">
        <is>
          <t>SOLLEFTEÅ</t>
        </is>
      </c>
      <c r="F398" t="inlineStr">
        <is>
          <t>Kommuner</t>
        </is>
      </c>
      <c r="G398" t="n">
        <v>6</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2570-2024 artfynd.xlsx", "A 2570-2024")</f>
        <v/>
      </c>
      <c r="T398">
        <f>HYPERLINK("https://klasma.github.io/Logging_2283/kartor/A 2570-2024 karta.png", "A 2570-2024")</f>
        <v/>
      </c>
      <c r="V398">
        <f>HYPERLINK("https://klasma.github.io/Logging_2283/klagomål/A 2570-2024 FSC-klagomål.docx", "A 2570-2024")</f>
        <v/>
      </c>
      <c r="W398">
        <f>HYPERLINK("https://klasma.github.io/Logging_2283/klagomålsmail/A 2570-2024 FSC-klagomål mail.docx", "A 2570-2024")</f>
        <v/>
      </c>
      <c r="X398">
        <f>HYPERLINK("https://klasma.github.io/Logging_2283/tillsyn/A 2570-2024 tillsynsbegäran.docx", "A 2570-2024")</f>
        <v/>
      </c>
      <c r="Y398">
        <f>HYPERLINK("https://klasma.github.io/Logging_2283/tillsynsmail/A 2570-2024 tillsynsbegäran mail.docx", "A 2570-2024")</f>
        <v/>
      </c>
      <c r="Z398">
        <f>HYPERLINK("https://klasma.github.io/Logging_2283/fåglar/A 2570-2024 prioriterade fågelarter.docx", "A 2570-2024")</f>
        <v/>
      </c>
    </row>
    <row r="399" ht="15" customHeight="1">
      <c r="A399" t="inlineStr">
        <is>
          <t>A 3959-2024</t>
        </is>
      </c>
      <c r="B399" s="1" t="n">
        <v>45322</v>
      </c>
      <c r="C399" s="1" t="n">
        <v>45670</v>
      </c>
      <c r="D399" t="inlineStr">
        <is>
          <t>VÄSTERNORRLANDS LÄN</t>
        </is>
      </c>
      <c r="E399" t="inlineStr">
        <is>
          <t>SOLLEFTEÅ</t>
        </is>
      </c>
      <c r="F399" t="inlineStr">
        <is>
          <t>Kommuner</t>
        </is>
      </c>
      <c r="G399" t="n">
        <v>1</v>
      </c>
      <c r="H399" t="n">
        <v>0</v>
      </c>
      <c r="I399" t="n">
        <v>0</v>
      </c>
      <c r="J399" t="n">
        <v>1</v>
      </c>
      <c r="K399" t="n">
        <v>0</v>
      </c>
      <c r="L399" t="n">
        <v>0</v>
      </c>
      <c r="M399" t="n">
        <v>0</v>
      </c>
      <c r="N399" t="n">
        <v>0</v>
      </c>
      <c r="O399" t="n">
        <v>1</v>
      </c>
      <c r="P399" t="n">
        <v>0</v>
      </c>
      <c r="Q399" t="n">
        <v>1</v>
      </c>
      <c r="R399" s="2" t="inlineStr">
        <is>
          <t>Garnlav</t>
        </is>
      </c>
      <c r="S399">
        <f>HYPERLINK("https://klasma.github.io/Logging_2283/artfynd/A 3959-2024 artfynd.xlsx", "A 3959-2024")</f>
        <v/>
      </c>
      <c r="T399">
        <f>HYPERLINK("https://klasma.github.io/Logging_2283/kartor/A 3959-2024 karta.png", "A 3959-2024")</f>
        <v/>
      </c>
      <c r="V399">
        <f>HYPERLINK("https://klasma.github.io/Logging_2283/klagomål/A 3959-2024 FSC-klagomål.docx", "A 3959-2024")</f>
        <v/>
      </c>
      <c r="W399">
        <f>HYPERLINK("https://klasma.github.io/Logging_2283/klagomålsmail/A 3959-2024 FSC-klagomål mail.docx", "A 3959-2024")</f>
        <v/>
      </c>
      <c r="X399">
        <f>HYPERLINK("https://klasma.github.io/Logging_2283/tillsyn/A 3959-2024 tillsynsbegäran.docx", "A 3959-2024")</f>
        <v/>
      </c>
      <c r="Y399">
        <f>HYPERLINK("https://klasma.github.io/Logging_2283/tillsynsmail/A 3959-2024 tillsynsbegäran mail.docx", "A 3959-2024")</f>
        <v/>
      </c>
    </row>
    <row r="400" ht="15" customHeight="1">
      <c r="A400" t="inlineStr">
        <is>
          <t>A 5033-2024</t>
        </is>
      </c>
      <c r="B400" s="1" t="n">
        <v>45329</v>
      </c>
      <c r="C400" s="1" t="n">
        <v>45670</v>
      </c>
      <c r="D400" t="inlineStr">
        <is>
          <t>VÄSTERNORRLANDS LÄN</t>
        </is>
      </c>
      <c r="E400" t="inlineStr">
        <is>
          <t>SOLLEFTEÅ</t>
        </is>
      </c>
      <c r="F400" t="inlineStr">
        <is>
          <t>Övriga Aktiebolag</t>
        </is>
      </c>
      <c r="G400" t="n">
        <v>3.2</v>
      </c>
      <c r="H400" t="n">
        <v>0</v>
      </c>
      <c r="I400" t="n">
        <v>1</v>
      </c>
      <c r="J400" t="n">
        <v>0</v>
      </c>
      <c r="K400" t="n">
        <v>0</v>
      </c>
      <c r="L400" t="n">
        <v>0</v>
      </c>
      <c r="M400" t="n">
        <v>0</v>
      </c>
      <c r="N400" t="n">
        <v>0</v>
      </c>
      <c r="O400" t="n">
        <v>0</v>
      </c>
      <c r="P400" t="n">
        <v>0</v>
      </c>
      <c r="Q400" t="n">
        <v>1</v>
      </c>
      <c r="R400" s="2" t="inlineStr">
        <is>
          <t>Kransrams</t>
        </is>
      </c>
      <c r="S400">
        <f>HYPERLINK("https://klasma.github.io/Logging_2283/artfynd/A 5033-2024 artfynd.xlsx", "A 5033-2024")</f>
        <v/>
      </c>
      <c r="T400">
        <f>HYPERLINK("https://klasma.github.io/Logging_2283/kartor/A 5033-2024 karta.png", "A 5033-2024")</f>
        <v/>
      </c>
      <c r="V400">
        <f>HYPERLINK("https://klasma.github.io/Logging_2283/klagomål/A 5033-2024 FSC-klagomål.docx", "A 5033-2024")</f>
        <v/>
      </c>
      <c r="W400">
        <f>HYPERLINK("https://klasma.github.io/Logging_2283/klagomålsmail/A 5033-2024 FSC-klagomål mail.docx", "A 5033-2024")</f>
        <v/>
      </c>
      <c r="X400">
        <f>HYPERLINK("https://klasma.github.io/Logging_2283/tillsyn/A 5033-2024 tillsynsbegäran.docx", "A 5033-2024")</f>
        <v/>
      </c>
      <c r="Y400">
        <f>HYPERLINK("https://klasma.github.io/Logging_2283/tillsynsmail/A 5033-2024 tillsynsbegäran mail.docx", "A 5033-2024")</f>
        <v/>
      </c>
    </row>
    <row r="401" ht="15" customHeight="1">
      <c r="A401" t="inlineStr">
        <is>
          <t>A 6889-2024</t>
        </is>
      </c>
      <c r="B401" s="1" t="n">
        <v>45342</v>
      </c>
      <c r="C401" s="1" t="n">
        <v>45670</v>
      </c>
      <c r="D401" t="inlineStr">
        <is>
          <t>VÄSTERNORRLANDS LÄN</t>
        </is>
      </c>
      <c r="E401" t="inlineStr">
        <is>
          <t>SOLLEFTEÅ</t>
        </is>
      </c>
      <c r="G401" t="n">
        <v>2.8</v>
      </c>
      <c r="H401" t="n">
        <v>0</v>
      </c>
      <c r="I401" t="n">
        <v>0</v>
      </c>
      <c r="J401" t="n">
        <v>1</v>
      </c>
      <c r="K401" t="n">
        <v>0</v>
      </c>
      <c r="L401" t="n">
        <v>0</v>
      </c>
      <c r="M401" t="n">
        <v>0</v>
      </c>
      <c r="N401" t="n">
        <v>0</v>
      </c>
      <c r="O401" t="n">
        <v>1</v>
      </c>
      <c r="P401" t="n">
        <v>0</v>
      </c>
      <c r="Q401" t="n">
        <v>1</v>
      </c>
      <c r="R401" s="2" t="inlineStr">
        <is>
          <t>Granticka</t>
        </is>
      </c>
      <c r="S401">
        <f>HYPERLINK("https://klasma.github.io/Logging_2283/artfynd/A 6889-2024 artfynd.xlsx", "A 6889-2024")</f>
        <v/>
      </c>
      <c r="T401">
        <f>HYPERLINK("https://klasma.github.io/Logging_2283/kartor/A 6889-2024 karta.png", "A 6889-2024")</f>
        <v/>
      </c>
      <c r="V401">
        <f>HYPERLINK("https://klasma.github.io/Logging_2283/klagomål/A 6889-2024 FSC-klagomål.docx", "A 6889-2024")</f>
        <v/>
      </c>
      <c r="W401">
        <f>HYPERLINK("https://klasma.github.io/Logging_2283/klagomålsmail/A 6889-2024 FSC-klagomål mail.docx", "A 6889-2024")</f>
        <v/>
      </c>
      <c r="X401">
        <f>HYPERLINK("https://klasma.github.io/Logging_2283/tillsyn/A 6889-2024 tillsynsbegäran.docx", "A 6889-2024")</f>
        <v/>
      </c>
      <c r="Y401">
        <f>HYPERLINK("https://klasma.github.io/Logging_2283/tillsynsmail/A 6889-2024 tillsynsbegäran mail.docx", "A 6889-2024")</f>
        <v/>
      </c>
    </row>
    <row r="402" ht="15" customHeight="1">
      <c r="A402" t="inlineStr">
        <is>
          <t>A 7468-2024</t>
        </is>
      </c>
      <c r="B402" s="1" t="n">
        <v>45345</v>
      </c>
      <c r="C402" s="1" t="n">
        <v>45670</v>
      </c>
      <c r="D402" t="inlineStr">
        <is>
          <t>VÄSTERNORRLANDS LÄN</t>
        </is>
      </c>
      <c r="E402" t="inlineStr">
        <is>
          <t>SOLLEFTEÅ</t>
        </is>
      </c>
      <c r="F402" t="inlineStr">
        <is>
          <t>SCA</t>
        </is>
      </c>
      <c r="G402" t="n">
        <v>55.2</v>
      </c>
      <c r="H402" t="n">
        <v>0</v>
      </c>
      <c r="I402" t="n">
        <v>0</v>
      </c>
      <c r="J402" t="n">
        <v>1</v>
      </c>
      <c r="K402" t="n">
        <v>0</v>
      </c>
      <c r="L402" t="n">
        <v>0</v>
      </c>
      <c r="M402" t="n">
        <v>0</v>
      </c>
      <c r="N402" t="n">
        <v>0</v>
      </c>
      <c r="O402" t="n">
        <v>1</v>
      </c>
      <c r="P402" t="n">
        <v>0</v>
      </c>
      <c r="Q402" t="n">
        <v>1</v>
      </c>
      <c r="R402" s="2" t="inlineStr">
        <is>
          <t>Granticka</t>
        </is>
      </c>
      <c r="S402">
        <f>HYPERLINK("https://klasma.github.io/Logging_2283/artfynd/A 7468-2024 artfynd.xlsx", "A 7468-2024")</f>
        <v/>
      </c>
      <c r="T402">
        <f>HYPERLINK("https://klasma.github.io/Logging_2283/kartor/A 7468-2024 karta.png", "A 7468-2024")</f>
        <v/>
      </c>
      <c r="V402">
        <f>HYPERLINK("https://klasma.github.io/Logging_2283/klagomål/A 7468-2024 FSC-klagomål.docx", "A 7468-2024")</f>
        <v/>
      </c>
      <c r="W402">
        <f>HYPERLINK("https://klasma.github.io/Logging_2283/klagomålsmail/A 7468-2024 FSC-klagomål mail.docx", "A 7468-2024")</f>
        <v/>
      </c>
      <c r="X402">
        <f>HYPERLINK("https://klasma.github.io/Logging_2283/tillsyn/A 7468-2024 tillsynsbegäran.docx", "A 7468-2024")</f>
        <v/>
      </c>
      <c r="Y402">
        <f>HYPERLINK("https://klasma.github.io/Logging_2283/tillsynsmail/A 7468-2024 tillsynsbegäran mail.docx", "A 7468-2024")</f>
        <v/>
      </c>
    </row>
    <row r="403" ht="15" customHeight="1">
      <c r="A403" t="inlineStr">
        <is>
          <t>A 7909-2024</t>
        </is>
      </c>
      <c r="B403" s="1" t="n">
        <v>45350</v>
      </c>
      <c r="C403" s="1" t="n">
        <v>45670</v>
      </c>
      <c r="D403" t="inlineStr">
        <is>
          <t>VÄSTERNORRLANDS LÄN</t>
        </is>
      </c>
      <c r="E403" t="inlineStr">
        <is>
          <t>SOLLEFTEÅ</t>
        </is>
      </c>
      <c r="G403" t="n">
        <v>7.2</v>
      </c>
      <c r="H403" t="n">
        <v>0</v>
      </c>
      <c r="I403" t="n">
        <v>0</v>
      </c>
      <c r="J403" t="n">
        <v>1</v>
      </c>
      <c r="K403" t="n">
        <v>0</v>
      </c>
      <c r="L403" t="n">
        <v>0</v>
      </c>
      <c r="M403" t="n">
        <v>0</v>
      </c>
      <c r="N403" t="n">
        <v>0</v>
      </c>
      <c r="O403" t="n">
        <v>1</v>
      </c>
      <c r="P403" t="n">
        <v>0</v>
      </c>
      <c r="Q403" t="n">
        <v>1</v>
      </c>
      <c r="R403" s="2" t="inlineStr">
        <is>
          <t>Lunglav</t>
        </is>
      </c>
      <c r="S403">
        <f>HYPERLINK("https://klasma.github.io/Logging_2283/artfynd/A 7909-2024 artfynd.xlsx", "A 7909-2024")</f>
        <v/>
      </c>
      <c r="T403">
        <f>HYPERLINK("https://klasma.github.io/Logging_2283/kartor/A 7909-2024 karta.png", "A 7909-2024")</f>
        <v/>
      </c>
      <c r="V403">
        <f>HYPERLINK("https://klasma.github.io/Logging_2283/klagomål/A 7909-2024 FSC-klagomål.docx", "A 7909-2024")</f>
        <v/>
      </c>
      <c r="W403">
        <f>HYPERLINK("https://klasma.github.io/Logging_2283/klagomålsmail/A 7909-2024 FSC-klagomål mail.docx", "A 7909-2024")</f>
        <v/>
      </c>
      <c r="X403">
        <f>HYPERLINK("https://klasma.github.io/Logging_2283/tillsyn/A 7909-2024 tillsynsbegäran.docx", "A 7909-2024")</f>
        <v/>
      </c>
      <c r="Y403">
        <f>HYPERLINK("https://klasma.github.io/Logging_2283/tillsynsmail/A 7909-2024 tillsynsbegäran mail.docx", "A 7909-2024")</f>
        <v/>
      </c>
    </row>
    <row r="404" ht="15" customHeight="1">
      <c r="A404" t="inlineStr">
        <is>
          <t>A 8541-2024</t>
        </is>
      </c>
      <c r="B404" s="1" t="n">
        <v>45351</v>
      </c>
      <c r="C404" s="1" t="n">
        <v>45670</v>
      </c>
      <c r="D404" t="inlineStr">
        <is>
          <t>VÄSTERNORRLANDS LÄN</t>
        </is>
      </c>
      <c r="E404" t="inlineStr">
        <is>
          <t>SOLLEFTEÅ</t>
        </is>
      </c>
      <c r="F404" t="inlineStr">
        <is>
          <t>Kommuner</t>
        </is>
      </c>
      <c r="G404" t="n">
        <v>0.6</v>
      </c>
      <c r="H404" t="n">
        <v>0</v>
      </c>
      <c r="I404" t="n">
        <v>0</v>
      </c>
      <c r="J404" t="n">
        <v>1</v>
      </c>
      <c r="K404" t="n">
        <v>0</v>
      </c>
      <c r="L404" t="n">
        <v>0</v>
      </c>
      <c r="M404" t="n">
        <v>0</v>
      </c>
      <c r="N404" t="n">
        <v>0</v>
      </c>
      <c r="O404" t="n">
        <v>1</v>
      </c>
      <c r="P404" t="n">
        <v>0</v>
      </c>
      <c r="Q404" t="n">
        <v>1</v>
      </c>
      <c r="R404" s="2" t="inlineStr">
        <is>
          <t>Granticka</t>
        </is>
      </c>
      <c r="S404">
        <f>HYPERLINK("https://klasma.github.io/Logging_2283/artfynd/A 8541-2024 artfynd.xlsx", "A 8541-2024")</f>
        <v/>
      </c>
      <c r="T404">
        <f>HYPERLINK("https://klasma.github.io/Logging_2283/kartor/A 8541-2024 karta.png", "A 8541-2024")</f>
        <v/>
      </c>
      <c r="V404">
        <f>HYPERLINK("https://klasma.github.io/Logging_2283/klagomål/A 8541-2024 FSC-klagomål.docx", "A 8541-2024")</f>
        <v/>
      </c>
      <c r="W404">
        <f>HYPERLINK("https://klasma.github.io/Logging_2283/klagomålsmail/A 8541-2024 FSC-klagomål mail.docx", "A 8541-2024")</f>
        <v/>
      </c>
      <c r="X404">
        <f>HYPERLINK("https://klasma.github.io/Logging_2283/tillsyn/A 8541-2024 tillsynsbegäran.docx", "A 8541-2024")</f>
        <v/>
      </c>
      <c r="Y404">
        <f>HYPERLINK("https://klasma.github.io/Logging_2283/tillsynsmail/A 8541-2024 tillsynsbegäran mail.docx", "A 8541-2024")</f>
        <v/>
      </c>
    </row>
    <row r="405" ht="15" customHeight="1">
      <c r="A405" t="inlineStr">
        <is>
          <t>A 8903-2024</t>
        </is>
      </c>
      <c r="B405" s="1" t="n">
        <v>45355</v>
      </c>
      <c r="C405" s="1" t="n">
        <v>45670</v>
      </c>
      <c r="D405" t="inlineStr">
        <is>
          <t>VÄSTERNORRLANDS LÄN</t>
        </is>
      </c>
      <c r="E405" t="inlineStr">
        <is>
          <t>SOLLEFTEÅ</t>
        </is>
      </c>
      <c r="G405" t="n">
        <v>1.7</v>
      </c>
      <c r="H405" t="n">
        <v>0</v>
      </c>
      <c r="I405" t="n">
        <v>1</v>
      </c>
      <c r="J405" t="n">
        <v>0</v>
      </c>
      <c r="K405" t="n">
        <v>0</v>
      </c>
      <c r="L405" t="n">
        <v>0</v>
      </c>
      <c r="M405" t="n">
        <v>0</v>
      </c>
      <c r="N405" t="n">
        <v>0</v>
      </c>
      <c r="O405" t="n">
        <v>0</v>
      </c>
      <c r="P405" t="n">
        <v>0</v>
      </c>
      <c r="Q405" t="n">
        <v>1</v>
      </c>
      <c r="R405" s="2" t="inlineStr">
        <is>
          <t>Strutbräken</t>
        </is>
      </c>
      <c r="S405">
        <f>HYPERLINK("https://klasma.github.io/Logging_2283/artfynd/A 8903-2024 artfynd.xlsx", "A 8903-2024")</f>
        <v/>
      </c>
      <c r="T405">
        <f>HYPERLINK("https://klasma.github.io/Logging_2283/kartor/A 8903-2024 karta.png", "A 8903-2024")</f>
        <v/>
      </c>
      <c r="V405">
        <f>HYPERLINK("https://klasma.github.io/Logging_2283/klagomål/A 8903-2024 FSC-klagomål.docx", "A 8903-2024")</f>
        <v/>
      </c>
      <c r="W405">
        <f>HYPERLINK("https://klasma.github.io/Logging_2283/klagomålsmail/A 8903-2024 FSC-klagomål mail.docx", "A 8903-2024")</f>
        <v/>
      </c>
      <c r="X405">
        <f>HYPERLINK("https://klasma.github.io/Logging_2283/tillsyn/A 8903-2024 tillsynsbegäran.docx", "A 8903-2024")</f>
        <v/>
      </c>
      <c r="Y405">
        <f>HYPERLINK("https://klasma.github.io/Logging_2283/tillsynsmail/A 8903-2024 tillsynsbegäran mail.docx", "A 8903-2024")</f>
        <v/>
      </c>
    </row>
    <row r="406" ht="15" customHeight="1">
      <c r="A406" t="inlineStr">
        <is>
          <t>A 9818-2024</t>
        </is>
      </c>
      <c r="B406" s="1" t="n">
        <v>45363</v>
      </c>
      <c r="C406" s="1" t="n">
        <v>45670</v>
      </c>
      <c r="D406" t="inlineStr">
        <is>
          <t>VÄSTERNORRLANDS LÄN</t>
        </is>
      </c>
      <c r="E406" t="inlineStr">
        <is>
          <t>SOLLEFTEÅ</t>
        </is>
      </c>
      <c r="F406" t="inlineStr">
        <is>
          <t>SCA</t>
        </is>
      </c>
      <c r="G406" t="n">
        <v>3.8</v>
      </c>
      <c r="H406" t="n">
        <v>0</v>
      </c>
      <c r="I406" t="n">
        <v>0</v>
      </c>
      <c r="J406" t="n">
        <v>1</v>
      </c>
      <c r="K406" t="n">
        <v>0</v>
      </c>
      <c r="L406" t="n">
        <v>0</v>
      </c>
      <c r="M406" t="n">
        <v>0</v>
      </c>
      <c r="N406" t="n">
        <v>0</v>
      </c>
      <c r="O406" t="n">
        <v>1</v>
      </c>
      <c r="P406" t="n">
        <v>0</v>
      </c>
      <c r="Q406" t="n">
        <v>1</v>
      </c>
      <c r="R406" s="2" t="inlineStr">
        <is>
          <t>Motaggsvamp</t>
        </is>
      </c>
      <c r="S406">
        <f>HYPERLINK("https://klasma.github.io/Logging_2283/artfynd/A 9818-2024 artfynd.xlsx", "A 9818-2024")</f>
        <v/>
      </c>
      <c r="T406">
        <f>HYPERLINK("https://klasma.github.io/Logging_2283/kartor/A 9818-2024 karta.png", "A 9818-2024")</f>
        <v/>
      </c>
      <c r="U406">
        <f>HYPERLINK("https://klasma.github.io/Logging_2283/knärot/A 9818-2024 karta knärot.png", "A 9818-2024")</f>
        <v/>
      </c>
      <c r="V406">
        <f>HYPERLINK("https://klasma.github.io/Logging_2283/klagomål/A 9818-2024 FSC-klagomål.docx", "A 9818-2024")</f>
        <v/>
      </c>
      <c r="W406">
        <f>HYPERLINK("https://klasma.github.io/Logging_2283/klagomålsmail/A 9818-2024 FSC-klagomål mail.docx", "A 9818-2024")</f>
        <v/>
      </c>
      <c r="X406">
        <f>HYPERLINK("https://klasma.github.io/Logging_2283/tillsyn/A 9818-2024 tillsynsbegäran.docx", "A 9818-2024")</f>
        <v/>
      </c>
      <c r="Y406">
        <f>HYPERLINK("https://klasma.github.io/Logging_2283/tillsynsmail/A 9818-2024 tillsynsbegäran mail.docx", "A 9818-2024")</f>
        <v/>
      </c>
    </row>
    <row r="407" ht="15" customHeight="1">
      <c r="A407" t="inlineStr">
        <is>
          <t>A 10854-2024</t>
        </is>
      </c>
      <c r="B407" s="1" t="n">
        <v>45370</v>
      </c>
      <c r="C407" s="1" t="n">
        <v>45670</v>
      </c>
      <c r="D407" t="inlineStr">
        <is>
          <t>VÄSTERNORRLANDS LÄN</t>
        </is>
      </c>
      <c r="E407" t="inlineStr">
        <is>
          <t>SOLLEFTEÅ</t>
        </is>
      </c>
      <c r="F407" t="inlineStr">
        <is>
          <t>SCA</t>
        </is>
      </c>
      <c r="G407" t="n">
        <v>2.8</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10854-2024 artfynd.xlsx", "A 10854-2024")</f>
        <v/>
      </c>
      <c r="T407">
        <f>HYPERLINK("https://klasma.github.io/Logging_2283/kartor/A 10854-2024 karta.png", "A 10854-2024")</f>
        <v/>
      </c>
      <c r="V407">
        <f>HYPERLINK("https://klasma.github.io/Logging_2283/klagomål/A 10854-2024 FSC-klagomål.docx", "A 10854-2024")</f>
        <v/>
      </c>
      <c r="W407">
        <f>HYPERLINK("https://klasma.github.io/Logging_2283/klagomålsmail/A 10854-2024 FSC-klagomål mail.docx", "A 10854-2024")</f>
        <v/>
      </c>
      <c r="X407">
        <f>HYPERLINK("https://klasma.github.io/Logging_2283/tillsyn/A 10854-2024 tillsynsbegäran.docx", "A 10854-2024")</f>
        <v/>
      </c>
      <c r="Y407">
        <f>HYPERLINK("https://klasma.github.io/Logging_2283/tillsynsmail/A 10854-2024 tillsynsbegäran mail.docx", "A 10854-2024")</f>
        <v/>
      </c>
      <c r="Z407">
        <f>HYPERLINK("https://klasma.github.io/Logging_2283/fåglar/A 10854-2024 prioriterade fågelarter.docx", "A 10854-2024")</f>
        <v/>
      </c>
    </row>
    <row r="408" ht="15" customHeight="1">
      <c r="A408" t="inlineStr">
        <is>
          <t>A 12371-2024</t>
        </is>
      </c>
      <c r="B408" s="1" t="n">
        <v>45378</v>
      </c>
      <c r="C408" s="1" t="n">
        <v>45670</v>
      </c>
      <c r="D408" t="inlineStr">
        <is>
          <t>VÄSTERNORRLANDS LÄN</t>
        </is>
      </c>
      <c r="E408" t="inlineStr">
        <is>
          <t>SOLLEFTEÅ</t>
        </is>
      </c>
      <c r="F408" t="inlineStr">
        <is>
          <t>SCA</t>
        </is>
      </c>
      <c r="G408" t="n">
        <v>1.2</v>
      </c>
      <c r="H408" t="n">
        <v>0</v>
      </c>
      <c r="I408" t="n">
        <v>0</v>
      </c>
      <c r="J408" t="n">
        <v>1</v>
      </c>
      <c r="K408" t="n">
        <v>0</v>
      </c>
      <c r="L408" t="n">
        <v>0</v>
      </c>
      <c r="M408" t="n">
        <v>0</v>
      </c>
      <c r="N408" t="n">
        <v>0</v>
      </c>
      <c r="O408" t="n">
        <v>1</v>
      </c>
      <c r="P408" t="n">
        <v>0</v>
      </c>
      <c r="Q408" t="n">
        <v>1</v>
      </c>
      <c r="R408" s="2" t="inlineStr">
        <is>
          <t>Rosenticka</t>
        </is>
      </c>
      <c r="S408">
        <f>HYPERLINK("https://klasma.github.io/Logging_2283/artfynd/A 12371-2024 artfynd.xlsx", "A 12371-2024")</f>
        <v/>
      </c>
      <c r="T408">
        <f>HYPERLINK("https://klasma.github.io/Logging_2283/kartor/A 12371-2024 karta.png", "A 12371-2024")</f>
        <v/>
      </c>
      <c r="V408">
        <f>HYPERLINK("https://klasma.github.io/Logging_2283/klagomål/A 12371-2024 FSC-klagomål.docx", "A 12371-2024")</f>
        <v/>
      </c>
      <c r="W408">
        <f>HYPERLINK("https://klasma.github.io/Logging_2283/klagomålsmail/A 12371-2024 FSC-klagomål mail.docx", "A 12371-2024")</f>
        <v/>
      </c>
      <c r="X408">
        <f>HYPERLINK("https://klasma.github.io/Logging_2283/tillsyn/A 12371-2024 tillsynsbegäran.docx", "A 12371-2024")</f>
        <v/>
      </c>
      <c r="Y408">
        <f>HYPERLINK("https://klasma.github.io/Logging_2283/tillsynsmail/A 12371-2024 tillsynsbegäran mail.docx", "A 12371-2024")</f>
        <v/>
      </c>
    </row>
    <row r="409" ht="15" customHeight="1">
      <c r="A409" t="inlineStr">
        <is>
          <t>A 14367-2024</t>
        </is>
      </c>
      <c r="B409" s="1" t="n">
        <v>45393</v>
      </c>
      <c r="C409" s="1" t="n">
        <v>45670</v>
      </c>
      <c r="D409" t="inlineStr">
        <is>
          <t>VÄSTERNORRLANDS LÄN</t>
        </is>
      </c>
      <c r="E409" t="inlineStr">
        <is>
          <t>SOLLEFTEÅ</t>
        </is>
      </c>
      <c r="F409" t="inlineStr">
        <is>
          <t>SCA</t>
        </is>
      </c>
      <c r="G409" t="n">
        <v>2</v>
      </c>
      <c r="H409" t="n">
        <v>0</v>
      </c>
      <c r="I409" t="n">
        <v>0</v>
      </c>
      <c r="J409" t="n">
        <v>1</v>
      </c>
      <c r="K409" t="n">
        <v>0</v>
      </c>
      <c r="L409" t="n">
        <v>0</v>
      </c>
      <c r="M409" t="n">
        <v>0</v>
      </c>
      <c r="N409" t="n">
        <v>0</v>
      </c>
      <c r="O409" t="n">
        <v>1</v>
      </c>
      <c r="P409" t="n">
        <v>0</v>
      </c>
      <c r="Q409" t="n">
        <v>1</v>
      </c>
      <c r="R409" s="2" t="inlineStr">
        <is>
          <t>Garnlav</t>
        </is>
      </c>
      <c r="S409">
        <f>HYPERLINK("https://klasma.github.io/Logging_2283/artfynd/A 14367-2024 artfynd.xlsx", "A 14367-2024")</f>
        <v/>
      </c>
      <c r="T409">
        <f>HYPERLINK("https://klasma.github.io/Logging_2283/kartor/A 14367-2024 karta.png", "A 14367-2024")</f>
        <v/>
      </c>
      <c r="V409">
        <f>HYPERLINK("https://klasma.github.io/Logging_2283/klagomål/A 14367-2024 FSC-klagomål.docx", "A 14367-2024")</f>
        <v/>
      </c>
      <c r="W409">
        <f>HYPERLINK("https://klasma.github.io/Logging_2283/klagomålsmail/A 14367-2024 FSC-klagomål mail.docx", "A 14367-2024")</f>
        <v/>
      </c>
      <c r="X409">
        <f>HYPERLINK("https://klasma.github.io/Logging_2283/tillsyn/A 14367-2024 tillsynsbegäran.docx", "A 14367-2024")</f>
        <v/>
      </c>
      <c r="Y409">
        <f>HYPERLINK("https://klasma.github.io/Logging_2283/tillsynsmail/A 14367-2024 tillsynsbegäran mail.docx", "A 14367-2024")</f>
        <v/>
      </c>
    </row>
    <row r="410" ht="15" customHeight="1">
      <c r="A410" t="inlineStr">
        <is>
          <t>A 14805-2024</t>
        </is>
      </c>
      <c r="B410" s="1" t="n">
        <v>45397</v>
      </c>
      <c r="C410" s="1" t="n">
        <v>45670</v>
      </c>
      <c r="D410" t="inlineStr">
        <is>
          <t>VÄSTERNORRLANDS LÄN</t>
        </is>
      </c>
      <c r="E410" t="inlineStr">
        <is>
          <t>SOLLEFTEÅ</t>
        </is>
      </c>
      <c r="F410" t="inlineStr">
        <is>
          <t>SCA</t>
        </is>
      </c>
      <c r="G410" t="n">
        <v>3.5</v>
      </c>
      <c r="H410" t="n">
        <v>0</v>
      </c>
      <c r="I410" t="n">
        <v>0</v>
      </c>
      <c r="J410" t="n">
        <v>1</v>
      </c>
      <c r="K410" t="n">
        <v>0</v>
      </c>
      <c r="L410" t="n">
        <v>0</v>
      </c>
      <c r="M410" t="n">
        <v>0</v>
      </c>
      <c r="N410" t="n">
        <v>0</v>
      </c>
      <c r="O410" t="n">
        <v>1</v>
      </c>
      <c r="P410" t="n">
        <v>0</v>
      </c>
      <c r="Q410" t="n">
        <v>1</v>
      </c>
      <c r="R410" s="2" t="inlineStr">
        <is>
          <t>Dvärgbägarlav</t>
        </is>
      </c>
      <c r="S410">
        <f>HYPERLINK("https://klasma.github.io/Logging_2283/artfynd/A 14805-2024 artfynd.xlsx", "A 14805-2024")</f>
        <v/>
      </c>
      <c r="T410">
        <f>HYPERLINK("https://klasma.github.io/Logging_2283/kartor/A 14805-2024 karta.png", "A 14805-2024")</f>
        <v/>
      </c>
      <c r="V410">
        <f>HYPERLINK("https://klasma.github.io/Logging_2283/klagomål/A 14805-2024 FSC-klagomål.docx", "A 14805-2024")</f>
        <v/>
      </c>
      <c r="W410">
        <f>HYPERLINK("https://klasma.github.io/Logging_2283/klagomålsmail/A 14805-2024 FSC-klagomål mail.docx", "A 14805-2024")</f>
        <v/>
      </c>
      <c r="X410">
        <f>HYPERLINK("https://klasma.github.io/Logging_2283/tillsyn/A 14805-2024 tillsynsbegäran.docx", "A 14805-2024")</f>
        <v/>
      </c>
      <c r="Y410">
        <f>HYPERLINK("https://klasma.github.io/Logging_2283/tillsynsmail/A 14805-2024 tillsynsbegäran mail.docx", "A 14805-2024")</f>
        <v/>
      </c>
    </row>
    <row r="411" ht="15" customHeight="1">
      <c r="A411" t="inlineStr">
        <is>
          <t>A 14885-2024</t>
        </is>
      </c>
      <c r="B411" s="1" t="n">
        <v>45398</v>
      </c>
      <c r="C411" s="1" t="n">
        <v>45670</v>
      </c>
      <c r="D411" t="inlineStr">
        <is>
          <t>VÄSTERNORRLANDS LÄN</t>
        </is>
      </c>
      <c r="E411" t="inlineStr">
        <is>
          <t>SOLLEFTEÅ</t>
        </is>
      </c>
      <c r="G411" t="n">
        <v>5.8</v>
      </c>
      <c r="H411" t="n">
        <v>1</v>
      </c>
      <c r="I411" t="n">
        <v>0</v>
      </c>
      <c r="J411" t="n">
        <v>0</v>
      </c>
      <c r="K411" t="n">
        <v>0</v>
      </c>
      <c r="L411" t="n">
        <v>0</v>
      </c>
      <c r="M411" t="n">
        <v>0</v>
      </c>
      <c r="N411" t="n">
        <v>0</v>
      </c>
      <c r="O411" t="n">
        <v>0</v>
      </c>
      <c r="P411" t="n">
        <v>0</v>
      </c>
      <c r="Q411" t="n">
        <v>1</v>
      </c>
      <c r="R411" s="2" t="inlineStr">
        <is>
          <t>Pärluggla</t>
        </is>
      </c>
      <c r="S411">
        <f>HYPERLINK("https://klasma.github.io/Logging_2283/artfynd/A 14885-2024 artfynd.xlsx", "A 14885-2024")</f>
        <v/>
      </c>
      <c r="T411">
        <f>HYPERLINK("https://klasma.github.io/Logging_2283/kartor/A 14885-2024 karta.png", "A 14885-2024")</f>
        <v/>
      </c>
      <c r="V411">
        <f>HYPERLINK("https://klasma.github.io/Logging_2283/klagomål/A 14885-2024 FSC-klagomål.docx", "A 14885-2024")</f>
        <v/>
      </c>
      <c r="W411">
        <f>HYPERLINK("https://klasma.github.io/Logging_2283/klagomålsmail/A 14885-2024 FSC-klagomål mail.docx", "A 14885-2024")</f>
        <v/>
      </c>
      <c r="X411">
        <f>HYPERLINK("https://klasma.github.io/Logging_2283/tillsyn/A 14885-2024 tillsynsbegäran.docx", "A 14885-2024")</f>
        <v/>
      </c>
      <c r="Y411">
        <f>HYPERLINK("https://klasma.github.io/Logging_2283/tillsynsmail/A 14885-2024 tillsynsbegäran mail.docx", "A 14885-2024")</f>
        <v/>
      </c>
      <c r="Z411">
        <f>HYPERLINK("https://klasma.github.io/Logging_2283/fåglar/A 14885-2024 prioriterade fågelarter.docx", "A 14885-2024")</f>
        <v/>
      </c>
    </row>
    <row r="412" ht="15" customHeight="1">
      <c r="A412" t="inlineStr">
        <is>
          <t>A 15862-2024</t>
        </is>
      </c>
      <c r="B412" s="1" t="n">
        <v>45404</v>
      </c>
      <c r="C412" s="1" t="n">
        <v>45670</v>
      </c>
      <c r="D412" t="inlineStr">
        <is>
          <t>VÄSTERNORRLANDS LÄN</t>
        </is>
      </c>
      <c r="E412" t="inlineStr">
        <is>
          <t>SOLLEFTEÅ</t>
        </is>
      </c>
      <c r="F412" t="inlineStr">
        <is>
          <t>SCA</t>
        </is>
      </c>
      <c r="G412" t="n">
        <v>10.1</v>
      </c>
      <c r="H412" t="n">
        <v>0</v>
      </c>
      <c r="I412" t="n">
        <v>0</v>
      </c>
      <c r="J412" t="n">
        <v>1</v>
      </c>
      <c r="K412" t="n">
        <v>0</v>
      </c>
      <c r="L412" t="n">
        <v>0</v>
      </c>
      <c r="M412" t="n">
        <v>0</v>
      </c>
      <c r="N412" t="n">
        <v>0</v>
      </c>
      <c r="O412" t="n">
        <v>1</v>
      </c>
      <c r="P412" t="n">
        <v>0</v>
      </c>
      <c r="Q412" t="n">
        <v>1</v>
      </c>
      <c r="R412" s="2" t="inlineStr">
        <is>
          <t>Lunglav</t>
        </is>
      </c>
      <c r="S412">
        <f>HYPERLINK("https://klasma.github.io/Logging_2283/artfynd/A 15862-2024 artfynd.xlsx", "A 15862-2024")</f>
        <v/>
      </c>
      <c r="T412">
        <f>HYPERLINK("https://klasma.github.io/Logging_2283/kartor/A 15862-2024 karta.png", "A 15862-2024")</f>
        <v/>
      </c>
      <c r="V412">
        <f>HYPERLINK("https://klasma.github.io/Logging_2283/klagomål/A 15862-2024 FSC-klagomål.docx", "A 15862-2024")</f>
        <v/>
      </c>
      <c r="W412">
        <f>HYPERLINK("https://klasma.github.io/Logging_2283/klagomålsmail/A 15862-2024 FSC-klagomål mail.docx", "A 15862-2024")</f>
        <v/>
      </c>
      <c r="X412">
        <f>HYPERLINK("https://klasma.github.io/Logging_2283/tillsyn/A 15862-2024 tillsynsbegäran.docx", "A 15862-2024")</f>
        <v/>
      </c>
      <c r="Y412">
        <f>HYPERLINK("https://klasma.github.io/Logging_2283/tillsynsmail/A 15862-2024 tillsynsbegäran mail.docx", "A 15862-2024")</f>
        <v/>
      </c>
    </row>
    <row r="413" ht="15" customHeight="1">
      <c r="A413" t="inlineStr">
        <is>
          <t>A 18613-2024</t>
        </is>
      </c>
      <c r="B413" s="1" t="n">
        <v>45425</v>
      </c>
      <c r="C413" s="1" t="n">
        <v>45670</v>
      </c>
      <c r="D413" t="inlineStr">
        <is>
          <t>VÄSTERNORRLANDS LÄN</t>
        </is>
      </c>
      <c r="E413" t="inlineStr">
        <is>
          <t>SOLLEFTEÅ</t>
        </is>
      </c>
      <c r="F413" t="inlineStr">
        <is>
          <t>SCA</t>
        </is>
      </c>
      <c r="G413" t="n">
        <v>4.9</v>
      </c>
      <c r="H413" t="n">
        <v>0</v>
      </c>
      <c r="I413" t="n">
        <v>0</v>
      </c>
      <c r="J413" t="n">
        <v>1</v>
      </c>
      <c r="K413" t="n">
        <v>0</v>
      </c>
      <c r="L413" t="n">
        <v>0</v>
      </c>
      <c r="M413" t="n">
        <v>0</v>
      </c>
      <c r="N413" t="n">
        <v>0</v>
      </c>
      <c r="O413" t="n">
        <v>1</v>
      </c>
      <c r="P413" t="n">
        <v>0</v>
      </c>
      <c r="Q413" t="n">
        <v>1</v>
      </c>
      <c r="R413" s="2" t="inlineStr">
        <is>
          <t>Lunglav</t>
        </is>
      </c>
      <c r="S413">
        <f>HYPERLINK("https://klasma.github.io/Logging_2283/artfynd/A 18613-2024 artfynd.xlsx", "A 18613-2024")</f>
        <v/>
      </c>
      <c r="T413">
        <f>HYPERLINK("https://klasma.github.io/Logging_2283/kartor/A 18613-2024 karta.png", "A 18613-2024")</f>
        <v/>
      </c>
      <c r="V413">
        <f>HYPERLINK("https://klasma.github.io/Logging_2283/klagomål/A 18613-2024 FSC-klagomål.docx", "A 18613-2024")</f>
        <v/>
      </c>
      <c r="W413">
        <f>HYPERLINK("https://klasma.github.io/Logging_2283/klagomålsmail/A 18613-2024 FSC-klagomål mail.docx", "A 18613-2024")</f>
        <v/>
      </c>
      <c r="X413">
        <f>HYPERLINK("https://klasma.github.io/Logging_2283/tillsyn/A 18613-2024 tillsynsbegäran.docx", "A 18613-2024")</f>
        <v/>
      </c>
      <c r="Y413">
        <f>HYPERLINK("https://klasma.github.io/Logging_2283/tillsynsmail/A 18613-2024 tillsynsbegäran mail.docx", "A 18613-2024")</f>
        <v/>
      </c>
    </row>
    <row r="414" ht="15" customHeight="1">
      <c r="A414" t="inlineStr">
        <is>
          <t>A 22454-2024</t>
        </is>
      </c>
      <c r="B414" s="1" t="n">
        <v>45447</v>
      </c>
      <c r="C414" s="1" t="n">
        <v>45670</v>
      </c>
      <c r="D414" t="inlineStr">
        <is>
          <t>VÄSTERNORRLANDS LÄN</t>
        </is>
      </c>
      <c r="E414" t="inlineStr">
        <is>
          <t>SOLLEFTEÅ</t>
        </is>
      </c>
      <c r="F414" t="inlineStr">
        <is>
          <t>SCA</t>
        </is>
      </c>
      <c r="G414" t="n">
        <v>9</v>
      </c>
      <c r="H414" t="n">
        <v>0</v>
      </c>
      <c r="I414" t="n">
        <v>0</v>
      </c>
      <c r="J414" t="n">
        <v>1</v>
      </c>
      <c r="K414" t="n">
        <v>0</v>
      </c>
      <c r="L414" t="n">
        <v>0</v>
      </c>
      <c r="M414" t="n">
        <v>0</v>
      </c>
      <c r="N414" t="n">
        <v>0</v>
      </c>
      <c r="O414" t="n">
        <v>1</v>
      </c>
      <c r="P414" t="n">
        <v>0</v>
      </c>
      <c r="Q414" t="n">
        <v>1</v>
      </c>
      <c r="R414" s="2" t="inlineStr">
        <is>
          <t>Garnlav</t>
        </is>
      </c>
      <c r="S414">
        <f>HYPERLINK("https://klasma.github.io/Logging_2283/artfynd/A 22454-2024 artfynd.xlsx", "A 22454-2024")</f>
        <v/>
      </c>
      <c r="T414">
        <f>HYPERLINK("https://klasma.github.io/Logging_2283/kartor/A 22454-2024 karta.png", "A 22454-2024")</f>
        <v/>
      </c>
      <c r="V414">
        <f>HYPERLINK("https://klasma.github.io/Logging_2283/klagomål/A 22454-2024 FSC-klagomål.docx", "A 22454-2024")</f>
        <v/>
      </c>
      <c r="W414">
        <f>HYPERLINK("https://klasma.github.io/Logging_2283/klagomålsmail/A 22454-2024 FSC-klagomål mail.docx", "A 22454-2024")</f>
        <v/>
      </c>
      <c r="X414">
        <f>HYPERLINK("https://klasma.github.io/Logging_2283/tillsyn/A 22454-2024 tillsynsbegäran.docx", "A 22454-2024")</f>
        <v/>
      </c>
      <c r="Y414">
        <f>HYPERLINK("https://klasma.github.io/Logging_2283/tillsynsmail/A 22454-2024 tillsynsbegäran mail.docx", "A 22454-2024")</f>
        <v/>
      </c>
    </row>
    <row r="415" ht="15" customHeight="1">
      <c r="A415" t="inlineStr">
        <is>
          <t>A 23552-2024</t>
        </is>
      </c>
      <c r="B415" s="1" t="n">
        <v>45454</v>
      </c>
      <c r="C415" s="1" t="n">
        <v>45670</v>
      </c>
      <c r="D415" t="inlineStr">
        <is>
          <t>VÄSTERNORRLANDS LÄN</t>
        </is>
      </c>
      <c r="E415" t="inlineStr">
        <is>
          <t>SOLLEFTEÅ</t>
        </is>
      </c>
      <c r="F415" t="inlineStr">
        <is>
          <t>SCA</t>
        </is>
      </c>
      <c r="G415" t="n">
        <v>1.2</v>
      </c>
      <c r="H415" t="n">
        <v>0</v>
      </c>
      <c r="I415" t="n">
        <v>0</v>
      </c>
      <c r="J415" t="n">
        <v>1</v>
      </c>
      <c r="K415" t="n">
        <v>0</v>
      </c>
      <c r="L415" t="n">
        <v>0</v>
      </c>
      <c r="M415" t="n">
        <v>0</v>
      </c>
      <c r="N415" t="n">
        <v>0</v>
      </c>
      <c r="O415" t="n">
        <v>1</v>
      </c>
      <c r="P415" t="n">
        <v>0</v>
      </c>
      <c r="Q415" t="n">
        <v>1</v>
      </c>
      <c r="R415" s="2" t="inlineStr">
        <is>
          <t>Lunglav</t>
        </is>
      </c>
      <c r="S415">
        <f>HYPERLINK("https://klasma.github.io/Logging_2283/artfynd/A 23552-2024 artfynd.xlsx", "A 23552-2024")</f>
        <v/>
      </c>
      <c r="T415">
        <f>HYPERLINK("https://klasma.github.io/Logging_2283/kartor/A 23552-2024 karta.png", "A 23552-2024")</f>
        <v/>
      </c>
      <c r="V415">
        <f>HYPERLINK("https://klasma.github.io/Logging_2283/klagomål/A 23552-2024 FSC-klagomål.docx", "A 23552-2024")</f>
        <v/>
      </c>
      <c r="W415">
        <f>HYPERLINK("https://klasma.github.io/Logging_2283/klagomålsmail/A 23552-2024 FSC-klagomål mail.docx", "A 23552-2024")</f>
        <v/>
      </c>
      <c r="X415">
        <f>HYPERLINK("https://klasma.github.io/Logging_2283/tillsyn/A 23552-2024 tillsynsbegäran.docx", "A 23552-2024")</f>
        <v/>
      </c>
      <c r="Y415">
        <f>HYPERLINK("https://klasma.github.io/Logging_2283/tillsynsmail/A 23552-2024 tillsynsbegäran mail.docx", "A 23552-2024")</f>
        <v/>
      </c>
    </row>
    <row r="416" ht="15" customHeight="1">
      <c r="A416" t="inlineStr">
        <is>
          <t>A 27309-2024</t>
        </is>
      </c>
      <c r="B416" s="1" t="n">
        <v>45471</v>
      </c>
      <c r="C416" s="1" t="n">
        <v>45670</v>
      </c>
      <c r="D416" t="inlineStr">
        <is>
          <t>VÄSTERNORRLANDS LÄN</t>
        </is>
      </c>
      <c r="E416" t="inlineStr">
        <is>
          <t>SOLLEFTEÅ</t>
        </is>
      </c>
      <c r="F416" t="inlineStr">
        <is>
          <t>SCA</t>
        </is>
      </c>
      <c r="G416" t="n">
        <v>39.2</v>
      </c>
      <c r="H416" t="n">
        <v>1</v>
      </c>
      <c r="I416" t="n">
        <v>0</v>
      </c>
      <c r="J416" t="n">
        <v>1</v>
      </c>
      <c r="K416" t="n">
        <v>0</v>
      </c>
      <c r="L416" t="n">
        <v>0</v>
      </c>
      <c r="M416" t="n">
        <v>0</v>
      </c>
      <c r="N416" t="n">
        <v>0</v>
      </c>
      <c r="O416" t="n">
        <v>1</v>
      </c>
      <c r="P416" t="n">
        <v>0</v>
      </c>
      <c r="Q416" t="n">
        <v>1</v>
      </c>
      <c r="R416" s="2" t="inlineStr">
        <is>
          <t>Nordfladdermus</t>
        </is>
      </c>
      <c r="S416">
        <f>HYPERLINK("https://klasma.github.io/Logging_2283/artfynd/A 27309-2024 artfynd.xlsx", "A 27309-2024")</f>
        <v/>
      </c>
      <c r="T416">
        <f>HYPERLINK("https://klasma.github.io/Logging_2283/kartor/A 27309-2024 karta.png", "A 27309-2024")</f>
        <v/>
      </c>
      <c r="V416">
        <f>HYPERLINK("https://klasma.github.io/Logging_2283/klagomål/A 27309-2024 FSC-klagomål.docx", "A 27309-2024")</f>
        <v/>
      </c>
      <c r="W416">
        <f>HYPERLINK("https://klasma.github.io/Logging_2283/klagomålsmail/A 27309-2024 FSC-klagomål mail.docx", "A 27309-2024")</f>
        <v/>
      </c>
      <c r="X416">
        <f>HYPERLINK("https://klasma.github.io/Logging_2283/tillsyn/A 27309-2024 tillsynsbegäran.docx", "A 27309-2024")</f>
        <v/>
      </c>
      <c r="Y416">
        <f>HYPERLINK("https://klasma.github.io/Logging_2283/tillsynsmail/A 27309-2024 tillsynsbegäran mail.docx", "A 27309-2024")</f>
        <v/>
      </c>
    </row>
    <row r="417" ht="15" customHeight="1">
      <c r="A417" t="inlineStr">
        <is>
          <t>A 29260-2024</t>
        </is>
      </c>
      <c r="B417" s="1" t="n">
        <v>45482</v>
      </c>
      <c r="C417" s="1" t="n">
        <v>45670</v>
      </c>
      <c r="D417" t="inlineStr">
        <is>
          <t>VÄSTERNORRLANDS LÄN</t>
        </is>
      </c>
      <c r="E417" t="inlineStr">
        <is>
          <t>SOLLEFTEÅ</t>
        </is>
      </c>
      <c r="F417" t="inlineStr">
        <is>
          <t>SCA</t>
        </is>
      </c>
      <c r="G417" t="n">
        <v>21.2</v>
      </c>
      <c r="H417" t="n">
        <v>0</v>
      </c>
      <c r="I417" t="n">
        <v>0</v>
      </c>
      <c r="J417" t="n">
        <v>1</v>
      </c>
      <c r="K417" t="n">
        <v>0</v>
      </c>
      <c r="L417" t="n">
        <v>0</v>
      </c>
      <c r="M417" t="n">
        <v>0</v>
      </c>
      <c r="N417" t="n">
        <v>0</v>
      </c>
      <c r="O417" t="n">
        <v>1</v>
      </c>
      <c r="P417" t="n">
        <v>0</v>
      </c>
      <c r="Q417" t="n">
        <v>1</v>
      </c>
      <c r="R417" s="2" t="inlineStr">
        <is>
          <t>Garnlav</t>
        </is>
      </c>
      <c r="S417">
        <f>HYPERLINK("https://klasma.github.io/Logging_2283/artfynd/A 29260-2024 artfynd.xlsx", "A 29260-2024")</f>
        <v/>
      </c>
      <c r="T417">
        <f>HYPERLINK("https://klasma.github.io/Logging_2283/kartor/A 29260-2024 karta.png", "A 29260-2024")</f>
        <v/>
      </c>
      <c r="V417">
        <f>HYPERLINK("https://klasma.github.io/Logging_2283/klagomål/A 29260-2024 FSC-klagomål.docx", "A 29260-2024")</f>
        <v/>
      </c>
      <c r="W417">
        <f>HYPERLINK("https://klasma.github.io/Logging_2283/klagomålsmail/A 29260-2024 FSC-klagomål mail.docx", "A 29260-2024")</f>
        <v/>
      </c>
      <c r="X417">
        <f>HYPERLINK("https://klasma.github.io/Logging_2283/tillsyn/A 29260-2024 tillsynsbegäran.docx", "A 29260-2024")</f>
        <v/>
      </c>
      <c r="Y417">
        <f>HYPERLINK("https://klasma.github.io/Logging_2283/tillsynsmail/A 29260-2024 tillsynsbegäran mail.docx", "A 29260-2024")</f>
        <v/>
      </c>
    </row>
    <row r="418" ht="15" customHeight="1">
      <c r="A418" t="inlineStr">
        <is>
          <t>A 29692-2024</t>
        </is>
      </c>
      <c r="B418" s="1" t="n">
        <v>45484</v>
      </c>
      <c r="C418" s="1" t="n">
        <v>45670</v>
      </c>
      <c r="D418" t="inlineStr">
        <is>
          <t>VÄSTERNORRLANDS LÄN</t>
        </is>
      </c>
      <c r="E418" t="inlineStr">
        <is>
          <t>SOLLEFTEÅ</t>
        </is>
      </c>
      <c r="F418" t="inlineStr">
        <is>
          <t>SCA</t>
        </is>
      </c>
      <c r="G418" t="n">
        <v>2.4</v>
      </c>
      <c r="H418" t="n">
        <v>0</v>
      </c>
      <c r="I418" t="n">
        <v>0</v>
      </c>
      <c r="J418" t="n">
        <v>1</v>
      </c>
      <c r="K418" t="n">
        <v>0</v>
      </c>
      <c r="L418" t="n">
        <v>0</v>
      </c>
      <c r="M418" t="n">
        <v>0</v>
      </c>
      <c r="N418" t="n">
        <v>0</v>
      </c>
      <c r="O418" t="n">
        <v>1</v>
      </c>
      <c r="P418" t="n">
        <v>0</v>
      </c>
      <c r="Q418" t="n">
        <v>1</v>
      </c>
      <c r="R418" s="2" t="inlineStr">
        <is>
          <t>Gammelgransskål</t>
        </is>
      </c>
      <c r="S418">
        <f>HYPERLINK("https://klasma.github.io/Logging_2283/artfynd/A 29692-2024 artfynd.xlsx", "A 29692-2024")</f>
        <v/>
      </c>
      <c r="T418">
        <f>HYPERLINK("https://klasma.github.io/Logging_2283/kartor/A 29692-2024 karta.png", "A 29692-2024")</f>
        <v/>
      </c>
      <c r="V418">
        <f>HYPERLINK("https://klasma.github.io/Logging_2283/klagomål/A 29692-2024 FSC-klagomål.docx", "A 29692-2024")</f>
        <v/>
      </c>
      <c r="W418">
        <f>HYPERLINK("https://klasma.github.io/Logging_2283/klagomålsmail/A 29692-2024 FSC-klagomål mail.docx", "A 29692-2024")</f>
        <v/>
      </c>
      <c r="X418">
        <f>HYPERLINK("https://klasma.github.io/Logging_2283/tillsyn/A 29692-2024 tillsynsbegäran.docx", "A 29692-2024")</f>
        <v/>
      </c>
      <c r="Y418">
        <f>HYPERLINK("https://klasma.github.io/Logging_2283/tillsynsmail/A 29692-2024 tillsynsbegäran mail.docx", "A 29692-2024")</f>
        <v/>
      </c>
    </row>
    <row r="419" ht="15" customHeight="1">
      <c r="A419" t="inlineStr">
        <is>
          <t>A 32052-2024</t>
        </is>
      </c>
      <c r="B419" s="1" t="n">
        <v>45511</v>
      </c>
      <c r="C419" s="1" t="n">
        <v>45670</v>
      </c>
      <c r="D419" t="inlineStr">
        <is>
          <t>VÄSTERNORRLANDS LÄN</t>
        </is>
      </c>
      <c r="E419" t="inlineStr">
        <is>
          <t>SOLLEFTEÅ</t>
        </is>
      </c>
      <c r="F419" t="inlineStr">
        <is>
          <t>SCA</t>
        </is>
      </c>
      <c r="G419" t="n">
        <v>8</v>
      </c>
      <c r="H419" t="n">
        <v>0</v>
      </c>
      <c r="I419" t="n">
        <v>0</v>
      </c>
      <c r="J419" t="n">
        <v>1</v>
      </c>
      <c r="K419" t="n">
        <v>0</v>
      </c>
      <c r="L419" t="n">
        <v>0</v>
      </c>
      <c r="M419" t="n">
        <v>0</v>
      </c>
      <c r="N419" t="n">
        <v>0</v>
      </c>
      <c r="O419" t="n">
        <v>1</v>
      </c>
      <c r="P419" t="n">
        <v>0</v>
      </c>
      <c r="Q419" t="n">
        <v>1</v>
      </c>
      <c r="R419" s="2" t="inlineStr">
        <is>
          <t>Garnlav</t>
        </is>
      </c>
      <c r="S419">
        <f>HYPERLINK("https://klasma.github.io/Logging_2283/artfynd/A 32052-2024 artfynd.xlsx", "A 32052-2024")</f>
        <v/>
      </c>
      <c r="T419">
        <f>HYPERLINK("https://klasma.github.io/Logging_2283/kartor/A 32052-2024 karta.png", "A 32052-2024")</f>
        <v/>
      </c>
      <c r="V419">
        <f>HYPERLINK("https://klasma.github.io/Logging_2283/klagomål/A 32052-2024 FSC-klagomål.docx", "A 32052-2024")</f>
        <v/>
      </c>
      <c r="W419">
        <f>HYPERLINK("https://klasma.github.io/Logging_2283/klagomålsmail/A 32052-2024 FSC-klagomål mail.docx", "A 32052-2024")</f>
        <v/>
      </c>
      <c r="X419">
        <f>HYPERLINK("https://klasma.github.io/Logging_2283/tillsyn/A 32052-2024 tillsynsbegäran.docx", "A 32052-2024")</f>
        <v/>
      </c>
      <c r="Y419">
        <f>HYPERLINK("https://klasma.github.io/Logging_2283/tillsynsmail/A 32052-2024 tillsynsbegäran mail.docx", "A 32052-2024")</f>
        <v/>
      </c>
    </row>
    <row r="420" ht="15" customHeight="1">
      <c r="A420" t="inlineStr">
        <is>
          <t>A 35876-2024</t>
        </is>
      </c>
      <c r="B420" s="1" t="n">
        <v>45533</v>
      </c>
      <c r="C420" s="1" t="n">
        <v>45670</v>
      </c>
      <c r="D420" t="inlineStr">
        <is>
          <t>VÄSTERNORRLANDS LÄN</t>
        </is>
      </c>
      <c r="E420" t="inlineStr">
        <is>
          <t>SOLLEFTEÅ</t>
        </is>
      </c>
      <c r="F420" t="inlineStr">
        <is>
          <t>SCA</t>
        </is>
      </c>
      <c r="G420" t="n">
        <v>5.8</v>
      </c>
      <c r="H420" t="n">
        <v>1</v>
      </c>
      <c r="I420" t="n">
        <v>0</v>
      </c>
      <c r="J420" t="n">
        <v>0</v>
      </c>
      <c r="K420" t="n">
        <v>0</v>
      </c>
      <c r="L420" t="n">
        <v>0</v>
      </c>
      <c r="M420" t="n">
        <v>0</v>
      </c>
      <c r="N420" t="n">
        <v>0</v>
      </c>
      <c r="O420" t="n">
        <v>0</v>
      </c>
      <c r="P420" t="n">
        <v>0</v>
      </c>
      <c r="Q420" t="n">
        <v>1</v>
      </c>
      <c r="R420" s="2" t="inlineStr">
        <is>
          <t>Tjäder</t>
        </is>
      </c>
      <c r="S420">
        <f>HYPERLINK("https://klasma.github.io/Logging_2283/artfynd/A 35876-2024 artfynd.xlsx", "A 35876-2024")</f>
        <v/>
      </c>
      <c r="T420">
        <f>HYPERLINK("https://klasma.github.io/Logging_2283/kartor/A 35876-2024 karta.png", "A 35876-2024")</f>
        <v/>
      </c>
      <c r="V420">
        <f>HYPERLINK("https://klasma.github.io/Logging_2283/klagomål/A 35876-2024 FSC-klagomål.docx", "A 35876-2024")</f>
        <v/>
      </c>
      <c r="W420">
        <f>HYPERLINK("https://klasma.github.io/Logging_2283/klagomålsmail/A 35876-2024 FSC-klagomål mail.docx", "A 35876-2024")</f>
        <v/>
      </c>
      <c r="X420">
        <f>HYPERLINK("https://klasma.github.io/Logging_2283/tillsyn/A 35876-2024 tillsynsbegäran.docx", "A 35876-2024")</f>
        <v/>
      </c>
      <c r="Y420">
        <f>HYPERLINK("https://klasma.github.io/Logging_2283/tillsynsmail/A 35876-2024 tillsynsbegäran mail.docx", "A 35876-2024")</f>
        <v/>
      </c>
      <c r="Z420">
        <f>HYPERLINK("https://klasma.github.io/Logging_2283/fåglar/A 35876-2024 prioriterade fågelarter.docx", "A 35876-2024")</f>
        <v/>
      </c>
    </row>
    <row r="421" ht="15" customHeight="1">
      <c r="A421" t="inlineStr">
        <is>
          <t>A 37206-2024</t>
        </is>
      </c>
      <c r="B421" s="1" t="n">
        <v>45539</v>
      </c>
      <c r="C421" s="1" t="n">
        <v>45670</v>
      </c>
      <c r="D421" t="inlineStr">
        <is>
          <t>VÄSTERNORRLANDS LÄN</t>
        </is>
      </c>
      <c r="E421" t="inlineStr">
        <is>
          <t>SOLLEFTEÅ</t>
        </is>
      </c>
      <c r="F421" t="inlineStr">
        <is>
          <t>SCA</t>
        </is>
      </c>
      <c r="G421" t="n">
        <v>3.6</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37206-2024 artfynd.xlsx", "A 37206-2024")</f>
        <v/>
      </c>
      <c r="T421">
        <f>HYPERLINK("https://klasma.github.io/Logging_2283/kartor/A 37206-2024 karta.png", "A 37206-2024")</f>
        <v/>
      </c>
      <c r="V421">
        <f>HYPERLINK("https://klasma.github.io/Logging_2283/klagomål/A 37206-2024 FSC-klagomål.docx", "A 37206-2024")</f>
        <v/>
      </c>
      <c r="W421">
        <f>HYPERLINK("https://klasma.github.io/Logging_2283/klagomålsmail/A 37206-2024 FSC-klagomål mail.docx", "A 37206-2024")</f>
        <v/>
      </c>
      <c r="X421">
        <f>HYPERLINK("https://klasma.github.io/Logging_2283/tillsyn/A 37206-2024 tillsynsbegäran.docx", "A 37206-2024")</f>
        <v/>
      </c>
      <c r="Y421">
        <f>HYPERLINK("https://klasma.github.io/Logging_2283/tillsynsmail/A 37206-2024 tillsynsbegäran mail.docx", "A 37206-2024")</f>
        <v/>
      </c>
      <c r="Z421">
        <f>HYPERLINK("https://klasma.github.io/Logging_2283/fåglar/A 37206-2024 prioriterade fågelarter.docx", "A 37206-2024")</f>
        <v/>
      </c>
    </row>
    <row r="422" ht="15" customHeight="1">
      <c r="A422" t="inlineStr">
        <is>
          <t>A 38442-2024</t>
        </is>
      </c>
      <c r="B422" s="1" t="n">
        <v>45546</v>
      </c>
      <c r="C422" s="1" t="n">
        <v>45670</v>
      </c>
      <c r="D422" t="inlineStr">
        <is>
          <t>VÄSTERNORRLANDS LÄN</t>
        </is>
      </c>
      <c r="E422" t="inlineStr">
        <is>
          <t>SOLLEFTEÅ</t>
        </is>
      </c>
      <c r="F422" t="inlineStr">
        <is>
          <t>SCA</t>
        </is>
      </c>
      <c r="G422" t="n">
        <v>0.7</v>
      </c>
      <c r="H422" t="n">
        <v>0</v>
      </c>
      <c r="I422" t="n">
        <v>1</v>
      </c>
      <c r="J422" t="n">
        <v>0</v>
      </c>
      <c r="K422" t="n">
        <v>0</v>
      </c>
      <c r="L422" t="n">
        <v>0</v>
      </c>
      <c r="M422" t="n">
        <v>0</v>
      </c>
      <c r="N422" t="n">
        <v>0</v>
      </c>
      <c r="O422" t="n">
        <v>0</v>
      </c>
      <c r="P422" t="n">
        <v>0</v>
      </c>
      <c r="Q422" t="n">
        <v>1</v>
      </c>
      <c r="R422" s="2" t="inlineStr">
        <is>
          <t>Bollvitmossa</t>
        </is>
      </c>
      <c r="S422">
        <f>HYPERLINK("https://klasma.github.io/Logging_2283/artfynd/A 38442-2024 artfynd.xlsx", "A 38442-2024")</f>
        <v/>
      </c>
      <c r="T422">
        <f>HYPERLINK("https://klasma.github.io/Logging_2283/kartor/A 38442-2024 karta.png", "A 38442-2024")</f>
        <v/>
      </c>
      <c r="U422">
        <f>HYPERLINK("https://klasma.github.io/Logging_2283/knärot/A 38442-2024 karta knärot.png", "A 38442-2024")</f>
        <v/>
      </c>
      <c r="V422">
        <f>HYPERLINK("https://klasma.github.io/Logging_2283/klagomål/A 38442-2024 FSC-klagomål.docx", "A 38442-2024")</f>
        <v/>
      </c>
      <c r="W422">
        <f>HYPERLINK("https://klasma.github.io/Logging_2283/klagomålsmail/A 38442-2024 FSC-klagomål mail.docx", "A 38442-2024")</f>
        <v/>
      </c>
      <c r="X422">
        <f>HYPERLINK("https://klasma.github.io/Logging_2283/tillsyn/A 38442-2024 tillsynsbegäran.docx", "A 38442-2024")</f>
        <v/>
      </c>
      <c r="Y422">
        <f>HYPERLINK("https://klasma.github.io/Logging_2283/tillsynsmail/A 38442-2024 tillsynsbegäran mail.docx", "A 38442-2024")</f>
        <v/>
      </c>
    </row>
    <row r="423" ht="15" customHeight="1">
      <c r="A423" t="inlineStr">
        <is>
          <t>A 39897-2024</t>
        </is>
      </c>
      <c r="B423" s="1" t="n">
        <v>45553</v>
      </c>
      <c r="C423" s="1" t="n">
        <v>45670</v>
      </c>
      <c r="D423" t="inlineStr">
        <is>
          <t>VÄSTERNORRLANDS LÄN</t>
        </is>
      </c>
      <c r="E423" t="inlineStr">
        <is>
          <t>SOLLEFTEÅ</t>
        </is>
      </c>
      <c r="G423" t="n">
        <v>1.1</v>
      </c>
      <c r="H423" t="n">
        <v>1</v>
      </c>
      <c r="I423" t="n">
        <v>0</v>
      </c>
      <c r="J423" t="n">
        <v>0</v>
      </c>
      <c r="K423" t="n">
        <v>0</v>
      </c>
      <c r="L423" t="n">
        <v>0</v>
      </c>
      <c r="M423" t="n">
        <v>0</v>
      </c>
      <c r="N423" t="n">
        <v>0</v>
      </c>
      <c r="O423" t="n">
        <v>0</v>
      </c>
      <c r="P423" t="n">
        <v>0</v>
      </c>
      <c r="Q423" t="n">
        <v>1</v>
      </c>
      <c r="R423" s="2" t="inlineStr">
        <is>
          <t>Revlummer</t>
        </is>
      </c>
      <c r="S423">
        <f>HYPERLINK("https://klasma.github.io/Logging_2283/artfynd/A 39897-2024 artfynd.xlsx", "A 39897-2024")</f>
        <v/>
      </c>
      <c r="T423">
        <f>HYPERLINK("https://klasma.github.io/Logging_2283/kartor/A 39897-2024 karta.png", "A 39897-2024")</f>
        <v/>
      </c>
      <c r="V423">
        <f>HYPERLINK("https://klasma.github.io/Logging_2283/klagomål/A 39897-2024 FSC-klagomål.docx", "A 39897-2024")</f>
        <v/>
      </c>
      <c r="W423">
        <f>HYPERLINK("https://klasma.github.io/Logging_2283/klagomålsmail/A 39897-2024 FSC-klagomål mail.docx", "A 39897-2024")</f>
        <v/>
      </c>
      <c r="X423">
        <f>HYPERLINK("https://klasma.github.io/Logging_2283/tillsyn/A 39897-2024 tillsynsbegäran.docx", "A 39897-2024")</f>
        <v/>
      </c>
      <c r="Y423">
        <f>HYPERLINK("https://klasma.github.io/Logging_2283/tillsynsmail/A 39897-2024 tillsynsbegäran mail.docx", "A 39897-2024")</f>
        <v/>
      </c>
    </row>
    <row r="424" ht="15" customHeight="1">
      <c r="A424" t="inlineStr">
        <is>
          <t>A 42972-2024</t>
        </is>
      </c>
      <c r="B424" s="1" t="n">
        <v>45567</v>
      </c>
      <c r="C424" s="1" t="n">
        <v>45670</v>
      </c>
      <c r="D424" t="inlineStr">
        <is>
          <t>VÄSTERNORRLANDS LÄN</t>
        </is>
      </c>
      <c r="E424" t="inlineStr">
        <is>
          <t>SOLLEFTEÅ</t>
        </is>
      </c>
      <c r="F424" t="inlineStr">
        <is>
          <t>SCA</t>
        </is>
      </c>
      <c r="G424" t="n">
        <v>4.1</v>
      </c>
      <c r="H424" t="n">
        <v>0</v>
      </c>
      <c r="I424" t="n">
        <v>0</v>
      </c>
      <c r="J424" t="n">
        <v>1</v>
      </c>
      <c r="K424" t="n">
        <v>0</v>
      </c>
      <c r="L424" t="n">
        <v>0</v>
      </c>
      <c r="M424" t="n">
        <v>0</v>
      </c>
      <c r="N424" t="n">
        <v>0</v>
      </c>
      <c r="O424" t="n">
        <v>1</v>
      </c>
      <c r="P424" t="n">
        <v>0</v>
      </c>
      <c r="Q424" t="n">
        <v>1</v>
      </c>
      <c r="R424" s="2" t="inlineStr">
        <is>
          <t>Rosenticka</t>
        </is>
      </c>
      <c r="S424">
        <f>HYPERLINK("https://klasma.github.io/Logging_2283/artfynd/A 42972-2024 artfynd.xlsx", "A 42972-2024")</f>
        <v/>
      </c>
      <c r="T424">
        <f>HYPERLINK("https://klasma.github.io/Logging_2283/kartor/A 42972-2024 karta.png", "A 42972-2024")</f>
        <v/>
      </c>
      <c r="U424">
        <f>HYPERLINK("https://klasma.github.io/Logging_2283/knärot/A 42972-2024 karta knärot.png", "A 42972-2024")</f>
        <v/>
      </c>
      <c r="V424">
        <f>HYPERLINK("https://klasma.github.io/Logging_2283/klagomål/A 42972-2024 FSC-klagomål.docx", "A 42972-2024")</f>
        <v/>
      </c>
      <c r="W424">
        <f>HYPERLINK("https://klasma.github.io/Logging_2283/klagomålsmail/A 42972-2024 FSC-klagomål mail.docx", "A 42972-2024")</f>
        <v/>
      </c>
      <c r="X424">
        <f>HYPERLINK("https://klasma.github.io/Logging_2283/tillsyn/A 42972-2024 tillsynsbegäran.docx", "A 42972-2024")</f>
        <v/>
      </c>
      <c r="Y424">
        <f>HYPERLINK("https://klasma.github.io/Logging_2283/tillsynsmail/A 42972-2024 tillsynsbegäran mail.docx", "A 42972-2024")</f>
        <v/>
      </c>
    </row>
    <row r="425" ht="15" customHeight="1">
      <c r="A425" t="inlineStr">
        <is>
          <t>A 44632-2024</t>
        </is>
      </c>
      <c r="B425" s="1" t="n">
        <v>45574</v>
      </c>
      <c r="C425" s="1" t="n">
        <v>45670</v>
      </c>
      <c r="D425" t="inlineStr">
        <is>
          <t>VÄSTERNORRLANDS LÄN</t>
        </is>
      </c>
      <c r="E425" t="inlineStr">
        <is>
          <t>SOLLEFTEÅ</t>
        </is>
      </c>
      <c r="F425" t="inlineStr">
        <is>
          <t>SCA</t>
        </is>
      </c>
      <c r="G425" t="n">
        <v>3.1</v>
      </c>
      <c r="H425" t="n">
        <v>0</v>
      </c>
      <c r="I425" t="n">
        <v>1</v>
      </c>
      <c r="J425" t="n">
        <v>0</v>
      </c>
      <c r="K425" t="n">
        <v>0</v>
      </c>
      <c r="L425" t="n">
        <v>0</v>
      </c>
      <c r="M425" t="n">
        <v>0</v>
      </c>
      <c r="N425" t="n">
        <v>0</v>
      </c>
      <c r="O425" t="n">
        <v>0</v>
      </c>
      <c r="P425" t="n">
        <v>0</v>
      </c>
      <c r="Q425" t="n">
        <v>1</v>
      </c>
      <c r="R425" s="2" t="inlineStr">
        <is>
          <t>Vedticka</t>
        </is>
      </c>
      <c r="S425">
        <f>HYPERLINK("https://klasma.github.io/Logging_2283/artfynd/A 44632-2024 artfynd.xlsx", "A 44632-2024")</f>
        <v/>
      </c>
      <c r="T425">
        <f>HYPERLINK("https://klasma.github.io/Logging_2283/kartor/A 44632-2024 karta.png", "A 44632-2024")</f>
        <v/>
      </c>
      <c r="V425">
        <f>HYPERLINK("https://klasma.github.io/Logging_2283/klagomål/A 44632-2024 FSC-klagomål.docx", "A 44632-2024")</f>
        <v/>
      </c>
      <c r="W425">
        <f>HYPERLINK("https://klasma.github.io/Logging_2283/klagomålsmail/A 44632-2024 FSC-klagomål mail.docx", "A 44632-2024")</f>
        <v/>
      </c>
      <c r="X425">
        <f>HYPERLINK("https://klasma.github.io/Logging_2283/tillsyn/A 44632-2024 tillsynsbegäran.docx", "A 44632-2024")</f>
        <v/>
      </c>
      <c r="Y425">
        <f>HYPERLINK("https://klasma.github.io/Logging_2283/tillsynsmail/A 44632-2024 tillsynsbegäran mail.docx", "A 44632-2024")</f>
        <v/>
      </c>
    </row>
    <row r="426" ht="15" customHeight="1">
      <c r="A426" t="inlineStr">
        <is>
          <t>A 44624-2024</t>
        </is>
      </c>
      <c r="B426" s="1" t="n">
        <v>45574</v>
      </c>
      <c r="C426" s="1" t="n">
        <v>45670</v>
      </c>
      <c r="D426" t="inlineStr">
        <is>
          <t>VÄSTERNORRLANDS LÄN</t>
        </is>
      </c>
      <c r="E426" t="inlineStr">
        <is>
          <t>SOLLEFTEÅ</t>
        </is>
      </c>
      <c r="F426" t="inlineStr">
        <is>
          <t>SCA</t>
        </is>
      </c>
      <c r="G426" t="n">
        <v>6.4</v>
      </c>
      <c r="H426" t="n">
        <v>0</v>
      </c>
      <c r="I426" t="n">
        <v>0</v>
      </c>
      <c r="J426" t="n">
        <v>1</v>
      </c>
      <c r="K426" t="n">
        <v>0</v>
      </c>
      <c r="L426" t="n">
        <v>0</v>
      </c>
      <c r="M426" t="n">
        <v>0</v>
      </c>
      <c r="N426" t="n">
        <v>0</v>
      </c>
      <c r="O426" t="n">
        <v>1</v>
      </c>
      <c r="P426" t="n">
        <v>0</v>
      </c>
      <c r="Q426" t="n">
        <v>1</v>
      </c>
      <c r="R426" s="2" t="inlineStr">
        <is>
          <t>Lunglav</t>
        </is>
      </c>
      <c r="S426">
        <f>HYPERLINK("https://klasma.github.io/Logging_2283/artfynd/A 44624-2024 artfynd.xlsx", "A 44624-2024")</f>
        <v/>
      </c>
      <c r="T426">
        <f>HYPERLINK("https://klasma.github.io/Logging_2283/kartor/A 44624-2024 karta.png", "A 44624-2024")</f>
        <v/>
      </c>
      <c r="V426">
        <f>HYPERLINK("https://klasma.github.io/Logging_2283/klagomål/A 44624-2024 FSC-klagomål.docx", "A 44624-2024")</f>
        <v/>
      </c>
      <c r="W426">
        <f>HYPERLINK("https://klasma.github.io/Logging_2283/klagomålsmail/A 44624-2024 FSC-klagomål mail.docx", "A 44624-2024")</f>
        <v/>
      </c>
      <c r="X426">
        <f>HYPERLINK("https://klasma.github.io/Logging_2283/tillsyn/A 44624-2024 tillsynsbegäran.docx", "A 44624-2024")</f>
        <v/>
      </c>
      <c r="Y426">
        <f>HYPERLINK("https://klasma.github.io/Logging_2283/tillsynsmail/A 44624-2024 tillsynsbegäran mail.docx", "A 44624-2024")</f>
        <v/>
      </c>
    </row>
    <row r="427" ht="15" customHeight="1">
      <c r="A427" t="inlineStr">
        <is>
          <t>A 48948-2024</t>
        </is>
      </c>
      <c r="B427" s="1" t="n">
        <v>45594</v>
      </c>
      <c r="C427" s="1" t="n">
        <v>45670</v>
      </c>
      <c r="D427" t="inlineStr">
        <is>
          <t>VÄSTERNORRLANDS LÄN</t>
        </is>
      </c>
      <c r="E427" t="inlineStr">
        <is>
          <t>SOLLEFTEÅ</t>
        </is>
      </c>
      <c r="F427" t="inlineStr">
        <is>
          <t>SCA</t>
        </is>
      </c>
      <c r="G427" t="n">
        <v>15</v>
      </c>
      <c r="H427" t="n">
        <v>1</v>
      </c>
      <c r="I427" t="n">
        <v>0</v>
      </c>
      <c r="J427" t="n">
        <v>0</v>
      </c>
      <c r="K427" t="n">
        <v>0</v>
      </c>
      <c r="L427" t="n">
        <v>0</v>
      </c>
      <c r="M427" t="n">
        <v>0</v>
      </c>
      <c r="N427" t="n">
        <v>0</v>
      </c>
      <c r="O427" t="n">
        <v>0</v>
      </c>
      <c r="P427" t="n">
        <v>0</v>
      </c>
      <c r="Q427" t="n">
        <v>1</v>
      </c>
      <c r="R427" s="2" t="inlineStr">
        <is>
          <t>Mattlummer</t>
        </is>
      </c>
      <c r="S427">
        <f>HYPERLINK("https://klasma.github.io/Logging_2283/artfynd/A 48948-2024 artfynd.xlsx", "A 48948-2024")</f>
        <v/>
      </c>
      <c r="T427">
        <f>HYPERLINK("https://klasma.github.io/Logging_2283/kartor/A 48948-2024 karta.png", "A 48948-2024")</f>
        <v/>
      </c>
      <c r="V427">
        <f>HYPERLINK("https://klasma.github.io/Logging_2283/klagomål/A 48948-2024 FSC-klagomål.docx", "A 48948-2024")</f>
        <v/>
      </c>
      <c r="W427">
        <f>HYPERLINK("https://klasma.github.io/Logging_2283/klagomålsmail/A 48948-2024 FSC-klagomål mail.docx", "A 48948-2024")</f>
        <v/>
      </c>
      <c r="X427">
        <f>HYPERLINK("https://klasma.github.io/Logging_2283/tillsyn/A 48948-2024 tillsynsbegäran.docx", "A 48948-2024")</f>
        <v/>
      </c>
      <c r="Y427">
        <f>HYPERLINK("https://klasma.github.io/Logging_2283/tillsynsmail/A 48948-2024 tillsynsbegäran mail.docx", "A 48948-2024")</f>
        <v/>
      </c>
    </row>
    <row r="428" ht="15" customHeight="1">
      <c r="A428" t="inlineStr">
        <is>
          <t>A 49366-2024</t>
        </is>
      </c>
      <c r="B428" s="1" t="n">
        <v>45595</v>
      </c>
      <c r="C428" s="1" t="n">
        <v>45670</v>
      </c>
      <c r="D428" t="inlineStr">
        <is>
          <t>VÄSTERNORRLANDS LÄN</t>
        </is>
      </c>
      <c r="E428" t="inlineStr">
        <is>
          <t>SOLLEFTEÅ</t>
        </is>
      </c>
      <c r="F428" t="inlineStr">
        <is>
          <t>SCA</t>
        </is>
      </c>
      <c r="G428" t="n">
        <v>1.6</v>
      </c>
      <c r="H428" t="n">
        <v>1</v>
      </c>
      <c r="I428" t="n">
        <v>0</v>
      </c>
      <c r="J428" t="n">
        <v>0</v>
      </c>
      <c r="K428" t="n">
        <v>1</v>
      </c>
      <c r="L428" t="n">
        <v>0</v>
      </c>
      <c r="M428" t="n">
        <v>0</v>
      </c>
      <c r="N428" t="n">
        <v>0</v>
      </c>
      <c r="O428" t="n">
        <v>1</v>
      </c>
      <c r="P428" t="n">
        <v>1</v>
      </c>
      <c r="Q428" t="n">
        <v>1</v>
      </c>
      <c r="R428" s="2" t="inlineStr">
        <is>
          <t>Knärot</t>
        </is>
      </c>
      <c r="S428">
        <f>HYPERLINK("https://klasma.github.io/Logging_2283/artfynd/A 49366-2024 artfynd.xlsx", "A 49366-2024")</f>
        <v/>
      </c>
      <c r="T428">
        <f>HYPERLINK("https://klasma.github.io/Logging_2283/kartor/A 49366-2024 karta.png", "A 49366-2024")</f>
        <v/>
      </c>
      <c r="U428">
        <f>HYPERLINK("https://klasma.github.io/Logging_2283/knärot/A 49366-2024 karta knärot.png", "A 49366-2024")</f>
        <v/>
      </c>
      <c r="V428">
        <f>HYPERLINK("https://klasma.github.io/Logging_2283/klagomål/A 49366-2024 FSC-klagomål.docx", "A 49366-2024")</f>
        <v/>
      </c>
      <c r="W428">
        <f>HYPERLINK("https://klasma.github.io/Logging_2283/klagomålsmail/A 49366-2024 FSC-klagomål mail.docx", "A 49366-2024")</f>
        <v/>
      </c>
      <c r="X428">
        <f>HYPERLINK("https://klasma.github.io/Logging_2283/tillsyn/A 49366-2024 tillsynsbegäran.docx", "A 49366-2024")</f>
        <v/>
      </c>
      <c r="Y428">
        <f>HYPERLINK("https://klasma.github.io/Logging_2283/tillsynsmail/A 49366-2024 tillsynsbegäran mail.docx", "A 49366-2024")</f>
        <v/>
      </c>
    </row>
    <row r="429" ht="15" customHeight="1">
      <c r="A429" t="inlineStr">
        <is>
          <t>A 49367-2024</t>
        </is>
      </c>
      <c r="B429" s="1" t="n">
        <v>45595</v>
      </c>
      <c r="C429" s="1" t="n">
        <v>45670</v>
      </c>
      <c r="D429" t="inlineStr">
        <is>
          <t>VÄSTERNORRLANDS LÄN</t>
        </is>
      </c>
      <c r="E429" t="inlineStr">
        <is>
          <t>SOLLEFTEÅ</t>
        </is>
      </c>
      <c r="F429" t="inlineStr">
        <is>
          <t>SCA</t>
        </is>
      </c>
      <c r="G429" t="n">
        <v>1.6</v>
      </c>
      <c r="H429" t="n">
        <v>1</v>
      </c>
      <c r="I429" t="n">
        <v>0</v>
      </c>
      <c r="J429" t="n">
        <v>0</v>
      </c>
      <c r="K429" t="n">
        <v>1</v>
      </c>
      <c r="L429" t="n">
        <v>0</v>
      </c>
      <c r="M429" t="n">
        <v>0</v>
      </c>
      <c r="N429" t="n">
        <v>0</v>
      </c>
      <c r="O429" t="n">
        <v>1</v>
      </c>
      <c r="P429" t="n">
        <v>1</v>
      </c>
      <c r="Q429" t="n">
        <v>1</v>
      </c>
      <c r="R429" s="2" t="inlineStr">
        <is>
          <t>Knärot</t>
        </is>
      </c>
      <c r="S429">
        <f>HYPERLINK("https://klasma.github.io/Logging_2283/artfynd/A 49367-2024 artfynd.xlsx", "A 49367-2024")</f>
        <v/>
      </c>
      <c r="T429">
        <f>HYPERLINK("https://klasma.github.io/Logging_2283/kartor/A 49367-2024 karta.png", "A 49367-2024")</f>
        <v/>
      </c>
      <c r="U429">
        <f>HYPERLINK("https://klasma.github.io/Logging_2283/knärot/A 49367-2024 karta knärot.png", "A 49367-2024")</f>
        <v/>
      </c>
      <c r="V429">
        <f>HYPERLINK("https://klasma.github.io/Logging_2283/klagomål/A 49367-2024 FSC-klagomål.docx", "A 49367-2024")</f>
        <v/>
      </c>
      <c r="W429">
        <f>HYPERLINK("https://klasma.github.io/Logging_2283/klagomålsmail/A 49367-2024 FSC-klagomål mail.docx", "A 49367-2024")</f>
        <v/>
      </c>
      <c r="X429">
        <f>HYPERLINK("https://klasma.github.io/Logging_2283/tillsyn/A 49367-2024 tillsynsbegäran.docx", "A 49367-2024")</f>
        <v/>
      </c>
      <c r="Y429">
        <f>HYPERLINK("https://klasma.github.io/Logging_2283/tillsynsmail/A 49367-2024 tillsynsbegäran mail.docx", "A 49367-2024")</f>
        <v/>
      </c>
    </row>
    <row r="430" ht="15" customHeight="1">
      <c r="A430" t="inlineStr">
        <is>
          <t>A 54734-2024</t>
        </is>
      </c>
      <c r="B430" s="1" t="n">
        <v>45618</v>
      </c>
      <c r="C430" s="1" t="n">
        <v>45670</v>
      </c>
      <c r="D430" t="inlineStr">
        <is>
          <t>VÄSTERNORRLANDS LÄN</t>
        </is>
      </c>
      <c r="E430" t="inlineStr">
        <is>
          <t>SOLLEFTEÅ</t>
        </is>
      </c>
      <c r="F430" t="inlineStr">
        <is>
          <t>SCA</t>
        </is>
      </c>
      <c r="G430" t="n">
        <v>3.2</v>
      </c>
      <c r="H430" t="n">
        <v>0</v>
      </c>
      <c r="I430" t="n">
        <v>0</v>
      </c>
      <c r="J430" t="n">
        <v>1</v>
      </c>
      <c r="K430" t="n">
        <v>0</v>
      </c>
      <c r="L430" t="n">
        <v>0</v>
      </c>
      <c r="M430" t="n">
        <v>0</v>
      </c>
      <c r="N430" t="n">
        <v>0</v>
      </c>
      <c r="O430" t="n">
        <v>1</v>
      </c>
      <c r="P430" t="n">
        <v>0</v>
      </c>
      <c r="Q430" t="n">
        <v>1</v>
      </c>
      <c r="R430" s="2" t="inlineStr">
        <is>
          <t>Ullticka</t>
        </is>
      </c>
      <c r="S430">
        <f>HYPERLINK("https://klasma.github.io/Logging_2283/artfynd/A 54734-2024 artfynd.xlsx", "A 54734-2024")</f>
        <v/>
      </c>
      <c r="T430">
        <f>HYPERLINK("https://klasma.github.io/Logging_2283/kartor/A 54734-2024 karta.png", "A 54734-2024")</f>
        <v/>
      </c>
      <c r="V430">
        <f>HYPERLINK("https://klasma.github.io/Logging_2283/klagomål/A 54734-2024 FSC-klagomål.docx", "A 54734-2024")</f>
        <v/>
      </c>
      <c r="W430">
        <f>HYPERLINK("https://klasma.github.io/Logging_2283/klagomålsmail/A 54734-2024 FSC-klagomål mail.docx", "A 54734-2024")</f>
        <v/>
      </c>
      <c r="X430">
        <f>HYPERLINK("https://klasma.github.io/Logging_2283/tillsyn/A 54734-2024 tillsynsbegäran.docx", "A 54734-2024")</f>
        <v/>
      </c>
      <c r="Y430">
        <f>HYPERLINK("https://klasma.github.io/Logging_2283/tillsynsmail/A 54734-2024 tillsynsbegäran mail.docx", "A 54734-2024")</f>
        <v/>
      </c>
    </row>
    <row r="431" ht="15" customHeight="1">
      <c r="A431" t="inlineStr">
        <is>
          <t>A 57081-2024</t>
        </is>
      </c>
      <c r="B431" s="1" t="n">
        <v>45629</v>
      </c>
      <c r="C431" s="1" t="n">
        <v>45670</v>
      </c>
      <c r="D431" t="inlineStr">
        <is>
          <t>VÄSTERNORRLANDS LÄN</t>
        </is>
      </c>
      <c r="E431" t="inlineStr">
        <is>
          <t>SOLLEFTEÅ</t>
        </is>
      </c>
      <c r="F431" t="inlineStr">
        <is>
          <t>SCA</t>
        </is>
      </c>
      <c r="G431" t="n">
        <v>0.7</v>
      </c>
      <c r="H431" t="n">
        <v>0</v>
      </c>
      <c r="I431" t="n">
        <v>0</v>
      </c>
      <c r="J431" t="n">
        <v>1</v>
      </c>
      <c r="K431" t="n">
        <v>0</v>
      </c>
      <c r="L431" t="n">
        <v>0</v>
      </c>
      <c r="M431" t="n">
        <v>0</v>
      </c>
      <c r="N431" t="n">
        <v>0</v>
      </c>
      <c r="O431" t="n">
        <v>1</v>
      </c>
      <c r="P431" t="n">
        <v>0</v>
      </c>
      <c r="Q431" t="n">
        <v>1</v>
      </c>
      <c r="R431" s="2" t="inlineStr">
        <is>
          <t>Ullticka</t>
        </is>
      </c>
      <c r="S431">
        <f>HYPERLINK("https://klasma.github.io/Logging_2283/artfynd/A 57081-2024 artfynd.xlsx", "A 57081-2024")</f>
        <v/>
      </c>
      <c r="T431">
        <f>HYPERLINK("https://klasma.github.io/Logging_2283/kartor/A 57081-2024 karta.png", "A 57081-2024")</f>
        <v/>
      </c>
      <c r="V431">
        <f>HYPERLINK("https://klasma.github.io/Logging_2283/klagomål/A 57081-2024 FSC-klagomål.docx", "A 57081-2024")</f>
        <v/>
      </c>
      <c r="W431">
        <f>HYPERLINK("https://klasma.github.io/Logging_2283/klagomålsmail/A 57081-2024 FSC-klagomål mail.docx", "A 57081-2024")</f>
        <v/>
      </c>
      <c r="X431">
        <f>HYPERLINK("https://klasma.github.io/Logging_2283/tillsyn/A 57081-2024 tillsynsbegäran.docx", "A 57081-2024")</f>
        <v/>
      </c>
      <c r="Y431">
        <f>HYPERLINK("https://klasma.github.io/Logging_2283/tillsynsmail/A 57081-2024 tillsynsbegäran mail.docx", "A 57081-2024")</f>
        <v/>
      </c>
    </row>
    <row r="432" ht="15" customHeight="1">
      <c r="A432" t="inlineStr">
        <is>
          <t>A 58812-2024</t>
        </is>
      </c>
      <c r="B432" s="1" t="n">
        <v>45636</v>
      </c>
      <c r="C432" s="1" t="n">
        <v>45670</v>
      </c>
      <c r="D432" t="inlineStr">
        <is>
          <t>VÄSTERNORRLANDS LÄN</t>
        </is>
      </c>
      <c r="E432" t="inlineStr">
        <is>
          <t>SOLLEFTEÅ</t>
        </is>
      </c>
      <c r="F432" t="inlineStr">
        <is>
          <t>SCA</t>
        </is>
      </c>
      <c r="G432" t="n">
        <v>4.6</v>
      </c>
      <c r="H432" t="n">
        <v>0</v>
      </c>
      <c r="I432" t="n">
        <v>0</v>
      </c>
      <c r="J432" t="n">
        <v>1</v>
      </c>
      <c r="K432" t="n">
        <v>0</v>
      </c>
      <c r="L432" t="n">
        <v>0</v>
      </c>
      <c r="M432" t="n">
        <v>0</v>
      </c>
      <c r="N432" t="n">
        <v>0</v>
      </c>
      <c r="O432" t="n">
        <v>1</v>
      </c>
      <c r="P432" t="n">
        <v>0</v>
      </c>
      <c r="Q432" t="n">
        <v>1</v>
      </c>
      <c r="R432" s="2" t="inlineStr">
        <is>
          <t>Harticka</t>
        </is>
      </c>
      <c r="S432">
        <f>HYPERLINK("https://klasma.github.io/Logging_2283/artfynd/A 58812-2024 artfynd.xlsx", "A 58812-2024")</f>
        <v/>
      </c>
      <c r="T432">
        <f>HYPERLINK("https://klasma.github.io/Logging_2283/kartor/A 58812-2024 karta.png", "A 58812-2024")</f>
        <v/>
      </c>
      <c r="V432">
        <f>HYPERLINK("https://klasma.github.io/Logging_2283/klagomål/A 58812-2024 FSC-klagomål.docx", "A 58812-2024")</f>
        <v/>
      </c>
      <c r="W432">
        <f>HYPERLINK("https://klasma.github.io/Logging_2283/klagomålsmail/A 58812-2024 FSC-klagomål mail.docx", "A 58812-2024")</f>
        <v/>
      </c>
      <c r="X432">
        <f>HYPERLINK("https://klasma.github.io/Logging_2283/tillsyn/A 58812-2024 tillsynsbegäran.docx", "A 58812-2024")</f>
        <v/>
      </c>
      <c r="Y432">
        <f>HYPERLINK("https://klasma.github.io/Logging_2283/tillsynsmail/A 58812-2024 tillsynsbegäran mail.docx", "A 58812-2024")</f>
        <v/>
      </c>
    </row>
    <row r="433" ht="15" customHeight="1">
      <c r="A433" t="inlineStr">
        <is>
          <t>A 59997-2024</t>
        </is>
      </c>
      <c r="B433" s="1" t="n">
        <v>45642</v>
      </c>
      <c r="C433" s="1" t="n">
        <v>45670</v>
      </c>
      <c r="D433" t="inlineStr">
        <is>
          <t>VÄSTERNORRLANDS LÄN</t>
        </is>
      </c>
      <c r="E433" t="inlineStr">
        <is>
          <t>SOLLEFTEÅ</t>
        </is>
      </c>
      <c r="F433" t="inlineStr">
        <is>
          <t>SCA</t>
        </is>
      </c>
      <c r="G433" t="n">
        <v>2.8</v>
      </c>
      <c r="H433" t="n">
        <v>0</v>
      </c>
      <c r="I433" t="n">
        <v>0</v>
      </c>
      <c r="J433" t="n">
        <v>1</v>
      </c>
      <c r="K433" t="n">
        <v>0</v>
      </c>
      <c r="L433" t="n">
        <v>0</v>
      </c>
      <c r="M433" t="n">
        <v>0</v>
      </c>
      <c r="N433" t="n">
        <v>0</v>
      </c>
      <c r="O433" t="n">
        <v>1</v>
      </c>
      <c r="P433" t="n">
        <v>0</v>
      </c>
      <c r="Q433" t="n">
        <v>1</v>
      </c>
      <c r="R433" s="2" t="inlineStr">
        <is>
          <t>Garnlav</t>
        </is>
      </c>
      <c r="S433">
        <f>HYPERLINK("https://klasma.github.io/Logging_2283/artfynd/A 59997-2024 artfynd.xlsx", "A 59997-2024")</f>
        <v/>
      </c>
      <c r="T433">
        <f>HYPERLINK("https://klasma.github.io/Logging_2283/kartor/A 59997-2024 karta.png", "A 59997-2024")</f>
        <v/>
      </c>
      <c r="V433">
        <f>HYPERLINK("https://klasma.github.io/Logging_2283/klagomål/A 59997-2024 FSC-klagomål.docx", "A 59997-2024")</f>
        <v/>
      </c>
      <c r="W433">
        <f>HYPERLINK("https://klasma.github.io/Logging_2283/klagomålsmail/A 59997-2024 FSC-klagomål mail.docx", "A 59997-2024")</f>
        <v/>
      </c>
      <c r="X433">
        <f>HYPERLINK("https://klasma.github.io/Logging_2283/tillsyn/A 59997-2024 tillsynsbegäran.docx", "A 59997-2024")</f>
        <v/>
      </c>
      <c r="Y433">
        <f>HYPERLINK("https://klasma.github.io/Logging_2283/tillsynsmail/A 59997-2024 tillsynsbegäran mail.docx", "A 59997-2024")</f>
        <v/>
      </c>
    </row>
    <row r="434" ht="15" customHeight="1">
      <c r="A434" t="inlineStr">
        <is>
          <t>A 1343-2025</t>
        </is>
      </c>
      <c r="B434" s="1" t="n">
        <v>45667</v>
      </c>
      <c r="C434" s="1" t="n">
        <v>45670</v>
      </c>
      <c r="D434" t="inlineStr">
        <is>
          <t>VÄSTERNORRLANDS LÄN</t>
        </is>
      </c>
      <c r="E434" t="inlineStr">
        <is>
          <t>SOLLEFTEÅ</t>
        </is>
      </c>
      <c r="G434" t="n">
        <v>5.2</v>
      </c>
      <c r="H434" t="n">
        <v>0</v>
      </c>
      <c r="I434" t="n">
        <v>0</v>
      </c>
      <c r="J434" t="n">
        <v>1</v>
      </c>
      <c r="K434" t="n">
        <v>0</v>
      </c>
      <c r="L434" t="n">
        <v>0</v>
      </c>
      <c r="M434" t="n">
        <v>0</v>
      </c>
      <c r="N434" t="n">
        <v>0</v>
      </c>
      <c r="O434" t="n">
        <v>1</v>
      </c>
      <c r="P434" t="n">
        <v>0</v>
      </c>
      <c r="Q434" t="n">
        <v>1</v>
      </c>
      <c r="R434" s="2" t="inlineStr">
        <is>
          <t>Granticka</t>
        </is>
      </c>
      <c r="S434">
        <f>HYPERLINK("https://klasma.github.io/Logging_2283/artfynd/A 1343-2025 artfynd.xlsx", "A 1343-2025")</f>
        <v/>
      </c>
      <c r="T434">
        <f>HYPERLINK("https://klasma.github.io/Logging_2283/kartor/A 1343-2025 karta.png", "A 1343-2025")</f>
        <v/>
      </c>
      <c r="V434">
        <f>HYPERLINK("https://klasma.github.io/Logging_2283/klagomål/A 1343-2025 FSC-klagomål.docx", "A 1343-2025")</f>
        <v/>
      </c>
      <c r="W434">
        <f>HYPERLINK("https://klasma.github.io/Logging_2283/klagomålsmail/A 1343-2025 FSC-klagomål mail.docx", "A 1343-2025")</f>
        <v/>
      </c>
      <c r="X434">
        <f>HYPERLINK("https://klasma.github.io/Logging_2283/tillsyn/A 1343-2025 tillsynsbegäran.docx", "A 1343-2025")</f>
        <v/>
      </c>
      <c r="Y434">
        <f>HYPERLINK("https://klasma.github.io/Logging_2283/tillsynsmail/A 1343-2025 tillsynsbegäran mail.docx", "A 1343-2025")</f>
        <v/>
      </c>
    </row>
    <row r="435" ht="15" customHeight="1">
      <c r="A435" t="inlineStr">
        <is>
          <t>A 18277-2019</t>
        </is>
      </c>
      <c r="B435" s="1" t="n">
        <v>43557</v>
      </c>
      <c r="C435" s="1" t="n">
        <v>45670</v>
      </c>
      <c r="D435" t="inlineStr">
        <is>
          <t>VÄSTERNORRLANDS LÄN</t>
        </is>
      </c>
      <c r="E435" t="inlineStr">
        <is>
          <t>SOLLEFTEÅ</t>
        </is>
      </c>
      <c r="G435" t="n">
        <v>6.2</v>
      </c>
      <c r="H435" t="n">
        <v>0</v>
      </c>
      <c r="I435" t="n">
        <v>0</v>
      </c>
      <c r="J435" t="n">
        <v>0</v>
      </c>
      <c r="K435" t="n">
        <v>0</v>
      </c>
      <c r="L435" t="n">
        <v>0</v>
      </c>
      <c r="M435" t="n">
        <v>0</v>
      </c>
      <c r="N435" t="n">
        <v>0</v>
      </c>
      <c r="O435" t="n">
        <v>0</v>
      </c>
      <c r="P435" t="n">
        <v>0</v>
      </c>
      <c r="Q435" t="n">
        <v>0</v>
      </c>
      <c r="R435" s="2" t="inlineStr"/>
    </row>
    <row r="436" ht="15" customHeight="1">
      <c r="A436" t="inlineStr">
        <is>
          <t>A 18578-2019</t>
        </is>
      </c>
      <c r="B436" s="1" t="n">
        <v>43558</v>
      </c>
      <c r="C436" s="1" t="n">
        <v>45670</v>
      </c>
      <c r="D436" t="inlineStr">
        <is>
          <t>VÄSTERNORRLANDS LÄN</t>
        </is>
      </c>
      <c r="E436" t="inlineStr">
        <is>
          <t>SOLLEFTEÅ</t>
        </is>
      </c>
      <c r="G436" t="n">
        <v>1.7</v>
      </c>
      <c r="H436" t="n">
        <v>0</v>
      </c>
      <c r="I436" t="n">
        <v>0</v>
      </c>
      <c r="J436" t="n">
        <v>0</v>
      </c>
      <c r="K436" t="n">
        <v>0</v>
      </c>
      <c r="L436" t="n">
        <v>0</v>
      </c>
      <c r="M436" t="n">
        <v>0</v>
      </c>
      <c r="N436" t="n">
        <v>0</v>
      </c>
      <c r="O436" t="n">
        <v>0</v>
      </c>
      <c r="P436" t="n">
        <v>0</v>
      </c>
      <c r="Q436" t="n">
        <v>0</v>
      </c>
      <c r="R436" s="2" t="inlineStr"/>
    </row>
    <row r="437" ht="15" customHeight="1">
      <c r="A437" t="inlineStr">
        <is>
          <t>A 18925-2019</t>
        </is>
      </c>
      <c r="B437" s="1" t="n">
        <v>43563</v>
      </c>
      <c r="C437" s="1" t="n">
        <v>45670</v>
      </c>
      <c r="D437" t="inlineStr">
        <is>
          <t>VÄSTERNORRLANDS LÄN</t>
        </is>
      </c>
      <c r="E437" t="inlineStr">
        <is>
          <t>SOLLEFTEÅ</t>
        </is>
      </c>
      <c r="G437" t="n">
        <v>1.9</v>
      </c>
      <c r="H437" t="n">
        <v>0</v>
      </c>
      <c r="I437" t="n">
        <v>0</v>
      </c>
      <c r="J437" t="n">
        <v>0</v>
      </c>
      <c r="K437" t="n">
        <v>0</v>
      </c>
      <c r="L437" t="n">
        <v>0</v>
      </c>
      <c r="M437" t="n">
        <v>0</v>
      </c>
      <c r="N437" t="n">
        <v>0</v>
      </c>
      <c r="O437" t="n">
        <v>0</v>
      </c>
      <c r="P437" t="n">
        <v>0</v>
      </c>
      <c r="Q437" t="n">
        <v>0</v>
      </c>
      <c r="R437" s="2" t="inlineStr"/>
    </row>
    <row r="438" ht="15" customHeight="1">
      <c r="A438" t="inlineStr">
        <is>
          <t>A 19123-2019</t>
        </is>
      </c>
      <c r="B438" s="1" t="n">
        <v>43564</v>
      </c>
      <c r="C438" s="1" t="n">
        <v>45670</v>
      </c>
      <c r="D438" t="inlineStr">
        <is>
          <t>VÄSTERNORRLANDS LÄN</t>
        </is>
      </c>
      <c r="E438" t="inlineStr">
        <is>
          <t>SOLLEFTEÅ</t>
        </is>
      </c>
      <c r="G438" t="n">
        <v>9.4</v>
      </c>
      <c r="H438" t="n">
        <v>0</v>
      </c>
      <c r="I438" t="n">
        <v>0</v>
      </c>
      <c r="J438" t="n">
        <v>0</v>
      </c>
      <c r="K438" t="n">
        <v>0</v>
      </c>
      <c r="L438" t="n">
        <v>0</v>
      </c>
      <c r="M438" t="n">
        <v>0</v>
      </c>
      <c r="N438" t="n">
        <v>0</v>
      </c>
      <c r="O438" t="n">
        <v>0</v>
      </c>
      <c r="P438" t="n">
        <v>0</v>
      </c>
      <c r="Q438" t="n">
        <v>0</v>
      </c>
      <c r="R438" s="2" t="inlineStr"/>
    </row>
    <row r="439" ht="15" customHeight="1">
      <c r="A439" t="inlineStr">
        <is>
          <t>A 19219-2019</t>
        </is>
      </c>
      <c r="B439" s="1" t="n">
        <v>43564</v>
      </c>
      <c r="C439" s="1" t="n">
        <v>45670</v>
      </c>
      <c r="D439" t="inlineStr">
        <is>
          <t>VÄSTERNORRLANDS LÄN</t>
        </is>
      </c>
      <c r="E439" t="inlineStr">
        <is>
          <t>SOLLEFTEÅ</t>
        </is>
      </c>
      <c r="G439" t="n">
        <v>37</v>
      </c>
      <c r="H439" t="n">
        <v>0</v>
      </c>
      <c r="I439" t="n">
        <v>0</v>
      </c>
      <c r="J439" t="n">
        <v>0</v>
      </c>
      <c r="K439" t="n">
        <v>0</v>
      </c>
      <c r="L439" t="n">
        <v>0</v>
      </c>
      <c r="M439" t="n">
        <v>0</v>
      </c>
      <c r="N439" t="n">
        <v>0</v>
      </c>
      <c r="O439" t="n">
        <v>0</v>
      </c>
      <c r="P439" t="n">
        <v>0</v>
      </c>
      <c r="Q439" t="n">
        <v>0</v>
      </c>
      <c r="R439" s="2" t="inlineStr"/>
    </row>
    <row r="440" ht="15" customHeight="1">
      <c r="A440" t="inlineStr">
        <is>
          <t>A 19553-2019</t>
        </is>
      </c>
      <c r="B440" s="1" t="n">
        <v>43565</v>
      </c>
      <c r="C440" s="1" t="n">
        <v>45670</v>
      </c>
      <c r="D440" t="inlineStr">
        <is>
          <t>VÄSTERNORRLANDS LÄN</t>
        </is>
      </c>
      <c r="E440" t="inlineStr">
        <is>
          <t>SOLLEFTEÅ</t>
        </is>
      </c>
      <c r="G440" t="n">
        <v>28.1</v>
      </c>
      <c r="H440" t="n">
        <v>0</v>
      </c>
      <c r="I440" t="n">
        <v>0</v>
      </c>
      <c r="J440" t="n">
        <v>0</v>
      </c>
      <c r="K440" t="n">
        <v>0</v>
      </c>
      <c r="L440" t="n">
        <v>0</v>
      </c>
      <c r="M440" t="n">
        <v>0</v>
      </c>
      <c r="N440" t="n">
        <v>0</v>
      </c>
      <c r="O440" t="n">
        <v>0</v>
      </c>
      <c r="P440" t="n">
        <v>0</v>
      </c>
      <c r="Q440" t="n">
        <v>0</v>
      </c>
      <c r="R440" s="2" t="inlineStr"/>
    </row>
    <row r="441" ht="15" customHeight="1">
      <c r="A441" t="inlineStr">
        <is>
          <t>A 19730-2019</t>
        </is>
      </c>
      <c r="B441" s="1" t="n">
        <v>43566</v>
      </c>
      <c r="C441" s="1" t="n">
        <v>45670</v>
      </c>
      <c r="D441" t="inlineStr">
        <is>
          <t>VÄSTERNORRLANDS LÄN</t>
        </is>
      </c>
      <c r="E441" t="inlineStr">
        <is>
          <t>SOLLEFTEÅ</t>
        </is>
      </c>
      <c r="G441" t="n">
        <v>2</v>
      </c>
      <c r="H441" t="n">
        <v>0</v>
      </c>
      <c r="I441" t="n">
        <v>0</v>
      </c>
      <c r="J441" t="n">
        <v>0</v>
      </c>
      <c r="K441" t="n">
        <v>0</v>
      </c>
      <c r="L441" t="n">
        <v>0</v>
      </c>
      <c r="M441" t="n">
        <v>0</v>
      </c>
      <c r="N441" t="n">
        <v>0</v>
      </c>
      <c r="O441" t="n">
        <v>0</v>
      </c>
      <c r="P441" t="n">
        <v>0</v>
      </c>
      <c r="Q441" t="n">
        <v>0</v>
      </c>
      <c r="R441" s="2" t="inlineStr"/>
    </row>
    <row r="442" ht="15" customHeight="1">
      <c r="A442" t="inlineStr">
        <is>
          <t>A 19595-2019</t>
        </is>
      </c>
      <c r="B442" s="1" t="n">
        <v>43566</v>
      </c>
      <c r="C442" s="1" t="n">
        <v>45670</v>
      </c>
      <c r="D442" t="inlineStr">
        <is>
          <t>VÄSTERNORRLANDS LÄN</t>
        </is>
      </c>
      <c r="E442" t="inlineStr">
        <is>
          <t>SOLLEFTEÅ</t>
        </is>
      </c>
      <c r="F442" t="inlineStr">
        <is>
          <t>Kyrkan</t>
        </is>
      </c>
      <c r="G442" t="n">
        <v>2.5</v>
      </c>
      <c r="H442" t="n">
        <v>0</v>
      </c>
      <c r="I442" t="n">
        <v>0</v>
      </c>
      <c r="J442" t="n">
        <v>0</v>
      </c>
      <c r="K442" t="n">
        <v>0</v>
      </c>
      <c r="L442" t="n">
        <v>0</v>
      </c>
      <c r="M442" t="n">
        <v>0</v>
      </c>
      <c r="N442" t="n">
        <v>0</v>
      </c>
      <c r="O442" t="n">
        <v>0</v>
      </c>
      <c r="P442" t="n">
        <v>0</v>
      </c>
      <c r="Q442" t="n">
        <v>0</v>
      </c>
      <c r="R442" s="2" t="inlineStr"/>
    </row>
    <row r="443" ht="15" customHeight="1">
      <c r="A443" t="inlineStr">
        <is>
          <t>A 19732-2019</t>
        </is>
      </c>
      <c r="B443" s="1" t="n">
        <v>43566</v>
      </c>
      <c r="C443" s="1" t="n">
        <v>45670</v>
      </c>
      <c r="D443" t="inlineStr">
        <is>
          <t>VÄSTERNORRLANDS LÄN</t>
        </is>
      </c>
      <c r="E443" t="inlineStr">
        <is>
          <t>SOLLEFTEÅ</t>
        </is>
      </c>
      <c r="G443" t="n">
        <v>0.5</v>
      </c>
      <c r="H443" t="n">
        <v>0</v>
      </c>
      <c r="I443" t="n">
        <v>0</v>
      </c>
      <c r="J443" t="n">
        <v>0</v>
      </c>
      <c r="K443" t="n">
        <v>0</v>
      </c>
      <c r="L443" t="n">
        <v>0</v>
      </c>
      <c r="M443" t="n">
        <v>0</v>
      </c>
      <c r="N443" t="n">
        <v>0</v>
      </c>
      <c r="O443" t="n">
        <v>0</v>
      </c>
      <c r="P443" t="n">
        <v>0</v>
      </c>
      <c r="Q443" t="n">
        <v>0</v>
      </c>
      <c r="R443" s="2" t="inlineStr"/>
    </row>
    <row r="444" ht="15" customHeight="1">
      <c r="A444" t="inlineStr">
        <is>
          <t>A 19731-2019</t>
        </is>
      </c>
      <c r="B444" s="1" t="n">
        <v>43566</v>
      </c>
      <c r="C444" s="1" t="n">
        <v>45670</v>
      </c>
      <c r="D444" t="inlineStr">
        <is>
          <t>VÄSTERNORRLANDS LÄN</t>
        </is>
      </c>
      <c r="E444" t="inlineStr">
        <is>
          <t>SOLLEFTEÅ</t>
        </is>
      </c>
      <c r="G444" t="n">
        <v>1.3</v>
      </c>
      <c r="H444" t="n">
        <v>0</v>
      </c>
      <c r="I444" t="n">
        <v>0</v>
      </c>
      <c r="J444" t="n">
        <v>0</v>
      </c>
      <c r="K444" t="n">
        <v>0</v>
      </c>
      <c r="L444" t="n">
        <v>0</v>
      </c>
      <c r="M444" t="n">
        <v>0</v>
      </c>
      <c r="N444" t="n">
        <v>0</v>
      </c>
      <c r="O444" t="n">
        <v>0</v>
      </c>
      <c r="P444" t="n">
        <v>0</v>
      </c>
      <c r="Q444" t="n">
        <v>0</v>
      </c>
      <c r="R444" s="2" t="inlineStr"/>
    </row>
    <row r="445" ht="15" customHeight="1">
      <c r="A445" t="inlineStr">
        <is>
          <t>A 20201-2019</t>
        </is>
      </c>
      <c r="B445" s="1" t="n">
        <v>43570</v>
      </c>
      <c r="C445" s="1" t="n">
        <v>45670</v>
      </c>
      <c r="D445" t="inlineStr">
        <is>
          <t>VÄSTERNORRLANDS LÄN</t>
        </is>
      </c>
      <c r="E445" t="inlineStr">
        <is>
          <t>SOLLEFTEÅ</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20198-2019</t>
        </is>
      </c>
      <c r="B446" s="1" t="n">
        <v>43570</v>
      </c>
      <c r="C446" s="1" t="n">
        <v>45670</v>
      </c>
      <c r="D446" t="inlineStr">
        <is>
          <t>VÄSTERNORRLANDS LÄN</t>
        </is>
      </c>
      <c r="E446" t="inlineStr">
        <is>
          <t>SOLLEFTEÅ</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20200-2019</t>
        </is>
      </c>
      <c r="B447" s="1" t="n">
        <v>43570</v>
      </c>
      <c r="C447" s="1" t="n">
        <v>45670</v>
      </c>
      <c r="D447" t="inlineStr">
        <is>
          <t>VÄSTERNORRLANDS LÄN</t>
        </is>
      </c>
      <c r="E447" t="inlineStr">
        <is>
          <t>SOLLEFTEÅ</t>
        </is>
      </c>
      <c r="F447" t="inlineStr">
        <is>
          <t>SCA</t>
        </is>
      </c>
      <c r="G447" t="n">
        <v>3.6</v>
      </c>
      <c r="H447" t="n">
        <v>0</v>
      </c>
      <c r="I447" t="n">
        <v>0</v>
      </c>
      <c r="J447" t="n">
        <v>0</v>
      </c>
      <c r="K447" t="n">
        <v>0</v>
      </c>
      <c r="L447" t="n">
        <v>0</v>
      </c>
      <c r="M447" t="n">
        <v>0</v>
      </c>
      <c r="N447" t="n">
        <v>0</v>
      </c>
      <c r="O447" t="n">
        <v>0</v>
      </c>
      <c r="P447" t="n">
        <v>0</v>
      </c>
      <c r="Q447" t="n">
        <v>0</v>
      </c>
      <c r="R447" s="2" t="inlineStr"/>
    </row>
    <row r="448" ht="15" customHeight="1">
      <c r="A448" t="inlineStr">
        <is>
          <t>A 20444-2019</t>
        </is>
      </c>
      <c r="B448" s="1" t="n">
        <v>43571</v>
      </c>
      <c r="C448" s="1" t="n">
        <v>45670</v>
      </c>
      <c r="D448" t="inlineStr">
        <is>
          <t>VÄSTERNORRLANDS LÄN</t>
        </is>
      </c>
      <c r="E448" t="inlineStr">
        <is>
          <t>SOLLEFTEÅ</t>
        </is>
      </c>
      <c r="G448" t="n">
        <v>2.9</v>
      </c>
      <c r="H448" t="n">
        <v>0</v>
      </c>
      <c r="I448" t="n">
        <v>0</v>
      </c>
      <c r="J448" t="n">
        <v>0</v>
      </c>
      <c r="K448" t="n">
        <v>0</v>
      </c>
      <c r="L448" t="n">
        <v>0</v>
      </c>
      <c r="M448" t="n">
        <v>0</v>
      </c>
      <c r="N448" t="n">
        <v>0</v>
      </c>
      <c r="O448" t="n">
        <v>0</v>
      </c>
      <c r="P448" t="n">
        <v>0</v>
      </c>
      <c r="Q448" t="n">
        <v>0</v>
      </c>
      <c r="R448" s="2" t="inlineStr"/>
    </row>
    <row r="449" ht="15" customHeight="1">
      <c r="A449" t="inlineStr">
        <is>
          <t>A 20649-2019</t>
        </is>
      </c>
      <c r="B449" s="1" t="n">
        <v>43572</v>
      </c>
      <c r="C449" s="1" t="n">
        <v>45670</v>
      </c>
      <c r="D449" t="inlineStr">
        <is>
          <t>VÄSTERNORRLANDS LÄN</t>
        </is>
      </c>
      <c r="E449" t="inlineStr">
        <is>
          <t>SOLLEFTEÅ</t>
        </is>
      </c>
      <c r="G449" t="n">
        <v>1.9</v>
      </c>
      <c r="H449" t="n">
        <v>0</v>
      </c>
      <c r="I449" t="n">
        <v>0</v>
      </c>
      <c r="J449" t="n">
        <v>0</v>
      </c>
      <c r="K449" t="n">
        <v>0</v>
      </c>
      <c r="L449" t="n">
        <v>0</v>
      </c>
      <c r="M449" t="n">
        <v>0</v>
      </c>
      <c r="N449" t="n">
        <v>0</v>
      </c>
      <c r="O449" t="n">
        <v>0</v>
      </c>
      <c r="P449" t="n">
        <v>0</v>
      </c>
      <c r="Q449" t="n">
        <v>0</v>
      </c>
      <c r="R449" s="2" t="inlineStr"/>
    </row>
    <row r="450" ht="15" customHeight="1">
      <c r="A450" t="inlineStr">
        <is>
          <t>A 20648-2019</t>
        </is>
      </c>
      <c r="B450" s="1" t="n">
        <v>43572</v>
      </c>
      <c r="C450" s="1" t="n">
        <v>45670</v>
      </c>
      <c r="D450" t="inlineStr">
        <is>
          <t>VÄSTERNORRLANDS LÄN</t>
        </is>
      </c>
      <c r="E450" t="inlineStr">
        <is>
          <t>SOLLEFTEÅ</t>
        </is>
      </c>
      <c r="G450" t="n">
        <v>3.9</v>
      </c>
      <c r="H450" t="n">
        <v>0</v>
      </c>
      <c r="I450" t="n">
        <v>0</v>
      </c>
      <c r="J450" t="n">
        <v>0</v>
      </c>
      <c r="K450" t="n">
        <v>0</v>
      </c>
      <c r="L450" t="n">
        <v>0</v>
      </c>
      <c r="M450" t="n">
        <v>0</v>
      </c>
      <c r="N450" t="n">
        <v>0</v>
      </c>
      <c r="O450" t="n">
        <v>0</v>
      </c>
      <c r="P450" t="n">
        <v>0</v>
      </c>
      <c r="Q450" t="n">
        <v>0</v>
      </c>
      <c r="R450" s="2" t="inlineStr"/>
    </row>
    <row r="451" ht="15" customHeight="1">
      <c r="A451" t="inlineStr">
        <is>
          <t>A 21119-2019</t>
        </is>
      </c>
      <c r="B451" s="1" t="n">
        <v>43578</v>
      </c>
      <c r="C451" s="1" t="n">
        <v>45670</v>
      </c>
      <c r="D451" t="inlineStr">
        <is>
          <t>VÄSTERNORRLANDS LÄN</t>
        </is>
      </c>
      <c r="E451" t="inlineStr">
        <is>
          <t>SOLLEFTEÅ</t>
        </is>
      </c>
      <c r="F451" t="inlineStr">
        <is>
          <t>SCA</t>
        </is>
      </c>
      <c r="G451" t="n">
        <v>57.7</v>
      </c>
      <c r="H451" t="n">
        <v>0</v>
      </c>
      <c r="I451" t="n">
        <v>0</v>
      </c>
      <c r="J451" t="n">
        <v>0</v>
      </c>
      <c r="K451" t="n">
        <v>0</v>
      </c>
      <c r="L451" t="n">
        <v>0</v>
      </c>
      <c r="M451" t="n">
        <v>0</v>
      </c>
      <c r="N451" t="n">
        <v>0</v>
      </c>
      <c r="O451" t="n">
        <v>0</v>
      </c>
      <c r="P451" t="n">
        <v>0</v>
      </c>
      <c r="Q451" t="n">
        <v>0</v>
      </c>
      <c r="R451" s="2" t="inlineStr"/>
    </row>
    <row r="452" ht="15" customHeight="1">
      <c r="A452" t="inlineStr">
        <is>
          <t>A 21526-2019</t>
        </is>
      </c>
      <c r="B452" s="1" t="n">
        <v>43580</v>
      </c>
      <c r="C452" s="1" t="n">
        <v>45670</v>
      </c>
      <c r="D452" t="inlineStr">
        <is>
          <t>VÄSTERNORRLANDS LÄN</t>
        </is>
      </c>
      <c r="E452" t="inlineStr">
        <is>
          <t>SOLLEFTEÅ</t>
        </is>
      </c>
      <c r="G452" t="n">
        <v>3.1</v>
      </c>
      <c r="H452" t="n">
        <v>0</v>
      </c>
      <c r="I452" t="n">
        <v>0</v>
      </c>
      <c r="J452" t="n">
        <v>0</v>
      </c>
      <c r="K452" t="n">
        <v>0</v>
      </c>
      <c r="L452" t="n">
        <v>0</v>
      </c>
      <c r="M452" t="n">
        <v>0</v>
      </c>
      <c r="N452" t="n">
        <v>0</v>
      </c>
      <c r="O452" t="n">
        <v>0</v>
      </c>
      <c r="P452" t="n">
        <v>0</v>
      </c>
      <c r="Q452" t="n">
        <v>0</v>
      </c>
      <c r="R452" s="2" t="inlineStr"/>
    </row>
    <row r="453" ht="15" customHeight="1">
      <c r="A453" t="inlineStr">
        <is>
          <t>A 21799-2019</t>
        </is>
      </c>
      <c r="B453" s="1" t="n">
        <v>43581</v>
      </c>
      <c r="C453" s="1" t="n">
        <v>45670</v>
      </c>
      <c r="D453" t="inlineStr">
        <is>
          <t>VÄSTERNORRLANDS LÄN</t>
        </is>
      </c>
      <c r="E453" t="inlineStr">
        <is>
          <t>SOLLEFTEÅ</t>
        </is>
      </c>
      <c r="F453" t="inlineStr">
        <is>
          <t>SCA</t>
        </is>
      </c>
      <c r="G453" t="n">
        <v>14.1</v>
      </c>
      <c r="H453" t="n">
        <v>0</v>
      </c>
      <c r="I453" t="n">
        <v>0</v>
      </c>
      <c r="J453" t="n">
        <v>0</v>
      </c>
      <c r="K453" t="n">
        <v>0</v>
      </c>
      <c r="L453" t="n">
        <v>0</v>
      </c>
      <c r="M453" t="n">
        <v>0</v>
      </c>
      <c r="N453" t="n">
        <v>0</v>
      </c>
      <c r="O453" t="n">
        <v>0</v>
      </c>
      <c r="P453" t="n">
        <v>0</v>
      </c>
      <c r="Q453" t="n">
        <v>0</v>
      </c>
      <c r="R453" s="2" t="inlineStr"/>
    </row>
    <row r="454" ht="15" customHeight="1">
      <c r="A454" t="inlineStr">
        <is>
          <t>A 21788-2019</t>
        </is>
      </c>
      <c r="B454" s="1" t="n">
        <v>43581</v>
      </c>
      <c r="C454" s="1" t="n">
        <v>45670</v>
      </c>
      <c r="D454" t="inlineStr">
        <is>
          <t>VÄSTERNORRLANDS LÄN</t>
        </is>
      </c>
      <c r="E454" t="inlineStr">
        <is>
          <t>SOLLEFTEÅ</t>
        </is>
      </c>
      <c r="F454" t="inlineStr">
        <is>
          <t>SCA</t>
        </is>
      </c>
      <c r="G454" t="n">
        <v>7.7</v>
      </c>
      <c r="H454" t="n">
        <v>0</v>
      </c>
      <c r="I454" t="n">
        <v>0</v>
      </c>
      <c r="J454" t="n">
        <v>0</v>
      </c>
      <c r="K454" t="n">
        <v>0</v>
      </c>
      <c r="L454" t="n">
        <v>0</v>
      </c>
      <c r="M454" t="n">
        <v>0</v>
      </c>
      <c r="N454" t="n">
        <v>0</v>
      </c>
      <c r="O454" t="n">
        <v>0</v>
      </c>
      <c r="P454" t="n">
        <v>0</v>
      </c>
      <c r="Q454" t="n">
        <v>0</v>
      </c>
      <c r="R454" s="2" t="inlineStr"/>
    </row>
    <row r="455" ht="15" customHeight="1">
      <c r="A455" t="inlineStr">
        <is>
          <t>A 22088-2019</t>
        </is>
      </c>
      <c r="B455" s="1" t="n">
        <v>43584</v>
      </c>
      <c r="C455" s="1" t="n">
        <v>45670</v>
      </c>
      <c r="D455" t="inlineStr">
        <is>
          <t>VÄSTERNORRLANDS LÄN</t>
        </is>
      </c>
      <c r="E455" t="inlineStr">
        <is>
          <t>SOLLEFTEÅ</t>
        </is>
      </c>
      <c r="F455" t="inlineStr">
        <is>
          <t>SCA</t>
        </is>
      </c>
      <c r="G455" t="n">
        <v>37.9</v>
      </c>
      <c r="H455" t="n">
        <v>0</v>
      </c>
      <c r="I455" t="n">
        <v>0</v>
      </c>
      <c r="J455" t="n">
        <v>0</v>
      </c>
      <c r="K455" t="n">
        <v>0</v>
      </c>
      <c r="L455" t="n">
        <v>0</v>
      </c>
      <c r="M455" t="n">
        <v>0</v>
      </c>
      <c r="N455" t="n">
        <v>0</v>
      </c>
      <c r="O455" t="n">
        <v>0</v>
      </c>
      <c r="P455" t="n">
        <v>0</v>
      </c>
      <c r="Q455" t="n">
        <v>0</v>
      </c>
      <c r="R455" s="2" t="inlineStr"/>
    </row>
    <row r="456" ht="15" customHeight="1">
      <c r="A456" t="inlineStr">
        <is>
          <t>A 22283-2019</t>
        </is>
      </c>
      <c r="B456" s="1" t="n">
        <v>43585</v>
      </c>
      <c r="C456" s="1" t="n">
        <v>45670</v>
      </c>
      <c r="D456" t="inlineStr">
        <is>
          <t>VÄSTERNORRLANDS LÄN</t>
        </is>
      </c>
      <c r="E456" t="inlineStr">
        <is>
          <t>SOLLEFTEÅ</t>
        </is>
      </c>
      <c r="F456" t="inlineStr">
        <is>
          <t>SCA</t>
        </is>
      </c>
      <c r="G456" t="n">
        <v>9.1</v>
      </c>
      <c r="H456" t="n">
        <v>0</v>
      </c>
      <c r="I456" t="n">
        <v>0</v>
      </c>
      <c r="J456" t="n">
        <v>0</v>
      </c>
      <c r="K456" t="n">
        <v>0</v>
      </c>
      <c r="L456" t="n">
        <v>0</v>
      </c>
      <c r="M456" t="n">
        <v>0</v>
      </c>
      <c r="N456" t="n">
        <v>0</v>
      </c>
      <c r="O456" t="n">
        <v>0</v>
      </c>
      <c r="P456" t="n">
        <v>0</v>
      </c>
      <c r="Q456" t="n">
        <v>0</v>
      </c>
      <c r="R456" s="2" t="inlineStr"/>
    </row>
    <row r="457" ht="15" customHeight="1">
      <c r="A457" t="inlineStr">
        <is>
          <t>A 22587-2019</t>
        </is>
      </c>
      <c r="B457" s="1" t="n">
        <v>43587</v>
      </c>
      <c r="C457" s="1" t="n">
        <v>45670</v>
      </c>
      <c r="D457" t="inlineStr">
        <is>
          <t>VÄSTERNORRLANDS LÄN</t>
        </is>
      </c>
      <c r="E457" t="inlineStr">
        <is>
          <t>SOLLEFTEÅ</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23241-2019</t>
        </is>
      </c>
      <c r="B458" s="1" t="n">
        <v>43591</v>
      </c>
      <c r="C458" s="1" t="n">
        <v>45670</v>
      </c>
      <c r="D458" t="inlineStr">
        <is>
          <t>VÄSTERNORRLANDS LÄN</t>
        </is>
      </c>
      <c r="E458" t="inlineStr">
        <is>
          <t>SOLLEFTEÅ</t>
        </is>
      </c>
      <c r="G458" t="n">
        <v>6.2</v>
      </c>
      <c r="H458" t="n">
        <v>0</v>
      </c>
      <c r="I458" t="n">
        <v>0</v>
      </c>
      <c r="J458" t="n">
        <v>0</v>
      </c>
      <c r="K458" t="n">
        <v>0</v>
      </c>
      <c r="L458" t="n">
        <v>0</v>
      </c>
      <c r="M458" t="n">
        <v>0</v>
      </c>
      <c r="N458" t="n">
        <v>0</v>
      </c>
      <c r="O458" t="n">
        <v>0</v>
      </c>
      <c r="P458" t="n">
        <v>0</v>
      </c>
      <c r="Q458" t="n">
        <v>0</v>
      </c>
      <c r="R458" s="2" t="inlineStr"/>
    </row>
    <row r="459" ht="15" customHeight="1">
      <c r="A459" t="inlineStr">
        <is>
          <t>A 23314-2019</t>
        </is>
      </c>
      <c r="B459" s="1" t="n">
        <v>43591</v>
      </c>
      <c r="C459" s="1" t="n">
        <v>45670</v>
      </c>
      <c r="D459" t="inlineStr">
        <is>
          <t>VÄSTERNORRLANDS LÄN</t>
        </is>
      </c>
      <c r="E459" t="inlineStr">
        <is>
          <t>SOLLEFTEÅ</t>
        </is>
      </c>
      <c r="G459" t="n">
        <v>2.5</v>
      </c>
      <c r="H459" t="n">
        <v>0</v>
      </c>
      <c r="I459" t="n">
        <v>0</v>
      </c>
      <c r="J459" t="n">
        <v>0</v>
      </c>
      <c r="K459" t="n">
        <v>0</v>
      </c>
      <c r="L459" t="n">
        <v>0</v>
      </c>
      <c r="M459" t="n">
        <v>0</v>
      </c>
      <c r="N459" t="n">
        <v>0</v>
      </c>
      <c r="O459" t="n">
        <v>0</v>
      </c>
      <c r="P459" t="n">
        <v>0</v>
      </c>
      <c r="Q459" t="n">
        <v>0</v>
      </c>
      <c r="R459" s="2" t="inlineStr"/>
    </row>
    <row r="460" ht="15" customHeight="1">
      <c r="A460" t="inlineStr">
        <is>
          <t>A 23323-2019</t>
        </is>
      </c>
      <c r="B460" s="1" t="n">
        <v>43591</v>
      </c>
      <c r="C460" s="1" t="n">
        <v>45670</v>
      </c>
      <c r="D460" t="inlineStr">
        <is>
          <t>VÄSTERNORRLANDS LÄN</t>
        </is>
      </c>
      <c r="E460" t="inlineStr">
        <is>
          <t>SOLLEFTEÅ</t>
        </is>
      </c>
      <c r="G460" t="n">
        <v>2.4</v>
      </c>
      <c r="H460" t="n">
        <v>0</v>
      </c>
      <c r="I460" t="n">
        <v>0</v>
      </c>
      <c r="J460" t="n">
        <v>0</v>
      </c>
      <c r="K460" t="n">
        <v>0</v>
      </c>
      <c r="L460" t="n">
        <v>0</v>
      </c>
      <c r="M460" t="n">
        <v>0</v>
      </c>
      <c r="N460" t="n">
        <v>0</v>
      </c>
      <c r="O460" t="n">
        <v>0</v>
      </c>
      <c r="P460" t="n">
        <v>0</v>
      </c>
      <c r="Q460" t="n">
        <v>0</v>
      </c>
      <c r="R460" s="2" t="inlineStr"/>
    </row>
    <row r="461" ht="15" customHeight="1">
      <c r="A461" t="inlineStr">
        <is>
          <t>A 23246-2019</t>
        </is>
      </c>
      <c r="B461" s="1" t="n">
        <v>43591</v>
      </c>
      <c r="C461" s="1" t="n">
        <v>45670</v>
      </c>
      <c r="D461" t="inlineStr">
        <is>
          <t>VÄSTERNORRLANDS LÄN</t>
        </is>
      </c>
      <c r="E461" t="inlineStr">
        <is>
          <t>SOLLEFTEÅ</t>
        </is>
      </c>
      <c r="G461" t="n">
        <v>1.3</v>
      </c>
      <c r="H461" t="n">
        <v>0</v>
      </c>
      <c r="I461" t="n">
        <v>0</v>
      </c>
      <c r="J461" t="n">
        <v>0</v>
      </c>
      <c r="K461" t="n">
        <v>0</v>
      </c>
      <c r="L461" t="n">
        <v>0</v>
      </c>
      <c r="M461" t="n">
        <v>0</v>
      </c>
      <c r="N461" t="n">
        <v>0</v>
      </c>
      <c r="O461" t="n">
        <v>0</v>
      </c>
      <c r="P461" t="n">
        <v>0</v>
      </c>
      <c r="Q461" t="n">
        <v>0</v>
      </c>
      <c r="R461" s="2" t="inlineStr"/>
    </row>
    <row r="462" ht="15" customHeight="1">
      <c r="A462" t="inlineStr">
        <is>
          <t>A 24157-2019</t>
        </is>
      </c>
      <c r="B462" s="1" t="n">
        <v>43598</v>
      </c>
      <c r="C462" s="1" t="n">
        <v>45670</v>
      </c>
      <c r="D462" t="inlineStr">
        <is>
          <t>VÄSTERNORRLANDS LÄN</t>
        </is>
      </c>
      <c r="E462" t="inlineStr">
        <is>
          <t>SOLLEFTEÅ</t>
        </is>
      </c>
      <c r="F462" t="inlineStr">
        <is>
          <t>SCA</t>
        </is>
      </c>
      <c r="G462" t="n">
        <v>0.1</v>
      </c>
      <c r="H462" t="n">
        <v>0</v>
      </c>
      <c r="I462" t="n">
        <v>0</v>
      </c>
      <c r="J462" t="n">
        <v>0</v>
      </c>
      <c r="K462" t="n">
        <v>0</v>
      </c>
      <c r="L462" t="n">
        <v>0</v>
      </c>
      <c r="M462" t="n">
        <v>0</v>
      </c>
      <c r="N462" t="n">
        <v>0</v>
      </c>
      <c r="O462" t="n">
        <v>0</v>
      </c>
      <c r="P462" t="n">
        <v>0</v>
      </c>
      <c r="Q462" t="n">
        <v>0</v>
      </c>
      <c r="R462" s="2" t="inlineStr"/>
    </row>
    <row r="463" ht="15" customHeight="1">
      <c r="A463" t="inlineStr">
        <is>
          <t>A 24168-2019</t>
        </is>
      </c>
      <c r="B463" s="1" t="n">
        <v>43598</v>
      </c>
      <c r="C463" s="1" t="n">
        <v>45670</v>
      </c>
      <c r="D463" t="inlineStr">
        <is>
          <t>VÄSTERNORRLANDS LÄN</t>
        </is>
      </c>
      <c r="E463" t="inlineStr">
        <is>
          <t>SOLLEFTEÅ</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25334-2019</t>
        </is>
      </c>
      <c r="B464" s="1" t="n">
        <v>43601</v>
      </c>
      <c r="C464" s="1" t="n">
        <v>45670</v>
      </c>
      <c r="D464" t="inlineStr">
        <is>
          <t>VÄSTERNORRLANDS LÄN</t>
        </is>
      </c>
      <c r="E464" t="inlineStr">
        <is>
          <t>SOLLEFTEÅ</t>
        </is>
      </c>
      <c r="G464" t="n">
        <v>1.3</v>
      </c>
      <c r="H464" t="n">
        <v>0</v>
      </c>
      <c r="I464" t="n">
        <v>0</v>
      </c>
      <c r="J464" t="n">
        <v>0</v>
      </c>
      <c r="K464" t="n">
        <v>0</v>
      </c>
      <c r="L464" t="n">
        <v>0</v>
      </c>
      <c r="M464" t="n">
        <v>0</v>
      </c>
      <c r="N464" t="n">
        <v>0</v>
      </c>
      <c r="O464" t="n">
        <v>0</v>
      </c>
      <c r="P464" t="n">
        <v>0</v>
      </c>
      <c r="Q464" t="n">
        <v>0</v>
      </c>
      <c r="R464" s="2" t="inlineStr"/>
    </row>
    <row r="465" ht="15" customHeight="1">
      <c r="A465" t="inlineStr">
        <is>
          <t>A 25331-2019</t>
        </is>
      </c>
      <c r="B465" s="1" t="n">
        <v>43601</v>
      </c>
      <c r="C465" s="1" t="n">
        <v>45670</v>
      </c>
      <c r="D465" t="inlineStr">
        <is>
          <t>VÄSTERNORRLANDS LÄN</t>
        </is>
      </c>
      <c r="E465" t="inlineStr">
        <is>
          <t>SOLLEFTEÅ</t>
        </is>
      </c>
      <c r="G465" t="n">
        <v>7.2</v>
      </c>
      <c r="H465" t="n">
        <v>0</v>
      </c>
      <c r="I465" t="n">
        <v>0</v>
      </c>
      <c r="J465" t="n">
        <v>0</v>
      </c>
      <c r="K465" t="n">
        <v>0</v>
      </c>
      <c r="L465" t="n">
        <v>0</v>
      </c>
      <c r="M465" t="n">
        <v>0</v>
      </c>
      <c r="N465" t="n">
        <v>0</v>
      </c>
      <c r="O465" t="n">
        <v>0</v>
      </c>
      <c r="P465" t="n">
        <v>0</v>
      </c>
      <c r="Q465" t="n">
        <v>0</v>
      </c>
      <c r="R465" s="2" t="inlineStr"/>
    </row>
    <row r="466" ht="15" customHeight="1">
      <c r="A466" t="inlineStr">
        <is>
          <t>A 25260-2019</t>
        </is>
      </c>
      <c r="B466" s="1" t="n">
        <v>43601</v>
      </c>
      <c r="C466" s="1" t="n">
        <v>45670</v>
      </c>
      <c r="D466" t="inlineStr">
        <is>
          <t>VÄSTERNORRLANDS LÄN</t>
        </is>
      </c>
      <c r="E466" t="inlineStr">
        <is>
          <t>SOLLEFTEÅ</t>
        </is>
      </c>
      <c r="G466" t="n">
        <v>3.4</v>
      </c>
      <c r="H466" t="n">
        <v>0</v>
      </c>
      <c r="I466" t="n">
        <v>0</v>
      </c>
      <c r="J466" t="n">
        <v>0</v>
      </c>
      <c r="K466" t="n">
        <v>0</v>
      </c>
      <c r="L466" t="n">
        <v>0</v>
      </c>
      <c r="M466" t="n">
        <v>0</v>
      </c>
      <c r="N466" t="n">
        <v>0</v>
      </c>
      <c r="O466" t="n">
        <v>0</v>
      </c>
      <c r="P466" t="n">
        <v>0</v>
      </c>
      <c r="Q466" t="n">
        <v>0</v>
      </c>
      <c r="R466" s="2" t="inlineStr"/>
    </row>
    <row r="467" ht="15" customHeight="1">
      <c r="A467" t="inlineStr">
        <is>
          <t>A 25328-2019</t>
        </is>
      </c>
      <c r="B467" s="1" t="n">
        <v>43601</v>
      </c>
      <c r="C467" s="1" t="n">
        <v>45670</v>
      </c>
      <c r="D467" t="inlineStr">
        <is>
          <t>VÄSTERNORRLANDS LÄN</t>
        </is>
      </c>
      <c r="E467" t="inlineStr">
        <is>
          <t>SOLLEFTEÅ</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25014-2019</t>
        </is>
      </c>
      <c r="B468" s="1" t="n">
        <v>43602</v>
      </c>
      <c r="C468" s="1" t="n">
        <v>45670</v>
      </c>
      <c r="D468" t="inlineStr">
        <is>
          <t>VÄSTERNORRLANDS LÄN</t>
        </is>
      </c>
      <c r="E468" t="inlineStr">
        <is>
          <t>SOLLEFTEÅ</t>
        </is>
      </c>
      <c r="F468" t="inlineStr">
        <is>
          <t>SCA</t>
        </is>
      </c>
      <c r="G468" t="n">
        <v>11.1</v>
      </c>
      <c r="H468" t="n">
        <v>0</v>
      </c>
      <c r="I468" t="n">
        <v>0</v>
      </c>
      <c r="J468" t="n">
        <v>0</v>
      </c>
      <c r="K468" t="n">
        <v>0</v>
      </c>
      <c r="L468" t="n">
        <v>0</v>
      </c>
      <c r="M468" t="n">
        <v>0</v>
      </c>
      <c r="N468" t="n">
        <v>0</v>
      </c>
      <c r="O468" t="n">
        <v>0</v>
      </c>
      <c r="P468" t="n">
        <v>0</v>
      </c>
      <c r="Q468" t="n">
        <v>0</v>
      </c>
      <c r="R468" s="2" t="inlineStr"/>
    </row>
    <row r="469" ht="15" customHeight="1">
      <c r="A469" t="inlineStr">
        <is>
          <t>A 26111-2019</t>
        </is>
      </c>
      <c r="B469" s="1" t="n">
        <v>43605</v>
      </c>
      <c r="C469" s="1" t="n">
        <v>45670</v>
      </c>
      <c r="D469" t="inlineStr">
        <is>
          <t>VÄSTERNORRLANDS LÄN</t>
        </is>
      </c>
      <c r="E469" t="inlineStr">
        <is>
          <t>SOLLEFTEÅ</t>
        </is>
      </c>
      <c r="G469" t="n">
        <v>3.5</v>
      </c>
      <c r="H469" t="n">
        <v>0</v>
      </c>
      <c r="I469" t="n">
        <v>0</v>
      </c>
      <c r="J469" t="n">
        <v>0</v>
      </c>
      <c r="K469" t="n">
        <v>0</v>
      </c>
      <c r="L469" t="n">
        <v>0</v>
      </c>
      <c r="M469" t="n">
        <v>0</v>
      </c>
      <c r="N469" t="n">
        <v>0</v>
      </c>
      <c r="O469" t="n">
        <v>0</v>
      </c>
      <c r="P469" t="n">
        <v>0</v>
      </c>
      <c r="Q469" t="n">
        <v>0</v>
      </c>
      <c r="R469" s="2" t="inlineStr"/>
    </row>
    <row r="470" ht="15" customHeight="1">
      <c r="A470" t="inlineStr">
        <is>
          <t>A 25714-2019</t>
        </is>
      </c>
      <c r="B470" s="1" t="n">
        <v>43607</v>
      </c>
      <c r="C470" s="1" t="n">
        <v>45670</v>
      </c>
      <c r="D470" t="inlineStr">
        <is>
          <t>VÄSTERNORRLANDS LÄN</t>
        </is>
      </c>
      <c r="E470" t="inlineStr">
        <is>
          <t>SOLLEFTEÅ</t>
        </is>
      </c>
      <c r="F470" t="inlineStr">
        <is>
          <t>SCA</t>
        </is>
      </c>
      <c r="G470" t="n">
        <v>28.3</v>
      </c>
      <c r="H470" t="n">
        <v>0</v>
      </c>
      <c r="I470" t="n">
        <v>0</v>
      </c>
      <c r="J470" t="n">
        <v>0</v>
      </c>
      <c r="K470" t="n">
        <v>0</v>
      </c>
      <c r="L470" t="n">
        <v>0</v>
      </c>
      <c r="M470" t="n">
        <v>0</v>
      </c>
      <c r="N470" t="n">
        <v>0</v>
      </c>
      <c r="O470" t="n">
        <v>0</v>
      </c>
      <c r="P470" t="n">
        <v>0</v>
      </c>
      <c r="Q470" t="n">
        <v>0</v>
      </c>
      <c r="R470" s="2" t="inlineStr"/>
    </row>
    <row r="471" ht="15" customHeight="1">
      <c r="A471" t="inlineStr">
        <is>
          <t>A 25979-2019</t>
        </is>
      </c>
      <c r="B471" s="1" t="n">
        <v>43608</v>
      </c>
      <c r="C471" s="1" t="n">
        <v>45670</v>
      </c>
      <c r="D471" t="inlineStr">
        <is>
          <t>VÄSTERNORRLANDS LÄN</t>
        </is>
      </c>
      <c r="E471" t="inlineStr">
        <is>
          <t>SOLLEFTEÅ</t>
        </is>
      </c>
      <c r="F471" t="inlineStr">
        <is>
          <t>SCA</t>
        </is>
      </c>
      <c r="G471" t="n">
        <v>26.1</v>
      </c>
      <c r="H471" t="n">
        <v>0</v>
      </c>
      <c r="I471" t="n">
        <v>0</v>
      </c>
      <c r="J471" t="n">
        <v>0</v>
      </c>
      <c r="K471" t="n">
        <v>0</v>
      </c>
      <c r="L471" t="n">
        <v>0</v>
      </c>
      <c r="M471" t="n">
        <v>0</v>
      </c>
      <c r="N471" t="n">
        <v>0</v>
      </c>
      <c r="O471" t="n">
        <v>0</v>
      </c>
      <c r="P471" t="n">
        <v>0</v>
      </c>
      <c r="Q471" t="n">
        <v>0</v>
      </c>
      <c r="R471" s="2" t="inlineStr"/>
    </row>
    <row r="472" ht="15" customHeight="1">
      <c r="A472" t="inlineStr">
        <is>
          <t>A 25982-2019</t>
        </is>
      </c>
      <c r="B472" s="1" t="n">
        <v>43608</v>
      </c>
      <c r="C472" s="1" t="n">
        <v>45670</v>
      </c>
      <c r="D472" t="inlineStr">
        <is>
          <t>VÄSTERNORRLANDS LÄN</t>
        </is>
      </c>
      <c r="E472" t="inlineStr">
        <is>
          <t>SOLLEFTEÅ</t>
        </is>
      </c>
      <c r="G472" t="n">
        <v>1.4</v>
      </c>
      <c r="H472" t="n">
        <v>0</v>
      </c>
      <c r="I472" t="n">
        <v>0</v>
      </c>
      <c r="J472" t="n">
        <v>0</v>
      </c>
      <c r="K472" t="n">
        <v>0</v>
      </c>
      <c r="L472" t="n">
        <v>0</v>
      </c>
      <c r="M472" t="n">
        <v>0</v>
      </c>
      <c r="N472" t="n">
        <v>0</v>
      </c>
      <c r="O472" t="n">
        <v>0</v>
      </c>
      <c r="P472" t="n">
        <v>0</v>
      </c>
      <c r="Q472" t="n">
        <v>0</v>
      </c>
      <c r="R472" s="2" t="inlineStr"/>
    </row>
    <row r="473" ht="15" customHeight="1">
      <c r="A473" t="inlineStr">
        <is>
          <t>A 25997-2019</t>
        </is>
      </c>
      <c r="B473" s="1" t="n">
        <v>43608</v>
      </c>
      <c r="C473" s="1" t="n">
        <v>45670</v>
      </c>
      <c r="D473" t="inlineStr">
        <is>
          <t>VÄSTERNORRLANDS LÄN</t>
        </is>
      </c>
      <c r="E473" t="inlineStr">
        <is>
          <t>SOLLEFTEÅ</t>
        </is>
      </c>
      <c r="F473" t="inlineStr">
        <is>
          <t>SCA</t>
        </is>
      </c>
      <c r="G473" t="n">
        <v>4.6</v>
      </c>
      <c r="H473" t="n">
        <v>0</v>
      </c>
      <c r="I473" t="n">
        <v>0</v>
      </c>
      <c r="J473" t="n">
        <v>0</v>
      </c>
      <c r="K473" t="n">
        <v>0</v>
      </c>
      <c r="L473" t="n">
        <v>0</v>
      </c>
      <c r="M473" t="n">
        <v>0</v>
      </c>
      <c r="N473" t="n">
        <v>0</v>
      </c>
      <c r="O473" t="n">
        <v>0</v>
      </c>
      <c r="P473" t="n">
        <v>0</v>
      </c>
      <c r="Q473" t="n">
        <v>0</v>
      </c>
      <c r="R473" s="2" t="inlineStr"/>
    </row>
    <row r="474" ht="15" customHeight="1">
      <c r="A474" t="inlineStr">
        <is>
          <t>A 25959-2019</t>
        </is>
      </c>
      <c r="B474" s="1" t="n">
        <v>43608</v>
      </c>
      <c r="C474" s="1" t="n">
        <v>45670</v>
      </c>
      <c r="D474" t="inlineStr">
        <is>
          <t>VÄSTERNORRLANDS LÄN</t>
        </is>
      </c>
      <c r="E474" t="inlineStr">
        <is>
          <t>SOLLEFTEÅ</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26254-2019</t>
        </is>
      </c>
      <c r="B475" s="1" t="n">
        <v>43609</v>
      </c>
      <c r="C475" s="1" t="n">
        <v>45670</v>
      </c>
      <c r="D475" t="inlineStr">
        <is>
          <t>VÄSTERNORRLANDS LÄN</t>
        </is>
      </c>
      <c r="E475" t="inlineStr">
        <is>
          <t>SOLLEFTEÅ</t>
        </is>
      </c>
      <c r="F475" t="inlineStr">
        <is>
          <t>SCA</t>
        </is>
      </c>
      <c r="G475" t="n">
        <v>0.3</v>
      </c>
      <c r="H475" t="n">
        <v>0</v>
      </c>
      <c r="I475" t="n">
        <v>0</v>
      </c>
      <c r="J475" t="n">
        <v>0</v>
      </c>
      <c r="K475" t="n">
        <v>0</v>
      </c>
      <c r="L475" t="n">
        <v>0</v>
      </c>
      <c r="M475" t="n">
        <v>0</v>
      </c>
      <c r="N475" t="n">
        <v>0</v>
      </c>
      <c r="O475" t="n">
        <v>0</v>
      </c>
      <c r="P475" t="n">
        <v>0</v>
      </c>
      <c r="Q475" t="n">
        <v>0</v>
      </c>
      <c r="R475" s="2" t="inlineStr"/>
    </row>
    <row r="476" ht="15" customHeight="1">
      <c r="A476" t="inlineStr">
        <is>
          <t>A 26640-2019</t>
        </is>
      </c>
      <c r="B476" s="1" t="n">
        <v>43612</v>
      </c>
      <c r="C476" s="1" t="n">
        <v>45670</v>
      </c>
      <c r="D476" t="inlineStr">
        <is>
          <t>VÄSTERNORRLANDS LÄN</t>
        </is>
      </c>
      <c r="E476" t="inlineStr">
        <is>
          <t>SOLLEFTEÅ</t>
        </is>
      </c>
      <c r="F476" t="inlineStr">
        <is>
          <t>SCA</t>
        </is>
      </c>
      <c r="G476" t="n">
        <v>10.4</v>
      </c>
      <c r="H476" t="n">
        <v>0</v>
      </c>
      <c r="I476" t="n">
        <v>0</v>
      </c>
      <c r="J476" t="n">
        <v>0</v>
      </c>
      <c r="K476" t="n">
        <v>0</v>
      </c>
      <c r="L476" t="n">
        <v>0</v>
      </c>
      <c r="M476" t="n">
        <v>0</v>
      </c>
      <c r="N476" t="n">
        <v>0</v>
      </c>
      <c r="O476" t="n">
        <v>0</v>
      </c>
      <c r="P476" t="n">
        <v>0</v>
      </c>
      <c r="Q476" t="n">
        <v>0</v>
      </c>
      <c r="R476" s="2" t="inlineStr"/>
    </row>
    <row r="477" ht="15" customHeight="1">
      <c r="A477" t="inlineStr">
        <is>
          <t>A 27597-2019</t>
        </is>
      </c>
      <c r="B477" s="1" t="n">
        <v>43612</v>
      </c>
      <c r="C477" s="1" t="n">
        <v>45670</v>
      </c>
      <c r="D477" t="inlineStr">
        <is>
          <t>VÄSTERNORRLANDS LÄN</t>
        </is>
      </c>
      <c r="E477" t="inlineStr">
        <is>
          <t>SOLLEFTEÅ</t>
        </is>
      </c>
      <c r="G477" t="n">
        <v>5.6</v>
      </c>
      <c r="H477" t="n">
        <v>0</v>
      </c>
      <c r="I477" t="n">
        <v>0</v>
      </c>
      <c r="J477" t="n">
        <v>0</v>
      </c>
      <c r="K477" t="n">
        <v>0</v>
      </c>
      <c r="L477" t="n">
        <v>0</v>
      </c>
      <c r="M477" t="n">
        <v>0</v>
      </c>
      <c r="N477" t="n">
        <v>0</v>
      </c>
      <c r="O477" t="n">
        <v>0</v>
      </c>
      <c r="P477" t="n">
        <v>0</v>
      </c>
      <c r="Q477" t="n">
        <v>0</v>
      </c>
      <c r="R477" s="2" t="inlineStr"/>
    </row>
    <row r="478" ht="15" customHeight="1">
      <c r="A478" t="inlineStr">
        <is>
          <t>A 26945-2019</t>
        </is>
      </c>
      <c r="B478" s="1" t="n">
        <v>43613</v>
      </c>
      <c r="C478" s="1" t="n">
        <v>45670</v>
      </c>
      <c r="D478" t="inlineStr">
        <is>
          <t>VÄSTERNORRLANDS LÄN</t>
        </is>
      </c>
      <c r="E478" t="inlineStr">
        <is>
          <t>SOLLEFTEÅ</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26957-2019</t>
        </is>
      </c>
      <c r="B479" s="1" t="n">
        <v>43613</v>
      </c>
      <c r="C479" s="1" t="n">
        <v>45670</v>
      </c>
      <c r="D479" t="inlineStr">
        <is>
          <t>VÄSTERNORRLANDS LÄN</t>
        </is>
      </c>
      <c r="E479" t="inlineStr">
        <is>
          <t>SOLLEFTEÅ</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27226-2019</t>
        </is>
      </c>
      <c r="B480" s="1" t="n">
        <v>43614</v>
      </c>
      <c r="C480" s="1" t="n">
        <v>45670</v>
      </c>
      <c r="D480" t="inlineStr">
        <is>
          <t>VÄSTERNORRLANDS LÄN</t>
        </is>
      </c>
      <c r="E480" t="inlineStr">
        <is>
          <t>SOLLEFTEÅ</t>
        </is>
      </c>
      <c r="F480" t="inlineStr">
        <is>
          <t>SCA</t>
        </is>
      </c>
      <c r="G480" t="n">
        <v>6.8</v>
      </c>
      <c r="H480" t="n">
        <v>0</v>
      </c>
      <c r="I480" t="n">
        <v>0</v>
      </c>
      <c r="J480" t="n">
        <v>0</v>
      </c>
      <c r="K480" t="n">
        <v>0</v>
      </c>
      <c r="L480" t="n">
        <v>0</v>
      </c>
      <c r="M480" t="n">
        <v>0</v>
      </c>
      <c r="N480" t="n">
        <v>0</v>
      </c>
      <c r="O480" t="n">
        <v>0</v>
      </c>
      <c r="P480" t="n">
        <v>0</v>
      </c>
      <c r="Q480" t="n">
        <v>0</v>
      </c>
      <c r="R480" s="2" t="inlineStr"/>
    </row>
    <row r="481" ht="15" customHeight="1">
      <c r="A481" t="inlineStr">
        <is>
          <t>A 27979-2019</t>
        </is>
      </c>
      <c r="B481" s="1" t="n">
        <v>43620</v>
      </c>
      <c r="C481" s="1" t="n">
        <v>45670</v>
      </c>
      <c r="D481" t="inlineStr">
        <is>
          <t>VÄSTERNORRLANDS LÄN</t>
        </is>
      </c>
      <c r="E481" t="inlineStr">
        <is>
          <t>SOLLEFTEÅ</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28212-2019</t>
        </is>
      </c>
      <c r="B482" s="1" t="n">
        <v>43621</v>
      </c>
      <c r="C482" s="1" t="n">
        <v>45670</v>
      </c>
      <c r="D482" t="inlineStr">
        <is>
          <t>VÄSTERNORRLANDS LÄN</t>
        </is>
      </c>
      <c r="E482" t="inlineStr">
        <is>
          <t>SOLLEFTEÅ</t>
        </is>
      </c>
      <c r="G482" t="n">
        <v>1.4</v>
      </c>
      <c r="H482" t="n">
        <v>0</v>
      </c>
      <c r="I482" t="n">
        <v>0</v>
      </c>
      <c r="J482" t="n">
        <v>0</v>
      </c>
      <c r="K482" t="n">
        <v>0</v>
      </c>
      <c r="L482" t="n">
        <v>0</v>
      </c>
      <c r="M482" t="n">
        <v>0</v>
      </c>
      <c r="N482" t="n">
        <v>0</v>
      </c>
      <c r="O482" t="n">
        <v>0</v>
      </c>
      <c r="P482" t="n">
        <v>0</v>
      </c>
      <c r="Q482" t="n">
        <v>0</v>
      </c>
      <c r="R482" s="2" t="inlineStr"/>
    </row>
    <row r="483" ht="15" customHeight="1">
      <c r="A483" t="inlineStr">
        <is>
          <t>A 28236-2019</t>
        </is>
      </c>
      <c r="B483" s="1" t="n">
        <v>43621</v>
      </c>
      <c r="C483" s="1" t="n">
        <v>45670</v>
      </c>
      <c r="D483" t="inlineStr">
        <is>
          <t>VÄSTERNORRLANDS LÄN</t>
        </is>
      </c>
      <c r="E483" t="inlineStr">
        <is>
          <t>SOLLEFTEÅ</t>
        </is>
      </c>
      <c r="G483" t="n">
        <v>0.6</v>
      </c>
      <c r="H483" t="n">
        <v>0</v>
      </c>
      <c r="I483" t="n">
        <v>0</v>
      </c>
      <c r="J483" t="n">
        <v>0</v>
      </c>
      <c r="K483" t="n">
        <v>0</v>
      </c>
      <c r="L483" t="n">
        <v>0</v>
      </c>
      <c r="M483" t="n">
        <v>0</v>
      </c>
      <c r="N483" t="n">
        <v>0</v>
      </c>
      <c r="O483" t="n">
        <v>0</v>
      </c>
      <c r="P483" t="n">
        <v>0</v>
      </c>
      <c r="Q483" t="n">
        <v>0</v>
      </c>
      <c r="R483" s="2" t="inlineStr"/>
    </row>
    <row r="484" ht="15" customHeight="1">
      <c r="A484" t="inlineStr">
        <is>
          <t>A 30383-2019</t>
        </is>
      </c>
      <c r="B484" s="1" t="n">
        <v>43634</v>
      </c>
      <c r="C484" s="1" t="n">
        <v>45670</v>
      </c>
      <c r="D484" t="inlineStr">
        <is>
          <t>VÄSTERNORRLANDS LÄN</t>
        </is>
      </c>
      <c r="E484" t="inlineStr">
        <is>
          <t>SOLLEFTEÅ</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30628-2019</t>
        </is>
      </c>
      <c r="B485" s="1" t="n">
        <v>43635</v>
      </c>
      <c r="C485" s="1" t="n">
        <v>45670</v>
      </c>
      <c r="D485" t="inlineStr">
        <is>
          <t>VÄSTERNORRLANDS LÄN</t>
        </is>
      </c>
      <c r="E485" t="inlineStr">
        <is>
          <t>SOLLEFTEÅ</t>
        </is>
      </c>
      <c r="F485" t="inlineStr">
        <is>
          <t>SCA</t>
        </is>
      </c>
      <c r="G485" t="n">
        <v>7.2</v>
      </c>
      <c r="H485" t="n">
        <v>0</v>
      </c>
      <c r="I485" t="n">
        <v>0</v>
      </c>
      <c r="J485" t="n">
        <v>0</v>
      </c>
      <c r="K485" t="n">
        <v>0</v>
      </c>
      <c r="L485" t="n">
        <v>0</v>
      </c>
      <c r="M485" t="n">
        <v>0</v>
      </c>
      <c r="N485" t="n">
        <v>0</v>
      </c>
      <c r="O485" t="n">
        <v>0</v>
      </c>
      <c r="P485" t="n">
        <v>0</v>
      </c>
      <c r="Q485" t="n">
        <v>0</v>
      </c>
      <c r="R485" s="2" t="inlineStr"/>
    </row>
    <row r="486" ht="15" customHeight="1">
      <c r="A486" t="inlineStr">
        <is>
          <t>A 32202-2019</t>
        </is>
      </c>
      <c r="B486" s="1" t="n">
        <v>43643</v>
      </c>
      <c r="C486" s="1" t="n">
        <v>45670</v>
      </c>
      <c r="D486" t="inlineStr">
        <is>
          <t>VÄSTERNORRLANDS LÄN</t>
        </is>
      </c>
      <c r="E486" t="inlineStr">
        <is>
          <t>SOLLEFTEÅ</t>
        </is>
      </c>
      <c r="G486" t="n">
        <v>2.7</v>
      </c>
      <c r="H486" t="n">
        <v>0</v>
      </c>
      <c r="I486" t="n">
        <v>0</v>
      </c>
      <c r="J486" t="n">
        <v>0</v>
      </c>
      <c r="K486" t="n">
        <v>0</v>
      </c>
      <c r="L486" t="n">
        <v>0</v>
      </c>
      <c r="M486" t="n">
        <v>0</v>
      </c>
      <c r="N486" t="n">
        <v>0</v>
      </c>
      <c r="O486" t="n">
        <v>0</v>
      </c>
      <c r="P486" t="n">
        <v>0</v>
      </c>
      <c r="Q486" t="n">
        <v>0</v>
      </c>
      <c r="R486" s="2" t="inlineStr"/>
    </row>
    <row r="487" ht="15" customHeight="1">
      <c r="A487" t="inlineStr">
        <is>
          <t>A 32203-2019</t>
        </is>
      </c>
      <c r="B487" s="1" t="n">
        <v>43643</v>
      </c>
      <c r="C487" s="1" t="n">
        <v>45670</v>
      </c>
      <c r="D487" t="inlineStr">
        <is>
          <t>VÄSTERNORRLANDS LÄN</t>
        </is>
      </c>
      <c r="E487" t="inlineStr">
        <is>
          <t>SOLLEFTEÅ</t>
        </is>
      </c>
      <c r="G487" t="n">
        <v>1.7</v>
      </c>
      <c r="H487" t="n">
        <v>0</v>
      </c>
      <c r="I487" t="n">
        <v>0</v>
      </c>
      <c r="J487" t="n">
        <v>0</v>
      </c>
      <c r="K487" t="n">
        <v>0</v>
      </c>
      <c r="L487" t="n">
        <v>0</v>
      </c>
      <c r="M487" t="n">
        <v>0</v>
      </c>
      <c r="N487" t="n">
        <v>0</v>
      </c>
      <c r="O487" t="n">
        <v>0</v>
      </c>
      <c r="P487" t="n">
        <v>0</v>
      </c>
      <c r="Q487" t="n">
        <v>0</v>
      </c>
      <c r="R487" s="2" t="inlineStr"/>
    </row>
    <row r="488" ht="15" customHeight="1">
      <c r="A488" t="inlineStr">
        <is>
          <t>A 32744-2019</t>
        </is>
      </c>
      <c r="B488" s="1" t="n">
        <v>43647</v>
      </c>
      <c r="C488" s="1" t="n">
        <v>45670</v>
      </c>
      <c r="D488" t="inlineStr">
        <is>
          <t>VÄSTERNORRLANDS LÄN</t>
        </is>
      </c>
      <c r="E488" t="inlineStr">
        <is>
          <t>SOLLEFTEÅ</t>
        </is>
      </c>
      <c r="F488" t="inlineStr">
        <is>
          <t>SCA</t>
        </is>
      </c>
      <c r="G488" t="n">
        <v>33.3</v>
      </c>
      <c r="H488" t="n">
        <v>0</v>
      </c>
      <c r="I488" t="n">
        <v>0</v>
      </c>
      <c r="J488" t="n">
        <v>0</v>
      </c>
      <c r="K488" t="n">
        <v>0</v>
      </c>
      <c r="L488" t="n">
        <v>0</v>
      </c>
      <c r="M488" t="n">
        <v>0</v>
      </c>
      <c r="N488" t="n">
        <v>0</v>
      </c>
      <c r="O488" t="n">
        <v>0</v>
      </c>
      <c r="P488" t="n">
        <v>0</v>
      </c>
      <c r="Q488" t="n">
        <v>0</v>
      </c>
      <c r="R488" s="2" t="inlineStr"/>
    </row>
    <row r="489" ht="15" customHeight="1">
      <c r="A489" t="inlineStr">
        <is>
          <t>A 33217-2019</t>
        </is>
      </c>
      <c r="B489" s="1" t="n">
        <v>43649</v>
      </c>
      <c r="C489" s="1" t="n">
        <v>45670</v>
      </c>
      <c r="D489" t="inlineStr">
        <is>
          <t>VÄSTERNORRLANDS LÄN</t>
        </is>
      </c>
      <c r="E489" t="inlineStr">
        <is>
          <t>SOLLEFTEÅ</t>
        </is>
      </c>
      <c r="G489" t="n">
        <v>29.3</v>
      </c>
      <c r="H489" t="n">
        <v>0</v>
      </c>
      <c r="I489" t="n">
        <v>0</v>
      </c>
      <c r="J489" t="n">
        <v>0</v>
      </c>
      <c r="K489" t="n">
        <v>0</v>
      </c>
      <c r="L489" t="n">
        <v>0</v>
      </c>
      <c r="M489" t="n">
        <v>0</v>
      </c>
      <c r="N489" t="n">
        <v>0</v>
      </c>
      <c r="O489" t="n">
        <v>0</v>
      </c>
      <c r="P489" t="n">
        <v>0</v>
      </c>
      <c r="Q489" t="n">
        <v>0</v>
      </c>
      <c r="R489" s="2" t="inlineStr"/>
    </row>
    <row r="490" ht="15" customHeight="1">
      <c r="A490" t="inlineStr">
        <is>
          <t>A 34886-2019</t>
        </is>
      </c>
      <c r="B490" s="1" t="n">
        <v>43650</v>
      </c>
      <c r="C490" s="1" t="n">
        <v>45670</v>
      </c>
      <c r="D490" t="inlineStr">
        <is>
          <t>VÄSTERNORRLANDS LÄN</t>
        </is>
      </c>
      <c r="E490" t="inlineStr">
        <is>
          <t>SOLLEFTEÅ</t>
        </is>
      </c>
      <c r="G490" t="n">
        <v>22</v>
      </c>
      <c r="H490" t="n">
        <v>0</v>
      </c>
      <c r="I490" t="n">
        <v>0</v>
      </c>
      <c r="J490" t="n">
        <v>0</v>
      </c>
      <c r="K490" t="n">
        <v>0</v>
      </c>
      <c r="L490" t="n">
        <v>0</v>
      </c>
      <c r="M490" t="n">
        <v>0</v>
      </c>
      <c r="N490" t="n">
        <v>0</v>
      </c>
      <c r="O490" t="n">
        <v>0</v>
      </c>
      <c r="P490" t="n">
        <v>0</v>
      </c>
      <c r="Q490" t="n">
        <v>0</v>
      </c>
      <c r="R490" s="2" t="inlineStr"/>
    </row>
    <row r="491" ht="15" customHeight="1">
      <c r="A491" t="inlineStr">
        <is>
          <t>A 33833-2019</t>
        </is>
      </c>
      <c r="B491" s="1" t="n">
        <v>43651</v>
      </c>
      <c r="C491" s="1" t="n">
        <v>45670</v>
      </c>
      <c r="D491" t="inlineStr">
        <is>
          <t>VÄSTERNORRLANDS LÄN</t>
        </is>
      </c>
      <c r="E491" t="inlineStr">
        <is>
          <t>SOLLEFTEÅ</t>
        </is>
      </c>
      <c r="G491" t="n">
        <v>0.6</v>
      </c>
      <c r="H491" t="n">
        <v>0</v>
      </c>
      <c r="I491" t="n">
        <v>0</v>
      </c>
      <c r="J491" t="n">
        <v>0</v>
      </c>
      <c r="K491" t="n">
        <v>0</v>
      </c>
      <c r="L491" t="n">
        <v>0</v>
      </c>
      <c r="M491" t="n">
        <v>0</v>
      </c>
      <c r="N491" t="n">
        <v>0</v>
      </c>
      <c r="O491" t="n">
        <v>0</v>
      </c>
      <c r="P491" t="n">
        <v>0</v>
      </c>
      <c r="Q491" t="n">
        <v>0</v>
      </c>
      <c r="R491" s="2" t="inlineStr"/>
    </row>
    <row r="492" ht="15" customHeight="1">
      <c r="A492" t="inlineStr">
        <is>
          <t>A 33826-2019</t>
        </is>
      </c>
      <c r="B492" s="1" t="n">
        <v>43651</v>
      </c>
      <c r="C492" s="1" t="n">
        <v>45670</v>
      </c>
      <c r="D492" t="inlineStr">
        <is>
          <t>VÄSTERNORRLANDS LÄN</t>
        </is>
      </c>
      <c r="E492" t="inlineStr">
        <is>
          <t>SOLLEFTEÅ</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33852-2019</t>
        </is>
      </c>
      <c r="B493" s="1" t="n">
        <v>43651</v>
      </c>
      <c r="C493" s="1" t="n">
        <v>45670</v>
      </c>
      <c r="D493" t="inlineStr">
        <is>
          <t>VÄSTERNORRLANDS LÄN</t>
        </is>
      </c>
      <c r="E493" t="inlineStr">
        <is>
          <t>SOLLEFTEÅ</t>
        </is>
      </c>
      <c r="G493" t="n">
        <v>1.6</v>
      </c>
      <c r="H493" t="n">
        <v>0</v>
      </c>
      <c r="I493" t="n">
        <v>0</v>
      </c>
      <c r="J493" t="n">
        <v>0</v>
      </c>
      <c r="K493" t="n">
        <v>0</v>
      </c>
      <c r="L493" t="n">
        <v>0</v>
      </c>
      <c r="M493" t="n">
        <v>0</v>
      </c>
      <c r="N493" t="n">
        <v>0</v>
      </c>
      <c r="O493" t="n">
        <v>0</v>
      </c>
      <c r="P493" t="n">
        <v>0</v>
      </c>
      <c r="Q493" t="n">
        <v>0</v>
      </c>
      <c r="R493" s="2" t="inlineStr"/>
    </row>
    <row r="494" ht="15" customHeight="1">
      <c r="A494" t="inlineStr">
        <is>
          <t>A 33914-2019</t>
        </is>
      </c>
      <c r="B494" s="1" t="n">
        <v>43654</v>
      </c>
      <c r="C494" s="1" t="n">
        <v>45670</v>
      </c>
      <c r="D494" t="inlineStr">
        <is>
          <t>VÄSTERNORRLANDS LÄN</t>
        </is>
      </c>
      <c r="E494" t="inlineStr">
        <is>
          <t>SOLLEFTEÅ</t>
        </is>
      </c>
      <c r="G494" t="n">
        <v>2.9</v>
      </c>
      <c r="H494" t="n">
        <v>0</v>
      </c>
      <c r="I494" t="n">
        <v>0</v>
      </c>
      <c r="J494" t="n">
        <v>0</v>
      </c>
      <c r="K494" t="n">
        <v>0</v>
      </c>
      <c r="L494" t="n">
        <v>0</v>
      </c>
      <c r="M494" t="n">
        <v>0</v>
      </c>
      <c r="N494" t="n">
        <v>0</v>
      </c>
      <c r="O494" t="n">
        <v>0</v>
      </c>
      <c r="P494" t="n">
        <v>0</v>
      </c>
      <c r="Q494" t="n">
        <v>0</v>
      </c>
      <c r="R494" s="2" t="inlineStr"/>
    </row>
    <row r="495" ht="15" customHeight="1">
      <c r="A495" t="inlineStr">
        <is>
          <t>A 34113-2019</t>
        </is>
      </c>
      <c r="B495" s="1" t="n">
        <v>43654</v>
      </c>
      <c r="C495" s="1" t="n">
        <v>45670</v>
      </c>
      <c r="D495" t="inlineStr">
        <is>
          <t>VÄSTERNORRLANDS LÄN</t>
        </is>
      </c>
      <c r="E495" t="inlineStr">
        <is>
          <t>SOLLEFTEÅ</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34311-2019</t>
        </is>
      </c>
      <c r="B496" s="1" t="n">
        <v>43655</v>
      </c>
      <c r="C496" s="1" t="n">
        <v>45670</v>
      </c>
      <c r="D496" t="inlineStr">
        <is>
          <t>VÄSTERNORRLANDS LÄN</t>
        </is>
      </c>
      <c r="E496" t="inlineStr">
        <is>
          <t>SOLLEFTEÅ</t>
        </is>
      </c>
      <c r="F496" t="inlineStr">
        <is>
          <t>SCA</t>
        </is>
      </c>
      <c r="G496" t="n">
        <v>7.9</v>
      </c>
      <c r="H496" t="n">
        <v>0</v>
      </c>
      <c r="I496" t="n">
        <v>0</v>
      </c>
      <c r="J496" t="n">
        <v>0</v>
      </c>
      <c r="K496" t="n">
        <v>0</v>
      </c>
      <c r="L496" t="n">
        <v>0</v>
      </c>
      <c r="M496" t="n">
        <v>0</v>
      </c>
      <c r="N496" t="n">
        <v>0</v>
      </c>
      <c r="O496" t="n">
        <v>0</v>
      </c>
      <c r="P496" t="n">
        <v>0</v>
      </c>
      <c r="Q496" t="n">
        <v>0</v>
      </c>
      <c r="R496" s="2" t="inlineStr"/>
    </row>
    <row r="497" ht="15" customHeight="1">
      <c r="A497" t="inlineStr">
        <is>
          <t>A 34229-2019</t>
        </is>
      </c>
      <c r="B497" s="1" t="n">
        <v>43655</v>
      </c>
      <c r="C497" s="1" t="n">
        <v>45670</v>
      </c>
      <c r="D497" t="inlineStr">
        <is>
          <t>VÄSTERNORRLANDS LÄN</t>
        </is>
      </c>
      <c r="E497" t="inlineStr">
        <is>
          <t>SOLLEFTEÅ</t>
        </is>
      </c>
      <c r="G497" t="n">
        <v>7.9</v>
      </c>
      <c r="H497" t="n">
        <v>0</v>
      </c>
      <c r="I497" t="n">
        <v>0</v>
      </c>
      <c r="J497" t="n">
        <v>0</v>
      </c>
      <c r="K497" t="n">
        <v>0</v>
      </c>
      <c r="L497" t="n">
        <v>0</v>
      </c>
      <c r="M497" t="n">
        <v>0</v>
      </c>
      <c r="N497" t="n">
        <v>0</v>
      </c>
      <c r="O497" t="n">
        <v>0</v>
      </c>
      <c r="P497" t="n">
        <v>0</v>
      </c>
      <c r="Q497" t="n">
        <v>0</v>
      </c>
      <c r="R497" s="2" t="inlineStr"/>
    </row>
    <row r="498" ht="15" customHeight="1">
      <c r="A498" t="inlineStr">
        <is>
          <t>A 34302-2019</t>
        </is>
      </c>
      <c r="B498" s="1" t="n">
        <v>43655</v>
      </c>
      <c r="C498" s="1" t="n">
        <v>45670</v>
      </c>
      <c r="D498" t="inlineStr">
        <is>
          <t>VÄSTERNORRLANDS LÄN</t>
        </is>
      </c>
      <c r="E498" t="inlineStr">
        <is>
          <t>SOLLEFTEÅ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34738-2019</t>
        </is>
      </c>
      <c r="B499" s="1" t="n">
        <v>43657</v>
      </c>
      <c r="C499" s="1" t="n">
        <v>45670</v>
      </c>
      <c r="D499" t="inlineStr">
        <is>
          <t>VÄSTERNORRLANDS LÄN</t>
        </is>
      </c>
      <c r="E499" t="inlineStr">
        <is>
          <t>SOLLEFTEÅ</t>
        </is>
      </c>
      <c r="G499" t="n">
        <v>4.2</v>
      </c>
      <c r="H499" t="n">
        <v>0</v>
      </c>
      <c r="I499" t="n">
        <v>0</v>
      </c>
      <c r="J499" t="n">
        <v>0</v>
      </c>
      <c r="K499" t="n">
        <v>0</v>
      </c>
      <c r="L499" t="n">
        <v>0</v>
      </c>
      <c r="M499" t="n">
        <v>0</v>
      </c>
      <c r="N499" t="n">
        <v>0</v>
      </c>
      <c r="O499" t="n">
        <v>0</v>
      </c>
      <c r="P499" t="n">
        <v>0</v>
      </c>
      <c r="Q499" t="n">
        <v>0</v>
      </c>
      <c r="R499" s="2" t="inlineStr"/>
    </row>
    <row r="500" ht="15" customHeight="1">
      <c r="A500" t="inlineStr">
        <is>
          <t>A 34916-2019</t>
        </is>
      </c>
      <c r="B500" s="1" t="n">
        <v>43658</v>
      </c>
      <c r="C500" s="1" t="n">
        <v>45670</v>
      </c>
      <c r="D500" t="inlineStr">
        <is>
          <t>VÄSTERNORRLANDS LÄN</t>
        </is>
      </c>
      <c r="E500" t="inlineStr">
        <is>
          <t>SOLLEFTEÅ</t>
        </is>
      </c>
      <c r="G500" t="n">
        <v>2.6</v>
      </c>
      <c r="H500" t="n">
        <v>0</v>
      </c>
      <c r="I500" t="n">
        <v>0</v>
      </c>
      <c r="J500" t="n">
        <v>0</v>
      </c>
      <c r="K500" t="n">
        <v>0</v>
      </c>
      <c r="L500" t="n">
        <v>0</v>
      </c>
      <c r="M500" t="n">
        <v>0</v>
      </c>
      <c r="N500" t="n">
        <v>0</v>
      </c>
      <c r="O500" t="n">
        <v>0</v>
      </c>
      <c r="P500" t="n">
        <v>0</v>
      </c>
      <c r="Q500" t="n">
        <v>0</v>
      </c>
      <c r="R500" s="2" t="inlineStr"/>
    </row>
    <row r="501" ht="15" customHeight="1">
      <c r="A501" t="inlineStr">
        <is>
          <t>A 35320-2019</t>
        </is>
      </c>
      <c r="B501" s="1" t="n">
        <v>43662</v>
      </c>
      <c r="C501" s="1" t="n">
        <v>45670</v>
      </c>
      <c r="D501" t="inlineStr">
        <is>
          <t>VÄSTERNORRLANDS LÄN</t>
        </is>
      </c>
      <c r="E501" t="inlineStr">
        <is>
          <t>SOLLEFTEÅ</t>
        </is>
      </c>
      <c r="F501" t="inlineStr">
        <is>
          <t>SCA</t>
        </is>
      </c>
      <c r="G501" t="n">
        <v>8</v>
      </c>
      <c r="H501" t="n">
        <v>0</v>
      </c>
      <c r="I501" t="n">
        <v>0</v>
      </c>
      <c r="J501" t="n">
        <v>0</v>
      </c>
      <c r="K501" t="n">
        <v>0</v>
      </c>
      <c r="L501" t="n">
        <v>0</v>
      </c>
      <c r="M501" t="n">
        <v>0</v>
      </c>
      <c r="N501" t="n">
        <v>0</v>
      </c>
      <c r="O501" t="n">
        <v>0</v>
      </c>
      <c r="P501" t="n">
        <v>0</v>
      </c>
      <c r="Q501" t="n">
        <v>0</v>
      </c>
      <c r="R501" s="2" t="inlineStr"/>
    </row>
    <row r="502" ht="15" customHeight="1">
      <c r="A502" t="inlineStr">
        <is>
          <t>A 35970-2019</t>
        </is>
      </c>
      <c r="B502" s="1" t="n">
        <v>43665</v>
      </c>
      <c r="C502" s="1" t="n">
        <v>45670</v>
      </c>
      <c r="D502" t="inlineStr">
        <is>
          <t>VÄSTERNORRLANDS LÄN</t>
        </is>
      </c>
      <c r="E502" t="inlineStr">
        <is>
          <t>SOLLEFTEÅ</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35969-2019</t>
        </is>
      </c>
      <c r="B503" s="1" t="n">
        <v>43665</v>
      </c>
      <c r="C503" s="1" t="n">
        <v>45670</v>
      </c>
      <c r="D503" t="inlineStr">
        <is>
          <t>VÄSTERNORRLANDS LÄN</t>
        </is>
      </c>
      <c r="E503" t="inlineStr">
        <is>
          <t>SOLLEFTEÅ</t>
        </is>
      </c>
      <c r="F503" t="inlineStr">
        <is>
          <t>SCA</t>
        </is>
      </c>
      <c r="G503" t="n">
        <v>6</v>
      </c>
      <c r="H503" t="n">
        <v>0</v>
      </c>
      <c r="I503" t="n">
        <v>0</v>
      </c>
      <c r="J503" t="n">
        <v>0</v>
      </c>
      <c r="K503" t="n">
        <v>0</v>
      </c>
      <c r="L503" t="n">
        <v>0</v>
      </c>
      <c r="M503" t="n">
        <v>0</v>
      </c>
      <c r="N503" t="n">
        <v>0</v>
      </c>
      <c r="O503" t="n">
        <v>0</v>
      </c>
      <c r="P503" t="n">
        <v>0</v>
      </c>
      <c r="Q503" t="n">
        <v>0</v>
      </c>
      <c r="R503" s="2" t="inlineStr"/>
    </row>
    <row r="504" ht="15" customHeight="1">
      <c r="A504" t="inlineStr">
        <is>
          <t>A 36137-2019</t>
        </is>
      </c>
      <c r="B504" s="1" t="n">
        <v>43668</v>
      </c>
      <c r="C504" s="1" t="n">
        <v>45670</v>
      </c>
      <c r="D504" t="inlineStr">
        <is>
          <t>VÄSTERNORRLANDS LÄN</t>
        </is>
      </c>
      <c r="E504" t="inlineStr">
        <is>
          <t>SOLLEFTEÅ</t>
        </is>
      </c>
      <c r="G504" t="n">
        <v>1.2</v>
      </c>
      <c r="H504" t="n">
        <v>0</v>
      </c>
      <c r="I504" t="n">
        <v>0</v>
      </c>
      <c r="J504" t="n">
        <v>0</v>
      </c>
      <c r="K504" t="n">
        <v>0</v>
      </c>
      <c r="L504" t="n">
        <v>0</v>
      </c>
      <c r="M504" t="n">
        <v>0</v>
      </c>
      <c r="N504" t="n">
        <v>0</v>
      </c>
      <c r="O504" t="n">
        <v>0</v>
      </c>
      <c r="P504" t="n">
        <v>0</v>
      </c>
      <c r="Q504" t="n">
        <v>0</v>
      </c>
      <c r="R504" s="2" t="inlineStr"/>
    </row>
    <row r="505" ht="15" customHeight="1">
      <c r="A505" t="inlineStr">
        <is>
          <t>A 36486-2019</t>
        </is>
      </c>
      <c r="B505" s="1" t="n">
        <v>43668</v>
      </c>
      <c r="C505" s="1" t="n">
        <v>45670</v>
      </c>
      <c r="D505" t="inlineStr">
        <is>
          <t>VÄSTERNORRLANDS LÄN</t>
        </is>
      </c>
      <c r="E505" t="inlineStr">
        <is>
          <t>SOLLEFTEÅ</t>
        </is>
      </c>
      <c r="G505" t="n">
        <v>2.5</v>
      </c>
      <c r="H505" t="n">
        <v>0</v>
      </c>
      <c r="I505" t="n">
        <v>0</v>
      </c>
      <c r="J505" t="n">
        <v>0</v>
      </c>
      <c r="K505" t="n">
        <v>0</v>
      </c>
      <c r="L505" t="n">
        <v>0</v>
      </c>
      <c r="M505" t="n">
        <v>0</v>
      </c>
      <c r="N505" t="n">
        <v>0</v>
      </c>
      <c r="O505" t="n">
        <v>0</v>
      </c>
      <c r="P505" t="n">
        <v>0</v>
      </c>
      <c r="Q505" t="n">
        <v>0</v>
      </c>
      <c r="R505" s="2" t="inlineStr"/>
    </row>
    <row r="506" ht="15" customHeight="1">
      <c r="A506" t="inlineStr">
        <is>
          <t>A 36293-2019</t>
        </is>
      </c>
      <c r="B506" s="1" t="n">
        <v>43669</v>
      </c>
      <c r="C506" s="1" t="n">
        <v>45670</v>
      </c>
      <c r="D506" t="inlineStr">
        <is>
          <t>VÄSTERNORRLANDS LÄN</t>
        </is>
      </c>
      <c r="E506" t="inlineStr">
        <is>
          <t>SOLLEFTEÅ</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36711-2019</t>
        </is>
      </c>
      <c r="B507" s="1" t="n">
        <v>43671</v>
      </c>
      <c r="C507" s="1" t="n">
        <v>45670</v>
      </c>
      <c r="D507" t="inlineStr">
        <is>
          <t>VÄSTERNORRLANDS LÄN</t>
        </is>
      </c>
      <c r="E507" t="inlineStr">
        <is>
          <t>SOLLEFTEÅ</t>
        </is>
      </c>
      <c r="F507" t="inlineStr">
        <is>
          <t>SCA</t>
        </is>
      </c>
      <c r="G507" t="n">
        <v>2.8</v>
      </c>
      <c r="H507" t="n">
        <v>0</v>
      </c>
      <c r="I507" t="n">
        <v>0</v>
      </c>
      <c r="J507" t="n">
        <v>0</v>
      </c>
      <c r="K507" t="n">
        <v>0</v>
      </c>
      <c r="L507" t="n">
        <v>0</v>
      </c>
      <c r="M507" t="n">
        <v>0</v>
      </c>
      <c r="N507" t="n">
        <v>0</v>
      </c>
      <c r="O507" t="n">
        <v>0</v>
      </c>
      <c r="P507" t="n">
        <v>0</v>
      </c>
      <c r="Q507" t="n">
        <v>0</v>
      </c>
      <c r="R507" s="2" t="inlineStr"/>
    </row>
    <row r="508" ht="15" customHeight="1">
      <c r="A508" t="inlineStr">
        <is>
          <t>A 37292-2019</t>
        </is>
      </c>
      <c r="B508" s="1" t="n">
        <v>43677</v>
      </c>
      <c r="C508" s="1" t="n">
        <v>45670</v>
      </c>
      <c r="D508" t="inlineStr">
        <is>
          <t>VÄSTERNORRLANDS LÄN</t>
        </is>
      </c>
      <c r="E508" t="inlineStr">
        <is>
          <t>SOLLEFTEÅ</t>
        </is>
      </c>
      <c r="G508" t="n">
        <v>7.8</v>
      </c>
      <c r="H508" t="n">
        <v>0</v>
      </c>
      <c r="I508" t="n">
        <v>0</v>
      </c>
      <c r="J508" t="n">
        <v>0</v>
      </c>
      <c r="K508" t="n">
        <v>0</v>
      </c>
      <c r="L508" t="n">
        <v>0</v>
      </c>
      <c r="M508" t="n">
        <v>0</v>
      </c>
      <c r="N508" t="n">
        <v>0</v>
      </c>
      <c r="O508" t="n">
        <v>0</v>
      </c>
      <c r="P508" t="n">
        <v>0</v>
      </c>
      <c r="Q508" t="n">
        <v>0</v>
      </c>
      <c r="R508" s="2" t="inlineStr"/>
    </row>
    <row r="509" ht="15" customHeight="1">
      <c r="A509" t="inlineStr">
        <is>
          <t>A 37291-2019</t>
        </is>
      </c>
      <c r="B509" s="1" t="n">
        <v>43677</v>
      </c>
      <c r="C509" s="1" t="n">
        <v>45670</v>
      </c>
      <c r="D509" t="inlineStr">
        <is>
          <t>VÄSTERNORRLANDS LÄN</t>
        </is>
      </c>
      <c r="E509" t="inlineStr">
        <is>
          <t>SOLLEFTEÅ</t>
        </is>
      </c>
      <c r="G509" t="n">
        <v>7.4</v>
      </c>
      <c r="H509" t="n">
        <v>0</v>
      </c>
      <c r="I509" t="n">
        <v>0</v>
      </c>
      <c r="J509" t="n">
        <v>0</v>
      </c>
      <c r="K509" t="n">
        <v>0</v>
      </c>
      <c r="L509" t="n">
        <v>0</v>
      </c>
      <c r="M509" t="n">
        <v>0</v>
      </c>
      <c r="N509" t="n">
        <v>0</v>
      </c>
      <c r="O509" t="n">
        <v>0</v>
      </c>
      <c r="P509" t="n">
        <v>0</v>
      </c>
      <c r="Q509" t="n">
        <v>0</v>
      </c>
      <c r="R509" s="2" t="inlineStr"/>
    </row>
    <row r="510" ht="15" customHeight="1">
      <c r="A510" t="inlineStr">
        <is>
          <t>A 37434-2019</t>
        </is>
      </c>
      <c r="B510" s="1" t="n">
        <v>43678</v>
      </c>
      <c r="C510" s="1" t="n">
        <v>45670</v>
      </c>
      <c r="D510" t="inlineStr">
        <is>
          <t>VÄSTERNORRLANDS LÄN</t>
        </is>
      </c>
      <c r="E510" t="inlineStr">
        <is>
          <t>SOLLEFTEÅ</t>
        </is>
      </c>
      <c r="G510" t="n">
        <v>0.7</v>
      </c>
      <c r="H510" t="n">
        <v>0</v>
      </c>
      <c r="I510" t="n">
        <v>0</v>
      </c>
      <c r="J510" t="n">
        <v>0</v>
      </c>
      <c r="K510" t="n">
        <v>0</v>
      </c>
      <c r="L510" t="n">
        <v>0</v>
      </c>
      <c r="M510" t="n">
        <v>0</v>
      </c>
      <c r="N510" t="n">
        <v>0</v>
      </c>
      <c r="O510" t="n">
        <v>0</v>
      </c>
      <c r="P510" t="n">
        <v>0</v>
      </c>
      <c r="Q510" t="n">
        <v>0</v>
      </c>
      <c r="R510" s="2" t="inlineStr"/>
    </row>
    <row r="511" ht="15" customHeight="1">
      <c r="A511" t="inlineStr">
        <is>
          <t>A 37652-2019</t>
        </is>
      </c>
      <c r="B511" s="1" t="n">
        <v>43679</v>
      </c>
      <c r="C511" s="1" t="n">
        <v>45670</v>
      </c>
      <c r="D511" t="inlineStr">
        <is>
          <t>VÄSTERNORRLANDS LÄN</t>
        </is>
      </c>
      <c r="E511" t="inlineStr">
        <is>
          <t>SOLLEFTEÅ</t>
        </is>
      </c>
      <c r="G511" t="n">
        <v>3.6</v>
      </c>
      <c r="H511" t="n">
        <v>0</v>
      </c>
      <c r="I511" t="n">
        <v>0</v>
      </c>
      <c r="J511" t="n">
        <v>0</v>
      </c>
      <c r="K511" t="n">
        <v>0</v>
      </c>
      <c r="L511" t="n">
        <v>0</v>
      </c>
      <c r="M511" t="n">
        <v>0</v>
      </c>
      <c r="N511" t="n">
        <v>0</v>
      </c>
      <c r="O511" t="n">
        <v>0</v>
      </c>
      <c r="P511" t="n">
        <v>0</v>
      </c>
      <c r="Q511" t="n">
        <v>0</v>
      </c>
      <c r="R511" s="2" t="inlineStr"/>
    </row>
    <row r="512" ht="15" customHeight="1">
      <c r="A512" t="inlineStr">
        <is>
          <t>A 37670-2019</t>
        </is>
      </c>
      <c r="B512" s="1" t="n">
        <v>43679</v>
      </c>
      <c r="C512" s="1" t="n">
        <v>45670</v>
      </c>
      <c r="D512" t="inlineStr">
        <is>
          <t>VÄSTERNORRLANDS LÄN</t>
        </is>
      </c>
      <c r="E512" t="inlineStr">
        <is>
          <t>SOLLEFTEÅ</t>
        </is>
      </c>
      <c r="G512" t="n">
        <v>3.2</v>
      </c>
      <c r="H512" t="n">
        <v>0</v>
      </c>
      <c r="I512" t="n">
        <v>0</v>
      </c>
      <c r="J512" t="n">
        <v>0</v>
      </c>
      <c r="K512" t="n">
        <v>0</v>
      </c>
      <c r="L512" t="n">
        <v>0</v>
      </c>
      <c r="M512" t="n">
        <v>0</v>
      </c>
      <c r="N512" t="n">
        <v>0</v>
      </c>
      <c r="O512" t="n">
        <v>0</v>
      </c>
      <c r="P512" t="n">
        <v>0</v>
      </c>
      <c r="Q512" t="n">
        <v>0</v>
      </c>
      <c r="R512" s="2" t="inlineStr"/>
    </row>
    <row r="513" ht="15" customHeight="1">
      <c r="A513" t="inlineStr">
        <is>
          <t>A 38081-2019</t>
        </is>
      </c>
      <c r="B513" s="1" t="n">
        <v>43682</v>
      </c>
      <c r="C513" s="1" t="n">
        <v>45670</v>
      </c>
      <c r="D513" t="inlineStr">
        <is>
          <t>VÄSTERNORRLANDS LÄN</t>
        </is>
      </c>
      <c r="E513" t="inlineStr">
        <is>
          <t>SOLLEFTEÅ</t>
        </is>
      </c>
      <c r="G513" t="n">
        <v>2.5</v>
      </c>
      <c r="H513" t="n">
        <v>0</v>
      </c>
      <c r="I513" t="n">
        <v>0</v>
      </c>
      <c r="J513" t="n">
        <v>0</v>
      </c>
      <c r="K513" t="n">
        <v>0</v>
      </c>
      <c r="L513" t="n">
        <v>0</v>
      </c>
      <c r="M513" t="n">
        <v>0</v>
      </c>
      <c r="N513" t="n">
        <v>0</v>
      </c>
      <c r="O513" t="n">
        <v>0</v>
      </c>
      <c r="P513" t="n">
        <v>0</v>
      </c>
      <c r="Q513" t="n">
        <v>0</v>
      </c>
      <c r="R513" s="2" t="inlineStr"/>
    </row>
    <row r="514" ht="15" customHeight="1">
      <c r="A514" t="inlineStr">
        <is>
          <t>A 38074-2019</t>
        </is>
      </c>
      <c r="B514" s="1" t="n">
        <v>43682</v>
      </c>
      <c r="C514" s="1" t="n">
        <v>45670</v>
      </c>
      <c r="D514" t="inlineStr">
        <is>
          <t>VÄSTERNORRLANDS LÄN</t>
        </is>
      </c>
      <c r="E514" t="inlineStr">
        <is>
          <t>SOLLEFTEÅ</t>
        </is>
      </c>
      <c r="G514" t="n">
        <v>4.2</v>
      </c>
      <c r="H514" t="n">
        <v>0</v>
      </c>
      <c r="I514" t="n">
        <v>0</v>
      </c>
      <c r="J514" t="n">
        <v>0</v>
      </c>
      <c r="K514" t="n">
        <v>0</v>
      </c>
      <c r="L514" t="n">
        <v>0</v>
      </c>
      <c r="M514" t="n">
        <v>0</v>
      </c>
      <c r="N514" t="n">
        <v>0</v>
      </c>
      <c r="O514" t="n">
        <v>0</v>
      </c>
      <c r="P514" t="n">
        <v>0</v>
      </c>
      <c r="Q514" t="n">
        <v>0</v>
      </c>
      <c r="R514" s="2" t="inlineStr"/>
    </row>
    <row r="515" ht="15" customHeight="1">
      <c r="A515" t="inlineStr">
        <is>
          <t>A 38080-2019</t>
        </is>
      </c>
      <c r="B515" s="1" t="n">
        <v>43682</v>
      </c>
      <c r="C515" s="1" t="n">
        <v>45670</v>
      </c>
      <c r="D515" t="inlineStr">
        <is>
          <t>VÄSTERNORRLANDS LÄN</t>
        </is>
      </c>
      <c r="E515" t="inlineStr">
        <is>
          <t>SOLLEFTEÅ</t>
        </is>
      </c>
      <c r="G515" t="n">
        <v>0.5</v>
      </c>
      <c r="H515" t="n">
        <v>0</v>
      </c>
      <c r="I515" t="n">
        <v>0</v>
      </c>
      <c r="J515" t="n">
        <v>0</v>
      </c>
      <c r="K515" t="n">
        <v>0</v>
      </c>
      <c r="L515" t="n">
        <v>0</v>
      </c>
      <c r="M515" t="n">
        <v>0</v>
      </c>
      <c r="N515" t="n">
        <v>0</v>
      </c>
      <c r="O515" t="n">
        <v>0</v>
      </c>
      <c r="P515" t="n">
        <v>0</v>
      </c>
      <c r="Q515" t="n">
        <v>0</v>
      </c>
      <c r="R515" s="2" t="inlineStr"/>
    </row>
    <row r="516" ht="15" customHeight="1">
      <c r="A516" t="inlineStr">
        <is>
          <t>A 38083-2019</t>
        </is>
      </c>
      <c r="B516" s="1" t="n">
        <v>43682</v>
      </c>
      <c r="C516" s="1" t="n">
        <v>45670</v>
      </c>
      <c r="D516" t="inlineStr">
        <is>
          <t>VÄSTERNORRLANDS LÄN</t>
        </is>
      </c>
      <c r="E516" t="inlineStr">
        <is>
          <t>SOLLEFTEÅ</t>
        </is>
      </c>
      <c r="G516" t="n">
        <v>9.6</v>
      </c>
      <c r="H516" t="n">
        <v>0</v>
      </c>
      <c r="I516" t="n">
        <v>0</v>
      </c>
      <c r="J516" t="n">
        <v>0</v>
      </c>
      <c r="K516" t="n">
        <v>0</v>
      </c>
      <c r="L516" t="n">
        <v>0</v>
      </c>
      <c r="M516" t="n">
        <v>0</v>
      </c>
      <c r="N516" t="n">
        <v>0</v>
      </c>
      <c r="O516" t="n">
        <v>0</v>
      </c>
      <c r="P516" t="n">
        <v>0</v>
      </c>
      <c r="Q516" t="n">
        <v>0</v>
      </c>
      <c r="R516" s="2" t="inlineStr"/>
    </row>
    <row r="517" ht="15" customHeight="1">
      <c r="A517" t="inlineStr">
        <is>
          <t>A 38544-2019</t>
        </is>
      </c>
      <c r="B517" s="1" t="n">
        <v>43684</v>
      </c>
      <c r="C517" s="1" t="n">
        <v>45670</v>
      </c>
      <c r="D517" t="inlineStr">
        <is>
          <t>VÄSTERNORRLANDS LÄN</t>
        </is>
      </c>
      <c r="E517" t="inlineStr">
        <is>
          <t>SOLLEFTEÅ</t>
        </is>
      </c>
      <c r="G517" t="n">
        <v>6.6</v>
      </c>
      <c r="H517" t="n">
        <v>0</v>
      </c>
      <c r="I517" t="n">
        <v>0</v>
      </c>
      <c r="J517" t="n">
        <v>0</v>
      </c>
      <c r="K517" t="n">
        <v>0</v>
      </c>
      <c r="L517" t="n">
        <v>0</v>
      </c>
      <c r="M517" t="n">
        <v>0</v>
      </c>
      <c r="N517" t="n">
        <v>0</v>
      </c>
      <c r="O517" t="n">
        <v>0</v>
      </c>
      <c r="P517" t="n">
        <v>0</v>
      </c>
      <c r="Q517" t="n">
        <v>0</v>
      </c>
      <c r="R517" s="2" t="inlineStr"/>
    </row>
    <row r="518" ht="15" customHeight="1">
      <c r="A518" t="inlineStr">
        <is>
          <t>A 38252-2019</t>
        </is>
      </c>
      <c r="B518" s="1" t="n">
        <v>43684</v>
      </c>
      <c r="C518" s="1" t="n">
        <v>45670</v>
      </c>
      <c r="D518" t="inlineStr">
        <is>
          <t>VÄSTERNORRLANDS LÄN</t>
        </is>
      </c>
      <c r="E518" t="inlineStr">
        <is>
          <t>SOLLEFTEÅ</t>
        </is>
      </c>
      <c r="G518" t="n">
        <v>2.4</v>
      </c>
      <c r="H518" t="n">
        <v>0</v>
      </c>
      <c r="I518" t="n">
        <v>0</v>
      </c>
      <c r="J518" t="n">
        <v>0</v>
      </c>
      <c r="K518" t="n">
        <v>0</v>
      </c>
      <c r="L518" t="n">
        <v>0</v>
      </c>
      <c r="M518" t="n">
        <v>0</v>
      </c>
      <c r="N518" t="n">
        <v>0</v>
      </c>
      <c r="O518" t="n">
        <v>0</v>
      </c>
      <c r="P518" t="n">
        <v>0</v>
      </c>
      <c r="Q518" t="n">
        <v>0</v>
      </c>
      <c r="R518" s="2" t="inlineStr"/>
    </row>
    <row r="519" ht="15" customHeight="1">
      <c r="A519" t="inlineStr">
        <is>
          <t>A 38566-2019</t>
        </is>
      </c>
      <c r="B519" s="1" t="n">
        <v>43685</v>
      </c>
      <c r="C519" s="1" t="n">
        <v>45670</v>
      </c>
      <c r="D519" t="inlineStr">
        <is>
          <t>VÄSTERNORRLANDS LÄN</t>
        </is>
      </c>
      <c r="E519" t="inlineStr">
        <is>
          <t>SOLLEFTEÅ</t>
        </is>
      </c>
      <c r="F519" t="inlineStr">
        <is>
          <t>SCA</t>
        </is>
      </c>
      <c r="G519" t="n">
        <v>15.1</v>
      </c>
      <c r="H519" t="n">
        <v>0</v>
      </c>
      <c r="I519" t="n">
        <v>0</v>
      </c>
      <c r="J519" t="n">
        <v>0</v>
      </c>
      <c r="K519" t="n">
        <v>0</v>
      </c>
      <c r="L519" t="n">
        <v>0</v>
      </c>
      <c r="M519" t="n">
        <v>0</v>
      </c>
      <c r="N519" t="n">
        <v>0</v>
      </c>
      <c r="O519" t="n">
        <v>0</v>
      </c>
      <c r="P519" t="n">
        <v>0</v>
      </c>
      <c r="Q519" t="n">
        <v>0</v>
      </c>
      <c r="R519" s="2" t="inlineStr"/>
    </row>
    <row r="520" ht="15" customHeight="1">
      <c r="A520" t="inlineStr">
        <is>
          <t>A 38762-2019</t>
        </is>
      </c>
      <c r="B520" s="1" t="n">
        <v>43686</v>
      </c>
      <c r="C520" s="1" t="n">
        <v>45670</v>
      </c>
      <c r="D520" t="inlineStr">
        <is>
          <t>VÄSTERNORRLANDS LÄN</t>
        </is>
      </c>
      <c r="E520" t="inlineStr">
        <is>
          <t>SOLLEFTEÅ</t>
        </is>
      </c>
      <c r="G520" t="n">
        <v>7.7</v>
      </c>
      <c r="H520" t="n">
        <v>0</v>
      </c>
      <c r="I520" t="n">
        <v>0</v>
      </c>
      <c r="J520" t="n">
        <v>0</v>
      </c>
      <c r="K520" t="n">
        <v>0</v>
      </c>
      <c r="L520" t="n">
        <v>0</v>
      </c>
      <c r="M520" t="n">
        <v>0</v>
      </c>
      <c r="N520" t="n">
        <v>0</v>
      </c>
      <c r="O520" t="n">
        <v>0</v>
      </c>
      <c r="P520" t="n">
        <v>0</v>
      </c>
      <c r="Q520" t="n">
        <v>0</v>
      </c>
      <c r="R520" s="2" t="inlineStr"/>
    </row>
    <row r="521" ht="15" customHeight="1">
      <c r="A521" t="inlineStr">
        <is>
          <t>A 38763-2019</t>
        </is>
      </c>
      <c r="B521" s="1" t="n">
        <v>43686</v>
      </c>
      <c r="C521" s="1" t="n">
        <v>45670</v>
      </c>
      <c r="D521" t="inlineStr">
        <is>
          <t>VÄSTERNORRLANDS LÄN</t>
        </is>
      </c>
      <c r="E521" t="inlineStr">
        <is>
          <t>SOLLEFTEÅ</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39123-2019</t>
        </is>
      </c>
      <c r="B522" s="1" t="n">
        <v>43689</v>
      </c>
      <c r="C522" s="1" t="n">
        <v>45670</v>
      </c>
      <c r="D522" t="inlineStr">
        <is>
          <t>VÄSTERNORRLANDS LÄN</t>
        </is>
      </c>
      <c r="E522" t="inlineStr">
        <is>
          <t>SOLLEFTEÅ</t>
        </is>
      </c>
      <c r="G522" t="n">
        <v>10.9</v>
      </c>
      <c r="H522" t="n">
        <v>0</v>
      </c>
      <c r="I522" t="n">
        <v>0</v>
      </c>
      <c r="J522" t="n">
        <v>0</v>
      </c>
      <c r="K522" t="n">
        <v>0</v>
      </c>
      <c r="L522" t="n">
        <v>0</v>
      </c>
      <c r="M522" t="n">
        <v>0</v>
      </c>
      <c r="N522" t="n">
        <v>0</v>
      </c>
      <c r="O522" t="n">
        <v>0</v>
      </c>
      <c r="P522" t="n">
        <v>0</v>
      </c>
      <c r="Q522" t="n">
        <v>0</v>
      </c>
      <c r="R522" s="2" t="inlineStr"/>
    </row>
    <row r="523" ht="15" customHeight="1">
      <c r="A523" t="inlineStr">
        <is>
          <t>A 39768-2019</t>
        </is>
      </c>
      <c r="B523" s="1" t="n">
        <v>43689</v>
      </c>
      <c r="C523" s="1" t="n">
        <v>45670</v>
      </c>
      <c r="D523" t="inlineStr">
        <is>
          <t>VÄSTERNORRLANDS LÄN</t>
        </is>
      </c>
      <c r="E523" t="inlineStr">
        <is>
          <t>SOLLEFTEÅ</t>
        </is>
      </c>
      <c r="G523" t="n">
        <v>0.8</v>
      </c>
      <c r="H523" t="n">
        <v>0</v>
      </c>
      <c r="I523" t="n">
        <v>0</v>
      </c>
      <c r="J523" t="n">
        <v>0</v>
      </c>
      <c r="K523" t="n">
        <v>0</v>
      </c>
      <c r="L523" t="n">
        <v>0</v>
      </c>
      <c r="M523" t="n">
        <v>0</v>
      </c>
      <c r="N523" t="n">
        <v>0</v>
      </c>
      <c r="O523" t="n">
        <v>0</v>
      </c>
      <c r="P523" t="n">
        <v>0</v>
      </c>
      <c r="Q523" t="n">
        <v>0</v>
      </c>
      <c r="R523" s="2" t="inlineStr"/>
    </row>
    <row r="524" ht="15" customHeight="1">
      <c r="A524" t="inlineStr">
        <is>
          <t>A 40764-2019</t>
        </is>
      </c>
      <c r="B524" s="1" t="n">
        <v>43692</v>
      </c>
      <c r="C524" s="1" t="n">
        <v>45670</v>
      </c>
      <c r="D524" t="inlineStr">
        <is>
          <t>VÄSTERNORRLANDS LÄN</t>
        </is>
      </c>
      <c r="E524" t="inlineStr">
        <is>
          <t>SOLLEFTEÅ</t>
        </is>
      </c>
      <c r="G524" t="n">
        <v>2.9</v>
      </c>
      <c r="H524" t="n">
        <v>0</v>
      </c>
      <c r="I524" t="n">
        <v>0</v>
      </c>
      <c r="J524" t="n">
        <v>0</v>
      </c>
      <c r="K524" t="n">
        <v>0</v>
      </c>
      <c r="L524" t="n">
        <v>0</v>
      </c>
      <c r="M524" t="n">
        <v>0</v>
      </c>
      <c r="N524" t="n">
        <v>0</v>
      </c>
      <c r="O524" t="n">
        <v>0</v>
      </c>
      <c r="P524" t="n">
        <v>0</v>
      </c>
      <c r="Q524" t="n">
        <v>0</v>
      </c>
      <c r="R524" s="2" t="inlineStr"/>
    </row>
    <row r="525" ht="15" customHeight="1">
      <c r="A525" t="inlineStr">
        <is>
          <t>A 40769-2019</t>
        </is>
      </c>
      <c r="B525" s="1" t="n">
        <v>43692</v>
      </c>
      <c r="C525" s="1" t="n">
        <v>45670</v>
      </c>
      <c r="D525" t="inlineStr">
        <is>
          <t>VÄSTERNORRLANDS LÄN</t>
        </is>
      </c>
      <c r="E525" t="inlineStr">
        <is>
          <t>SOLLEFTEÅ</t>
        </is>
      </c>
      <c r="G525" t="n">
        <v>1.8</v>
      </c>
      <c r="H525" t="n">
        <v>0</v>
      </c>
      <c r="I525" t="n">
        <v>0</v>
      </c>
      <c r="J525" t="n">
        <v>0</v>
      </c>
      <c r="K525" t="n">
        <v>0</v>
      </c>
      <c r="L525" t="n">
        <v>0</v>
      </c>
      <c r="M525" t="n">
        <v>0</v>
      </c>
      <c r="N525" t="n">
        <v>0</v>
      </c>
      <c r="O525" t="n">
        <v>0</v>
      </c>
      <c r="P525" t="n">
        <v>0</v>
      </c>
      <c r="Q525" t="n">
        <v>0</v>
      </c>
      <c r="R525" s="2" t="inlineStr"/>
    </row>
    <row r="526" ht="15" customHeight="1">
      <c r="A526" t="inlineStr">
        <is>
          <t>A 41069-2019</t>
        </is>
      </c>
      <c r="B526" s="1" t="n">
        <v>43693</v>
      </c>
      <c r="C526" s="1" t="n">
        <v>45670</v>
      </c>
      <c r="D526" t="inlineStr">
        <is>
          <t>VÄSTERNORRLANDS LÄN</t>
        </is>
      </c>
      <c r="E526" t="inlineStr">
        <is>
          <t>SOLLEFTEÅ</t>
        </is>
      </c>
      <c r="G526" t="n">
        <v>2.2</v>
      </c>
      <c r="H526" t="n">
        <v>0</v>
      </c>
      <c r="I526" t="n">
        <v>0</v>
      </c>
      <c r="J526" t="n">
        <v>0</v>
      </c>
      <c r="K526" t="n">
        <v>0</v>
      </c>
      <c r="L526" t="n">
        <v>0</v>
      </c>
      <c r="M526" t="n">
        <v>0</v>
      </c>
      <c r="N526" t="n">
        <v>0</v>
      </c>
      <c r="O526" t="n">
        <v>0</v>
      </c>
      <c r="P526" t="n">
        <v>0</v>
      </c>
      <c r="Q526" t="n">
        <v>0</v>
      </c>
      <c r="R526" s="2" t="inlineStr"/>
    </row>
    <row r="527" ht="15" customHeight="1">
      <c r="A527" t="inlineStr">
        <is>
          <t>A 40685-2019</t>
        </is>
      </c>
      <c r="B527" s="1" t="n">
        <v>43696</v>
      </c>
      <c r="C527" s="1" t="n">
        <v>45670</v>
      </c>
      <c r="D527" t="inlineStr">
        <is>
          <t>VÄSTERNORRLANDS LÄN</t>
        </is>
      </c>
      <c r="E527" t="inlineStr">
        <is>
          <t>SOLLEFTEÅ</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40682-2019</t>
        </is>
      </c>
      <c r="B528" s="1" t="n">
        <v>43696</v>
      </c>
      <c r="C528" s="1" t="n">
        <v>45670</v>
      </c>
      <c r="D528" t="inlineStr">
        <is>
          <t>VÄSTERNORRLANDS LÄN</t>
        </is>
      </c>
      <c r="E528" t="inlineStr">
        <is>
          <t>SOLLEFTEÅ</t>
        </is>
      </c>
      <c r="F528" t="inlineStr">
        <is>
          <t>SCA</t>
        </is>
      </c>
      <c r="G528" t="n">
        <v>7.1</v>
      </c>
      <c r="H528" t="n">
        <v>0</v>
      </c>
      <c r="I528" t="n">
        <v>0</v>
      </c>
      <c r="J528" t="n">
        <v>0</v>
      </c>
      <c r="K528" t="n">
        <v>0</v>
      </c>
      <c r="L528" t="n">
        <v>0</v>
      </c>
      <c r="M528" t="n">
        <v>0</v>
      </c>
      <c r="N528" t="n">
        <v>0</v>
      </c>
      <c r="O528" t="n">
        <v>0</v>
      </c>
      <c r="P528" t="n">
        <v>0</v>
      </c>
      <c r="Q528" t="n">
        <v>0</v>
      </c>
      <c r="R528" s="2" t="inlineStr"/>
    </row>
    <row r="529" ht="15" customHeight="1">
      <c r="A529" t="inlineStr">
        <is>
          <t>A 40514-2019</t>
        </is>
      </c>
      <c r="B529" s="1" t="n">
        <v>43696</v>
      </c>
      <c r="C529" s="1" t="n">
        <v>45670</v>
      </c>
      <c r="D529" t="inlineStr">
        <is>
          <t>VÄSTERNORRLANDS LÄN</t>
        </is>
      </c>
      <c r="E529" t="inlineStr">
        <is>
          <t>SOLLEFTEÅ</t>
        </is>
      </c>
      <c r="F529" t="inlineStr">
        <is>
          <t>SCA</t>
        </is>
      </c>
      <c r="G529" t="n">
        <v>3.1</v>
      </c>
      <c r="H529" t="n">
        <v>0</v>
      </c>
      <c r="I529" t="n">
        <v>0</v>
      </c>
      <c r="J529" t="n">
        <v>0</v>
      </c>
      <c r="K529" t="n">
        <v>0</v>
      </c>
      <c r="L529" t="n">
        <v>0</v>
      </c>
      <c r="M529" t="n">
        <v>0</v>
      </c>
      <c r="N529" t="n">
        <v>0</v>
      </c>
      <c r="O529" t="n">
        <v>0</v>
      </c>
      <c r="P529" t="n">
        <v>0</v>
      </c>
      <c r="Q529" t="n">
        <v>0</v>
      </c>
      <c r="R529" s="2" t="inlineStr"/>
    </row>
    <row r="530" ht="15" customHeight="1">
      <c r="A530" t="inlineStr">
        <is>
          <t>A 40679-2019</t>
        </is>
      </c>
      <c r="B530" s="1" t="n">
        <v>43696</v>
      </c>
      <c r="C530" s="1" t="n">
        <v>45670</v>
      </c>
      <c r="D530" t="inlineStr">
        <is>
          <t>VÄSTERNORRLANDS LÄN</t>
        </is>
      </c>
      <c r="E530" t="inlineStr">
        <is>
          <t>SOLLEFTEÅ</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41786-2019</t>
        </is>
      </c>
      <c r="B531" s="1" t="n">
        <v>43699</v>
      </c>
      <c r="C531" s="1" t="n">
        <v>45670</v>
      </c>
      <c r="D531" t="inlineStr">
        <is>
          <t>VÄSTERNORRLANDS LÄN</t>
        </is>
      </c>
      <c r="E531" t="inlineStr">
        <is>
          <t>SOLLEFTEÅ</t>
        </is>
      </c>
      <c r="F531" t="inlineStr">
        <is>
          <t>SCA</t>
        </is>
      </c>
      <c r="G531" t="n">
        <v>3.2</v>
      </c>
      <c r="H531" t="n">
        <v>0</v>
      </c>
      <c r="I531" t="n">
        <v>0</v>
      </c>
      <c r="J531" t="n">
        <v>0</v>
      </c>
      <c r="K531" t="n">
        <v>0</v>
      </c>
      <c r="L531" t="n">
        <v>0</v>
      </c>
      <c r="M531" t="n">
        <v>0</v>
      </c>
      <c r="N531" t="n">
        <v>0</v>
      </c>
      <c r="O531" t="n">
        <v>0</v>
      </c>
      <c r="P531" t="n">
        <v>0</v>
      </c>
      <c r="Q531" t="n">
        <v>0</v>
      </c>
      <c r="R531" s="2" t="inlineStr"/>
    </row>
    <row r="532" ht="15" customHeight="1">
      <c r="A532" t="inlineStr">
        <is>
          <t>A 42417-2019</t>
        </is>
      </c>
      <c r="B532" s="1" t="n">
        <v>43703</v>
      </c>
      <c r="C532" s="1" t="n">
        <v>45670</v>
      </c>
      <c r="D532" t="inlineStr">
        <is>
          <t>VÄSTERNORRLANDS LÄN</t>
        </is>
      </c>
      <c r="E532" t="inlineStr">
        <is>
          <t>SOLLEFTEÅ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42791-2019</t>
        </is>
      </c>
      <c r="B533" s="1" t="n">
        <v>43704</v>
      </c>
      <c r="C533" s="1" t="n">
        <v>45670</v>
      </c>
      <c r="D533" t="inlineStr">
        <is>
          <t>VÄSTERNORRLANDS LÄN</t>
        </is>
      </c>
      <c r="E533" t="inlineStr">
        <is>
          <t>SOLLEFTEÅ</t>
        </is>
      </c>
      <c r="G533" t="n">
        <v>4.1</v>
      </c>
      <c r="H533" t="n">
        <v>0</v>
      </c>
      <c r="I533" t="n">
        <v>0</v>
      </c>
      <c r="J533" t="n">
        <v>0</v>
      </c>
      <c r="K533" t="n">
        <v>0</v>
      </c>
      <c r="L533" t="n">
        <v>0</v>
      </c>
      <c r="M533" t="n">
        <v>0</v>
      </c>
      <c r="N533" t="n">
        <v>0</v>
      </c>
      <c r="O533" t="n">
        <v>0</v>
      </c>
      <c r="P533" t="n">
        <v>0</v>
      </c>
      <c r="Q533" t="n">
        <v>0</v>
      </c>
      <c r="R533" s="2" t="inlineStr"/>
    </row>
    <row r="534" ht="15" customHeight="1">
      <c r="A534" t="inlineStr">
        <is>
          <t>A 42792-2019</t>
        </is>
      </c>
      <c r="B534" s="1" t="n">
        <v>43704</v>
      </c>
      <c r="C534" s="1" t="n">
        <v>45670</v>
      </c>
      <c r="D534" t="inlineStr">
        <is>
          <t>VÄSTERNORRLANDS LÄN</t>
        </is>
      </c>
      <c r="E534" t="inlineStr">
        <is>
          <t>SOLLEFTEÅ</t>
        </is>
      </c>
      <c r="G534" t="n">
        <v>5.7</v>
      </c>
      <c r="H534" t="n">
        <v>0</v>
      </c>
      <c r="I534" t="n">
        <v>0</v>
      </c>
      <c r="J534" t="n">
        <v>0</v>
      </c>
      <c r="K534" t="n">
        <v>0</v>
      </c>
      <c r="L534" t="n">
        <v>0</v>
      </c>
      <c r="M534" t="n">
        <v>0</v>
      </c>
      <c r="N534" t="n">
        <v>0</v>
      </c>
      <c r="O534" t="n">
        <v>0</v>
      </c>
      <c r="P534" t="n">
        <v>0</v>
      </c>
      <c r="Q534" t="n">
        <v>0</v>
      </c>
      <c r="R534" s="2" t="inlineStr"/>
    </row>
    <row r="535" ht="15" customHeight="1">
      <c r="A535" t="inlineStr">
        <is>
          <t>A 43499-2019</t>
        </is>
      </c>
      <c r="B535" s="1" t="n">
        <v>43706</v>
      </c>
      <c r="C535" s="1" t="n">
        <v>45670</v>
      </c>
      <c r="D535" t="inlineStr">
        <is>
          <t>VÄSTERNORRLANDS LÄN</t>
        </is>
      </c>
      <c r="E535" t="inlineStr">
        <is>
          <t>SOLLEFTEÅ</t>
        </is>
      </c>
      <c r="G535" t="n">
        <v>19.3</v>
      </c>
      <c r="H535" t="n">
        <v>0</v>
      </c>
      <c r="I535" t="n">
        <v>0</v>
      </c>
      <c r="J535" t="n">
        <v>0</v>
      </c>
      <c r="K535" t="n">
        <v>0</v>
      </c>
      <c r="L535" t="n">
        <v>0</v>
      </c>
      <c r="M535" t="n">
        <v>0</v>
      </c>
      <c r="N535" t="n">
        <v>0</v>
      </c>
      <c r="O535" t="n">
        <v>0</v>
      </c>
      <c r="P535" t="n">
        <v>0</v>
      </c>
      <c r="Q535" t="n">
        <v>0</v>
      </c>
      <c r="R535" s="2" t="inlineStr"/>
    </row>
    <row r="536" ht="15" customHeight="1">
      <c r="A536" t="inlineStr">
        <is>
          <t>A 45032-2019</t>
        </is>
      </c>
      <c r="B536" s="1" t="n">
        <v>43707</v>
      </c>
      <c r="C536" s="1" t="n">
        <v>45670</v>
      </c>
      <c r="D536" t="inlineStr">
        <is>
          <t>VÄSTERNORRLANDS LÄN</t>
        </is>
      </c>
      <c r="E536" t="inlineStr">
        <is>
          <t>SOLLEFTEÅ</t>
        </is>
      </c>
      <c r="G536" t="n">
        <v>9.4</v>
      </c>
      <c r="H536" t="n">
        <v>0</v>
      </c>
      <c r="I536" t="n">
        <v>0</v>
      </c>
      <c r="J536" t="n">
        <v>0</v>
      </c>
      <c r="K536" t="n">
        <v>0</v>
      </c>
      <c r="L536" t="n">
        <v>0</v>
      </c>
      <c r="M536" t="n">
        <v>0</v>
      </c>
      <c r="N536" t="n">
        <v>0</v>
      </c>
      <c r="O536" t="n">
        <v>0</v>
      </c>
      <c r="P536" t="n">
        <v>0</v>
      </c>
      <c r="Q536" t="n">
        <v>0</v>
      </c>
      <c r="R536" s="2" t="inlineStr"/>
    </row>
    <row r="537" ht="15" customHeight="1">
      <c r="A537" t="inlineStr">
        <is>
          <t>A 44815-2019</t>
        </is>
      </c>
      <c r="B537" s="1" t="n">
        <v>43712</v>
      </c>
      <c r="C537" s="1" t="n">
        <v>45670</v>
      </c>
      <c r="D537" t="inlineStr">
        <is>
          <t>VÄSTERNORRLANDS LÄN</t>
        </is>
      </c>
      <c r="E537" t="inlineStr">
        <is>
          <t>SOLLEFTEÅ</t>
        </is>
      </c>
      <c r="G537" t="n">
        <v>3</v>
      </c>
      <c r="H537" t="n">
        <v>0</v>
      </c>
      <c r="I537" t="n">
        <v>0</v>
      </c>
      <c r="J537" t="n">
        <v>0</v>
      </c>
      <c r="K537" t="n">
        <v>0</v>
      </c>
      <c r="L537" t="n">
        <v>0</v>
      </c>
      <c r="M537" t="n">
        <v>0</v>
      </c>
      <c r="N537" t="n">
        <v>0</v>
      </c>
      <c r="O537" t="n">
        <v>0</v>
      </c>
      <c r="P537" t="n">
        <v>0</v>
      </c>
      <c r="Q537" t="n">
        <v>0</v>
      </c>
      <c r="R537" s="2" t="inlineStr"/>
    </row>
    <row r="538" ht="15" customHeight="1">
      <c r="A538" t="inlineStr">
        <is>
          <t>A 45941-2019</t>
        </is>
      </c>
      <c r="B538" s="1" t="n">
        <v>43712</v>
      </c>
      <c r="C538" s="1" t="n">
        <v>45670</v>
      </c>
      <c r="D538" t="inlineStr">
        <is>
          <t>VÄSTERNORRLANDS LÄN</t>
        </is>
      </c>
      <c r="E538" t="inlineStr">
        <is>
          <t>SOLLEFTEÅ</t>
        </is>
      </c>
      <c r="G538" t="n">
        <v>25</v>
      </c>
      <c r="H538" t="n">
        <v>0</v>
      </c>
      <c r="I538" t="n">
        <v>0</v>
      </c>
      <c r="J538" t="n">
        <v>0</v>
      </c>
      <c r="K538" t="n">
        <v>0</v>
      </c>
      <c r="L538" t="n">
        <v>0</v>
      </c>
      <c r="M538" t="n">
        <v>0</v>
      </c>
      <c r="N538" t="n">
        <v>0</v>
      </c>
      <c r="O538" t="n">
        <v>0</v>
      </c>
      <c r="P538" t="n">
        <v>0</v>
      </c>
      <c r="Q538" t="n">
        <v>0</v>
      </c>
      <c r="R538" s="2" t="inlineStr"/>
    </row>
    <row r="539" ht="15" customHeight="1">
      <c r="A539" t="inlineStr">
        <is>
          <t>A 44888-2019</t>
        </is>
      </c>
      <c r="B539" s="1" t="n">
        <v>43712</v>
      </c>
      <c r="C539" s="1" t="n">
        <v>45670</v>
      </c>
      <c r="D539" t="inlineStr">
        <is>
          <t>VÄSTERNORRLANDS LÄN</t>
        </is>
      </c>
      <c r="E539" t="inlineStr">
        <is>
          <t>SOLLEFTEÅ</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44960-2019</t>
        </is>
      </c>
      <c r="B540" s="1" t="n">
        <v>43713</v>
      </c>
      <c r="C540" s="1" t="n">
        <v>45670</v>
      </c>
      <c r="D540" t="inlineStr">
        <is>
          <t>VÄSTERNORRLANDS LÄN</t>
        </is>
      </c>
      <c r="E540" t="inlineStr">
        <is>
          <t>SOLLEFTEÅ</t>
        </is>
      </c>
      <c r="G540" t="n">
        <v>14.9</v>
      </c>
      <c r="H540" t="n">
        <v>0</v>
      </c>
      <c r="I540" t="n">
        <v>0</v>
      </c>
      <c r="J540" t="n">
        <v>0</v>
      </c>
      <c r="K540" t="n">
        <v>0</v>
      </c>
      <c r="L540" t="n">
        <v>0</v>
      </c>
      <c r="M540" t="n">
        <v>0</v>
      </c>
      <c r="N540" t="n">
        <v>0</v>
      </c>
      <c r="O540" t="n">
        <v>0</v>
      </c>
      <c r="P540" t="n">
        <v>0</v>
      </c>
      <c r="Q540" t="n">
        <v>0</v>
      </c>
      <c r="R540" s="2" t="inlineStr"/>
    </row>
    <row r="541" ht="15" customHeight="1">
      <c r="A541" t="inlineStr">
        <is>
          <t>A 45537-2019</t>
        </is>
      </c>
      <c r="B541" s="1" t="n">
        <v>43714</v>
      </c>
      <c r="C541" s="1" t="n">
        <v>45670</v>
      </c>
      <c r="D541" t="inlineStr">
        <is>
          <t>VÄSTERNORRLANDS LÄN</t>
        </is>
      </c>
      <c r="E541" t="inlineStr">
        <is>
          <t>SOLLEFTEÅ</t>
        </is>
      </c>
      <c r="F541" t="inlineStr">
        <is>
          <t>SCA</t>
        </is>
      </c>
      <c r="G541" t="n">
        <v>35.1</v>
      </c>
      <c r="H541" t="n">
        <v>0</v>
      </c>
      <c r="I541" t="n">
        <v>0</v>
      </c>
      <c r="J541" t="n">
        <v>0</v>
      </c>
      <c r="K541" t="n">
        <v>0</v>
      </c>
      <c r="L541" t="n">
        <v>0</v>
      </c>
      <c r="M541" t="n">
        <v>0</v>
      </c>
      <c r="N541" t="n">
        <v>0</v>
      </c>
      <c r="O541" t="n">
        <v>0</v>
      </c>
      <c r="P541" t="n">
        <v>0</v>
      </c>
      <c r="Q541" t="n">
        <v>0</v>
      </c>
      <c r="R541" s="2" t="inlineStr"/>
    </row>
    <row r="542" ht="15" customHeight="1">
      <c r="A542" t="inlineStr">
        <is>
          <t>A 46345-2019</t>
        </is>
      </c>
      <c r="B542" s="1" t="n">
        <v>43718</v>
      </c>
      <c r="C542" s="1" t="n">
        <v>45670</v>
      </c>
      <c r="D542" t="inlineStr">
        <is>
          <t>VÄSTERNORRLANDS LÄN</t>
        </is>
      </c>
      <c r="E542" t="inlineStr">
        <is>
          <t>SOLLEFTEÅ</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46956-2019</t>
        </is>
      </c>
      <c r="B543" s="1" t="n">
        <v>43719</v>
      </c>
      <c r="C543" s="1" t="n">
        <v>45670</v>
      </c>
      <c r="D543" t="inlineStr">
        <is>
          <t>VÄSTERNORRLANDS LÄN</t>
        </is>
      </c>
      <c r="E543" t="inlineStr">
        <is>
          <t>SOLLEFTEÅ</t>
        </is>
      </c>
      <c r="G543" t="n">
        <v>18.1</v>
      </c>
      <c r="H543" t="n">
        <v>0</v>
      </c>
      <c r="I543" t="n">
        <v>0</v>
      </c>
      <c r="J543" t="n">
        <v>0</v>
      </c>
      <c r="K543" t="n">
        <v>0</v>
      </c>
      <c r="L543" t="n">
        <v>0</v>
      </c>
      <c r="M543" t="n">
        <v>0</v>
      </c>
      <c r="N543" t="n">
        <v>0</v>
      </c>
      <c r="O543" t="n">
        <v>0</v>
      </c>
      <c r="P543" t="n">
        <v>0</v>
      </c>
      <c r="Q543" t="n">
        <v>0</v>
      </c>
      <c r="R543" s="2" t="inlineStr"/>
    </row>
    <row r="544" ht="15" customHeight="1">
      <c r="A544" t="inlineStr">
        <is>
          <t>A 47366-2019</t>
        </is>
      </c>
      <c r="B544" s="1" t="n">
        <v>43721</v>
      </c>
      <c r="C544" s="1" t="n">
        <v>45670</v>
      </c>
      <c r="D544" t="inlineStr">
        <is>
          <t>VÄSTERNORRLANDS LÄN</t>
        </is>
      </c>
      <c r="E544" t="inlineStr">
        <is>
          <t>SOLLEFTEÅ</t>
        </is>
      </c>
      <c r="G544" t="n">
        <v>1.1</v>
      </c>
      <c r="H544" t="n">
        <v>0</v>
      </c>
      <c r="I544" t="n">
        <v>0</v>
      </c>
      <c r="J544" t="n">
        <v>0</v>
      </c>
      <c r="K544" t="n">
        <v>0</v>
      </c>
      <c r="L544" t="n">
        <v>0</v>
      </c>
      <c r="M544" t="n">
        <v>0</v>
      </c>
      <c r="N544" t="n">
        <v>0</v>
      </c>
      <c r="O544" t="n">
        <v>0</v>
      </c>
      <c r="P544" t="n">
        <v>0</v>
      </c>
      <c r="Q544" t="n">
        <v>0</v>
      </c>
      <c r="R544" s="2" t="inlineStr"/>
    </row>
    <row r="545" ht="15" customHeight="1">
      <c r="A545" t="inlineStr">
        <is>
          <t>A 47764-2019</t>
        </is>
      </c>
      <c r="B545" s="1" t="n">
        <v>43724</v>
      </c>
      <c r="C545" s="1" t="n">
        <v>45670</v>
      </c>
      <c r="D545" t="inlineStr">
        <is>
          <t>VÄSTERNORRLANDS LÄN</t>
        </is>
      </c>
      <c r="E545" t="inlineStr">
        <is>
          <t>SOLLEFTEÅ</t>
        </is>
      </c>
      <c r="F545" t="inlineStr">
        <is>
          <t>Kyrkan</t>
        </is>
      </c>
      <c r="G545" t="n">
        <v>4.1</v>
      </c>
      <c r="H545" t="n">
        <v>0</v>
      </c>
      <c r="I545" t="n">
        <v>0</v>
      </c>
      <c r="J545" t="n">
        <v>0</v>
      </c>
      <c r="K545" t="n">
        <v>0</v>
      </c>
      <c r="L545" t="n">
        <v>0</v>
      </c>
      <c r="M545" t="n">
        <v>0</v>
      </c>
      <c r="N545" t="n">
        <v>0</v>
      </c>
      <c r="O545" t="n">
        <v>0</v>
      </c>
      <c r="P545" t="n">
        <v>0</v>
      </c>
      <c r="Q545" t="n">
        <v>0</v>
      </c>
      <c r="R545" s="2" t="inlineStr"/>
    </row>
    <row r="546" ht="15" customHeight="1">
      <c r="A546" t="inlineStr">
        <is>
          <t>A 47768-2019</t>
        </is>
      </c>
      <c r="B546" s="1" t="n">
        <v>43724</v>
      </c>
      <c r="C546" s="1" t="n">
        <v>45670</v>
      </c>
      <c r="D546" t="inlineStr">
        <is>
          <t>VÄSTERNORRLANDS LÄN</t>
        </is>
      </c>
      <c r="E546" t="inlineStr">
        <is>
          <t>SOLLEFTEÅ</t>
        </is>
      </c>
      <c r="F546" t="inlineStr">
        <is>
          <t>Kyrkan</t>
        </is>
      </c>
      <c r="G546" t="n">
        <v>12.1</v>
      </c>
      <c r="H546" t="n">
        <v>0</v>
      </c>
      <c r="I546" t="n">
        <v>0</v>
      </c>
      <c r="J546" t="n">
        <v>0</v>
      </c>
      <c r="K546" t="n">
        <v>0</v>
      </c>
      <c r="L546" t="n">
        <v>0</v>
      </c>
      <c r="M546" t="n">
        <v>0</v>
      </c>
      <c r="N546" t="n">
        <v>0</v>
      </c>
      <c r="O546" t="n">
        <v>0</v>
      </c>
      <c r="P546" t="n">
        <v>0</v>
      </c>
      <c r="Q546" t="n">
        <v>0</v>
      </c>
      <c r="R546" s="2" t="inlineStr"/>
    </row>
    <row r="547" ht="15" customHeight="1">
      <c r="A547" t="inlineStr">
        <is>
          <t>A 49381-2019</t>
        </is>
      </c>
      <c r="B547" s="1" t="n">
        <v>43731</v>
      </c>
      <c r="C547" s="1" t="n">
        <v>45670</v>
      </c>
      <c r="D547" t="inlineStr">
        <is>
          <t>VÄSTERNORRLANDS LÄN</t>
        </is>
      </c>
      <c r="E547" t="inlineStr">
        <is>
          <t>SOLLEFTEÅ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49380-2019</t>
        </is>
      </c>
      <c r="B548" s="1" t="n">
        <v>43731</v>
      </c>
      <c r="C548" s="1" t="n">
        <v>45670</v>
      </c>
      <c r="D548" t="inlineStr">
        <is>
          <t>VÄSTERNORRLANDS LÄN</t>
        </is>
      </c>
      <c r="E548" t="inlineStr">
        <is>
          <t>SOLLEFTEÅ</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49674-2019</t>
        </is>
      </c>
      <c r="B549" s="1" t="n">
        <v>43732</v>
      </c>
      <c r="C549" s="1" t="n">
        <v>45670</v>
      </c>
      <c r="D549" t="inlineStr">
        <is>
          <t>VÄSTERNORRLANDS LÄN</t>
        </is>
      </c>
      <c r="E549" t="inlineStr">
        <is>
          <t>SOLLEFTEÅ</t>
        </is>
      </c>
      <c r="G549" t="n">
        <v>2.2</v>
      </c>
      <c r="H549" t="n">
        <v>0</v>
      </c>
      <c r="I549" t="n">
        <v>0</v>
      </c>
      <c r="J549" t="n">
        <v>0</v>
      </c>
      <c r="K549" t="n">
        <v>0</v>
      </c>
      <c r="L549" t="n">
        <v>0</v>
      </c>
      <c r="M549" t="n">
        <v>0</v>
      </c>
      <c r="N549" t="n">
        <v>0</v>
      </c>
      <c r="O549" t="n">
        <v>0</v>
      </c>
      <c r="P549" t="n">
        <v>0</v>
      </c>
      <c r="Q549" t="n">
        <v>0</v>
      </c>
      <c r="R549" s="2" t="inlineStr"/>
    </row>
    <row r="550" ht="15" customHeight="1">
      <c r="A550" t="inlineStr">
        <is>
          <t>A 50283-2019</t>
        </is>
      </c>
      <c r="B550" s="1" t="n">
        <v>43734</v>
      </c>
      <c r="C550" s="1" t="n">
        <v>45670</v>
      </c>
      <c r="D550" t="inlineStr">
        <is>
          <t>VÄSTERNORRLANDS LÄN</t>
        </is>
      </c>
      <c r="E550" t="inlineStr">
        <is>
          <t>SOLLEFTEÅ</t>
        </is>
      </c>
      <c r="F550" t="inlineStr">
        <is>
          <t>SCA</t>
        </is>
      </c>
      <c r="G550" t="n">
        <v>10.6</v>
      </c>
      <c r="H550" t="n">
        <v>0</v>
      </c>
      <c r="I550" t="n">
        <v>0</v>
      </c>
      <c r="J550" t="n">
        <v>0</v>
      </c>
      <c r="K550" t="n">
        <v>0</v>
      </c>
      <c r="L550" t="n">
        <v>0</v>
      </c>
      <c r="M550" t="n">
        <v>0</v>
      </c>
      <c r="N550" t="n">
        <v>0</v>
      </c>
      <c r="O550" t="n">
        <v>0</v>
      </c>
      <c r="P550" t="n">
        <v>0</v>
      </c>
      <c r="Q550" t="n">
        <v>0</v>
      </c>
      <c r="R550" s="2" t="inlineStr"/>
    </row>
    <row r="551" ht="15" customHeight="1">
      <c r="A551" t="inlineStr">
        <is>
          <t>A 50513-2019</t>
        </is>
      </c>
      <c r="B551" s="1" t="n">
        <v>43735</v>
      </c>
      <c r="C551" s="1" t="n">
        <v>45670</v>
      </c>
      <c r="D551" t="inlineStr">
        <is>
          <t>VÄSTERNORRLANDS LÄN</t>
        </is>
      </c>
      <c r="E551" t="inlineStr">
        <is>
          <t>SOLLEFTEÅ</t>
        </is>
      </c>
      <c r="G551" t="n">
        <v>11</v>
      </c>
      <c r="H551" t="n">
        <v>0</v>
      </c>
      <c r="I551" t="n">
        <v>0</v>
      </c>
      <c r="J551" t="n">
        <v>0</v>
      </c>
      <c r="K551" t="n">
        <v>0</v>
      </c>
      <c r="L551" t="n">
        <v>0</v>
      </c>
      <c r="M551" t="n">
        <v>0</v>
      </c>
      <c r="N551" t="n">
        <v>0</v>
      </c>
      <c r="O551" t="n">
        <v>0</v>
      </c>
      <c r="P551" t="n">
        <v>0</v>
      </c>
      <c r="Q551" t="n">
        <v>0</v>
      </c>
      <c r="R551" s="2" t="inlineStr"/>
    </row>
    <row r="552" ht="15" customHeight="1">
      <c r="A552" t="inlineStr">
        <is>
          <t>A 50668-2019</t>
        </is>
      </c>
      <c r="B552" s="1" t="n">
        <v>43737</v>
      </c>
      <c r="C552" s="1" t="n">
        <v>45670</v>
      </c>
      <c r="D552" t="inlineStr">
        <is>
          <t>VÄSTERNORRLANDS LÄN</t>
        </is>
      </c>
      <c r="E552" t="inlineStr">
        <is>
          <t>SOLLEFTEÅ</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51002-2019</t>
        </is>
      </c>
      <c r="B553" s="1" t="n">
        <v>43738</v>
      </c>
      <c r="C553" s="1" t="n">
        <v>45670</v>
      </c>
      <c r="D553" t="inlineStr">
        <is>
          <t>VÄSTERNORRLANDS LÄN</t>
        </is>
      </c>
      <c r="E553" t="inlineStr">
        <is>
          <t>SOLLEFTEÅ</t>
        </is>
      </c>
      <c r="F553" t="inlineStr">
        <is>
          <t>SCA</t>
        </is>
      </c>
      <c r="G553" t="n">
        <v>7.3</v>
      </c>
      <c r="H553" t="n">
        <v>0</v>
      </c>
      <c r="I553" t="n">
        <v>0</v>
      </c>
      <c r="J553" t="n">
        <v>0</v>
      </c>
      <c r="K553" t="n">
        <v>0</v>
      </c>
      <c r="L553" t="n">
        <v>0</v>
      </c>
      <c r="M553" t="n">
        <v>0</v>
      </c>
      <c r="N553" t="n">
        <v>0</v>
      </c>
      <c r="O553" t="n">
        <v>0</v>
      </c>
      <c r="P553" t="n">
        <v>0</v>
      </c>
      <c r="Q553" t="n">
        <v>0</v>
      </c>
      <c r="R553" s="2" t="inlineStr"/>
    </row>
    <row r="554" ht="15" customHeight="1">
      <c r="A554" t="inlineStr">
        <is>
          <t>A 50999-2019</t>
        </is>
      </c>
      <c r="B554" s="1" t="n">
        <v>43738</v>
      </c>
      <c r="C554" s="1" t="n">
        <v>45670</v>
      </c>
      <c r="D554" t="inlineStr">
        <is>
          <t>VÄSTERNORRLANDS LÄN</t>
        </is>
      </c>
      <c r="E554" t="inlineStr">
        <is>
          <t>SOLLEFTEÅ</t>
        </is>
      </c>
      <c r="F554" t="inlineStr">
        <is>
          <t>SCA</t>
        </is>
      </c>
      <c r="G554" t="n">
        <v>5.6</v>
      </c>
      <c r="H554" t="n">
        <v>0</v>
      </c>
      <c r="I554" t="n">
        <v>0</v>
      </c>
      <c r="J554" t="n">
        <v>0</v>
      </c>
      <c r="K554" t="n">
        <v>0</v>
      </c>
      <c r="L554" t="n">
        <v>0</v>
      </c>
      <c r="M554" t="n">
        <v>0</v>
      </c>
      <c r="N554" t="n">
        <v>0</v>
      </c>
      <c r="O554" t="n">
        <v>0</v>
      </c>
      <c r="P554" t="n">
        <v>0</v>
      </c>
      <c r="Q554" t="n">
        <v>0</v>
      </c>
      <c r="R554" s="2" t="inlineStr"/>
    </row>
    <row r="555" ht="15" customHeight="1">
      <c r="A555" t="inlineStr">
        <is>
          <t>A 51675-2019</t>
        </is>
      </c>
      <c r="B555" s="1" t="n">
        <v>43740</v>
      </c>
      <c r="C555" s="1" t="n">
        <v>45670</v>
      </c>
      <c r="D555" t="inlineStr">
        <is>
          <t>VÄSTERNORRLANDS LÄN</t>
        </is>
      </c>
      <c r="E555" t="inlineStr">
        <is>
          <t>SOLLEFTEÅ</t>
        </is>
      </c>
      <c r="F555" t="inlineStr">
        <is>
          <t>SCA</t>
        </is>
      </c>
      <c r="G555" t="n">
        <v>4</v>
      </c>
      <c r="H555" t="n">
        <v>0</v>
      </c>
      <c r="I555" t="n">
        <v>0</v>
      </c>
      <c r="J555" t="n">
        <v>0</v>
      </c>
      <c r="K555" t="n">
        <v>0</v>
      </c>
      <c r="L555" t="n">
        <v>0</v>
      </c>
      <c r="M555" t="n">
        <v>0</v>
      </c>
      <c r="N555" t="n">
        <v>0</v>
      </c>
      <c r="O555" t="n">
        <v>0</v>
      </c>
      <c r="P555" t="n">
        <v>0</v>
      </c>
      <c r="Q555" t="n">
        <v>0</v>
      </c>
      <c r="R555" s="2" t="inlineStr"/>
    </row>
    <row r="556" ht="15" customHeight="1">
      <c r="A556" t="inlineStr">
        <is>
          <t>A 51671-2019</t>
        </is>
      </c>
      <c r="B556" s="1" t="n">
        <v>43740</v>
      </c>
      <c r="C556" s="1" t="n">
        <v>45670</v>
      </c>
      <c r="D556" t="inlineStr">
        <is>
          <t>VÄSTERNORRLANDS LÄN</t>
        </is>
      </c>
      <c r="E556" t="inlineStr">
        <is>
          <t>SOLLEFTEÅ</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51682-2019</t>
        </is>
      </c>
      <c r="B557" s="1" t="n">
        <v>43740</v>
      </c>
      <c r="C557" s="1" t="n">
        <v>45670</v>
      </c>
      <c r="D557" t="inlineStr">
        <is>
          <t>VÄSTERNORRLANDS LÄN</t>
        </is>
      </c>
      <c r="E557" t="inlineStr">
        <is>
          <t>SOLLEFTEÅ</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53079-2019</t>
        </is>
      </c>
      <c r="B558" s="1" t="n">
        <v>43740</v>
      </c>
      <c r="C558" s="1" t="n">
        <v>45670</v>
      </c>
      <c r="D558" t="inlineStr">
        <is>
          <t>VÄSTERNORRLANDS LÄN</t>
        </is>
      </c>
      <c r="E558" t="inlineStr">
        <is>
          <t>SOLLEFTEÅ</t>
        </is>
      </c>
      <c r="G558" t="n">
        <v>7.9</v>
      </c>
      <c r="H558" t="n">
        <v>0</v>
      </c>
      <c r="I558" t="n">
        <v>0</v>
      </c>
      <c r="J558" t="n">
        <v>0</v>
      </c>
      <c r="K558" t="n">
        <v>0</v>
      </c>
      <c r="L558" t="n">
        <v>0</v>
      </c>
      <c r="M558" t="n">
        <v>0</v>
      </c>
      <c r="N558" t="n">
        <v>0</v>
      </c>
      <c r="O558" t="n">
        <v>0</v>
      </c>
      <c r="P558" t="n">
        <v>0</v>
      </c>
      <c r="Q558" t="n">
        <v>0</v>
      </c>
      <c r="R558" s="2" t="inlineStr"/>
    </row>
    <row r="559" ht="15" customHeight="1">
      <c r="A559" t="inlineStr">
        <is>
          <t>A 51673-2019</t>
        </is>
      </c>
      <c r="B559" s="1" t="n">
        <v>43740</v>
      </c>
      <c r="C559" s="1" t="n">
        <v>45670</v>
      </c>
      <c r="D559" t="inlineStr">
        <is>
          <t>VÄSTERNORRLANDS LÄN</t>
        </is>
      </c>
      <c r="E559" t="inlineStr">
        <is>
          <t>SOLLEFTEÅ</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53076-2019</t>
        </is>
      </c>
      <c r="B560" s="1" t="n">
        <v>43740</v>
      </c>
      <c r="C560" s="1" t="n">
        <v>45670</v>
      </c>
      <c r="D560" t="inlineStr">
        <is>
          <t>VÄSTERNORRLANDS LÄN</t>
        </is>
      </c>
      <c r="E560" t="inlineStr">
        <is>
          <t>SOLLEFTEÅ</t>
        </is>
      </c>
      <c r="G560" t="n">
        <v>1.7</v>
      </c>
      <c r="H560" t="n">
        <v>0</v>
      </c>
      <c r="I560" t="n">
        <v>0</v>
      </c>
      <c r="J560" t="n">
        <v>0</v>
      </c>
      <c r="K560" t="n">
        <v>0</v>
      </c>
      <c r="L560" t="n">
        <v>0</v>
      </c>
      <c r="M560" t="n">
        <v>0</v>
      </c>
      <c r="N560" t="n">
        <v>0</v>
      </c>
      <c r="O560" t="n">
        <v>0</v>
      </c>
      <c r="P560" t="n">
        <v>0</v>
      </c>
      <c r="Q560" t="n">
        <v>0</v>
      </c>
      <c r="R560" s="2" t="inlineStr"/>
    </row>
    <row r="561" ht="15" customHeight="1">
      <c r="A561" t="inlineStr">
        <is>
          <t>A 53088-2019</t>
        </is>
      </c>
      <c r="B561" s="1" t="n">
        <v>43740</v>
      </c>
      <c r="C561" s="1" t="n">
        <v>45670</v>
      </c>
      <c r="D561" t="inlineStr">
        <is>
          <t>VÄSTERNORRLANDS LÄN</t>
        </is>
      </c>
      <c r="E561" t="inlineStr">
        <is>
          <t>SOLLEFTEÅ</t>
        </is>
      </c>
      <c r="G561" t="n">
        <v>3</v>
      </c>
      <c r="H561" t="n">
        <v>0</v>
      </c>
      <c r="I561" t="n">
        <v>0</v>
      </c>
      <c r="J561" t="n">
        <v>0</v>
      </c>
      <c r="K561" t="n">
        <v>0</v>
      </c>
      <c r="L561" t="n">
        <v>0</v>
      </c>
      <c r="M561" t="n">
        <v>0</v>
      </c>
      <c r="N561" t="n">
        <v>0</v>
      </c>
      <c r="O561" t="n">
        <v>0</v>
      </c>
      <c r="P561" t="n">
        <v>0</v>
      </c>
      <c r="Q561" t="n">
        <v>0</v>
      </c>
      <c r="R561" s="2" t="inlineStr"/>
    </row>
    <row r="562" ht="15" customHeight="1">
      <c r="A562" t="inlineStr">
        <is>
          <t>A 51665-2019</t>
        </is>
      </c>
      <c r="B562" s="1" t="n">
        <v>43740</v>
      </c>
      <c r="C562" s="1" t="n">
        <v>45670</v>
      </c>
      <c r="D562" t="inlineStr">
        <is>
          <t>VÄSTERNORRLANDS LÄN</t>
        </is>
      </c>
      <c r="E562" t="inlineStr">
        <is>
          <t>SOLLEFTEÅ</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51953-2019</t>
        </is>
      </c>
      <c r="B563" s="1" t="n">
        <v>43741</v>
      </c>
      <c r="C563" s="1" t="n">
        <v>45670</v>
      </c>
      <c r="D563" t="inlineStr">
        <is>
          <t>VÄSTERNORRLANDS LÄN</t>
        </is>
      </c>
      <c r="E563" t="inlineStr">
        <is>
          <t>SOLLEFTEÅ</t>
        </is>
      </c>
      <c r="F563" t="inlineStr">
        <is>
          <t>SCA</t>
        </is>
      </c>
      <c r="G563" t="n">
        <v>4.1</v>
      </c>
      <c r="H563" t="n">
        <v>0</v>
      </c>
      <c r="I563" t="n">
        <v>0</v>
      </c>
      <c r="J563" t="n">
        <v>0</v>
      </c>
      <c r="K563" t="n">
        <v>0</v>
      </c>
      <c r="L563" t="n">
        <v>0</v>
      </c>
      <c r="M563" t="n">
        <v>0</v>
      </c>
      <c r="N563" t="n">
        <v>0</v>
      </c>
      <c r="O563" t="n">
        <v>0</v>
      </c>
      <c r="P563" t="n">
        <v>0</v>
      </c>
      <c r="Q563" t="n">
        <v>0</v>
      </c>
      <c r="R563" s="2" t="inlineStr"/>
    </row>
    <row r="564" ht="15" customHeight="1">
      <c r="A564" t="inlineStr">
        <is>
          <t>A 53677-2019</t>
        </is>
      </c>
      <c r="B564" s="1" t="n">
        <v>43741</v>
      </c>
      <c r="C564" s="1" t="n">
        <v>45670</v>
      </c>
      <c r="D564" t="inlineStr">
        <is>
          <t>VÄSTERNORRLANDS LÄN</t>
        </is>
      </c>
      <c r="E564" t="inlineStr">
        <is>
          <t>SOLLEFTEÅ</t>
        </is>
      </c>
      <c r="G564" t="n">
        <v>1.5</v>
      </c>
      <c r="H564" t="n">
        <v>0</v>
      </c>
      <c r="I564" t="n">
        <v>0</v>
      </c>
      <c r="J564" t="n">
        <v>0</v>
      </c>
      <c r="K564" t="n">
        <v>0</v>
      </c>
      <c r="L564" t="n">
        <v>0</v>
      </c>
      <c r="M564" t="n">
        <v>0</v>
      </c>
      <c r="N564" t="n">
        <v>0</v>
      </c>
      <c r="O564" t="n">
        <v>0</v>
      </c>
      <c r="P564" t="n">
        <v>0</v>
      </c>
      <c r="Q564" t="n">
        <v>0</v>
      </c>
      <c r="R564" s="2" t="inlineStr"/>
    </row>
    <row r="565" ht="15" customHeight="1">
      <c r="A565" t="inlineStr">
        <is>
          <t>A 51952-2019</t>
        </is>
      </c>
      <c r="B565" s="1" t="n">
        <v>43741</v>
      </c>
      <c r="C565" s="1" t="n">
        <v>45670</v>
      </c>
      <c r="D565" t="inlineStr">
        <is>
          <t>VÄSTERNORRLANDS LÄN</t>
        </is>
      </c>
      <c r="E565" t="inlineStr">
        <is>
          <t>SOLLEFTEÅ</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52568-2019</t>
        </is>
      </c>
      <c r="B566" s="1" t="n">
        <v>43745</v>
      </c>
      <c r="C566" s="1" t="n">
        <v>45670</v>
      </c>
      <c r="D566" t="inlineStr">
        <is>
          <t>VÄSTERNORRLANDS LÄN</t>
        </is>
      </c>
      <c r="E566" t="inlineStr">
        <is>
          <t>SOLLEFTEÅ</t>
        </is>
      </c>
      <c r="F566" t="inlineStr">
        <is>
          <t>SCA</t>
        </is>
      </c>
      <c r="G566" t="n">
        <v>4.8</v>
      </c>
      <c r="H566" t="n">
        <v>0</v>
      </c>
      <c r="I566" t="n">
        <v>0</v>
      </c>
      <c r="J566" t="n">
        <v>0</v>
      </c>
      <c r="K566" t="n">
        <v>0</v>
      </c>
      <c r="L566" t="n">
        <v>0</v>
      </c>
      <c r="M566" t="n">
        <v>0</v>
      </c>
      <c r="N566" t="n">
        <v>0</v>
      </c>
      <c r="O566" t="n">
        <v>0</v>
      </c>
      <c r="P566" t="n">
        <v>0</v>
      </c>
      <c r="Q566" t="n">
        <v>0</v>
      </c>
      <c r="R566" s="2" t="inlineStr"/>
    </row>
    <row r="567" ht="15" customHeight="1">
      <c r="A567" t="inlineStr">
        <is>
          <t>A 52569-2019</t>
        </is>
      </c>
      <c r="B567" s="1" t="n">
        <v>43745</v>
      </c>
      <c r="C567" s="1" t="n">
        <v>45670</v>
      </c>
      <c r="D567" t="inlineStr">
        <is>
          <t>VÄSTERNORRLANDS LÄN</t>
        </is>
      </c>
      <c r="E567" t="inlineStr">
        <is>
          <t>SOLLEFTEÅ</t>
        </is>
      </c>
      <c r="G567" t="n">
        <v>7.1</v>
      </c>
      <c r="H567" t="n">
        <v>0</v>
      </c>
      <c r="I567" t="n">
        <v>0</v>
      </c>
      <c r="J567" t="n">
        <v>0</v>
      </c>
      <c r="K567" t="n">
        <v>0</v>
      </c>
      <c r="L567" t="n">
        <v>0</v>
      </c>
      <c r="M567" t="n">
        <v>0</v>
      </c>
      <c r="N567" t="n">
        <v>0</v>
      </c>
      <c r="O567" t="n">
        <v>0</v>
      </c>
      <c r="P567" t="n">
        <v>0</v>
      </c>
      <c r="Q567" t="n">
        <v>0</v>
      </c>
      <c r="R567" s="2" t="inlineStr"/>
    </row>
    <row r="568" ht="15" customHeight="1">
      <c r="A568" t="inlineStr">
        <is>
          <t>A 52922-2019</t>
        </is>
      </c>
      <c r="B568" s="1" t="n">
        <v>43746</v>
      </c>
      <c r="C568" s="1" t="n">
        <v>45670</v>
      </c>
      <c r="D568" t="inlineStr">
        <is>
          <t>VÄSTERNORRLANDS LÄN</t>
        </is>
      </c>
      <c r="E568" t="inlineStr">
        <is>
          <t>SOLLEFTEÅ</t>
        </is>
      </c>
      <c r="G568" t="n">
        <v>6.5</v>
      </c>
      <c r="H568" t="n">
        <v>0</v>
      </c>
      <c r="I568" t="n">
        <v>0</v>
      </c>
      <c r="J568" t="n">
        <v>0</v>
      </c>
      <c r="K568" t="n">
        <v>0</v>
      </c>
      <c r="L568" t="n">
        <v>0</v>
      </c>
      <c r="M568" t="n">
        <v>0</v>
      </c>
      <c r="N568" t="n">
        <v>0</v>
      </c>
      <c r="O568" t="n">
        <v>0</v>
      </c>
      <c r="P568" t="n">
        <v>0</v>
      </c>
      <c r="Q568" t="n">
        <v>0</v>
      </c>
      <c r="R568" s="2" t="inlineStr"/>
    </row>
    <row r="569" ht="15" customHeight="1">
      <c r="A569" t="inlineStr">
        <is>
          <t>A 53161-2019</t>
        </is>
      </c>
      <c r="B569" s="1" t="n">
        <v>43747</v>
      </c>
      <c r="C569" s="1" t="n">
        <v>45670</v>
      </c>
      <c r="D569" t="inlineStr">
        <is>
          <t>VÄSTERNORRLANDS LÄN</t>
        </is>
      </c>
      <c r="E569" t="inlineStr">
        <is>
          <t>SOLLEFTEÅ</t>
        </is>
      </c>
      <c r="F569" t="inlineStr">
        <is>
          <t>Kommuner</t>
        </is>
      </c>
      <c r="G569" t="n">
        <v>0.4</v>
      </c>
      <c r="H569" t="n">
        <v>0</v>
      </c>
      <c r="I569" t="n">
        <v>0</v>
      </c>
      <c r="J569" t="n">
        <v>0</v>
      </c>
      <c r="K569" t="n">
        <v>0</v>
      </c>
      <c r="L569" t="n">
        <v>0</v>
      </c>
      <c r="M569" t="n">
        <v>0</v>
      </c>
      <c r="N569" t="n">
        <v>0</v>
      </c>
      <c r="O569" t="n">
        <v>0</v>
      </c>
      <c r="P569" t="n">
        <v>0</v>
      </c>
      <c r="Q569" t="n">
        <v>0</v>
      </c>
      <c r="R569" s="2" t="inlineStr"/>
    </row>
    <row r="570" ht="15" customHeight="1">
      <c r="A570" t="inlineStr">
        <is>
          <t>A 55623-2019</t>
        </is>
      </c>
      <c r="B570" s="1" t="n">
        <v>43755</v>
      </c>
      <c r="C570" s="1" t="n">
        <v>45670</v>
      </c>
      <c r="D570" t="inlineStr">
        <is>
          <t>VÄSTERNORRLANDS LÄN</t>
        </is>
      </c>
      <c r="E570" t="inlineStr">
        <is>
          <t>SOLLEFTEÅ</t>
        </is>
      </c>
      <c r="G570" t="n">
        <v>0.6</v>
      </c>
      <c r="H570" t="n">
        <v>0</v>
      </c>
      <c r="I570" t="n">
        <v>0</v>
      </c>
      <c r="J570" t="n">
        <v>0</v>
      </c>
      <c r="K570" t="n">
        <v>0</v>
      </c>
      <c r="L570" t="n">
        <v>0</v>
      </c>
      <c r="M570" t="n">
        <v>0</v>
      </c>
      <c r="N570" t="n">
        <v>0</v>
      </c>
      <c r="O570" t="n">
        <v>0</v>
      </c>
      <c r="P570" t="n">
        <v>0</v>
      </c>
      <c r="Q570" t="n">
        <v>0</v>
      </c>
      <c r="R570" s="2" t="inlineStr"/>
    </row>
    <row r="571" ht="15" customHeight="1">
      <c r="A571" t="inlineStr">
        <is>
          <t>A 55925-2019</t>
        </is>
      </c>
      <c r="B571" s="1" t="n">
        <v>43755</v>
      </c>
      <c r="C571" s="1" t="n">
        <v>45670</v>
      </c>
      <c r="D571" t="inlineStr">
        <is>
          <t>VÄSTERNORRLANDS LÄN</t>
        </is>
      </c>
      <c r="E571" t="inlineStr">
        <is>
          <t>SOLLEFTEÅ</t>
        </is>
      </c>
      <c r="G571" t="n">
        <v>6.4</v>
      </c>
      <c r="H571" t="n">
        <v>0</v>
      </c>
      <c r="I571" t="n">
        <v>0</v>
      </c>
      <c r="J571" t="n">
        <v>0</v>
      </c>
      <c r="K571" t="n">
        <v>0</v>
      </c>
      <c r="L571" t="n">
        <v>0</v>
      </c>
      <c r="M571" t="n">
        <v>0</v>
      </c>
      <c r="N571" t="n">
        <v>0</v>
      </c>
      <c r="O571" t="n">
        <v>0</v>
      </c>
      <c r="P571" t="n">
        <v>0</v>
      </c>
      <c r="Q571" t="n">
        <v>0</v>
      </c>
      <c r="R571" s="2" t="inlineStr"/>
    </row>
    <row r="572" ht="15" customHeight="1">
      <c r="A572" t="inlineStr">
        <is>
          <t>A 55628-2019</t>
        </is>
      </c>
      <c r="B572" s="1" t="n">
        <v>43755</v>
      </c>
      <c r="C572" s="1" t="n">
        <v>45670</v>
      </c>
      <c r="D572" t="inlineStr">
        <is>
          <t>VÄSTERNORRLANDS LÄN</t>
        </is>
      </c>
      <c r="E572" t="inlineStr">
        <is>
          <t>SOLLEFTEÅ</t>
        </is>
      </c>
      <c r="G572" t="n">
        <v>2.6</v>
      </c>
      <c r="H572" t="n">
        <v>0</v>
      </c>
      <c r="I572" t="n">
        <v>0</v>
      </c>
      <c r="J572" t="n">
        <v>0</v>
      </c>
      <c r="K572" t="n">
        <v>0</v>
      </c>
      <c r="L572" t="n">
        <v>0</v>
      </c>
      <c r="M572" t="n">
        <v>0</v>
      </c>
      <c r="N572" t="n">
        <v>0</v>
      </c>
      <c r="O572" t="n">
        <v>0</v>
      </c>
      <c r="P572" t="n">
        <v>0</v>
      </c>
      <c r="Q572" t="n">
        <v>0</v>
      </c>
      <c r="R572" s="2" t="inlineStr"/>
    </row>
    <row r="573" ht="15" customHeight="1">
      <c r="A573" t="inlineStr">
        <is>
          <t>A 55625-2019</t>
        </is>
      </c>
      <c r="B573" s="1" t="n">
        <v>43755</v>
      </c>
      <c r="C573" s="1" t="n">
        <v>45670</v>
      </c>
      <c r="D573" t="inlineStr">
        <is>
          <t>VÄSTERNORRLANDS LÄN</t>
        </is>
      </c>
      <c r="E573" t="inlineStr">
        <is>
          <t>SOLLEFTEÅ</t>
        </is>
      </c>
      <c r="G573" t="n">
        <v>2.2</v>
      </c>
      <c r="H573" t="n">
        <v>0</v>
      </c>
      <c r="I573" t="n">
        <v>0</v>
      </c>
      <c r="J573" t="n">
        <v>0</v>
      </c>
      <c r="K573" t="n">
        <v>0</v>
      </c>
      <c r="L573" t="n">
        <v>0</v>
      </c>
      <c r="M573" t="n">
        <v>0</v>
      </c>
      <c r="N573" t="n">
        <v>0</v>
      </c>
      <c r="O573" t="n">
        <v>0</v>
      </c>
      <c r="P573" t="n">
        <v>0</v>
      </c>
      <c r="Q573" t="n">
        <v>0</v>
      </c>
      <c r="R573" s="2" t="inlineStr"/>
    </row>
    <row r="574" ht="15" customHeight="1">
      <c r="A574" t="inlineStr">
        <is>
          <t>A 57365-2019</t>
        </is>
      </c>
      <c r="B574" s="1" t="n">
        <v>43760</v>
      </c>
      <c r="C574" s="1" t="n">
        <v>45670</v>
      </c>
      <c r="D574" t="inlineStr">
        <is>
          <t>VÄSTERNORRLANDS LÄN</t>
        </is>
      </c>
      <c r="E574" t="inlineStr">
        <is>
          <t>SOLLEFTEÅ</t>
        </is>
      </c>
      <c r="G574" t="n">
        <v>1.6</v>
      </c>
      <c r="H574" t="n">
        <v>0</v>
      </c>
      <c r="I574" t="n">
        <v>0</v>
      </c>
      <c r="J574" t="n">
        <v>0</v>
      </c>
      <c r="K574" t="n">
        <v>0</v>
      </c>
      <c r="L574" t="n">
        <v>0</v>
      </c>
      <c r="M574" t="n">
        <v>0</v>
      </c>
      <c r="N574" t="n">
        <v>0</v>
      </c>
      <c r="O574" t="n">
        <v>0</v>
      </c>
      <c r="P574" t="n">
        <v>0</v>
      </c>
      <c r="Q574" t="n">
        <v>0</v>
      </c>
      <c r="R574" s="2" t="inlineStr"/>
    </row>
    <row r="575" ht="15" customHeight="1">
      <c r="A575" t="inlineStr">
        <is>
          <t>A 57575-2019</t>
        </is>
      </c>
      <c r="B575" s="1" t="n">
        <v>43761</v>
      </c>
      <c r="C575" s="1" t="n">
        <v>45670</v>
      </c>
      <c r="D575" t="inlineStr">
        <is>
          <t>VÄSTERNORRLANDS LÄN</t>
        </is>
      </c>
      <c r="E575" t="inlineStr">
        <is>
          <t>SOLLEFTEÅ</t>
        </is>
      </c>
      <c r="G575" t="n">
        <v>14.4</v>
      </c>
      <c r="H575" t="n">
        <v>0</v>
      </c>
      <c r="I575" t="n">
        <v>0</v>
      </c>
      <c r="J575" t="n">
        <v>0</v>
      </c>
      <c r="K575" t="n">
        <v>0</v>
      </c>
      <c r="L575" t="n">
        <v>0</v>
      </c>
      <c r="M575" t="n">
        <v>0</v>
      </c>
      <c r="N575" t="n">
        <v>0</v>
      </c>
      <c r="O575" t="n">
        <v>0</v>
      </c>
      <c r="P575" t="n">
        <v>0</v>
      </c>
      <c r="Q575" t="n">
        <v>0</v>
      </c>
      <c r="R575" s="2" t="inlineStr"/>
    </row>
    <row r="576" ht="15" customHeight="1">
      <c r="A576" t="inlineStr">
        <is>
          <t>A 56252-2019</t>
        </is>
      </c>
      <c r="B576" s="1" t="n">
        <v>43762</v>
      </c>
      <c r="C576" s="1" t="n">
        <v>45670</v>
      </c>
      <c r="D576" t="inlineStr">
        <is>
          <t>VÄSTERNORRLANDS LÄN</t>
        </is>
      </c>
      <c r="E576" t="inlineStr">
        <is>
          <t>SOLLEFTEÅ</t>
        </is>
      </c>
      <c r="F576" t="inlineStr">
        <is>
          <t>Kyrkan</t>
        </is>
      </c>
      <c r="G576" t="n">
        <v>1.1</v>
      </c>
      <c r="H576" t="n">
        <v>0</v>
      </c>
      <c r="I576" t="n">
        <v>0</v>
      </c>
      <c r="J576" t="n">
        <v>0</v>
      </c>
      <c r="K576" t="n">
        <v>0</v>
      </c>
      <c r="L576" t="n">
        <v>0</v>
      </c>
      <c r="M576" t="n">
        <v>0</v>
      </c>
      <c r="N576" t="n">
        <v>0</v>
      </c>
      <c r="O576" t="n">
        <v>0</v>
      </c>
      <c r="P576" t="n">
        <v>0</v>
      </c>
      <c r="Q576" t="n">
        <v>0</v>
      </c>
      <c r="R576" s="2" t="inlineStr"/>
    </row>
    <row r="577" ht="15" customHeight="1">
      <c r="A577" t="inlineStr">
        <is>
          <t>A 56493-2019</t>
        </is>
      </c>
      <c r="B577" s="1" t="n">
        <v>43762</v>
      </c>
      <c r="C577" s="1" t="n">
        <v>45670</v>
      </c>
      <c r="D577" t="inlineStr">
        <is>
          <t>VÄSTERNORRLANDS LÄN</t>
        </is>
      </c>
      <c r="E577" t="inlineStr">
        <is>
          <t>SOLLEFTEÅ</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56492-2019</t>
        </is>
      </c>
      <c r="B578" s="1" t="n">
        <v>43762</v>
      </c>
      <c r="C578" s="1" t="n">
        <v>45670</v>
      </c>
      <c r="D578" t="inlineStr">
        <is>
          <t>VÄSTERNORRLANDS LÄN</t>
        </is>
      </c>
      <c r="E578" t="inlineStr">
        <is>
          <t>SOLLEFTEÅ</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56803-2019</t>
        </is>
      </c>
      <c r="B579" s="1" t="n">
        <v>43763</v>
      </c>
      <c r="C579" s="1" t="n">
        <v>45670</v>
      </c>
      <c r="D579" t="inlineStr">
        <is>
          <t>VÄSTERNORRLANDS LÄN</t>
        </is>
      </c>
      <c r="E579" t="inlineStr">
        <is>
          <t>SOLLEFTEÅ</t>
        </is>
      </c>
      <c r="F579" t="inlineStr">
        <is>
          <t>SCA</t>
        </is>
      </c>
      <c r="G579" t="n">
        <v>5.2</v>
      </c>
      <c r="H579" t="n">
        <v>0</v>
      </c>
      <c r="I579" t="n">
        <v>0</v>
      </c>
      <c r="J579" t="n">
        <v>0</v>
      </c>
      <c r="K579" t="n">
        <v>0</v>
      </c>
      <c r="L579" t="n">
        <v>0</v>
      </c>
      <c r="M579" t="n">
        <v>0</v>
      </c>
      <c r="N579" t="n">
        <v>0</v>
      </c>
      <c r="O579" t="n">
        <v>0</v>
      </c>
      <c r="P579" t="n">
        <v>0</v>
      </c>
      <c r="Q579" t="n">
        <v>0</v>
      </c>
      <c r="R579" s="2" t="inlineStr"/>
    </row>
    <row r="580" ht="15" customHeight="1">
      <c r="A580" t="inlineStr">
        <is>
          <t>A 56874-2019</t>
        </is>
      </c>
      <c r="B580" s="1" t="n">
        <v>43766</v>
      </c>
      <c r="C580" s="1" t="n">
        <v>45670</v>
      </c>
      <c r="D580" t="inlineStr">
        <is>
          <t>VÄSTERNORRLANDS LÄN</t>
        </is>
      </c>
      <c r="E580" t="inlineStr">
        <is>
          <t>SOLLEFTEÅ</t>
        </is>
      </c>
      <c r="G580" t="n">
        <v>6.1</v>
      </c>
      <c r="H580" t="n">
        <v>0</v>
      </c>
      <c r="I580" t="n">
        <v>0</v>
      </c>
      <c r="J580" t="n">
        <v>0</v>
      </c>
      <c r="K580" t="n">
        <v>0</v>
      </c>
      <c r="L580" t="n">
        <v>0</v>
      </c>
      <c r="M580" t="n">
        <v>0</v>
      </c>
      <c r="N580" t="n">
        <v>0</v>
      </c>
      <c r="O580" t="n">
        <v>0</v>
      </c>
      <c r="P580" t="n">
        <v>0</v>
      </c>
      <c r="Q580" t="n">
        <v>0</v>
      </c>
      <c r="R580" s="2" t="inlineStr"/>
    </row>
    <row r="581" ht="15" customHeight="1">
      <c r="A581" t="inlineStr">
        <is>
          <t>A 56985-2019</t>
        </is>
      </c>
      <c r="B581" s="1" t="n">
        <v>43766</v>
      </c>
      <c r="C581" s="1" t="n">
        <v>45670</v>
      </c>
      <c r="D581" t="inlineStr">
        <is>
          <t>VÄSTERNORRLANDS LÄN</t>
        </is>
      </c>
      <c r="E581" t="inlineStr">
        <is>
          <t>SOLLEFTEÅ</t>
        </is>
      </c>
      <c r="G581" t="n">
        <v>4.9</v>
      </c>
      <c r="H581" t="n">
        <v>0</v>
      </c>
      <c r="I581" t="n">
        <v>0</v>
      </c>
      <c r="J581" t="n">
        <v>0</v>
      </c>
      <c r="K581" t="n">
        <v>0</v>
      </c>
      <c r="L581" t="n">
        <v>0</v>
      </c>
      <c r="M581" t="n">
        <v>0</v>
      </c>
      <c r="N581" t="n">
        <v>0</v>
      </c>
      <c r="O581" t="n">
        <v>0</v>
      </c>
      <c r="P581" t="n">
        <v>0</v>
      </c>
      <c r="Q581" t="n">
        <v>0</v>
      </c>
      <c r="R581" s="2" t="inlineStr"/>
    </row>
    <row r="582" ht="15" customHeight="1">
      <c r="A582" t="inlineStr">
        <is>
          <t>A 57041-2019</t>
        </is>
      </c>
      <c r="B582" s="1" t="n">
        <v>43766</v>
      </c>
      <c r="C582" s="1" t="n">
        <v>45670</v>
      </c>
      <c r="D582" t="inlineStr">
        <is>
          <t>VÄSTERNORRLANDS LÄN</t>
        </is>
      </c>
      <c r="E582" t="inlineStr">
        <is>
          <t>SOLLEFTEÅ</t>
        </is>
      </c>
      <c r="G582" t="n">
        <v>1</v>
      </c>
      <c r="H582" t="n">
        <v>0</v>
      </c>
      <c r="I582" t="n">
        <v>0</v>
      </c>
      <c r="J582" t="n">
        <v>0</v>
      </c>
      <c r="K582" t="n">
        <v>0</v>
      </c>
      <c r="L582" t="n">
        <v>0</v>
      </c>
      <c r="M582" t="n">
        <v>0</v>
      </c>
      <c r="N582" t="n">
        <v>0</v>
      </c>
      <c r="O582" t="n">
        <v>0</v>
      </c>
      <c r="P582" t="n">
        <v>0</v>
      </c>
      <c r="Q582" t="n">
        <v>0</v>
      </c>
      <c r="R582" s="2" t="inlineStr"/>
    </row>
    <row r="583" ht="15" customHeight="1">
      <c r="A583" t="inlineStr">
        <is>
          <t>A 57188-2019</t>
        </is>
      </c>
      <c r="B583" s="1" t="n">
        <v>43766</v>
      </c>
      <c r="C583" s="1" t="n">
        <v>45670</v>
      </c>
      <c r="D583" t="inlineStr">
        <is>
          <t>VÄSTERNORRLANDS LÄN</t>
        </is>
      </c>
      <c r="E583" t="inlineStr">
        <is>
          <t>SOLLEFTEÅ</t>
        </is>
      </c>
      <c r="F583" t="inlineStr">
        <is>
          <t>SCA</t>
        </is>
      </c>
      <c r="G583" t="n">
        <v>0.4</v>
      </c>
      <c r="H583" t="n">
        <v>0</v>
      </c>
      <c r="I583" t="n">
        <v>0</v>
      </c>
      <c r="J583" t="n">
        <v>0</v>
      </c>
      <c r="K583" t="n">
        <v>0</v>
      </c>
      <c r="L583" t="n">
        <v>0</v>
      </c>
      <c r="M583" t="n">
        <v>0</v>
      </c>
      <c r="N583" t="n">
        <v>0</v>
      </c>
      <c r="O583" t="n">
        <v>0</v>
      </c>
      <c r="P583" t="n">
        <v>0</v>
      </c>
      <c r="Q583" t="n">
        <v>0</v>
      </c>
      <c r="R583" s="2" t="inlineStr"/>
    </row>
    <row r="584" ht="15" customHeight="1">
      <c r="A584" t="inlineStr">
        <is>
          <t>A 57882-2019</t>
        </is>
      </c>
      <c r="B584" s="1" t="n">
        <v>43768</v>
      </c>
      <c r="C584" s="1" t="n">
        <v>45670</v>
      </c>
      <c r="D584" t="inlineStr">
        <is>
          <t>VÄSTERNORRLANDS LÄN</t>
        </is>
      </c>
      <c r="E584" t="inlineStr">
        <is>
          <t>SOLLEFTEÅ</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57884-2019</t>
        </is>
      </c>
      <c r="B585" s="1" t="n">
        <v>43768</v>
      </c>
      <c r="C585" s="1" t="n">
        <v>45670</v>
      </c>
      <c r="D585" t="inlineStr">
        <is>
          <t>VÄSTERNORRLANDS LÄN</t>
        </is>
      </c>
      <c r="E585" t="inlineStr">
        <is>
          <t>SOLLEFTEÅ</t>
        </is>
      </c>
      <c r="F585" t="inlineStr">
        <is>
          <t>SCA</t>
        </is>
      </c>
      <c r="G585" t="n">
        <v>14.7</v>
      </c>
      <c r="H585" t="n">
        <v>0</v>
      </c>
      <c r="I585" t="n">
        <v>0</v>
      </c>
      <c r="J585" t="n">
        <v>0</v>
      </c>
      <c r="K585" t="n">
        <v>0</v>
      </c>
      <c r="L585" t="n">
        <v>0</v>
      </c>
      <c r="M585" t="n">
        <v>0</v>
      </c>
      <c r="N585" t="n">
        <v>0</v>
      </c>
      <c r="O585" t="n">
        <v>0</v>
      </c>
      <c r="P585" t="n">
        <v>0</v>
      </c>
      <c r="Q585" t="n">
        <v>0</v>
      </c>
      <c r="R585" s="2" t="inlineStr"/>
    </row>
    <row r="586" ht="15" customHeight="1">
      <c r="A586" t="inlineStr">
        <is>
          <t>A 57883-2019</t>
        </is>
      </c>
      <c r="B586" s="1" t="n">
        <v>43768</v>
      </c>
      <c r="C586" s="1" t="n">
        <v>45670</v>
      </c>
      <c r="D586" t="inlineStr">
        <is>
          <t>VÄSTERNORRLANDS LÄN</t>
        </is>
      </c>
      <c r="E586" t="inlineStr">
        <is>
          <t>SOLLEFTEÅ</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58170-2019</t>
        </is>
      </c>
      <c r="B587" s="1" t="n">
        <v>43769</v>
      </c>
      <c r="C587" s="1" t="n">
        <v>45670</v>
      </c>
      <c r="D587" t="inlineStr">
        <is>
          <t>VÄSTERNORRLANDS LÄN</t>
        </is>
      </c>
      <c r="E587" t="inlineStr">
        <is>
          <t>SOLLEFTEÅ</t>
        </is>
      </c>
      <c r="F587" t="inlineStr">
        <is>
          <t>SCA</t>
        </is>
      </c>
      <c r="G587" t="n">
        <v>42</v>
      </c>
      <c r="H587" t="n">
        <v>0</v>
      </c>
      <c r="I587" t="n">
        <v>0</v>
      </c>
      <c r="J587" t="n">
        <v>0</v>
      </c>
      <c r="K587" t="n">
        <v>0</v>
      </c>
      <c r="L587" t="n">
        <v>0</v>
      </c>
      <c r="M587" t="n">
        <v>0</v>
      </c>
      <c r="N587" t="n">
        <v>0</v>
      </c>
      <c r="O587" t="n">
        <v>0</v>
      </c>
      <c r="P587" t="n">
        <v>0</v>
      </c>
      <c r="Q587" t="n">
        <v>0</v>
      </c>
      <c r="R587" s="2" t="inlineStr"/>
    </row>
    <row r="588" ht="15" customHeight="1">
      <c r="A588" t="inlineStr">
        <is>
          <t>A 58267-2019</t>
        </is>
      </c>
      <c r="B588" s="1" t="n">
        <v>43770</v>
      </c>
      <c r="C588" s="1" t="n">
        <v>45670</v>
      </c>
      <c r="D588" t="inlineStr">
        <is>
          <t>VÄSTERNORRLANDS LÄN</t>
        </is>
      </c>
      <c r="E588" t="inlineStr">
        <is>
          <t>SOLLEFTEÅ</t>
        </is>
      </c>
      <c r="G588" t="n">
        <v>4.6</v>
      </c>
      <c r="H588" t="n">
        <v>0</v>
      </c>
      <c r="I588" t="n">
        <v>0</v>
      </c>
      <c r="J588" t="n">
        <v>0</v>
      </c>
      <c r="K588" t="n">
        <v>0</v>
      </c>
      <c r="L588" t="n">
        <v>0</v>
      </c>
      <c r="M588" t="n">
        <v>0</v>
      </c>
      <c r="N588" t="n">
        <v>0</v>
      </c>
      <c r="O588" t="n">
        <v>0</v>
      </c>
      <c r="P588" t="n">
        <v>0</v>
      </c>
      <c r="Q588" t="n">
        <v>0</v>
      </c>
      <c r="R588" s="2" t="inlineStr"/>
    </row>
    <row r="589" ht="15" customHeight="1">
      <c r="A589" t="inlineStr">
        <is>
          <t>A 59460-2019</t>
        </is>
      </c>
      <c r="B589" s="1" t="n">
        <v>43776</v>
      </c>
      <c r="C589" s="1" t="n">
        <v>45670</v>
      </c>
      <c r="D589" t="inlineStr">
        <is>
          <t>VÄSTERNORRLANDS LÄN</t>
        </is>
      </c>
      <c r="E589" t="inlineStr">
        <is>
          <t>SOLLEFTEÅ</t>
        </is>
      </c>
      <c r="G589" t="n">
        <v>0.5</v>
      </c>
      <c r="H589" t="n">
        <v>0</v>
      </c>
      <c r="I589" t="n">
        <v>0</v>
      </c>
      <c r="J589" t="n">
        <v>0</v>
      </c>
      <c r="K589" t="n">
        <v>0</v>
      </c>
      <c r="L589" t="n">
        <v>0</v>
      </c>
      <c r="M589" t="n">
        <v>0</v>
      </c>
      <c r="N589" t="n">
        <v>0</v>
      </c>
      <c r="O589" t="n">
        <v>0</v>
      </c>
      <c r="P589" t="n">
        <v>0</v>
      </c>
      <c r="Q589" t="n">
        <v>0</v>
      </c>
      <c r="R589" s="2" t="inlineStr"/>
    </row>
    <row r="590" ht="15" customHeight="1">
      <c r="A590" t="inlineStr">
        <is>
          <t>A 60491-2019</t>
        </is>
      </c>
      <c r="B590" s="1" t="n">
        <v>43780</v>
      </c>
      <c r="C590" s="1" t="n">
        <v>45670</v>
      </c>
      <c r="D590" t="inlineStr">
        <is>
          <t>VÄSTERNORRLANDS LÄN</t>
        </is>
      </c>
      <c r="E590" t="inlineStr">
        <is>
          <t>SOLLEFTEÅ</t>
        </is>
      </c>
      <c r="F590" t="inlineStr">
        <is>
          <t>Holmen skog AB</t>
        </is>
      </c>
      <c r="G590" t="n">
        <v>0.5</v>
      </c>
      <c r="H590" t="n">
        <v>0</v>
      </c>
      <c r="I590" t="n">
        <v>0</v>
      </c>
      <c r="J590" t="n">
        <v>0</v>
      </c>
      <c r="K590" t="n">
        <v>0</v>
      </c>
      <c r="L590" t="n">
        <v>0</v>
      </c>
      <c r="M590" t="n">
        <v>0</v>
      </c>
      <c r="N590" t="n">
        <v>0</v>
      </c>
      <c r="O590" t="n">
        <v>0</v>
      </c>
      <c r="P590" t="n">
        <v>0</v>
      </c>
      <c r="Q590" t="n">
        <v>0</v>
      </c>
      <c r="R590" s="2" t="inlineStr"/>
    </row>
    <row r="591" ht="15" customHeight="1">
      <c r="A591" t="inlineStr">
        <is>
          <t>A 61428-2019</t>
        </is>
      </c>
      <c r="B591" s="1" t="n">
        <v>43780</v>
      </c>
      <c r="C591" s="1" t="n">
        <v>45670</v>
      </c>
      <c r="D591" t="inlineStr">
        <is>
          <t>VÄSTERNORRLANDS LÄN</t>
        </is>
      </c>
      <c r="E591" t="inlineStr">
        <is>
          <t>SOLLEFTEÅ</t>
        </is>
      </c>
      <c r="G591" t="n">
        <v>1.5</v>
      </c>
      <c r="H591" t="n">
        <v>0</v>
      </c>
      <c r="I591" t="n">
        <v>0</v>
      </c>
      <c r="J591" t="n">
        <v>0</v>
      </c>
      <c r="K591" t="n">
        <v>0</v>
      </c>
      <c r="L591" t="n">
        <v>0</v>
      </c>
      <c r="M591" t="n">
        <v>0</v>
      </c>
      <c r="N591" t="n">
        <v>0</v>
      </c>
      <c r="O591" t="n">
        <v>0</v>
      </c>
      <c r="P591" t="n">
        <v>0</v>
      </c>
      <c r="Q591" t="n">
        <v>0</v>
      </c>
      <c r="R591" s="2" t="inlineStr"/>
    </row>
    <row r="592" ht="15" customHeight="1">
      <c r="A592" t="inlineStr">
        <is>
          <t>A 60531-2019</t>
        </is>
      </c>
      <c r="B592" s="1" t="n">
        <v>43781</v>
      </c>
      <c r="C592" s="1" t="n">
        <v>45670</v>
      </c>
      <c r="D592" t="inlineStr">
        <is>
          <t>VÄSTERNORRLANDS LÄN</t>
        </is>
      </c>
      <c r="E592" t="inlineStr">
        <is>
          <t>SOLLEFTEÅ</t>
        </is>
      </c>
      <c r="G592" t="n">
        <v>0.9</v>
      </c>
      <c r="H592" t="n">
        <v>0</v>
      </c>
      <c r="I592" t="n">
        <v>0</v>
      </c>
      <c r="J592" t="n">
        <v>0</v>
      </c>
      <c r="K592" t="n">
        <v>0</v>
      </c>
      <c r="L592" t="n">
        <v>0</v>
      </c>
      <c r="M592" t="n">
        <v>0</v>
      </c>
      <c r="N592" t="n">
        <v>0</v>
      </c>
      <c r="O592" t="n">
        <v>0</v>
      </c>
      <c r="P592" t="n">
        <v>0</v>
      </c>
      <c r="Q592" t="n">
        <v>0</v>
      </c>
      <c r="R592" s="2" t="inlineStr"/>
    </row>
    <row r="593" ht="15" customHeight="1">
      <c r="A593" t="inlineStr">
        <is>
          <t>A 60538-2019</t>
        </is>
      </c>
      <c r="B593" s="1" t="n">
        <v>43781</v>
      </c>
      <c r="C593" s="1" t="n">
        <v>45670</v>
      </c>
      <c r="D593" t="inlineStr">
        <is>
          <t>VÄSTERNORRLANDS LÄN</t>
        </is>
      </c>
      <c r="E593" t="inlineStr">
        <is>
          <t>SOLLEFTEÅ</t>
        </is>
      </c>
      <c r="G593" t="n">
        <v>4.6</v>
      </c>
      <c r="H593" t="n">
        <v>0</v>
      </c>
      <c r="I593" t="n">
        <v>0</v>
      </c>
      <c r="J593" t="n">
        <v>0</v>
      </c>
      <c r="K593" t="n">
        <v>0</v>
      </c>
      <c r="L593" t="n">
        <v>0</v>
      </c>
      <c r="M593" t="n">
        <v>0</v>
      </c>
      <c r="N593" t="n">
        <v>0</v>
      </c>
      <c r="O593" t="n">
        <v>0</v>
      </c>
      <c r="P593" t="n">
        <v>0</v>
      </c>
      <c r="Q593" t="n">
        <v>0</v>
      </c>
      <c r="R593" s="2" t="inlineStr"/>
    </row>
    <row r="594" ht="15" customHeight="1">
      <c r="A594" t="inlineStr">
        <is>
          <t>A 60905-2019</t>
        </is>
      </c>
      <c r="B594" s="1" t="n">
        <v>43781</v>
      </c>
      <c r="C594" s="1" t="n">
        <v>45670</v>
      </c>
      <c r="D594" t="inlineStr">
        <is>
          <t>VÄSTERNORRLANDS LÄN</t>
        </is>
      </c>
      <c r="E594" t="inlineStr">
        <is>
          <t>SOLLEFTEÅ</t>
        </is>
      </c>
      <c r="G594" t="n">
        <v>0.4</v>
      </c>
      <c r="H594" t="n">
        <v>0</v>
      </c>
      <c r="I594" t="n">
        <v>0</v>
      </c>
      <c r="J594" t="n">
        <v>0</v>
      </c>
      <c r="K594" t="n">
        <v>0</v>
      </c>
      <c r="L594" t="n">
        <v>0</v>
      </c>
      <c r="M594" t="n">
        <v>0</v>
      </c>
      <c r="N594" t="n">
        <v>0</v>
      </c>
      <c r="O594" t="n">
        <v>0</v>
      </c>
      <c r="P594" t="n">
        <v>0</v>
      </c>
      <c r="Q594" t="n">
        <v>0</v>
      </c>
      <c r="R594" s="2" t="inlineStr"/>
    </row>
    <row r="595" ht="15" customHeight="1">
      <c r="A595" t="inlineStr">
        <is>
          <t>A 61978-2019</t>
        </is>
      </c>
      <c r="B595" s="1" t="n">
        <v>43781</v>
      </c>
      <c r="C595" s="1" t="n">
        <v>45670</v>
      </c>
      <c r="D595" t="inlineStr">
        <is>
          <t>VÄSTERNORRLANDS LÄN</t>
        </is>
      </c>
      <c r="E595" t="inlineStr">
        <is>
          <t>SOLLEFTEÅ</t>
        </is>
      </c>
      <c r="F595" t="inlineStr">
        <is>
          <t>SCA</t>
        </is>
      </c>
      <c r="G595" t="n">
        <v>4.3</v>
      </c>
      <c r="H595" t="n">
        <v>0</v>
      </c>
      <c r="I595" t="n">
        <v>0</v>
      </c>
      <c r="J595" t="n">
        <v>0</v>
      </c>
      <c r="K595" t="n">
        <v>0</v>
      </c>
      <c r="L595" t="n">
        <v>0</v>
      </c>
      <c r="M595" t="n">
        <v>0</v>
      </c>
      <c r="N595" t="n">
        <v>0</v>
      </c>
      <c r="O595" t="n">
        <v>0</v>
      </c>
      <c r="P595" t="n">
        <v>0</v>
      </c>
      <c r="Q595" t="n">
        <v>0</v>
      </c>
      <c r="R595" s="2" t="inlineStr"/>
    </row>
    <row r="596" ht="15" customHeight="1">
      <c r="A596" t="inlineStr">
        <is>
          <t>A 63450-2019</t>
        </is>
      </c>
      <c r="B596" s="1" t="n">
        <v>43788</v>
      </c>
      <c r="C596" s="1" t="n">
        <v>45670</v>
      </c>
      <c r="D596" t="inlineStr">
        <is>
          <t>VÄSTERNORRLANDS LÄN</t>
        </is>
      </c>
      <c r="E596" t="inlineStr">
        <is>
          <t>SOLLEFTEÅ</t>
        </is>
      </c>
      <c r="G596" t="n">
        <v>8.6</v>
      </c>
      <c r="H596" t="n">
        <v>0</v>
      </c>
      <c r="I596" t="n">
        <v>0</v>
      </c>
      <c r="J596" t="n">
        <v>0</v>
      </c>
      <c r="K596" t="n">
        <v>0</v>
      </c>
      <c r="L596" t="n">
        <v>0</v>
      </c>
      <c r="M596" t="n">
        <v>0</v>
      </c>
      <c r="N596" t="n">
        <v>0</v>
      </c>
      <c r="O596" t="n">
        <v>0</v>
      </c>
      <c r="P596" t="n">
        <v>0</v>
      </c>
      <c r="Q596" t="n">
        <v>0</v>
      </c>
      <c r="R596" s="2" t="inlineStr"/>
    </row>
    <row r="597" ht="15" customHeight="1">
      <c r="A597" t="inlineStr">
        <is>
          <t>A 62500-2019</t>
        </is>
      </c>
      <c r="B597" s="1" t="n">
        <v>43788</v>
      </c>
      <c r="C597" s="1" t="n">
        <v>45670</v>
      </c>
      <c r="D597" t="inlineStr">
        <is>
          <t>VÄSTERNORRLANDS LÄN</t>
        </is>
      </c>
      <c r="E597" t="inlineStr">
        <is>
          <t>SOLLEFTEÅ</t>
        </is>
      </c>
      <c r="G597" t="n">
        <v>0.7</v>
      </c>
      <c r="H597" t="n">
        <v>0</v>
      </c>
      <c r="I597" t="n">
        <v>0</v>
      </c>
      <c r="J597" t="n">
        <v>0</v>
      </c>
      <c r="K597" t="n">
        <v>0</v>
      </c>
      <c r="L597" t="n">
        <v>0</v>
      </c>
      <c r="M597" t="n">
        <v>0</v>
      </c>
      <c r="N597" t="n">
        <v>0</v>
      </c>
      <c r="O597" t="n">
        <v>0</v>
      </c>
      <c r="P597" t="n">
        <v>0</v>
      </c>
      <c r="Q597" t="n">
        <v>0</v>
      </c>
      <c r="R597" s="2" t="inlineStr"/>
    </row>
    <row r="598" ht="15" customHeight="1">
      <c r="A598" t="inlineStr">
        <is>
          <t>A 64197-2019</t>
        </is>
      </c>
      <c r="B598" s="1" t="n">
        <v>43791</v>
      </c>
      <c r="C598" s="1" t="n">
        <v>45670</v>
      </c>
      <c r="D598" t="inlineStr">
        <is>
          <t>VÄSTERNORRLANDS LÄN</t>
        </is>
      </c>
      <c r="E598" t="inlineStr">
        <is>
          <t>SOLLEFTEÅ</t>
        </is>
      </c>
      <c r="G598" t="n">
        <v>1.7</v>
      </c>
      <c r="H598" t="n">
        <v>0</v>
      </c>
      <c r="I598" t="n">
        <v>0</v>
      </c>
      <c r="J598" t="n">
        <v>0</v>
      </c>
      <c r="K598" t="n">
        <v>0</v>
      </c>
      <c r="L598" t="n">
        <v>0</v>
      </c>
      <c r="M598" t="n">
        <v>0</v>
      </c>
      <c r="N598" t="n">
        <v>0</v>
      </c>
      <c r="O598" t="n">
        <v>0</v>
      </c>
      <c r="P598" t="n">
        <v>0</v>
      </c>
      <c r="Q598" t="n">
        <v>0</v>
      </c>
      <c r="R598" s="2" t="inlineStr"/>
    </row>
    <row r="599" ht="15" customHeight="1">
      <c r="A599" t="inlineStr">
        <is>
          <t>A 63552-2019</t>
        </is>
      </c>
      <c r="B599" s="1" t="n">
        <v>43794</v>
      </c>
      <c r="C599" s="1" t="n">
        <v>45670</v>
      </c>
      <c r="D599" t="inlineStr">
        <is>
          <t>VÄSTERNORRLANDS LÄN</t>
        </is>
      </c>
      <c r="E599" t="inlineStr">
        <is>
          <t>SOLLEFTEÅ</t>
        </is>
      </c>
      <c r="G599" t="n">
        <v>7.2</v>
      </c>
      <c r="H599" t="n">
        <v>0</v>
      </c>
      <c r="I599" t="n">
        <v>0</v>
      </c>
      <c r="J599" t="n">
        <v>0</v>
      </c>
      <c r="K599" t="n">
        <v>0</v>
      </c>
      <c r="L599" t="n">
        <v>0</v>
      </c>
      <c r="M599" t="n">
        <v>0</v>
      </c>
      <c r="N599" t="n">
        <v>0</v>
      </c>
      <c r="O599" t="n">
        <v>0</v>
      </c>
      <c r="P599" t="n">
        <v>0</v>
      </c>
      <c r="Q599" t="n">
        <v>0</v>
      </c>
      <c r="R599" s="2" t="inlineStr"/>
    </row>
    <row r="600" ht="15" customHeight="1">
      <c r="A600" t="inlineStr">
        <is>
          <t>A 63752-2019</t>
        </is>
      </c>
      <c r="B600" s="1" t="n">
        <v>43795</v>
      </c>
      <c r="C600" s="1" t="n">
        <v>45670</v>
      </c>
      <c r="D600" t="inlineStr">
        <is>
          <t>VÄSTERNORRLANDS LÄN</t>
        </is>
      </c>
      <c r="E600" t="inlineStr">
        <is>
          <t>SOLLEFTEÅ</t>
        </is>
      </c>
      <c r="G600" t="n">
        <v>4.2</v>
      </c>
      <c r="H600" t="n">
        <v>0</v>
      </c>
      <c r="I600" t="n">
        <v>0</v>
      </c>
      <c r="J600" t="n">
        <v>0</v>
      </c>
      <c r="K600" t="n">
        <v>0</v>
      </c>
      <c r="L600" t="n">
        <v>0</v>
      </c>
      <c r="M600" t="n">
        <v>0</v>
      </c>
      <c r="N600" t="n">
        <v>0</v>
      </c>
      <c r="O600" t="n">
        <v>0</v>
      </c>
      <c r="P600" t="n">
        <v>0</v>
      </c>
      <c r="Q600" t="n">
        <v>0</v>
      </c>
      <c r="R600" s="2" t="inlineStr"/>
    </row>
    <row r="601" ht="15" customHeight="1">
      <c r="A601" t="inlineStr">
        <is>
          <t>A 65218-2019</t>
        </is>
      </c>
      <c r="B601" s="1" t="n">
        <v>43797</v>
      </c>
      <c r="C601" s="1" t="n">
        <v>45670</v>
      </c>
      <c r="D601" t="inlineStr">
        <is>
          <t>VÄSTERNORRLANDS LÄN</t>
        </is>
      </c>
      <c r="E601" t="inlineStr">
        <is>
          <t>SOLLEFTEÅ</t>
        </is>
      </c>
      <c r="G601" t="n">
        <v>0.8</v>
      </c>
      <c r="H601" t="n">
        <v>0</v>
      </c>
      <c r="I601" t="n">
        <v>0</v>
      </c>
      <c r="J601" t="n">
        <v>0</v>
      </c>
      <c r="K601" t="n">
        <v>0</v>
      </c>
      <c r="L601" t="n">
        <v>0</v>
      </c>
      <c r="M601" t="n">
        <v>0</v>
      </c>
      <c r="N601" t="n">
        <v>0</v>
      </c>
      <c r="O601" t="n">
        <v>0</v>
      </c>
      <c r="P601" t="n">
        <v>0</v>
      </c>
      <c r="Q601" t="n">
        <v>0</v>
      </c>
      <c r="R601" s="2" t="inlineStr"/>
    </row>
    <row r="602" ht="15" customHeight="1">
      <c r="A602" t="inlineStr">
        <is>
          <t>A 65029-2019</t>
        </is>
      </c>
      <c r="B602" s="1" t="n">
        <v>43801</v>
      </c>
      <c r="C602" s="1" t="n">
        <v>45670</v>
      </c>
      <c r="D602" t="inlineStr">
        <is>
          <t>VÄSTERNORRLANDS LÄN</t>
        </is>
      </c>
      <c r="E602" t="inlineStr">
        <is>
          <t>SOLLEFTEÅ</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65332-2019</t>
        </is>
      </c>
      <c r="B603" s="1" t="n">
        <v>43802</v>
      </c>
      <c r="C603" s="1" t="n">
        <v>45670</v>
      </c>
      <c r="D603" t="inlineStr">
        <is>
          <t>VÄSTERNORRLANDS LÄN</t>
        </is>
      </c>
      <c r="E603" t="inlineStr">
        <is>
          <t>SOLLEFTEÅ</t>
        </is>
      </c>
      <c r="G603" t="n">
        <v>1.5</v>
      </c>
      <c r="H603" t="n">
        <v>0</v>
      </c>
      <c r="I603" t="n">
        <v>0</v>
      </c>
      <c r="J603" t="n">
        <v>0</v>
      </c>
      <c r="K603" t="n">
        <v>0</v>
      </c>
      <c r="L603" t="n">
        <v>0</v>
      </c>
      <c r="M603" t="n">
        <v>0</v>
      </c>
      <c r="N603" t="n">
        <v>0</v>
      </c>
      <c r="O603" t="n">
        <v>0</v>
      </c>
      <c r="P603" t="n">
        <v>0</v>
      </c>
      <c r="Q603" t="n">
        <v>0</v>
      </c>
      <c r="R603" s="2" t="inlineStr"/>
    </row>
    <row r="604" ht="15" customHeight="1">
      <c r="A604" t="inlineStr">
        <is>
          <t>A 66321-2019</t>
        </is>
      </c>
      <c r="B604" s="1" t="n">
        <v>43802</v>
      </c>
      <c r="C604" s="1" t="n">
        <v>45670</v>
      </c>
      <c r="D604" t="inlineStr">
        <is>
          <t>VÄSTERNORRLANDS LÄN</t>
        </is>
      </c>
      <c r="E604" t="inlineStr">
        <is>
          <t>SOLLEFTEÅ</t>
        </is>
      </c>
      <c r="G604" t="n">
        <v>6.4</v>
      </c>
      <c r="H604" t="n">
        <v>0</v>
      </c>
      <c r="I604" t="n">
        <v>0</v>
      </c>
      <c r="J604" t="n">
        <v>0</v>
      </c>
      <c r="K604" t="n">
        <v>0</v>
      </c>
      <c r="L604" t="n">
        <v>0</v>
      </c>
      <c r="M604" t="n">
        <v>0</v>
      </c>
      <c r="N604" t="n">
        <v>0</v>
      </c>
      <c r="O604" t="n">
        <v>0</v>
      </c>
      <c r="P604" t="n">
        <v>0</v>
      </c>
      <c r="Q604" t="n">
        <v>0</v>
      </c>
      <c r="R604" s="2" t="inlineStr"/>
    </row>
    <row r="605" ht="15" customHeight="1">
      <c r="A605" t="inlineStr">
        <is>
          <t>A 65319-2019</t>
        </is>
      </c>
      <c r="B605" s="1" t="n">
        <v>43802</v>
      </c>
      <c r="C605" s="1" t="n">
        <v>45670</v>
      </c>
      <c r="D605" t="inlineStr">
        <is>
          <t>VÄSTERNORRLANDS LÄN</t>
        </is>
      </c>
      <c r="E605" t="inlineStr">
        <is>
          <t>SOLLEFTEÅ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65327-2019</t>
        </is>
      </c>
      <c r="B606" s="1" t="n">
        <v>43802</v>
      </c>
      <c r="C606" s="1" t="n">
        <v>45670</v>
      </c>
      <c r="D606" t="inlineStr">
        <is>
          <t>VÄSTERNORRLANDS LÄN</t>
        </is>
      </c>
      <c r="E606" t="inlineStr">
        <is>
          <t>SOLLEFTEÅ</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66391-2019</t>
        </is>
      </c>
      <c r="B607" s="1" t="n">
        <v>43808</v>
      </c>
      <c r="C607" s="1" t="n">
        <v>45670</v>
      </c>
      <c r="D607" t="inlineStr">
        <is>
          <t>VÄSTERNORRLANDS LÄN</t>
        </is>
      </c>
      <c r="E607" t="inlineStr">
        <is>
          <t>SOLLEFTEÅ</t>
        </is>
      </c>
      <c r="G607" t="n">
        <v>1.7</v>
      </c>
      <c r="H607" t="n">
        <v>0</v>
      </c>
      <c r="I607" t="n">
        <v>0</v>
      </c>
      <c r="J607" t="n">
        <v>0</v>
      </c>
      <c r="K607" t="n">
        <v>0</v>
      </c>
      <c r="L607" t="n">
        <v>0</v>
      </c>
      <c r="M607" t="n">
        <v>0</v>
      </c>
      <c r="N607" t="n">
        <v>0</v>
      </c>
      <c r="O607" t="n">
        <v>0</v>
      </c>
      <c r="P607" t="n">
        <v>0</v>
      </c>
      <c r="Q607" t="n">
        <v>0</v>
      </c>
      <c r="R607" s="2" t="inlineStr"/>
    </row>
    <row r="608" ht="15" customHeight="1">
      <c r="A608" t="inlineStr">
        <is>
          <t>A 67805-2019</t>
        </is>
      </c>
      <c r="B608" s="1" t="n">
        <v>43815</v>
      </c>
      <c r="C608" s="1" t="n">
        <v>45670</v>
      </c>
      <c r="D608" t="inlineStr">
        <is>
          <t>VÄSTERNORRLANDS LÄN</t>
        </is>
      </c>
      <c r="E608" t="inlineStr">
        <is>
          <t>SOLLEFTEÅ</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67815-2019</t>
        </is>
      </c>
      <c r="B609" s="1" t="n">
        <v>43815</v>
      </c>
      <c r="C609" s="1" t="n">
        <v>45670</v>
      </c>
      <c r="D609" t="inlineStr">
        <is>
          <t>VÄSTERNORRLANDS LÄN</t>
        </is>
      </c>
      <c r="E609" t="inlineStr">
        <is>
          <t>SOLLEFTEÅ</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1627-2020</t>
        </is>
      </c>
      <c r="B610" s="1" t="n">
        <v>43829</v>
      </c>
      <c r="C610" s="1" t="n">
        <v>45670</v>
      </c>
      <c r="D610" t="inlineStr">
        <is>
          <t>VÄSTERNORRLANDS LÄN</t>
        </is>
      </c>
      <c r="E610" t="inlineStr">
        <is>
          <t>SOLLEFTEÅ</t>
        </is>
      </c>
      <c r="G610" t="n">
        <v>9</v>
      </c>
      <c r="H610" t="n">
        <v>0</v>
      </c>
      <c r="I610" t="n">
        <v>0</v>
      </c>
      <c r="J610" t="n">
        <v>0</v>
      </c>
      <c r="K610" t="n">
        <v>0</v>
      </c>
      <c r="L610" t="n">
        <v>0</v>
      </c>
      <c r="M610" t="n">
        <v>0</v>
      </c>
      <c r="N610" t="n">
        <v>0</v>
      </c>
      <c r="O610" t="n">
        <v>0</v>
      </c>
      <c r="P610" t="n">
        <v>0</v>
      </c>
      <c r="Q610" t="n">
        <v>0</v>
      </c>
      <c r="R610" s="2" t="inlineStr"/>
    </row>
    <row r="611" ht="15" customHeight="1">
      <c r="A611" t="inlineStr">
        <is>
          <t>A 127-2020</t>
        </is>
      </c>
      <c r="B611" s="1" t="n">
        <v>43832</v>
      </c>
      <c r="C611" s="1" t="n">
        <v>45670</v>
      </c>
      <c r="D611" t="inlineStr">
        <is>
          <t>VÄSTERNORRLANDS LÄN</t>
        </is>
      </c>
      <c r="E611" t="inlineStr">
        <is>
          <t>SOLLEFTEÅ</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125-2020</t>
        </is>
      </c>
      <c r="B612" s="1" t="n">
        <v>43832</v>
      </c>
      <c r="C612" s="1" t="n">
        <v>45670</v>
      </c>
      <c r="D612" t="inlineStr">
        <is>
          <t>VÄSTERNORRLANDS LÄN</t>
        </is>
      </c>
      <c r="E612" t="inlineStr">
        <is>
          <t>SOLLEFTEÅ</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126-2020</t>
        </is>
      </c>
      <c r="B613" s="1" t="n">
        <v>43832</v>
      </c>
      <c r="C613" s="1" t="n">
        <v>45670</v>
      </c>
      <c r="D613" t="inlineStr">
        <is>
          <t>VÄSTERNORRLANDS LÄN</t>
        </is>
      </c>
      <c r="E613" t="inlineStr">
        <is>
          <t>SOLLEFTEÅ</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538-2020</t>
        </is>
      </c>
      <c r="B614" s="1" t="n">
        <v>43837</v>
      </c>
      <c r="C614" s="1" t="n">
        <v>45670</v>
      </c>
      <c r="D614" t="inlineStr">
        <is>
          <t>VÄSTERNORRLANDS LÄN</t>
        </is>
      </c>
      <c r="E614" t="inlineStr">
        <is>
          <t>SOLLEFTEÅ</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1263-2020</t>
        </is>
      </c>
      <c r="B615" s="1" t="n">
        <v>43840</v>
      </c>
      <c r="C615" s="1" t="n">
        <v>45670</v>
      </c>
      <c r="D615" t="inlineStr">
        <is>
          <t>VÄSTERNORRLANDS LÄN</t>
        </is>
      </c>
      <c r="E615" t="inlineStr">
        <is>
          <t>SOLLEFTEÅ</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1262-2020</t>
        </is>
      </c>
      <c r="B616" s="1" t="n">
        <v>43840</v>
      </c>
      <c r="C616" s="1" t="n">
        <v>45670</v>
      </c>
      <c r="D616" t="inlineStr">
        <is>
          <t>VÄSTERNORRLANDS LÄN</t>
        </is>
      </c>
      <c r="E616" t="inlineStr">
        <is>
          <t>SOLLEFTEÅ</t>
        </is>
      </c>
      <c r="F616" t="inlineStr">
        <is>
          <t>SCA</t>
        </is>
      </c>
      <c r="G616" t="n">
        <v>3.8</v>
      </c>
      <c r="H616" t="n">
        <v>0</v>
      </c>
      <c r="I616" t="n">
        <v>0</v>
      </c>
      <c r="J616" t="n">
        <v>0</v>
      </c>
      <c r="K616" t="n">
        <v>0</v>
      </c>
      <c r="L616" t="n">
        <v>0</v>
      </c>
      <c r="M616" t="n">
        <v>0</v>
      </c>
      <c r="N616" t="n">
        <v>0</v>
      </c>
      <c r="O616" t="n">
        <v>0</v>
      </c>
      <c r="P616" t="n">
        <v>0</v>
      </c>
      <c r="Q616" t="n">
        <v>0</v>
      </c>
      <c r="R616" s="2" t="inlineStr"/>
    </row>
    <row r="617" ht="15" customHeight="1">
      <c r="A617" t="inlineStr">
        <is>
          <t>A 1213-2020</t>
        </is>
      </c>
      <c r="B617" s="1" t="n">
        <v>43840</v>
      </c>
      <c r="C617" s="1" t="n">
        <v>45670</v>
      </c>
      <c r="D617" t="inlineStr">
        <is>
          <t>VÄSTERNORRLANDS LÄN</t>
        </is>
      </c>
      <c r="E617" t="inlineStr">
        <is>
          <t>SOLLEFTEÅ</t>
        </is>
      </c>
      <c r="F617" t="inlineStr">
        <is>
          <t>Kyrkan</t>
        </is>
      </c>
      <c r="G617" t="n">
        <v>13.9</v>
      </c>
      <c r="H617" t="n">
        <v>0</v>
      </c>
      <c r="I617" t="n">
        <v>0</v>
      </c>
      <c r="J617" t="n">
        <v>0</v>
      </c>
      <c r="K617" t="n">
        <v>0</v>
      </c>
      <c r="L617" t="n">
        <v>0</v>
      </c>
      <c r="M617" t="n">
        <v>0</v>
      </c>
      <c r="N617" t="n">
        <v>0</v>
      </c>
      <c r="O617" t="n">
        <v>0</v>
      </c>
      <c r="P617" t="n">
        <v>0</v>
      </c>
      <c r="Q617" t="n">
        <v>0</v>
      </c>
      <c r="R617" s="2" t="inlineStr"/>
    </row>
    <row r="618" ht="15" customHeight="1">
      <c r="A618" t="inlineStr">
        <is>
          <t>A 1568-2020</t>
        </is>
      </c>
      <c r="B618" s="1" t="n">
        <v>43844</v>
      </c>
      <c r="C618" s="1" t="n">
        <v>45670</v>
      </c>
      <c r="D618" t="inlineStr">
        <is>
          <t>VÄSTERNORRLANDS LÄN</t>
        </is>
      </c>
      <c r="E618" t="inlineStr">
        <is>
          <t>SOLLEFTEÅ</t>
        </is>
      </c>
      <c r="G618" t="n">
        <v>3.4</v>
      </c>
      <c r="H618" t="n">
        <v>0</v>
      </c>
      <c r="I618" t="n">
        <v>0</v>
      </c>
      <c r="J618" t="n">
        <v>0</v>
      </c>
      <c r="K618" t="n">
        <v>0</v>
      </c>
      <c r="L618" t="n">
        <v>0</v>
      </c>
      <c r="M618" t="n">
        <v>0</v>
      </c>
      <c r="N618" t="n">
        <v>0</v>
      </c>
      <c r="O618" t="n">
        <v>0</v>
      </c>
      <c r="P618" t="n">
        <v>0</v>
      </c>
      <c r="Q618" t="n">
        <v>0</v>
      </c>
      <c r="R618" s="2" t="inlineStr"/>
    </row>
    <row r="619" ht="15" customHeight="1">
      <c r="A619" t="inlineStr">
        <is>
          <t>A 2897-2020</t>
        </is>
      </c>
      <c r="B619" s="1" t="n">
        <v>43850</v>
      </c>
      <c r="C619" s="1" t="n">
        <v>45670</v>
      </c>
      <c r="D619" t="inlineStr">
        <is>
          <t>VÄSTERNORRLANDS LÄN</t>
        </is>
      </c>
      <c r="E619" t="inlineStr">
        <is>
          <t>SOLLEFTEÅ</t>
        </is>
      </c>
      <c r="G619" t="n">
        <v>7.6</v>
      </c>
      <c r="H619" t="n">
        <v>0</v>
      </c>
      <c r="I619" t="n">
        <v>0</v>
      </c>
      <c r="J619" t="n">
        <v>0</v>
      </c>
      <c r="K619" t="n">
        <v>0</v>
      </c>
      <c r="L619" t="n">
        <v>0</v>
      </c>
      <c r="M619" t="n">
        <v>0</v>
      </c>
      <c r="N619" t="n">
        <v>0</v>
      </c>
      <c r="O619" t="n">
        <v>0</v>
      </c>
      <c r="P619" t="n">
        <v>0</v>
      </c>
      <c r="Q619" t="n">
        <v>0</v>
      </c>
      <c r="R619" s="2" t="inlineStr"/>
    </row>
    <row r="620" ht="15" customHeight="1">
      <c r="A620" t="inlineStr">
        <is>
          <t>A 3230-2020</t>
        </is>
      </c>
      <c r="B620" s="1" t="n">
        <v>43851</v>
      </c>
      <c r="C620" s="1" t="n">
        <v>45670</v>
      </c>
      <c r="D620" t="inlineStr">
        <is>
          <t>VÄSTERNORRLANDS LÄN</t>
        </is>
      </c>
      <c r="E620" t="inlineStr">
        <is>
          <t>SOLLEFTEÅ</t>
        </is>
      </c>
      <c r="F620" t="inlineStr">
        <is>
          <t>Övriga statliga verk och myndigheter</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4363-2020</t>
        </is>
      </c>
      <c r="B621" s="1" t="n">
        <v>43857</v>
      </c>
      <c r="C621" s="1" t="n">
        <v>45670</v>
      </c>
      <c r="D621" t="inlineStr">
        <is>
          <t>VÄSTERNORRLANDS LÄN</t>
        </is>
      </c>
      <c r="E621" t="inlineStr">
        <is>
          <t>SOLLEFTEÅ</t>
        </is>
      </c>
      <c r="G621" t="n">
        <v>6.4</v>
      </c>
      <c r="H621" t="n">
        <v>0</v>
      </c>
      <c r="I621" t="n">
        <v>0</v>
      </c>
      <c r="J621" t="n">
        <v>0</v>
      </c>
      <c r="K621" t="n">
        <v>0</v>
      </c>
      <c r="L621" t="n">
        <v>0</v>
      </c>
      <c r="M621" t="n">
        <v>0</v>
      </c>
      <c r="N621" t="n">
        <v>0</v>
      </c>
      <c r="O621" t="n">
        <v>0</v>
      </c>
      <c r="P621" t="n">
        <v>0</v>
      </c>
      <c r="Q621" t="n">
        <v>0</v>
      </c>
      <c r="R621" s="2" t="inlineStr"/>
    </row>
    <row r="622" ht="15" customHeight="1">
      <c r="A622" t="inlineStr">
        <is>
          <t>A 5248-2020</t>
        </is>
      </c>
      <c r="B622" s="1" t="n">
        <v>43857</v>
      </c>
      <c r="C622" s="1" t="n">
        <v>45670</v>
      </c>
      <c r="D622" t="inlineStr">
        <is>
          <t>VÄSTERNORRLANDS LÄN</t>
        </is>
      </c>
      <c r="E622" t="inlineStr">
        <is>
          <t>SOLLEFTEÅ</t>
        </is>
      </c>
      <c r="G622" t="n">
        <v>0.9</v>
      </c>
      <c r="H622" t="n">
        <v>0</v>
      </c>
      <c r="I622" t="n">
        <v>0</v>
      </c>
      <c r="J622" t="n">
        <v>0</v>
      </c>
      <c r="K622" t="n">
        <v>0</v>
      </c>
      <c r="L622" t="n">
        <v>0</v>
      </c>
      <c r="M622" t="n">
        <v>0</v>
      </c>
      <c r="N622" t="n">
        <v>0</v>
      </c>
      <c r="O622" t="n">
        <v>0</v>
      </c>
      <c r="P622" t="n">
        <v>0</v>
      </c>
      <c r="Q622" t="n">
        <v>0</v>
      </c>
      <c r="R622" s="2" t="inlineStr"/>
    </row>
    <row r="623" ht="15" customHeight="1">
      <c r="A623" t="inlineStr">
        <is>
          <t>A 5635-2020</t>
        </is>
      </c>
      <c r="B623" s="1" t="n">
        <v>43860</v>
      </c>
      <c r="C623" s="1" t="n">
        <v>45670</v>
      </c>
      <c r="D623" t="inlineStr">
        <is>
          <t>VÄSTERNORRLANDS LÄN</t>
        </is>
      </c>
      <c r="E623" t="inlineStr">
        <is>
          <t>SOLLEFTEÅ</t>
        </is>
      </c>
      <c r="G623" t="n">
        <v>1.5</v>
      </c>
      <c r="H623" t="n">
        <v>0</v>
      </c>
      <c r="I623" t="n">
        <v>0</v>
      </c>
      <c r="J623" t="n">
        <v>0</v>
      </c>
      <c r="K623" t="n">
        <v>0</v>
      </c>
      <c r="L623" t="n">
        <v>0</v>
      </c>
      <c r="M623" t="n">
        <v>0</v>
      </c>
      <c r="N623" t="n">
        <v>0</v>
      </c>
      <c r="O623" t="n">
        <v>0</v>
      </c>
      <c r="P623" t="n">
        <v>0</v>
      </c>
      <c r="Q623" t="n">
        <v>0</v>
      </c>
      <c r="R623" s="2" t="inlineStr"/>
    </row>
    <row r="624" ht="15" customHeight="1">
      <c r="A624" t="inlineStr">
        <is>
          <t>A 5662-2020</t>
        </is>
      </c>
      <c r="B624" s="1" t="n">
        <v>43861</v>
      </c>
      <c r="C624" s="1" t="n">
        <v>45670</v>
      </c>
      <c r="D624" t="inlineStr">
        <is>
          <t>VÄSTERNORRLANDS LÄN</t>
        </is>
      </c>
      <c r="E624" t="inlineStr">
        <is>
          <t>SOLLEFTEÅ</t>
        </is>
      </c>
      <c r="F624" t="inlineStr">
        <is>
          <t>Holmen skog AB</t>
        </is>
      </c>
      <c r="G624" t="n">
        <v>1.5</v>
      </c>
      <c r="H624" t="n">
        <v>0</v>
      </c>
      <c r="I624" t="n">
        <v>0</v>
      </c>
      <c r="J624" t="n">
        <v>0</v>
      </c>
      <c r="K624" t="n">
        <v>0</v>
      </c>
      <c r="L624" t="n">
        <v>0</v>
      </c>
      <c r="M624" t="n">
        <v>0</v>
      </c>
      <c r="N624" t="n">
        <v>0</v>
      </c>
      <c r="O624" t="n">
        <v>0</v>
      </c>
      <c r="P624" t="n">
        <v>0</v>
      </c>
      <c r="Q624" t="n">
        <v>0</v>
      </c>
      <c r="R624" s="2" t="inlineStr"/>
    </row>
    <row r="625" ht="15" customHeight="1">
      <c r="A625" t="inlineStr">
        <is>
          <t>A 5714-2020</t>
        </is>
      </c>
      <c r="B625" s="1" t="n">
        <v>43861</v>
      </c>
      <c r="C625" s="1" t="n">
        <v>45670</v>
      </c>
      <c r="D625" t="inlineStr">
        <is>
          <t>VÄSTERNORRLANDS LÄN</t>
        </is>
      </c>
      <c r="E625" t="inlineStr">
        <is>
          <t>SOLLEFTEÅ</t>
        </is>
      </c>
      <c r="G625" t="n">
        <v>3</v>
      </c>
      <c r="H625" t="n">
        <v>0</v>
      </c>
      <c r="I625" t="n">
        <v>0</v>
      </c>
      <c r="J625" t="n">
        <v>0</v>
      </c>
      <c r="K625" t="n">
        <v>0</v>
      </c>
      <c r="L625" t="n">
        <v>0</v>
      </c>
      <c r="M625" t="n">
        <v>0</v>
      </c>
      <c r="N625" t="n">
        <v>0</v>
      </c>
      <c r="O625" t="n">
        <v>0</v>
      </c>
      <c r="P625" t="n">
        <v>0</v>
      </c>
      <c r="Q625" t="n">
        <v>0</v>
      </c>
      <c r="R625" s="2" t="inlineStr"/>
    </row>
    <row r="626" ht="15" customHeight="1">
      <c r="A626" t="inlineStr">
        <is>
          <t>A 5908-2020</t>
        </is>
      </c>
      <c r="B626" s="1" t="n">
        <v>43861</v>
      </c>
      <c r="C626" s="1" t="n">
        <v>45670</v>
      </c>
      <c r="D626" t="inlineStr">
        <is>
          <t>VÄSTERNORRLANDS LÄN</t>
        </is>
      </c>
      <c r="E626" t="inlineStr">
        <is>
          <t>SOLLEFTEÅ</t>
        </is>
      </c>
      <c r="G626" t="n">
        <v>4.6</v>
      </c>
      <c r="H626" t="n">
        <v>0</v>
      </c>
      <c r="I626" t="n">
        <v>0</v>
      </c>
      <c r="J626" t="n">
        <v>0</v>
      </c>
      <c r="K626" t="n">
        <v>0</v>
      </c>
      <c r="L626" t="n">
        <v>0</v>
      </c>
      <c r="M626" t="n">
        <v>0</v>
      </c>
      <c r="N626" t="n">
        <v>0</v>
      </c>
      <c r="O626" t="n">
        <v>0</v>
      </c>
      <c r="P626" t="n">
        <v>0</v>
      </c>
      <c r="Q626" t="n">
        <v>0</v>
      </c>
      <c r="R626" s="2" t="inlineStr"/>
    </row>
    <row r="627" ht="15" customHeight="1">
      <c r="A627" t="inlineStr">
        <is>
          <t>A 8363-2020</t>
        </is>
      </c>
      <c r="B627" s="1" t="n">
        <v>43875</v>
      </c>
      <c r="C627" s="1" t="n">
        <v>45670</v>
      </c>
      <c r="D627" t="inlineStr">
        <is>
          <t>VÄSTERNORRLANDS LÄN</t>
        </is>
      </c>
      <c r="E627" t="inlineStr">
        <is>
          <t>SOLLEFTEÅ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8935-2020</t>
        </is>
      </c>
      <c r="B628" s="1" t="n">
        <v>43878</v>
      </c>
      <c r="C628" s="1" t="n">
        <v>45670</v>
      </c>
      <c r="D628" t="inlineStr">
        <is>
          <t>VÄSTERNORRLANDS LÄN</t>
        </is>
      </c>
      <c r="E628" t="inlineStr">
        <is>
          <t>SOLLEFTEÅ</t>
        </is>
      </c>
      <c r="G628" t="n">
        <v>3.9</v>
      </c>
      <c r="H628" t="n">
        <v>0</v>
      </c>
      <c r="I628" t="n">
        <v>0</v>
      </c>
      <c r="J628" t="n">
        <v>0</v>
      </c>
      <c r="K628" t="n">
        <v>0</v>
      </c>
      <c r="L628" t="n">
        <v>0</v>
      </c>
      <c r="M628" t="n">
        <v>0</v>
      </c>
      <c r="N628" t="n">
        <v>0</v>
      </c>
      <c r="O628" t="n">
        <v>0</v>
      </c>
      <c r="P628" t="n">
        <v>0</v>
      </c>
      <c r="Q628" t="n">
        <v>0</v>
      </c>
      <c r="R628" s="2" t="inlineStr"/>
    </row>
    <row r="629" ht="15" customHeight="1">
      <c r="A629" t="inlineStr">
        <is>
          <t>A 10631-2020</t>
        </is>
      </c>
      <c r="B629" s="1" t="n">
        <v>43887</v>
      </c>
      <c r="C629" s="1" t="n">
        <v>45670</v>
      </c>
      <c r="D629" t="inlineStr">
        <is>
          <t>VÄSTERNORRLANDS LÄN</t>
        </is>
      </c>
      <c r="E629" t="inlineStr">
        <is>
          <t>SOLLEFTEÅ</t>
        </is>
      </c>
      <c r="G629" t="n">
        <v>2.3</v>
      </c>
      <c r="H629" t="n">
        <v>0</v>
      </c>
      <c r="I629" t="n">
        <v>0</v>
      </c>
      <c r="J629" t="n">
        <v>0</v>
      </c>
      <c r="K629" t="n">
        <v>0</v>
      </c>
      <c r="L629" t="n">
        <v>0</v>
      </c>
      <c r="M629" t="n">
        <v>0</v>
      </c>
      <c r="N629" t="n">
        <v>0</v>
      </c>
      <c r="O629" t="n">
        <v>0</v>
      </c>
      <c r="P629" t="n">
        <v>0</v>
      </c>
      <c r="Q629" t="n">
        <v>0</v>
      </c>
      <c r="R629" s="2" t="inlineStr"/>
    </row>
    <row r="630" ht="15" customHeight="1">
      <c r="A630" t="inlineStr">
        <is>
          <t>A 10846-2020</t>
        </is>
      </c>
      <c r="B630" s="1" t="n">
        <v>43888</v>
      </c>
      <c r="C630" s="1" t="n">
        <v>45670</v>
      </c>
      <c r="D630" t="inlineStr">
        <is>
          <t>VÄSTERNORRLANDS LÄN</t>
        </is>
      </c>
      <c r="E630" t="inlineStr">
        <is>
          <t>SOLLEFTEÅ</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11685-2020</t>
        </is>
      </c>
      <c r="B631" s="1" t="n">
        <v>43893</v>
      </c>
      <c r="C631" s="1" t="n">
        <v>45670</v>
      </c>
      <c r="D631" t="inlineStr">
        <is>
          <t>VÄSTERNORRLANDS LÄN</t>
        </is>
      </c>
      <c r="E631" t="inlineStr">
        <is>
          <t>SOLLEFTEÅ</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12819-2020</t>
        </is>
      </c>
      <c r="B632" s="1" t="n">
        <v>43893</v>
      </c>
      <c r="C632" s="1" t="n">
        <v>45670</v>
      </c>
      <c r="D632" t="inlineStr">
        <is>
          <t>VÄSTERNORRLANDS LÄN</t>
        </is>
      </c>
      <c r="E632" t="inlineStr">
        <is>
          <t>SOLLEFTEÅ</t>
        </is>
      </c>
      <c r="G632" t="n">
        <v>1.9</v>
      </c>
      <c r="H632" t="n">
        <v>0</v>
      </c>
      <c r="I632" t="n">
        <v>0</v>
      </c>
      <c r="J632" t="n">
        <v>0</v>
      </c>
      <c r="K632" t="n">
        <v>0</v>
      </c>
      <c r="L632" t="n">
        <v>0</v>
      </c>
      <c r="M632" t="n">
        <v>0</v>
      </c>
      <c r="N632" t="n">
        <v>0</v>
      </c>
      <c r="O632" t="n">
        <v>0</v>
      </c>
      <c r="P632" t="n">
        <v>0</v>
      </c>
      <c r="Q632" t="n">
        <v>0</v>
      </c>
      <c r="R632" s="2" t="inlineStr"/>
    </row>
    <row r="633" ht="15" customHeight="1">
      <c r="A633" t="inlineStr">
        <is>
          <t>A 12525-2020</t>
        </is>
      </c>
      <c r="B633" s="1" t="n">
        <v>43896</v>
      </c>
      <c r="C633" s="1" t="n">
        <v>45670</v>
      </c>
      <c r="D633" t="inlineStr">
        <is>
          <t>VÄSTERNORRLANDS LÄN</t>
        </is>
      </c>
      <c r="E633" t="inlineStr">
        <is>
          <t>SOLLEFTEÅ</t>
        </is>
      </c>
      <c r="F633" t="inlineStr">
        <is>
          <t>SCA</t>
        </is>
      </c>
      <c r="G633" t="n">
        <v>28.7</v>
      </c>
      <c r="H633" t="n">
        <v>0</v>
      </c>
      <c r="I633" t="n">
        <v>0</v>
      </c>
      <c r="J633" t="n">
        <v>0</v>
      </c>
      <c r="K633" t="n">
        <v>0</v>
      </c>
      <c r="L633" t="n">
        <v>0</v>
      </c>
      <c r="M633" t="n">
        <v>0</v>
      </c>
      <c r="N633" t="n">
        <v>0</v>
      </c>
      <c r="O633" t="n">
        <v>0</v>
      </c>
      <c r="P633" t="n">
        <v>0</v>
      </c>
      <c r="Q633" t="n">
        <v>0</v>
      </c>
      <c r="R633" s="2" t="inlineStr"/>
    </row>
    <row r="634" ht="15" customHeight="1">
      <c r="A634" t="inlineStr">
        <is>
          <t>A 13023-2020</t>
        </is>
      </c>
      <c r="B634" s="1" t="n">
        <v>43900</v>
      </c>
      <c r="C634" s="1" t="n">
        <v>45670</v>
      </c>
      <c r="D634" t="inlineStr">
        <is>
          <t>VÄSTERNORRLANDS LÄN</t>
        </is>
      </c>
      <c r="E634" t="inlineStr">
        <is>
          <t>SOLLEFTEÅ</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13567-2020</t>
        </is>
      </c>
      <c r="B635" s="1" t="n">
        <v>43902</v>
      </c>
      <c r="C635" s="1" t="n">
        <v>45670</v>
      </c>
      <c r="D635" t="inlineStr">
        <is>
          <t>VÄSTERNORRLANDS LÄN</t>
        </is>
      </c>
      <c r="E635" t="inlineStr">
        <is>
          <t>SOLLEFTEÅ</t>
        </is>
      </c>
      <c r="F635" t="inlineStr">
        <is>
          <t>SCA</t>
        </is>
      </c>
      <c r="G635" t="n">
        <v>15.9</v>
      </c>
      <c r="H635" t="n">
        <v>0</v>
      </c>
      <c r="I635" t="n">
        <v>0</v>
      </c>
      <c r="J635" t="n">
        <v>0</v>
      </c>
      <c r="K635" t="n">
        <v>0</v>
      </c>
      <c r="L635" t="n">
        <v>0</v>
      </c>
      <c r="M635" t="n">
        <v>0</v>
      </c>
      <c r="N635" t="n">
        <v>0</v>
      </c>
      <c r="O635" t="n">
        <v>0</v>
      </c>
      <c r="P635" t="n">
        <v>0</v>
      </c>
      <c r="Q635" t="n">
        <v>0</v>
      </c>
      <c r="R635" s="2" t="inlineStr"/>
    </row>
    <row r="636" ht="15" customHeight="1">
      <c r="A636" t="inlineStr">
        <is>
          <t>A 13577-2020</t>
        </is>
      </c>
      <c r="B636" s="1" t="n">
        <v>43902</v>
      </c>
      <c r="C636" s="1" t="n">
        <v>45670</v>
      </c>
      <c r="D636" t="inlineStr">
        <is>
          <t>VÄSTERNORRLANDS LÄN</t>
        </is>
      </c>
      <c r="E636" t="inlineStr">
        <is>
          <t>SOLLEFTEÅ</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13565-2020</t>
        </is>
      </c>
      <c r="B637" s="1" t="n">
        <v>43902</v>
      </c>
      <c r="C637" s="1" t="n">
        <v>45670</v>
      </c>
      <c r="D637" t="inlineStr">
        <is>
          <t>VÄSTERNORRLANDS LÄN</t>
        </is>
      </c>
      <c r="E637" t="inlineStr">
        <is>
          <t>SOLLEFTEÅ</t>
        </is>
      </c>
      <c r="F637" t="inlineStr">
        <is>
          <t>SCA</t>
        </is>
      </c>
      <c r="G637" t="n">
        <v>12.6</v>
      </c>
      <c r="H637" t="n">
        <v>0</v>
      </c>
      <c r="I637" t="n">
        <v>0</v>
      </c>
      <c r="J637" t="n">
        <v>0</v>
      </c>
      <c r="K637" t="n">
        <v>0</v>
      </c>
      <c r="L637" t="n">
        <v>0</v>
      </c>
      <c r="M637" t="n">
        <v>0</v>
      </c>
      <c r="N637" t="n">
        <v>0</v>
      </c>
      <c r="O637" t="n">
        <v>0</v>
      </c>
      <c r="P637" t="n">
        <v>0</v>
      </c>
      <c r="Q637" t="n">
        <v>0</v>
      </c>
      <c r="R637" s="2" t="inlineStr"/>
    </row>
    <row r="638" ht="15" customHeight="1">
      <c r="A638" t="inlineStr">
        <is>
          <t>A 13575-2020</t>
        </is>
      </c>
      <c r="B638" s="1" t="n">
        <v>43902</v>
      </c>
      <c r="C638" s="1" t="n">
        <v>45670</v>
      </c>
      <c r="D638" t="inlineStr">
        <is>
          <t>VÄSTERNORRLANDS LÄN</t>
        </is>
      </c>
      <c r="E638" t="inlineStr">
        <is>
          <t>SOLLEFTEÅ</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13561-2020</t>
        </is>
      </c>
      <c r="B639" s="1" t="n">
        <v>43902</v>
      </c>
      <c r="C639" s="1" t="n">
        <v>45670</v>
      </c>
      <c r="D639" t="inlineStr">
        <is>
          <t>VÄSTERNORRLANDS LÄN</t>
        </is>
      </c>
      <c r="E639" t="inlineStr">
        <is>
          <t>SOLLEFTEÅ</t>
        </is>
      </c>
      <c r="F639" t="inlineStr">
        <is>
          <t>SCA</t>
        </is>
      </c>
      <c r="G639" t="n">
        <v>7.8</v>
      </c>
      <c r="H639" t="n">
        <v>0</v>
      </c>
      <c r="I639" t="n">
        <v>0</v>
      </c>
      <c r="J639" t="n">
        <v>0</v>
      </c>
      <c r="K639" t="n">
        <v>0</v>
      </c>
      <c r="L639" t="n">
        <v>0</v>
      </c>
      <c r="M639" t="n">
        <v>0</v>
      </c>
      <c r="N639" t="n">
        <v>0</v>
      </c>
      <c r="O639" t="n">
        <v>0</v>
      </c>
      <c r="P639" t="n">
        <v>0</v>
      </c>
      <c r="Q639" t="n">
        <v>0</v>
      </c>
      <c r="R639" s="2" t="inlineStr"/>
    </row>
    <row r="640" ht="15" customHeight="1">
      <c r="A640" t="inlineStr">
        <is>
          <t>A 13564-2020</t>
        </is>
      </c>
      <c r="B640" s="1" t="n">
        <v>43902</v>
      </c>
      <c r="C640" s="1" t="n">
        <v>45670</v>
      </c>
      <c r="D640" t="inlineStr">
        <is>
          <t>VÄSTERNORRLANDS LÄN</t>
        </is>
      </c>
      <c r="E640" t="inlineStr">
        <is>
          <t>SOLLEFTEÅ</t>
        </is>
      </c>
      <c r="F640" t="inlineStr">
        <is>
          <t>SCA</t>
        </is>
      </c>
      <c r="G640" t="n">
        <v>26.1</v>
      </c>
      <c r="H640" t="n">
        <v>0</v>
      </c>
      <c r="I640" t="n">
        <v>0</v>
      </c>
      <c r="J640" t="n">
        <v>0</v>
      </c>
      <c r="K640" t="n">
        <v>0</v>
      </c>
      <c r="L640" t="n">
        <v>0</v>
      </c>
      <c r="M640" t="n">
        <v>0</v>
      </c>
      <c r="N640" t="n">
        <v>0</v>
      </c>
      <c r="O640" t="n">
        <v>0</v>
      </c>
      <c r="P640" t="n">
        <v>0</v>
      </c>
      <c r="Q640" t="n">
        <v>0</v>
      </c>
      <c r="R640" s="2" t="inlineStr"/>
    </row>
    <row r="641" ht="15" customHeight="1">
      <c r="A641" t="inlineStr">
        <is>
          <t>A 13798-2020</t>
        </is>
      </c>
      <c r="B641" s="1" t="n">
        <v>43903</v>
      </c>
      <c r="C641" s="1" t="n">
        <v>45670</v>
      </c>
      <c r="D641" t="inlineStr">
        <is>
          <t>VÄSTERNORRLANDS LÄN</t>
        </is>
      </c>
      <c r="E641" t="inlineStr">
        <is>
          <t>SOLLEFTEÅ</t>
        </is>
      </c>
      <c r="F641" t="inlineStr">
        <is>
          <t>SCA</t>
        </is>
      </c>
      <c r="G641" t="n">
        <v>4.7</v>
      </c>
      <c r="H641" t="n">
        <v>0</v>
      </c>
      <c r="I641" t="n">
        <v>0</v>
      </c>
      <c r="J641" t="n">
        <v>0</v>
      </c>
      <c r="K641" t="n">
        <v>0</v>
      </c>
      <c r="L641" t="n">
        <v>0</v>
      </c>
      <c r="M641" t="n">
        <v>0</v>
      </c>
      <c r="N641" t="n">
        <v>0</v>
      </c>
      <c r="O641" t="n">
        <v>0</v>
      </c>
      <c r="P641" t="n">
        <v>0</v>
      </c>
      <c r="Q641" t="n">
        <v>0</v>
      </c>
      <c r="R641" s="2" t="inlineStr"/>
    </row>
    <row r="642" ht="15" customHeight="1">
      <c r="A642" t="inlineStr">
        <is>
          <t>A 13864-2020</t>
        </is>
      </c>
      <c r="B642" s="1" t="n">
        <v>43906</v>
      </c>
      <c r="C642" s="1" t="n">
        <v>45670</v>
      </c>
      <c r="D642" t="inlineStr">
        <is>
          <t>VÄSTERNORRLANDS LÄN</t>
        </is>
      </c>
      <c r="E642" t="inlineStr">
        <is>
          <t>SOLLEFTEÅ</t>
        </is>
      </c>
      <c r="G642" t="n">
        <v>0.4</v>
      </c>
      <c r="H642" t="n">
        <v>0</v>
      </c>
      <c r="I642" t="n">
        <v>0</v>
      </c>
      <c r="J642" t="n">
        <v>0</v>
      </c>
      <c r="K642" t="n">
        <v>0</v>
      </c>
      <c r="L642" t="n">
        <v>0</v>
      </c>
      <c r="M642" t="n">
        <v>0</v>
      </c>
      <c r="N642" t="n">
        <v>0</v>
      </c>
      <c r="O642" t="n">
        <v>0</v>
      </c>
      <c r="P642" t="n">
        <v>0</v>
      </c>
      <c r="Q642" t="n">
        <v>0</v>
      </c>
      <c r="R642" s="2" t="inlineStr"/>
    </row>
    <row r="643" ht="15" customHeight="1">
      <c r="A643" t="inlineStr">
        <is>
          <t>A 14859-2020</t>
        </is>
      </c>
      <c r="B643" s="1" t="n">
        <v>43909</v>
      </c>
      <c r="C643" s="1" t="n">
        <v>45670</v>
      </c>
      <c r="D643" t="inlineStr">
        <is>
          <t>VÄSTERNORRLANDS LÄN</t>
        </is>
      </c>
      <c r="E643" t="inlineStr">
        <is>
          <t>SOLLEFTEÅ</t>
        </is>
      </c>
      <c r="F643" t="inlineStr">
        <is>
          <t>SCA</t>
        </is>
      </c>
      <c r="G643" t="n">
        <v>5.8</v>
      </c>
      <c r="H643" t="n">
        <v>0</v>
      </c>
      <c r="I643" t="n">
        <v>0</v>
      </c>
      <c r="J643" t="n">
        <v>0</v>
      </c>
      <c r="K643" t="n">
        <v>0</v>
      </c>
      <c r="L643" t="n">
        <v>0</v>
      </c>
      <c r="M643" t="n">
        <v>0</v>
      </c>
      <c r="N643" t="n">
        <v>0</v>
      </c>
      <c r="O643" t="n">
        <v>0</v>
      </c>
      <c r="P643" t="n">
        <v>0</v>
      </c>
      <c r="Q643" t="n">
        <v>0</v>
      </c>
      <c r="R643" s="2" t="inlineStr"/>
    </row>
    <row r="644" ht="15" customHeight="1">
      <c r="A644" t="inlineStr">
        <is>
          <t>A 18515-2020</t>
        </is>
      </c>
      <c r="B644" s="1" t="n">
        <v>43927</v>
      </c>
      <c r="C644" s="1" t="n">
        <v>45670</v>
      </c>
      <c r="D644" t="inlineStr">
        <is>
          <t>VÄSTERNORRLANDS LÄN</t>
        </is>
      </c>
      <c r="E644" t="inlineStr">
        <is>
          <t>SOLLEFTEÅ</t>
        </is>
      </c>
      <c r="G644" t="n">
        <v>2.5</v>
      </c>
      <c r="H644" t="n">
        <v>0</v>
      </c>
      <c r="I644" t="n">
        <v>0</v>
      </c>
      <c r="J644" t="n">
        <v>0</v>
      </c>
      <c r="K644" t="n">
        <v>0</v>
      </c>
      <c r="L644" t="n">
        <v>0</v>
      </c>
      <c r="M644" t="n">
        <v>0</v>
      </c>
      <c r="N644" t="n">
        <v>0</v>
      </c>
      <c r="O644" t="n">
        <v>0</v>
      </c>
      <c r="P644" t="n">
        <v>0</v>
      </c>
      <c r="Q644" t="n">
        <v>0</v>
      </c>
      <c r="R644" s="2" t="inlineStr"/>
    </row>
    <row r="645" ht="15" customHeight="1">
      <c r="A645" t="inlineStr">
        <is>
          <t>A 18402-2020</t>
        </is>
      </c>
      <c r="B645" s="1" t="n">
        <v>43928</v>
      </c>
      <c r="C645" s="1" t="n">
        <v>45670</v>
      </c>
      <c r="D645" t="inlineStr">
        <is>
          <t>VÄSTERNORRLANDS LÄN</t>
        </is>
      </c>
      <c r="E645" t="inlineStr">
        <is>
          <t>SOLLEFTEÅ</t>
        </is>
      </c>
      <c r="F645" t="inlineStr">
        <is>
          <t>Kyrkan</t>
        </is>
      </c>
      <c r="G645" t="n">
        <v>2.2</v>
      </c>
      <c r="H645" t="n">
        <v>0</v>
      </c>
      <c r="I645" t="n">
        <v>0</v>
      </c>
      <c r="J645" t="n">
        <v>0</v>
      </c>
      <c r="K645" t="n">
        <v>0</v>
      </c>
      <c r="L645" t="n">
        <v>0</v>
      </c>
      <c r="M645" t="n">
        <v>0</v>
      </c>
      <c r="N645" t="n">
        <v>0</v>
      </c>
      <c r="O645" t="n">
        <v>0</v>
      </c>
      <c r="P645" t="n">
        <v>0</v>
      </c>
      <c r="Q645" t="n">
        <v>0</v>
      </c>
      <c r="R645" s="2" t="inlineStr"/>
    </row>
    <row r="646" ht="15" customHeight="1">
      <c r="A646" t="inlineStr">
        <is>
          <t>A 20164-2020</t>
        </is>
      </c>
      <c r="B646" s="1" t="n">
        <v>43944</v>
      </c>
      <c r="C646" s="1" t="n">
        <v>45670</v>
      </c>
      <c r="D646" t="inlineStr">
        <is>
          <t>VÄSTERNORRLANDS LÄN</t>
        </is>
      </c>
      <c r="E646" t="inlineStr">
        <is>
          <t>SOLLEFTEÅ</t>
        </is>
      </c>
      <c r="F646" t="inlineStr">
        <is>
          <t>Holmen skog AB</t>
        </is>
      </c>
      <c r="G646" t="n">
        <v>2</v>
      </c>
      <c r="H646" t="n">
        <v>0</v>
      </c>
      <c r="I646" t="n">
        <v>0</v>
      </c>
      <c r="J646" t="n">
        <v>0</v>
      </c>
      <c r="K646" t="n">
        <v>0</v>
      </c>
      <c r="L646" t="n">
        <v>0</v>
      </c>
      <c r="M646" t="n">
        <v>0</v>
      </c>
      <c r="N646" t="n">
        <v>0</v>
      </c>
      <c r="O646" t="n">
        <v>0</v>
      </c>
      <c r="P646" t="n">
        <v>0</v>
      </c>
      <c r="Q646" t="n">
        <v>0</v>
      </c>
      <c r="R646" s="2" t="inlineStr"/>
    </row>
    <row r="647" ht="15" customHeight="1">
      <c r="A647" t="inlineStr">
        <is>
          <t>A 20419-2020</t>
        </is>
      </c>
      <c r="B647" s="1" t="n">
        <v>43945</v>
      </c>
      <c r="C647" s="1" t="n">
        <v>45670</v>
      </c>
      <c r="D647" t="inlineStr">
        <is>
          <t>VÄSTERNORRLANDS LÄN</t>
        </is>
      </c>
      <c r="E647" t="inlineStr">
        <is>
          <t>SOLLEFTEÅ</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20861-2020</t>
        </is>
      </c>
      <c r="B648" s="1" t="n">
        <v>43948</v>
      </c>
      <c r="C648" s="1" t="n">
        <v>45670</v>
      </c>
      <c r="D648" t="inlineStr">
        <is>
          <t>VÄSTERNORRLANDS LÄN</t>
        </is>
      </c>
      <c r="E648" t="inlineStr">
        <is>
          <t>SOLLEFTEÅ</t>
        </is>
      </c>
      <c r="G648" t="n">
        <v>2.9</v>
      </c>
      <c r="H648" t="n">
        <v>0</v>
      </c>
      <c r="I648" t="n">
        <v>0</v>
      </c>
      <c r="J648" t="n">
        <v>0</v>
      </c>
      <c r="K648" t="n">
        <v>0</v>
      </c>
      <c r="L648" t="n">
        <v>0</v>
      </c>
      <c r="M648" t="n">
        <v>0</v>
      </c>
      <c r="N648" t="n">
        <v>0</v>
      </c>
      <c r="O648" t="n">
        <v>0</v>
      </c>
      <c r="P648" t="n">
        <v>0</v>
      </c>
      <c r="Q648" t="n">
        <v>0</v>
      </c>
      <c r="R648" s="2" t="inlineStr"/>
    </row>
    <row r="649" ht="15" customHeight="1">
      <c r="A649" t="inlineStr">
        <is>
          <t>A 21022-2020</t>
        </is>
      </c>
      <c r="B649" s="1" t="n">
        <v>43950</v>
      </c>
      <c r="C649" s="1" t="n">
        <v>45670</v>
      </c>
      <c r="D649" t="inlineStr">
        <is>
          <t>VÄSTERNORRLANDS LÄN</t>
        </is>
      </c>
      <c r="E649" t="inlineStr">
        <is>
          <t>SOLLEFTEÅ</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21097-2020</t>
        </is>
      </c>
      <c r="B650" s="1" t="n">
        <v>43950</v>
      </c>
      <c r="C650" s="1" t="n">
        <v>45670</v>
      </c>
      <c r="D650" t="inlineStr">
        <is>
          <t>VÄSTERNORRLANDS LÄN</t>
        </is>
      </c>
      <c r="E650" t="inlineStr">
        <is>
          <t>SOLLEFTEÅ</t>
        </is>
      </c>
      <c r="G650" t="n">
        <v>1</v>
      </c>
      <c r="H650" t="n">
        <v>0</v>
      </c>
      <c r="I650" t="n">
        <v>0</v>
      </c>
      <c r="J650" t="n">
        <v>0</v>
      </c>
      <c r="K650" t="n">
        <v>0</v>
      </c>
      <c r="L650" t="n">
        <v>0</v>
      </c>
      <c r="M650" t="n">
        <v>0</v>
      </c>
      <c r="N650" t="n">
        <v>0</v>
      </c>
      <c r="O650" t="n">
        <v>0</v>
      </c>
      <c r="P650" t="n">
        <v>0</v>
      </c>
      <c r="Q650" t="n">
        <v>0</v>
      </c>
      <c r="R650" s="2" t="inlineStr"/>
    </row>
    <row r="651" ht="15" customHeight="1">
      <c r="A651" t="inlineStr">
        <is>
          <t>A 21020-2020</t>
        </is>
      </c>
      <c r="B651" s="1" t="n">
        <v>43950</v>
      </c>
      <c r="C651" s="1" t="n">
        <v>45670</v>
      </c>
      <c r="D651" t="inlineStr">
        <is>
          <t>VÄSTERNORRLANDS LÄN</t>
        </is>
      </c>
      <c r="E651" t="inlineStr">
        <is>
          <t>SOLLEFTEÅ</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22371-2020</t>
        </is>
      </c>
      <c r="B652" s="1" t="n">
        <v>43957</v>
      </c>
      <c r="C652" s="1" t="n">
        <v>45670</v>
      </c>
      <c r="D652" t="inlineStr">
        <is>
          <t>VÄSTERNORRLANDS LÄN</t>
        </is>
      </c>
      <c r="E652" t="inlineStr">
        <is>
          <t>SOLLEFTEÅ</t>
        </is>
      </c>
      <c r="G652" t="n">
        <v>0.7</v>
      </c>
      <c r="H652" t="n">
        <v>0</v>
      </c>
      <c r="I652" t="n">
        <v>0</v>
      </c>
      <c r="J652" t="n">
        <v>0</v>
      </c>
      <c r="K652" t="n">
        <v>0</v>
      </c>
      <c r="L652" t="n">
        <v>0</v>
      </c>
      <c r="M652" t="n">
        <v>0</v>
      </c>
      <c r="N652" t="n">
        <v>0</v>
      </c>
      <c r="O652" t="n">
        <v>0</v>
      </c>
      <c r="P652" t="n">
        <v>0</v>
      </c>
      <c r="Q652" t="n">
        <v>0</v>
      </c>
      <c r="R652" s="2" t="inlineStr"/>
    </row>
    <row r="653" ht="15" customHeight="1">
      <c r="A653" t="inlineStr">
        <is>
          <t>A 22731-2020</t>
        </is>
      </c>
      <c r="B653" s="1" t="n">
        <v>43962</v>
      </c>
      <c r="C653" s="1" t="n">
        <v>45670</v>
      </c>
      <c r="D653" t="inlineStr">
        <is>
          <t>VÄSTERNORRLANDS LÄN</t>
        </is>
      </c>
      <c r="E653" t="inlineStr">
        <is>
          <t>SOLLEFTEÅ</t>
        </is>
      </c>
      <c r="G653" t="n">
        <v>16.8</v>
      </c>
      <c r="H653" t="n">
        <v>0</v>
      </c>
      <c r="I653" t="n">
        <v>0</v>
      </c>
      <c r="J653" t="n">
        <v>0</v>
      </c>
      <c r="K653" t="n">
        <v>0</v>
      </c>
      <c r="L653" t="n">
        <v>0</v>
      </c>
      <c r="M653" t="n">
        <v>0</v>
      </c>
      <c r="N653" t="n">
        <v>0</v>
      </c>
      <c r="O653" t="n">
        <v>0</v>
      </c>
      <c r="P653" t="n">
        <v>0</v>
      </c>
      <c r="Q653" t="n">
        <v>0</v>
      </c>
      <c r="R653" s="2" t="inlineStr"/>
    </row>
    <row r="654" ht="15" customHeight="1">
      <c r="A654" t="inlineStr">
        <is>
          <t>A 21607-2020</t>
        </is>
      </c>
      <c r="B654" s="1" t="n">
        <v>43963</v>
      </c>
      <c r="C654" s="1" t="n">
        <v>45670</v>
      </c>
      <c r="D654" t="inlineStr">
        <is>
          <t>VÄSTERNORRLANDS LÄN</t>
        </is>
      </c>
      <c r="E654" t="inlineStr">
        <is>
          <t>SOLLEFTEÅ</t>
        </is>
      </c>
      <c r="G654" t="n">
        <v>3.6</v>
      </c>
      <c r="H654" t="n">
        <v>0</v>
      </c>
      <c r="I654" t="n">
        <v>0</v>
      </c>
      <c r="J654" t="n">
        <v>0</v>
      </c>
      <c r="K654" t="n">
        <v>0</v>
      </c>
      <c r="L654" t="n">
        <v>0</v>
      </c>
      <c r="M654" t="n">
        <v>0</v>
      </c>
      <c r="N654" t="n">
        <v>0</v>
      </c>
      <c r="O654" t="n">
        <v>0</v>
      </c>
      <c r="P654" t="n">
        <v>0</v>
      </c>
      <c r="Q654" t="n">
        <v>0</v>
      </c>
      <c r="R654" s="2" t="inlineStr"/>
    </row>
    <row r="655" ht="15" customHeight="1">
      <c r="A655" t="inlineStr">
        <is>
          <t>A 22561-2020</t>
        </is>
      </c>
      <c r="B655" s="1" t="n">
        <v>43963</v>
      </c>
      <c r="C655" s="1" t="n">
        <v>45670</v>
      </c>
      <c r="D655" t="inlineStr">
        <is>
          <t>VÄSTERNORRLANDS LÄN</t>
        </is>
      </c>
      <c r="E655" t="inlineStr">
        <is>
          <t>SOLLEFTEÅ</t>
        </is>
      </c>
      <c r="G655" t="n">
        <v>8.6</v>
      </c>
      <c r="H655" t="n">
        <v>0</v>
      </c>
      <c r="I655" t="n">
        <v>0</v>
      </c>
      <c r="J655" t="n">
        <v>0</v>
      </c>
      <c r="K655" t="n">
        <v>0</v>
      </c>
      <c r="L655" t="n">
        <v>0</v>
      </c>
      <c r="M655" t="n">
        <v>0</v>
      </c>
      <c r="N655" t="n">
        <v>0</v>
      </c>
      <c r="O655" t="n">
        <v>0</v>
      </c>
      <c r="P655" t="n">
        <v>0</v>
      </c>
      <c r="Q655" t="n">
        <v>0</v>
      </c>
      <c r="R655" s="2" t="inlineStr"/>
    </row>
    <row r="656" ht="15" customHeight="1">
      <c r="A656" t="inlineStr">
        <is>
          <t>A 23231-2020</t>
        </is>
      </c>
      <c r="B656" s="1" t="n">
        <v>43966</v>
      </c>
      <c r="C656" s="1" t="n">
        <v>45670</v>
      </c>
      <c r="D656" t="inlineStr">
        <is>
          <t>VÄSTERNORRLANDS LÄN</t>
        </is>
      </c>
      <c r="E656" t="inlineStr">
        <is>
          <t>SOLLEFTEÅ</t>
        </is>
      </c>
      <c r="G656" t="n">
        <v>2</v>
      </c>
      <c r="H656" t="n">
        <v>0</v>
      </c>
      <c r="I656" t="n">
        <v>0</v>
      </c>
      <c r="J656" t="n">
        <v>0</v>
      </c>
      <c r="K656" t="n">
        <v>0</v>
      </c>
      <c r="L656" t="n">
        <v>0</v>
      </c>
      <c r="M656" t="n">
        <v>0</v>
      </c>
      <c r="N656" t="n">
        <v>0</v>
      </c>
      <c r="O656" t="n">
        <v>0</v>
      </c>
      <c r="P656" t="n">
        <v>0</v>
      </c>
      <c r="Q656" t="n">
        <v>0</v>
      </c>
      <c r="R656" s="2" t="inlineStr"/>
    </row>
    <row r="657" ht="15" customHeight="1">
      <c r="A657" t="inlineStr">
        <is>
          <t>A 23638-2020</t>
        </is>
      </c>
      <c r="B657" s="1" t="n">
        <v>43969</v>
      </c>
      <c r="C657" s="1" t="n">
        <v>45670</v>
      </c>
      <c r="D657" t="inlineStr">
        <is>
          <t>VÄSTERNORRLANDS LÄN</t>
        </is>
      </c>
      <c r="E657" t="inlineStr">
        <is>
          <t>SOLLEFTEÅ</t>
        </is>
      </c>
      <c r="G657" t="n">
        <v>8.9</v>
      </c>
      <c r="H657" t="n">
        <v>0</v>
      </c>
      <c r="I657" t="n">
        <v>0</v>
      </c>
      <c r="J657" t="n">
        <v>0</v>
      </c>
      <c r="K657" t="n">
        <v>0</v>
      </c>
      <c r="L657" t="n">
        <v>0</v>
      </c>
      <c r="M657" t="n">
        <v>0</v>
      </c>
      <c r="N657" t="n">
        <v>0</v>
      </c>
      <c r="O657" t="n">
        <v>0</v>
      </c>
      <c r="P657" t="n">
        <v>0</v>
      </c>
      <c r="Q657" t="n">
        <v>0</v>
      </c>
      <c r="R657" s="2" t="inlineStr"/>
    </row>
    <row r="658" ht="15" customHeight="1">
      <c r="A658" t="inlineStr">
        <is>
          <t>A 24060-2020</t>
        </is>
      </c>
      <c r="B658" s="1" t="n">
        <v>43971</v>
      </c>
      <c r="C658" s="1" t="n">
        <v>45670</v>
      </c>
      <c r="D658" t="inlineStr">
        <is>
          <t>VÄSTERNORRLANDS LÄN</t>
        </is>
      </c>
      <c r="E658" t="inlineStr">
        <is>
          <t>SOLLEFTEÅ</t>
        </is>
      </c>
      <c r="G658" t="n">
        <v>16.3</v>
      </c>
      <c r="H658" t="n">
        <v>0</v>
      </c>
      <c r="I658" t="n">
        <v>0</v>
      </c>
      <c r="J658" t="n">
        <v>0</v>
      </c>
      <c r="K658" t="n">
        <v>0</v>
      </c>
      <c r="L658" t="n">
        <v>0</v>
      </c>
      <c r="M658" t="n">
        <v>0</v>
      </c>
      <c r="N658" t="n">
        <v>0</v>
      </c>
      <c r="O658" t="n">
        <v>0</v>
      </c>
      <c r="P658" t="n">
        <v>0</v>
      </c>
      <c r="Q658" t="n">
        <v>0</v>
      </c>
      <c r="R658" s="2" t="inlineStr"/>
    </row>
    <row r="659" ht="15" customHeight="1">
      <c r="A659" t="inlineStr">
        <is>
          <t>A 24062-2020</t>
        </is>
      </c>
      <c r="B659" s="1" t="n">
        <v>43971</v>
      </c>
      <c r="C659" s="1" t="n">
        <v>45670</v>
      </c>
      <c r="D659" t="inlineStr">
        <is>
          <t>VÄSTERNORRLANDS LÄN</t>
        </is>
      </c>
      <c r="E659" t="inlineStr">
        <is>
          <t>SOLLEFTEÅ</t>
        </is>
      </c>
      <c r="G659" t="n">
        <v>1.6</v>
      </c>
      <c r="H659" t="n">
        <v>0</v>
      </c>
      <c r="I659" t="n">
        <v>0</v>
      </c>
      <c r="J659" t="n">
        <v>0</v>
      </c>
      <c r="K659" t="n">
        <v>0</v>
      </c>
      <c r="L659" t="n">
        <v>0</v>
      </c>
      <c r="M659" t="n">
        <v>0</v>
      </c>
      <c r="N659" t="n">
        <v>0</v>
      </c>
      <c r="O659" t="n">
        <v>0</v>
      </c>
      <c r="P659" t="n">
        <v>0</v>
      </c>
      <c r="Q659" t="n">
        <v>0</v>
      </c>
      <c r="R659" s="2" t="inlineStr"/>
    </row>
    <row r="660" ht="15" customHeight="1">
      <c r="A660" t="inlineStr">
        <is>
          <t>A 24061-2020</t>
        </is>
      </c>
      <c r="B660" s="1" t="n">
        <v>43971</v>
      </c>
      <c r="C660" s="1" t="n">
        <v>45670</v>
      </c>
      <c r="D660" t="inlineStr">
        <is>
          <t>VÄSTERNORRLANDS LÄN</t>
        </is>
      </c>
      <c r="E660" t="inlineStr">
        <is>
          <t>SOLLEFTEÅ</t>
        </is>
      </c>
      <c r="G660" t="n">
        <v>5.7</v>
      </c>
      <c r="H660" t="n">
        <v>0</v>
      </c>
      <c r="I660" t="n">
        <v>0</v>
      </c>
      <c r="J660" t="n">
        <v>0</v>
      </c>
      <c r="K660" t="n">
        <v>0</v>
      </c>
      <c r="L660" t="n">
        <v>0</v>
      </c>
      <c r="M660" t="n">
        <v>0</v>
      </c>
      <c r="N660" t="n">
        <v>0</v>
      </c>
      <c r="O660" t="n">
        <v>0</v>
      </c>
      <c r="P660" t="n">
        <v>0</v>
      </c>
      <c r="Q660" t="n">
        <v>0</v>
      </c>
      <c r="R660" s="2" t="inlineStr"/>
    </row>
    <row r="661" ht="15" customHeight="1">
      <c r="A661" t="inlineStr">
        <is>
          <t>A 25100-2020</t>
        </is>
      </c>
      <c r="B661" s="1" t="n">
        <v>43979</v>
      </c>
      <c r="C661" s="1" t="n">
        <v>45670</v>
      </c>
      <c r="D661" t="inlineStr">
        <is>
          <t>VÄSTERNORRLANDS LÄN</t>
        </is>
      </c>
      <c r="E661" t="inlineStr">
        <is>
          <t>SOLLEFTEÅ</t>
        </is>
      </c>
      <c r="G661" t="n">
        <v>4.7</v>
      </c>
      <c r="H661" t="n">
        <v>0</v>
      </c>
      <c r="I661" t="n">
        <v>0</v>
      </c>
      <c r="J661" t="n">
        <v>0</v>
      </c>
      <c r="K661" t="n">
        <v>0</v>
      </c>
      <c r="L661" t="n">
        <v>0</v>
      </c>
      <c r="M661" t="n">
        <v>0</v>
      </c>
      <c r="N661" t="n">
        <v>0</v>
      </c>
      <c r="O661" t="n">
        <v>0</v>
      </c>
      <c r="P661" t="n">
        <v>0</v>
      </c>
      <c r="Q661" t="n">
        <v>0</v>
      </c>
      <c r="R661" s="2" t="inlineStr"/>
    </row>
    <row r="662" ht="15" customHeight="1">
      <c r="A662" t="inlineStr">
        <is>
          <t>A 26189-2020</t>
        </is>
      </c>
      <c r="B662" s="1" t="n">
        <v>43985</v>
      </c>
      <c r="C662" s="1" t="n">
        <v>45670</v>
      </c>
      <c r="D662" t="inlineStr">
        <is>
          <t>VÄSTERNORRLANDS LÄN</t>
        </is>
      </c>
      <c r="E662" t="inlineStr">
        <is>
          <t>SOLLEFTEÅ</t>
        </is>
      </c>
      <c r="F662" t="inlineStr">
        <is>
          <t>SCA</t>
        </is>
      </c>
      <c r="G662" t="n">
        <v>4.3</v>
      </c>
      <c r="H662" t="n">
        <v>0</v>
      </c>
      <c r="I662" t="n">
        <v>0</v>
      </c>
      <c r="J662" t="n">
        <v>0</v>
      </c>
      <c r="K662" t="n">
        <v>0</v>
      </c>
      <c r="L662" t="n">
        <v>0</v>
      </c>
      <c r="M662" t="n">
        <v>0</v>
      </c>
      <c r="N662" t="n">
        <v>0</v>
      </c>
      <c r="O662" t="n">
        <v>0</v>
      </c>
      <c r="P662" t="n">
        <v>0</v>
      </c>
      <c r="Q662" t="n">
        <v>0</v>
      </c>
      <c r="R662" s="2" t="inlineStr"/>
    </row>
    <row r="663" ht="15" customHeight="1">
      <c r="A663" t="inlineStr">
        <is>
          <t>A 26249-2020</t>
        </is>
      </c>
      <c r="B663" s="1" t="n">
        <v>43986</v>
      </c>
      <c r="C663" s="1" t="n">
        <v>45670</v>
      </c>
      <c r="D663" t="inlineStr">
        <is>
          <t>VÄSTERNORRLANDS LÄN</t>
        </is>
      </c>
      <c r="E663" t="inlineStr">
        <is>
          <t>SOLLEFTEÅ</t>
        </is>
      </c>
      <c r="G663" t="n">
        <v>0.7</v>
      </c>
      <c r="H663" t="n">
        <v>0</v>
      </c>
      <c r="I663" t="n">
        <v>0</v>
      </c>
      <c r="J663" t="n">
        <v>0</v>
      </c>
      <c r="K663" t="n">
        <v>0</v>
      </c>
      <c r="L663" t="n">
        <v>0</v>
      </c>
      <c r="M663" t="n">
        <v>0</v>
      </c>
      <c r="N663" t="n">
        <v>0</v>
      </c>
      <c r="O663" t="n">
        <v>0</v>
      </c>
      <c r="P663" t="n">
        <v>0</v>
      </c>
      <c r="Q663" t="n">
        <v>0</v>
      </c>
      <c r="R663" s="2" t="inlineStr"/>
    </row>
    <row r="664" ht="15" customHeight="1">
      <c r="A664" t="inlineStr">
        <is>
          <t>A 27199-2020</t>
        </is>
      </c>
      <c r="B664" s="1" t="n">
        <v>43991</v>
      </c>
      <c r="C664" s="1" t="n">
        <v>45670</v>
      </c>
      <c r="D664" t="inlineStr">
        <is>
          <t>VÄSTERNORRLANDS LÄN</t>
        </is>
      </c>
      <c r="E664" t="inlineStr">
        <is>
          <t>SOLLEFTEÅ</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27209-2020</t>
        </is>
      </c>
      <c r="B665" s="1" t="n">
        <v>43991</v>
      </c>
      <c r="C665" s="1" t="n">
        <v>45670</v>
      </c>
      <c r="D665" t="inlineStr">
        <is>
          <t>VÄSTERNORRLANDS LÄN</t>
        </is>
      </c>
      <c r="E665" t="inlineStr">
        <is>
          <t>SOLLEFTEÅ</t>
        </is>
      </c>
      <c r="F665" t="inlineStr">
        <is>
          <t>SCA</t>
        </is>
      </c>
      <c r="G665" t="n">
        <v>15.7</v>
      </c>
      <c r="H665" t="n">
        <v>0</v>
      </c>
      <c r="I665" t="n">
        <v>0</v>
      </c>
      <c r="J665" t="n">
        <v>0</v>
      </c>
      <c r="K665" t="n">
        <v>0</v>
      </c>
      <c r="L665" t="n">
        <v>0</v>
      </c>
      <c r="M665" t="n">
        <v>0</v>
      </c>
      <c r="N665" t="n">
        <v>0</v>
      </c>
      <c r="O665" t="n">
        <v>0</v>
      </c>
      <c r="P665" t="n">
        <v>0</v>
      </c>
      <c r="Q665" t="n">
        <v>0</v>
      </c>
      <c r="R665" s="2" t="inlineStr"/>
    </row>
    <row r="666" ht="15" customHeight="1">
      <c r="A666" t="inlineStr">
        <is>
          <t>A 28489-2020</t>
        </is>
      </c>
      <c r="B666" s="1" t="n">
        <v>43998</v>
      </c>
      <c r="C666" s="1" t="n">
        <v>45670</v>
      </c>
      <c r="D666" t="inlineStr">
        <is>
          <t>VÄSTERNORRLANDS LÄN</t>
        </is>
      </c>
      <c r="E666" t="inlineStr">
        <is>
          <t>SOLLEFTEÅ</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28486-2020</t>
        </is>
      </c>
      <c r="B667" s="1" t="n">
        <v>43999</v>
      </c>
      <c r="C667" s="1" t="n">
        <v>45670</v>
      </c>
      <c r="D667" t="inlineStr">
        <is>
          <t>VÄSTERNORRLANDS LÄN</t>
        </is>
      </c>
      <c r="E667" t="inlineStr">
        <is>
          <t>SOLLEFTEÅ</t>
        </is>
      </c>
      <c r="G667" t="n">
        <v>1.7</v>
      </c>
      <c r="H667" t="n">
        <v>0</v>
      </c>
      <c r="I667" t="n">
        <v>0</v>
      </c>
      <c r="J667" t="n">
        <v>0</v>
      </c>
      <c r="K667" t="n">
        <v>0</v>
      </c>
      <c r="L667" t="n">
        <v>0</v>
      </c>
      <c r="M667" t="n">
        <v>0</v>
      </c>
      <c r="N667" t="n">
        <v>0</v>
      </c>
      <c r="O667" t="n">
        <v>0</v>
      </c>
      <c r="P667" t="n">
        <v>0</v>
      </c>
      <c r="Q667" t="n">
        <v>0</v>
      </c>
      <c r="R667" s="2" t="inlineStr"/>
    </row>
    <row r="668" ht="15" customHeight="1">
      <c r="A668" t="inlineStr">
        <is>
          <t>A 29648-2020</t>
        </is>
      </c>
      <c r="B668" s="1" t="n">
        <v>44004</v>
      </c>
      <c r="C668" s="1" t="n">
        <v>45670</v>
      </c>
      <c r="D668" t="inlineStr">
        <is>
          <t>VÄSTERNORRLANDS LÄN</t>
        </is>
      </c>
      <c r="E668" t="inlineStr">
        <is>
          <t>SOLLEFTEÅ</t>
        </is>
      </c>
      <c r="G668" t="n">
        <v>0.9</v>
      </c>
      <c r="H668" t="n">
        <v>0</v>
      </c>
      <c r="I668" t="n">
        <v>0</v>
      </c>
      <c r="J668" t="n">
        <v>0</v>
      </c>
      <c r="K668" t="n">
        <v>0</v>
      </c>
      <c r="L668" t="n">
        <v>0</v>
      </c>
      <c r="M668" t="n">
        <v>0</v>
      </c>
      <c r="N668" t="n">
        <v>0</v>
      </c>
      <c r="O668" t="n">
        <v>0</v>
      </c>
      <c r="P668" t="n">
        <v>0</v>
      </c>
      <c r="Q668" t="n">
        <v>0</v>
      </c>
      <c r="R668" s="2" t="inlineStr"/>
    </row>
    <row r="669" ht="15" customHeight="1">
      <c r="A669" t="inlineStr">
        <is>
          <t>A 29503-2020</t>
        </is>
      </c>
      <c r="B669" s="1" t="n">
        <v>44005</v>
      </c>
      <c r="C669" s="1" t="n">
        <v>45670</v>
      </c>
      <c r="D669" t="inlineStr">
        <is>
          <t>VÄSTERNORRLANDS LÄN</t>
        </is>
      </c>
      <c r="E669" t="inlineStr">
        <is>
          <t>SOLLEFTEÅ</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29825-2020</t>
        </is>
      </c>
      <c r="B670" s="1" t="n">
        <v>44005</v>
      </c>
      <c r="C670" s="1" t="n">
        <v>45670</v>
      </c>
      <c r="D670" t="inlineStr">
        <is>
          <t>VÄSTERNORRLANDS LÄN</t>
        </is>
      </c>
      <c r="E670" t="inlineStr">
        <is>
          <t>SOLLEFTEÅ</t>
        </is>
      </c>
      <c r="G670" t="n">
        <v>2.2</v>
      </c>
      <c r="H670" t="n">
        <v>0</v>
      </c>
      <c r="I670" t="n">
        <v>0</v>
      </c>
      <c r="J670" t="n">
        <v>0</v>
      </c>
      <c r="K670" t="n">
        <v>0</v>
      </c>
      <c r="L670" t="n">
        <v>0</v>
      </c>
      <c r="M670" t="n">
        <v>0</v>
      </c>
      <c r="N670" t="n">
        <v>0</v>
      </c>
      <c r="O670" t="n">
        <v>0</v>
      </c>
      <c r="P670" t="n">
        <v>0</v>
      </c>
      <c r="Q670" t="n">
        <v>0</v>
      </c>
      <c r="R670" s="2" t="inlineStr"/>
    </row>
    <row r="671" ht="15" customHeight="1">
      <c r="A671" t="inlineStr">
        <is>
          <t>A 29801-2020</t>
        </is>
      </c>
      <c r="B671" s="1" t="n">
        <v>44005</v>
      </c>
      <c r="C671" s="1" t="n">
        <v>45670</v>
      </c>
      <c r="D671" t="inlineStr">
        <is>
          <t>VÄSTERNORRLANDS LÄN</t>
        </is>
      </c>
      <c r="E671" t="inlineStr">
        <is>
          <t>SOLLEFTEÅ</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30492-2020</t>
        </is>
      </c>
      <c r="B672" s="1" t="n">
        <v>44007</v>
      </c>
      <c r="C672" s="1" t="n">
        <v>45670</v>
      </c>
      <c r="D672" t="inlineStr">
        <is>
          <t>VÄSTERNORRLANDS LÄN</t>
        </is>
      </c>
      <c r="E672" t="inlineStr">
        <is>
          <t>SOLLEFTEÅ</t>
        </is>
      </c>
      <c r="F672" t="inlineStr">
        <is>
          <t>SCA</t>
        </is>
      </c>
      <c r="G672" t="n">
        <v>4.1</v>
      </c>
      <c r="H672" t="n">
        <v>0</v>
      </c>
      <c r="I672" t="n">
        <v>0</v>
      </c>
      <c r="J672" t="n">
        <v>0</v>
      </c>
      <c r="K672" t="n">
        <v>0</v>
      </c>
      <c r="L672" t="n">
        <v>0</v>
      </c>
      <c r="M672" t="n">
        <v>0</v>
      </c>
      <c r="N672" t="n">
        <v>0</v>
      </c>
      <c r="O672" t="n">
        <v>0</v>
      </c>
      <c r="P672" t="n">
        <v>0</v>
      </c>
      <c r="Q672" t="n">
        <v>0</v>
      </c>
      <c r="R672" s="2" t="inlineStr"/>
    </row>
    <row r="673" ht="15" customHeight="1">
      <c r="A673" t="inlineStr">
        <is>
          <t>A 30484-2020</t>
        </is>
      </c>
      <c r="B673" s="1" t="n">
        <v>44007</v>
      </c>
      <c r="C673" s="1" t="n">
        <v>45670</v>
      </c>
      <c r="D673" t="inlineStr">
        <is>
          <t>VÄSTERNORRLANDS LÄN</t>
        </is>
      </c>
      <c r="E673" t="inlineStr">
        <is>
          <t>SOLLEFTEÅ</t>
        </is>
      </c>
      <c r="F673" t="inlineStr">
        <is>
          <t>SCA</t>
        </is>
      </c>
      <c r="G673" t="n">
        <v>3.3</v>
      </c>
      <c r="H673" t="n">
        <v>0</v>
      </c>
      <c r="I673" t="n">
        <v>0</v>
      </c>
      <c r="J673" t="n">
        <v>0</v>
      </c>
      <c r="K673" t="n">
        <v>0</v>
      </c>
      <c r="L673" t="n">
        <v>0</v>
      </c>
      <c r="M673" t="n">
        <v>0</v>
      </c>
      <c r="N673" t="n">
        <v>0</v>
      </c>
      <c r="O673" t="n">
        <v>0</v>
      </c>
      <c r="P673" t="n">
        <v>0</v>
      </c>
      <c r="Q673" t="n">
        <v>0</v>
      </c>
      <c r="R673" s="2" t="inlineStr"/>
    </row>
    <row r="674" ht="15" customHeight="1">
      <c r="A674" t="inlineStr">
        <is>
          <t>A 30753-2020</t>
        </is>
      </c>
      <c r="B674" s="1" t="n">
        <v>44008</v>
      </c>
      <c r="C674" s="1" t="n">
        <v>45670</v>
      </c>
      <c r="D674" t="inlineStr">
        <is>
          <t>VÄSTERNORRLANDS LÄN</t>
        </is>
      </c>
      <c r="E674" t="inlineStr">
        <is>
          <t>SOLLEFTEÅ</t>
        </is>
      </c>
      <c r="F674" t="inlineStr">
        <is>
          <t>SCA</t>
        </is>
      </c>
      <c r="G674" t="n">
        <v>10.7</v>
      </c>
      <c r="H674" t="n">
        <v>0</v>
      </c>
      <c r="I674" t="n">
        <v>0</v>
      </c>
      <c r="J674" t="n">
        <v>0</v>
      </c>
      <c r="K674" t="n">
        <v>0</v>
      </c>
      <c r="L674" t="n">
        <v>0</v>
      </c>
      <c r="M674" t="n">
        <v>0</v>
      </c>
      <c r="N674" t="n">
        <v>0</v>
      </c>
      <c r="O674" t="n">
        <v>0</v>
      </c>
      <c r="P674" t="n">
        <v>0</v>
      </c>
      <c r="Q674" t="n">
        <v>0</v>
      </c>
      <c r="R674" s="2" t="inlineStr"/>
    </row>
    <row r="675" ht="15" customHeight="1">
      <c r="A675" t="inlineStr">
        <is>
          <t>A 30747-2020</t>
        </is>
      </c>
      <c r="B675" s="1" t="n">
        <v>44008</v>
      </c>
      <c r="C675" s="1" t="n">
        <v>45670</v>
      </c>
      <c r="D675" t="inlineStr">
        <is>
          <t>VÄSTERNORRLANDS LÄN</t>
        </is>
      </c>
      <c r="E675" t="inlineStr">
        <is>
          <t>SOLLEFTEÅ</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30802-2020</t>
        </is>
      </c>
      <c r="B676" s="1" t="n">
        <v>44011</v>
      </c>
      <c r="C676" s="1" t="n">
        <v>45670</v>
      </c>
      <c r="D676" t="inlineStr">
        <is>
          <t>VÄSTERNORRLANDS LÄN</t>
        </is>
      </c>
      <c r="E676" t="inlineStr">
        <is>
          <t>SOLLEFTEÅ</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31313-2020</t>
        </is>
      </c>
      <c r="B677" s="1" t="n">
        <v>44012</v>
      </c>
      <c r="C677" s="1" t="n">
        <v>45670</v>
      </c>
      <c r="D677" t="inlineStr">
        <is>
          <t>VÄSTERNORRLANDS LÄN</t>
        </is>
      </c>
      <c r="E677" t="inlineStr">
        <is>
          <t>SOLLEFTEÅ</t>
        </is>
      </c>
      <c r="F677" t="inlineStr">
        <is>
          <t>SCA</t>
        </is>
      </c>
      <c r="G677" t="n">
        <v>6.9</v>
      </c>
      <c r="H677" t="n">
        <v>0</v>
      </c>
      <c r="I677" t="n">
        <v>0</v>
      </c>
      <c r="J677" t="n">
        <v>0</v>
      </c>
      <c r="K677" t="n">
        <v>0</v>
      </c>
      <c r="L677" t="n">
        <v>0</v>
      </c>
      <c r="M677" t="n">
        <v>0</v>
      </c>
      <c r="N677" t="n">
        <v>0</v>
      </c>
      <c r="O677" t="n">
        <v>0</v>
      </c>
      <c r="P677" t="n">
        <v>0</v>
      </c>
      <c r="Q677" t="n">
        <v>0</v>
      </c>
      <c r="R677" s="2" t="inlineStr"/>
    </row>
    <row r="678" ht="15" customHeight="1">
      <c r="A678" t="inlineStr">
        <is>
          <t>A 32013-2020</t>
        </is>
      </c>
      <c r="B678" s="1" t="n">
        <v>44015</v>
      </c>
      <c r="C678" s="1" t="n">
        <v>45670</v>
      </c>
      <c r="D678" t="inlineStr">
        <is>
          <t>VÄSTERNORRLANDS LÄN</t>
        </is>
      </c>
      <c r="E678" t="inlineStr">
        <is>
          <t>SOLLEFTEÅ</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32325-2020</t>
        </is>
      </c>
      <c r="B679" s="1" t="n">
        <v>44016</v>
      </c>
      <c r="C679" s="1" t="n">
        <v>45670</v>
      </c>
      <c r="D679" t="inlineStr">
        <is>
          <t>VÄSTERNORRLANDS LÄN</t>
        </is>
      </c>
      <c r="E679" t="inlineStr">
        <is>
          <t>SOLLEFTEÅ</t>
        </is>
      </c>
      <c r="G679" t="n">
        <v>1.5</v>
      </c>
      <c r="H679" t="n">
        <v>0</v>
      </c>
      <c r="I679" t="n">
        <v>0</v>
      </c>
      <c r="J679" t="n">
        <v>0</v>
      </c>
      <c r="K679" t="n">
        <v>0</v>
      </c>
      <c r="L679" t="n">
        <v>0</v>
      </c>
      <c r="M679" t="n">
        <v>0</v>
      </c>
      <c r="N679" t="n">
        <v>0</v>
      </c>
      <c r="O679" t="n">
        <v>0</v>
      </c>
      <c r="P679" t="n">
        <v>0</v>
      </c>
      <c r="Q679" t="n">
        <v>0</v>
      </c>
      <c r="R679" s="2" t="inlineStr"/>
    </row>
    <row r="680" ht="15" customHeight="1">
      <c r="A680" t="inlineStr">
        <is>
          <t>A 32461-2020</t>
        </is>
      </c>
      <c r="B680" s="1" t="n">
        <v>44015</v>
      </c>
      <c r="C680" s="1" t="n">
        <v>45670</v>
      </c>
      <c r="D680" t="inlineStr">
        <is>
          <t>VÄSTERNORRLANDS LÄN</t>
        </is>
      </c>
      <c r="E680" t="inlineStr">
        <is>
          <t>SOLLEFTEÅ</t>
        </is>
      </c>
      <c r="G680" t="n">
        <v>3.7</v>
      </c>
      <c r="H680" t="n">
        <v>0</v>
      </c>
      <c r="I680" t="n">
        <v>0</v>
      </c>
      <c r="J680" t="n">
        <v>0</v>
      </c>
      <c r="K680" t="n">
        <v>0</v>
      </c>
      <c r="L680" t="n">
        <v>0</v>
      </c>
      <c r="M680" t="n">
        <v>0</v>
      </c>
      <c r="N680" t="n">
        <v>0</v>
      </c>
      <c r="O680" t="n">
        <v>0</v>
      </c>
      <c r="P680" t="n">
        <v>0</v>
      </c>
      <c r="Q680" t="n">
        <v>0</v>
      </c>
      <c r="R680" s="2" t="inlineStr"/>
    </row>
    <row r="681" ht="15" customHeight="1">
      <c r="A681" t="inlineStr">
        <is>
          <t>A 32318-2020</t>
        </is>
      </c>
      <c r="B681" s="1" t="n">
        <v>44015</v>
      </c>
      <c r="C681" s="1" t="n">
        <v>45670</v>
      </c>
      <c r="D681" t="inlineStr">
        <is>
          <t>VÄSTERNORRLANDS LÄN</t>
        </is>
      </c>
      <c r="E681" t="inlineStr">
        <is>
          <t>SOLLEFTEÅ</t>
        </is>
      </c>
      <c r="G681" t="n">
        <v>1.6</v>
      </c>
      <c r="H681" t="n">
        <v>0</v>
      </c>
      <c r="I681" t="n">
        <v>0</v>
      </c>
      <c r="J681" t="n">
        <v>0</v>
      </c>
      <c r="K681" t="n">
        <v>0</v>
      </c>
      <c r="L681" t="n">
        <v>0</v>
      </c>
      <c r="M681" t="n">
        <v>0</v>
      </c>
      <c r="N681" t="n">
        <v>0</v>
      </c>
      <c r="O681" t="n">
        <v>0</v>
      </c>
      <c r="P681" t="n">
        <v>0</v>
      </c>
      <c r="Q681" t="n">
        <v>0</v>
      </c>
      <c r="R681" s="2" t="inlineStr"/>
    </row>
    <row r="682" ht="15" customHeight="1">
      <c r="A682" t="inlineStr">
        <is>
          <t>A 32919-2020</t>
        </is>
      </c>
      <c r="B682" s="1" t="n">
        <v>44018</v>
      </c>
      <c r="C682" s="1" t="n">
        <v>45670</v>
      </c>
      <c r="D682" t="inlineStr">
        <is>
          <t>VÄSTERNORRLANDS LÄN</t>
        </is>
      </c>
      <c r="E682" t="inlineStr">
        <is>
          <t>SOLLEFTEÅ</t>
        </is>
      </c>
      <c r="G682" t="n">
        <v>5.5</v>
      </c>
      <c r="H682" t="n">
        <v>0</v>
      </c>
      <c r="I682" t="n">
        <v>0</v>
      </c>
      <c r="J682" t="n">
        <v>0</v>
      </c>
      <c r="K682" t="n">
        <v>0</v>
      </c>
      <c r="L682" t="n">
        <v>0</v>
      </c>
      <c r="M682" t="n">
        <v>0</v>
      </c>
      <c r="N682" t="n">
        <v>0</v>
      </c>
      <c r="O682" t="n">
        <v>0</v>
      </c>
      <c r="P682" t="n">
        <v>0</v>
      </c>
      <c r="Q682" t="n">
        <v>0</v>
      </c>
      <c r="R682" s="2" t="inlineStr"/>
    </row>
    <row r="683" ht="15" customHeight="1">
      <c r="A683" t="inlineStr">
        <is>
          <t>A 32929-2020</t>
        </is>
      </c>
      <c r="B683" s="1" t="n">
        <v>44018</v>
      </c>
      <c r="C683" s="1" t="n">
        <v>45670</v>
      </c>
      <c r="D683" t="inlineStr">
        <is>
          <t>VÄSTERNORRLANDS LÄN</t>
        </is>
      </c>
      <c r="E683" t="inlineStr">
        <is>
          <t>SOLLEFTEÅ</t>
        </is>
      </c>
      <c r="G683" t="n">
        <v>2.3</v>
      </c>
      <c r="H683" t="n">
        <v>0</v>
      </c>
      <c r="I683" t="n">
        <v>0</v>
      </c>
      <c r="J683" t="n">
        <v>0</v>
      </c>
      <c r="K683" t="n">
        <v>0</v>
      </c>
      <c r="L683" t="n">
        <v>0</v>
      </c>
      <c r="M683" t="n">
        <v>0</v>
      </c>
      <c r="N683" t="n">
        <v>0</v>
      </c>
      <c r="O683" t="n">
        <v>0</v>
      </c>
      <c r="P683" t="n">
        <v>0</v>
      </c>
      <c r="Q683" t="n">
        <v>0</v>
      </c>
      <c r="R683" s="2" t="inlineStr"/>
    </row>
    <row r="684" ht="15" customHeight="1">
      <c r="A684" t="inlineStr">
        <is>
          <t>A 32924-2020</t>
        </is>
      </c>
      <c r="B684" s="1" t="n">
        <v>44018</v>
      </c>
      <c r="C684" s="1" t="n">
        <v>45670</v>
      </c>
      <c r="D684" t="inlineStr">
        <is>
          <t>VÄSTERNORRLANDS LÄN</t>
        </is>
      </c>
      <c r="E684" t="inlineStr">
        <is>
          <t>SOLLEFTEÅ</t>
        </is>
      </c>
      <c r="G684" t="n">
        <v>2.8</v>
      </c>
      <c r="H684" t="n">
        <v>0</v>
      </c>
      <c r="I684" t="n">
        <v>0</v>
      </c>
      <c r="J684" t="n">
        <v>0</v>
      </c>
      <c r="K684" t="n">
        <v>0</v>
      </c>
      <c r="L684" t="n">
        <v>0</v>
      </c>
      <c r="M684" t="n">
        <v>0</v>
      </c>
      <c r="N684" t="n">
        <v>0</v>
      </c>
      <c r="O684" t="n">
        <v>0</v>
      </c>
      <c r="P684" t="n">
        <v>0</v>
      </c>
      <c r="Q684" t="n">
        <v>0</v>
      </c>
      <c r="R684" s="2" t="inlineStr"/>
    </row>
    <row r="685" ht="15" customHeight="1">
      <c r="A685" t="inlineStr">
        <is>
          <t>A 32742-2020</t>
        </is>
      </c>
      <c r="B685" s="1" t="n">
        <v>44019</v>
      </c>
      <c r="C685" s="1" t="n">
        <v>45670</v>
      </c>
      <c r="D685" t="inlineStr">
        <is>
          <t>VÄSTERNORRLANDS LÄN</t>
        </is>
      </c>
      <c r="E685" t="inlineStr">
        <is>
          <t>SOLLEFTEÅ</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33013-2020</t>
        </is>
      </c>
      <c r="B686" s="1" t="n">
        <v>44020</v>
      </c>
      <c r="C686" s="1" t="n">
        <v>45670</v>
      </c>
      <c r="D686" t="inlineStr">
        <is>
          <t>VÄSTERNORRLANDS LÄN</t>
        </is>
      </c>
      <c r="E686" t="inlineStr">
        <is>
          <t>SOLLEFTEÅ</t>
        </is>
      </c>
      <c r="F686" t="inlineStr">
        <is>
          <t>SCA</t>
        </is>
      </c>
      <c r="G686" t="n">
        <v>6.6</v>
      </c>
      <c r="H686" t="n">
        <v>0</v>
      </c>
      <c r="I686" t="n">
        <v>0</v>
      </c>
      <c r="J686" t="n">
        <v>0</v>
      </c>
      <c r="K686" t="n">
        <v>0</v>
      </c>
      <c r="L686" t="n">
        <v>0</v>
      </c>
      <c r="M686" t="n">
        <v>0</v>
      </c>
      <c r="N686" t="n">
        <v>0</v>
      </c>
      <c r="O686" t="n">
        <v>0</v>
      </c>
      <c r="P686" t="n">
        <v>0</v>
      </c>
      <c r="Q686" t="n">
        <v>0</v>
      </c>
      <c r="R686" s="2" t="inlineStr"/>
    </row>
    <row r="687" ht="15" customHeight="1">
      <c r="A687" t="inlineStr">
        <is>
          <t>A 33009-2020</t>
        </is>
      </c>
      <c r="B687" s="1" t="n">
        <v>44020</v>
      </c>
      <c r="C687" s="1" t="n">
        <v>45670</v>
      </c>
      <c r="D687" t="inlineStr">
        <is>
          <t>VÄSTERNORRLANDS LÄN</t>
        </is>
      </c>
      <c r="E687" t="inlineStr">
        <is>
          <t>SOLLEFTEÅ</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33014-2020</t>
        </is>
      </c>
      <c r="B688" s="1" t="n">
        <v>44021</v>
      </c>
      <c r="C688" s="1" t="n">
        <v>45670</v>
      </c>
      <c r="D688" t="inlineStr">
        <is>
          <t>VÄSTERNORRLANDS LÄN</t>
        </is>
      </c>
      <c r="E688" t="inlineStr">
        <is>
          <t>SOLLEFTEÅ</t>
        </is>
      </c>
      <c r="F688" t="inlineStr">
        <is>
          <t>SCA</t>
        </is>
      </c>
      <c r="G688" t="n">
        <v>3</v>
      </c>
      <c r="H688" t="n">
        <v>0</v>
      </c>
      <c r="I688" t="n">
        <v>0</v>
      </c>
      <c r="J688" t="n">
        <v>0</v>
      </c>
      <c r="K688" t="n">
        <v>0</v>
      </c>
      <c r="L688" t="n">
        <v>0</v>
      </c>
      <c r="M688" t="n">
        <v>0</v>
      </c>
      <c r="N688" t="n">
        <v>0</v>
      </c>
      <c r="O688" t="n">
        <v>0</v>
      </c>
      <c r="P688" t="n">
        <v>0</v>
      </c>
      <c r="Q688" t="n">
        <v>0</v>
      </c>
      <c r="R688" s="2" t="inlineStr"/>
    </row>
    <row r="689" ht="15" customHeight="1">
      <c r="A689" t="inlineStr">
        <is>
          <t>A 33010-2020</t>
        </is>
      </c>
      <c r="B689" s="1" t="n">
        <v>44020</v>
      </c>
      <c r="C689" s="1" t="n">
        <v>45670</v>
      </c>
      <c r="D689" t="inlineStr">
        <is>
          <t>VÄSTERNORRLANDS LÄN</t>
        </is>
      </c>
      <c r="E689" t="inlineStr">
        <is>
          <t>SOLLEFTEÅ</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33200-2020</t>
        </is>
      </c>
      <c r="B690" s="1" t="n">
        <v>44021</v>
      </c>
      <c r="C690" s="1" t="n">
        <v>45670</v>
      </c>
      <c r="D690" t="inlineStr">
        <is>
          <t>VÄSTERNORRLANDS LÄN</t>
        </is>
      </c>
      <c r="E690" t="inlineStr">
        <is>
          <t>SOLLEFTEÅ</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33211-2020</t>
        </is>
      </c>
      <c r="B691" s="1" t="n">
        <v>44021</v>
      </c>
      <c r="C691" s="1" t="n">
        <v>45670</v>
      </c>
      <c r="D691" t="inlineStr">
        <is>
          <t>VÄSTERNORRLANDS LÄN</t>
        </is>
      </c>
      <c r="E691" t="inlineStr">
        <is>
          <t>SOLLEFTEÅ</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33212-2020</t>
        </is>
      </c>
      <c r="B692" s="1" t="n">
        <v>44021</v>
      </c>
      <c r="C692" s="1" t="n">
        <v>45670</v>
      </c>
      <c r="D692" t="inlineStr">
        <is>
          <t>VÄSTERNORRLANDS LÄN</t>
        </is>
      </c>
      <c r="E692" t="inlineStr">
        <is>
          <t>SOLLEFTEÅ</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33440-2020</t>
        </is>
      </c>
      <c r="B693" s="1" t="n">
        <v>44022</v>
      </c>
      <c r="C693" s="1" t="n">
        <v>45670</v>
      </c>
      <c r="D693" t="inlineStr">
        <is>
          <t>VÄSTERNORRLANDS LÄN</t>
        </is>
      </c>
      <c r="E693" t="inlineStr">
        <is>
          <t>SOLLEFTEÅ</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33458-2020</t>
        </is>
      </c>
      <c r="B694" s="1" t="n">
        <v>44022</v>
      </c>
      <c r="C694" s="1" t="n">
        <v>45670</v>
      </c>
      <c r="D694" t="inlineStr">
        <is>
          <t>VÄSTERNORRLANDS LÄN</t>
        </is>
      </c>
      <c r="E694" t="inlineStr">
        <is>
          <t>SOLLEFTEÅ</t>
        </is>
      </c>
      <c r="F694" t="inlineStr">
        <is>
          <t>SCA</t>
        </is>
      </c>
      <c r="G694" t="n">
        <v>3.3</v>
      </c>
      <c r="H694" t="n">
        <v>0</v>
      </c>
      <c r="I694" t="n">
        <v>0</v>
      </c>
      <c r="J694" t="n">
        <v>0</v>
      </c>
      <c r="K694" t="n">
        <v>0</v>
      </c>
      <c r="L694" t="n">
        <v>0</v>
      </c>
      <c r="M694" t="n">
        <v>0</v>
      </c>
      <c r="N694" t="n">
        <v>0</v>
      </c>
      <c r="O694" t="n">
        <v>0</v>
      </c>
      <c r="P694" t="n">
        <v>0</v>
      </c>
      <c r="Q694" t="n">
        <v>0</v>
      </c>
      <c r="R694" s="2" t="inlineStr"/>
    </row>
    <row r="695" ht="15" customHeight="1">
      <c r="A695" t="inlineStr">
        <is>
          <t>A 33445-2020</t>
        </is>
      </c>
      <c r="B695" s="1" t="n">
        <v>44022</v>
      </c>
      <c r="C695" s="1" t="n">
        <v>45670</v>
      </c>
      <c r="D695" t="inlineStr">
        <is>
          <t>VÄSTERNORRLANDS LÄN</t>
        </is>
      </c>
      <c r="E695" t="inlineStr">
        <is>
          <t>SOLLEFTEÅ</t>
        </is>
      </c>
      <c r="G695" t="n">
        <v>4.5</v>
      </c>
      <c r="H695" t="n">
        <v>0</v>
      </c>
      <c r="I695" t="n">
        <v>0</v>
      </c>
      <c r="J695" t="n">
        <v>0</v>
      </c>
      <c r="K695" t="n">
        <v>0</v>
      </c>
      <c r="L695" t="n">
        <v>0</v>
      </c>
      <c r="M695" t="n">
        <v>0</v>
      </c>
      <c r="N695" t="n">
        <v>0</v>
      </c>
      <c r="O695" t="n">
        <v>0</v>
      </c>
      <c r="P695" t="n">
        <v>0</v>
      </c>
      <c r="Q695" t="n">
        <v>0</v>
      </c>
      <c r="R695" s="2" t="inlineStr"/>
    </row>
    <row r="696" ht="15" customHeight="1">
      <c r="A696" t="inlineStr">
        <is>
          <t>A 33492-2020</t>
        </is>
      </c>
      <c r="B696" s="1" t="n">
        <v>44024</v>
      </c>
      <c r="C696" s="1" t="n">
        <v>45670</v>
      </c>
      <c r="D696" t="inlineStr">
        <is>
          <t>VÄSTERNORRLANDS LÄN</t>
        </is>
      </c>
      <c r="E696" t="inlineStr">
        <is>
          <t>SOLLEFTEÅ</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33640-2020</t>
        </is>
      </c>
      <c r="B697" s="1" t="n">
        <v>44025</v>
      </c>
      <c r="C697" s="1" t="n">
        <v>45670</v>
      </c>
      <c r="D697" t="inlineStr">
        <is>
          <t>VÄSTERNORRLANDS LÄN</t>
        </is>
      </c>
      <c r="E697" t="inlineStr">
        <is>
          <t>SOLLEFTEÅ</t>
        </is>
      </c>
      <c r="F697" t="inlineStr">
        <is>
          <t>SCA</t>
        </is>
      </c>
      <c r="G697" t="n">
        <v>6.2</v>
      </c>
      <c r="H697" t="n">
        <v>0</v>
      </c>
      <c r="I697" t="n">
        <v>0</v>
      </c>
      <c r="J697" t="n">
        <v>0</v>
      </c>
      <c r="K697" t="n">
        <v>0</v>
      </c>
      <c r="L697" t="n">
        <v>0</v>
      </c>
      <c r="M697" t="n">
        <v>0</v>
      </c>
      <c r="N697" t="n">
        <v>0</v>
      </c>
      <c r="O697" t="n">
        <v>0</v>
      </c>
      <c r="P697" t="n">
        <v>0</v>
      </c>
      <c r="Q697" t="n">
        <v>0</v>
      </c>
      <c r="R697" s="2" t="inlineStr"/>
    </row>
    <row r="698" ht="15" customHeight="1">
      <c r="A698" t="inlineStr">
        <is>
          <t>A 33641-2020</t>
        </is>
      </c>
      <c r="B698" s="1" t="n">
        <v>44025</v>
      </c>
      <c r="C698" s="1" t="n">
        <v>45670</v>
      </c>
      <c r="D698" t="inlineStr">
        <is>
          <t>VÄSTERNORRLANDS LÄN</t>
        </is>
      </c>
      <c r="E698" t="inlineStr">
        <is>
          <t>SOLLEFTEÅ</t>
        </is>
      </c>
      <c r="F698" t="inlineStr">
        <is>
          <t>SCA</t>
        </is>
      </c>
      <c r="G698" t="n">
        <v>8.1</v>
      </c>
      <c r="H698" t="n">
        <v>0</v>
      </c>
      <c r="I698" t="n">
        <v>0</v>
      </c>
      <c r="J698" t="n">
        <v>0</v>
      </c>
      <c r="K698" t="n">
        <v>0</v>
      </c>
      <c r="L698" t="n">
        <v>0</v>
      </c>
      <c r="M698" t="n">
        <v>0</v>
      </c>
      <c r="N698" t="n">
        <v>0</v>
      </c>
      <c r="O698" t="n">
        <v>0</v>
      </c>
      <c r="P698" t="n">
        <v>0</v>
      </c>
      <c r="Q698" t="n">
        <v>0</v>
      </c>
      <c r="R698" s="2" t="inlineStr"/>
    </row>
    <row r="699" ht="15" customHeight="1">
      <c r="A699" t="inlineStr">
        <is>
          <t>A 33628-2020</t>
        </is>
      </c>
      <c r="B699" s="1" t="n">
        <v>44025</v>
      </c>
      <c r="C699" s="1" t="n">
        <v>45670</v>
      </c>
      <c r="D699" t="inlineStr">
        <is>
          <t>VÄSTERNORRLANDS LÄN</t>
        </is>
      </c>
      <c r="E699" t="inlineStr">
        <is>
          <t>SOLLEFTEÅ</t>
        </is>
      </c>
      <c r="F699" t="inlineStr">
        <is>
          <t>SCA</t>
        </is>
      </c>
      <c r="G699" t="n">
        <v>8</v>
      </c>
      <c r="H699" t="n">
        <v>0</v>
      </c>
      <c r="I699" t="n">
        <v>0</v>
      </c>
      <c r="J699" t="n">
        <v>0</v>
      </c>
      <c r="K699" t="n">
        <v>0</v>
      </c>
      <c r="L699" t="n">
        <v>0</v>
      </c>
      <c r="M699" t="n">
        <v>0</v>
      </c>
      <c r="N699" t="n">
        <v>0</v>
      </c>
      <c r="O699" t="n">
        <v>0</v>
      </c>
      <c r="P699" t="n">
        <v>0</v>
      </c>
      <c r="Q699" t="n">
        <v>0</v>
      </c>
      <c r="R699" s="2" t="inlineStr"/>
    </row>
    <row r="700" ht="15" customHeight="1">
      <c r="A700" t="inlineStr">
        <is>
          <t>A 33784-2020</t>
        </is>
      </c>
      <c r="B700" s="1" t="n">
        <v>44026</v>
      </c>
      <c r="C700" s="1" t="n">
        <v>45670</v>
      </c>
      <c r="D700" t="inlineStr">
        <is>
          <t>VÄSTERNORRLANDS LÄN</t>
        </is>
      </c>
      <c r="E700" t="inlineStr">
        <is>
          <t>SOLLEFTEÅ</t>
        </is>
      </c>
      <c r="F700" t="inlineStr">
        <is>
          <t>SCA</t>
        </is>
      </c>
      <c r="G700" t="n">
        <v>10.6</v>
      </c>
      <c r="H700" t="n">
        <v>0</v>
      </c>
      <c r="I700" t="n">
        <v>0</v>
      </c>
      <c r="J700" t="n">
        <v>0</v>
      </c>
      <c r="K700" t="n">
        <v>0</v>
      </c>
      <c r="L700" t="n">
        <v>0</v>
      </c>
      <c r="M700" t="n">
        <v>0</v>
      </c>
      <c r="N700" t="n">
        <v>0</v>
      </c>
      <c r="O700" t="n">
        <v>0</v>
      </c>
      <c r="P700" t="n">
        <v>0</v>
      </c>
      <c r="Q700" t="n">
        <v>0</v>
      </c>
      <c r="R700" s="2" t="inlineStr"/>
    </row>
    <row r="701" ht="15" customHeight="1">
      <c r="A701" t="inlineStr">
        <is>
          <t>A 33782-2020</t>
        </is>
      </c>
      <c r="B701" s="1" t="n">
        <v>44026</v>
      </c>
      <c r="C701" s="1" t="n">
        <v>45670</v>
      </c>
      <c r="D701" t="inlineStr">
        <is>
          <t>VÄSTERNORRLANDS LÄN</t>
        </is>
      </c>
      <c r="E701" t="inlineStr">
        <is>
          <t>SOLLEFTEÅ</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33950-2020</t>
        </is>
      </c>
      <c r="B702" s="1" t="n">
        <v>44027</v>
      </c>
      <c r="C702" s="1" t="n">
        <v>45670</v>
      </c>
      <c r="D702" t="inlineStr">
        <is>
          <t>VÄSTERNORRLANDS LÄN</t>
        </is>
      </c>
      <c r="E702" t="inlineStr">
        <is>
          <t>SOLLEFTEÅ</t>
        </is>
      </c>
      <c r="F702" t="inlineStr">
        <is>
          <t>SCA</t>
        </is>
      </c>
      <c r="G702" t="n">
        <v>4.2</v>
      </c>
      <c r="H702" t="n">
        <v>0</v>
      </c>
      <c r="I702" t="n">
        <v>0</v>
      </c>
      <c r="J702" t="n">
        <v>0</v>
      </c>
      <c r="K702" t="n">
        <v>0</v>
      </c>
      <c r="L702" t="n">
        <v>0</v>
      </c>
      <c r="M702" t="n">
        <v>0</v>
      </c>
      <c r="N702" t="n">
        <v>0</v>
      </c>
      <c r="O702" t="n">
        <v>0</v>
      </c>
      <c r="P702" t="n">
        <v>0</v>
      </c>
      <c r="Q702" t="n">
        <v>0</v>
      </c>
      <c r="R702" s="2" t="inlineStr"/>
    </row>
    <row r="703" ht="15" customHeight="1">
      <c r="A703" t="inlineStr">
        <is>
          <t>A 34120-2020</t>
        </is>
      </c>
      <c r="B703" s="1" t="n">
        <v>44029</v>
      </c>
      <c r="C703" s="1" t="n">
        <v>45670</v>
      </c>
      <c r="D703" t="inlineStr">
        <is>
          <t>VÄSTERNORRLANDS LÄN</t>
        </is>
      </c>
      <c r="E703" t="inlineStr">
        <is>
          <t>SOLLEFTEÅ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34474-2020</t>
        </is>
      </c>
      <c r="B704" s="1" t="n">
        <v>44032</v>
      </c>
      <c r="C704" s="1" t="n">
        <v>45670</v>
      </c>
      <c r="D704" t="inlineStr">
        <is>
          <t>VÄSTERNORRLANDS LÄN</t>
        </is>
      </c>
      <c r="E704" t="inlineStr">
        <is>
          <t>SOLLEFTEÅ</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34585-2020</t>
        </is>
      </c>
      <c r="B705" s="1" t="n">
        <v>44033</v>
      </c>
      <c r="C705" s="1" t="n">
        <v>45670</v>
      </c>
      <c r="D705" t="inlineStr">
        <is>
          <t>VÄSTERNORRLANDS LÄN</t>
        </is>
      </c>
      <c r="E705" t="inlineStr">
        <is>
          <t>SOLLEFTEÅ</t>
        </is>
      </c>
      <c r="F705" t="inlineStr">
        <is>
          <t>SCA</t>
        </is>
      </c>
      <c r="G705" t="n">
        <v>10</v>
      </c>
      <c r="H705" t="n">
        <v>0</v>
      </c>
      <c r="I705" t="n">
        <v>0</v>
      </c>
      <c r="J705" t="n">
        <v>0</v>
      </c>
      <c r="K705" t="n">
        <v>0</v>
      </c>
      <c r="L705" t="n">
        <v>0</v>
      </c>
      <c r="M705" t="n">
        <v>0</v>
      </c>
      <c r="N705" t="n">
        <v>0</v>
      </c>
      <c r="O705" t="n">
        <v>0</v>
      </c>
      <c r="P705" t="n">
        <v>0</v>
      </c>
      <c r="Q705" t="n">
        <v>0</v>
      </c>
      <c r="R705" s="2" t="inlineStr"/>
    </row>
    <row r="706" ht="15" customHeight="1">
      <c r="A706" t="inlineStr">
        <is>
          <t>A 34669-2020</t>
        </is>
      </c>
      <c r="B706" s="1" t="n">
        <v>44034</v>
      </c>
      <c r="C706" s="1" t="n">
        <v>45670</v>
      </c>
      <c r="D706" t="inlineStr">
        <is>
          <t>VÄSTERNORRLANDS LÄN</t>
        </is>
      </c>
      <c r="E706" t="inlineStr">
        <is>
          <t>SOLLEFTEÅ</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34800-2020</t>
        </is>
      </c>
      <c r="B707" s="1" t="n">
        <v>44035</v>
      </c>
      <c r="C707" s="1" t="n">
        <v>45670</v>
      </c>
      <c r="D707" t="inlineStr">
        <is>
          <t>VÄSTERNORRLANDS LÄN</t>
        </is>
      </c>
      <c r="E707" t="inlineStr">
        <is>
          <t>SOLLEFTEÅ</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34921-2020</t>
        </is>
      </c>
      <c r="B708" s="1" t="n">
        <v>44036</v>
      </c>
      <c r="C708" s="1" t="n">
        <v>45670</v>
      </c>
      <c r="D708" t="inlineStr">
        <is>
          <t>VÄSTERNORRLANDS LÄN</t>
        </is>
      </c>
      <c r="E708" t="inlineStr">
        <is>
          <t>SOLLEFTEÅ</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34923-2020</t>
        </is>
      </c>
      <c r="B709" s="1" t="n">
        <v>44037</v>
      </c>
      <c r="C709" s="1" t="n">
        <v>45670</v>
      </c>
      <c r="D709" t="inlineStr">
        <is>
          <t>VÄSTERNORRLANDS LÄN</t>
        </is>
      </c>
      <c r="E709" t="inlineStr">
        <is>
          <t>SOLLEFTEÅ</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34922-2020</t>
        </is>
      </c>
      <c r="B710" s="1" t="n">
        <v>44036</v>
      </c>
      <c r="C710" s="1" t="n">
        <v>45670</v>
      </c>
      <c r="D710" t="inlineStr">
        <is>
          <t>VÄSTERNORRLANDS LÄN</t>
        </is>
      </c>
      <c r="E710" t="inlineStr">
        <is>
          <t>SOLLEFTEÅ</t>
        </is>
      </c>
      <c r="F710" t="inlineStr">
        <is>
          <t>SCA</t>
        </is>
      </c>
      <c r="G710" t="n">
        <v>3.3</v>
      </c>
      <c r="H710" t="n">
        <v>0</v>
      </c>
      <c r="I710" t="n">
        <v>0</v>
      </c>
      <c r="J710" t="n">
        <v>0</v>
      </c>
      <c r="K710" t="n">
        <v>0</v>
      </c>
      <c r="L710" t="n">
        <v>0</v>
      </c>
      <c r="M710" t="n">
        <v>0</v>
      </c>
      <c r="N710" t="n">
        <v>0</v>
      </c>
      <c r="O710" t="n">
        <v>0</v>
      </c>
      <c r="P710" t="n">
        <v>0</v>
      </c>
      <c r="Q710" t="n">
        <v>0</v>
      </c>
      <c r="R710" s="2" t="inlineStr"/>
    </row>
    <row r="711" ht="15" customHeight="1">
      <c r="A711" t="inlineStr">
        <is>
          <t>A 35372-2020</t>
        </is>
      </c>
      <c r="B711" s="1" t="n">
        <v>44041</v>
      </c>
      <c r="C711" s="1" t="n">
        <v>45670</v>
      </c>
      <c r="D711" t="inlineStr">
        <is>
          <t>VÄSTERNORRLANDS LÄN</t>
        </is>
      </c>
      <c r="E711" t="inlineStr">
        <is>
          <t>SOLLEFTEÅ</t>
        </is>
      </c>
      <c r="F711" t="inlineStr">
        <is>
          <t>SCA</t>
        </is>
      </c>
      <c r="G711" t="n">
        <v>12.3</v>
      </c>
      <c r="H711" t="n">
        <v>0</v>
      </c>
      <c r="I711" t="n">
        <v>0</v>
      </c>
      <c r="J711" t="n">
        <v>0</v>
      </c>
      <c r="K711" t="n">
        <v>0</v>
      </c>
      <c r="L711" t="n">
        <v>0</v>
      </c>
      <c r="M711" t="n">
        <v>0</v>
      </c>
      <c r="N711" t="n">
        <v>0</v>
      </c>
      <c r="O711" t="n">
        <v>0</v>
      </c>
      <c r="P711" t="n">
        <v>0</v>
      </c>
      <c r="Q711" t="n">
        <v>0</v>
      </c>
      <c r="R711" s="2" t="inlineStr"/>
    </row>
    <row r="712" ht="15" customHeight="1">
      <c r="A712" t="inlineStr">
        <is>
          <t>A 35361-2020</t>
        </is>
      </c>
      <c r="B712" s="1" t="n">
        <v>44041</v>
      </c>
      <c r="C712" s="1" t="n">
        <v>45670</v>
      </c>
      <c r="D712" t="inlineStr">
        <is>
          <t>VÄSTERNORRLANDS LÄN</t>
        </is>
      </c>
      <c r="E712" t="inlineStr">
        <is>
          <t>SOLLEFTEÅ</t>
        </is>
      </c>
      <c r="F712" t="inlineStr">
        <is>
          <t>SCA</t>
        </is>
      </c>
      <c r="G712" t="n">
        <v>13.6</v>
      </c>
      <c r="H712" t="n">
        <v>0</v>
      </c>
      <c r="I712" t="n">
        <v>0</v>
      </c>
      <c r="J712" t="n">
        <v>0</v>
      </c>
      <c r="K712" t="n">
        <v>0</v>
      </c>
      <c r="L712" t="n">
        <v>0</v>
      </c>
      <c r="M712" t="n">
        <v>0</v>
      </c>
      <c r="N712" t="n">
        <v>0</v>
      </c>
      <c r="O712" t="n">
        <v>0</v>
      </c>
      <c r="P712" t="n">
        <v>0</v>
      </c>
      <c r="Q712" t="n">
        <v>0</v>
      </c>
      <c r="R712" s="2" t="inlineStr"/>
    </row>
    <row r="713" ht="15" customHeight="1">
      <c r="A713" t="inlineStr">
        <is>
          <t>A 36789-2020</t>
        </is>
      </c>
      <c r="B713" s="1" t="n">
        <v>44048</v>
      </c>
      <c r="C713" s="1" t="n">
        <v>45670</v>
      </c>
      <c r="D713" t="inlineStr">
        <is>
          <t>VÄSTERNORRLANDS LÄN</t>
        </is>
      </c>
      <c r="E713" t="inlineStr">
        <is>
          <t>SOLLEFTEÅ</t>
        </is>
      </c>
      <c r="G713" t="n">
        <v>1</v>
      </c>
      <c r="H713" t="n">
        <v>0</v>
      </c>
      <c r="I713" t="n">
        <v>0</v>
      </c>
      <c r="J713" t="n">
        <v>0</v>
      </c>
      <c r="K713" t="n">
        <v>0</v>
      </c>
      <c r="L713" t="n">
        <v>0</v>
      </c>
      <c r="M713" t="n">
        <v>0</v>
      </c>
      <c r="N713" t="n">
        <v>0</v>
      </c>
      <c r="O713" t="n">
        <v>0</v>
      </c>
      <c r="P713" t="n">
        <v>0</v>
      </c>
      <c r="Q713" t="n">
        <v>0</v>
      </c>
      <c r="R713" s="2" t="inlineStr"/>
    </row>
    <row r="714" ht="15" customHeight="1">
      <c r="A714" t="inlineStr">
        <is>
          <t>A 36660-2020</t>
        </is>
      </c>
      <c r="B714" s="1" t="n">
        <v>44050</v>
      </c>
      <c r="C714" s="1" t="n">
        <v>45670</v>
      </c>
      <c r="D714" t="inlineStr">
        <is>
          <t>VÄSTERNORRLANDS LÄN</t>
        </is>
      </c>
      <c r="E714" t="inlineStr">
        <is>
          <t>SOLLEFTEÅ</t>
        </is>
      </c>
      <c r="G714" t="n">
        <v>18.2</v>
      </c>
      <c r="H714" t="n">
        <v>0</v>
      </c>
      <c r="I714" t="n">
        <v>0</v>
      </c>
      <c r="J714" t="n">
        <v>0</v>
      </c>
      <c r="K714" t="n">
        <v>0</v>
      </c>
      <c r="L714" t="n">
        <v>0</v>
      </c>
      <c r="M714" t="n">
        <v>0</v>
      </c>
      <c r="N714" t="n">
        <v>0</v>
      </c>
      <c r="O714" t="n">
        <v>0</v>
      </c>
      <c r="P714" t="n">
        <v>0</v>
      </c>
      <c r="Q714" t="n">
        <v>0</v>
      </c>
      <c r="R714" s="2" t="inlineStr"/>
    </row>
    <row r="715" ht="15" customHeight="1">
      <c r="A715" t="inlineStr">
        <is>
          <t>A 36811-2020</t>
        </is>
      </c>
      <c r="B715" s="1" t="n">
        <v>44053</v>
      </c>
      <c r="C715" s="1" t="n">
        <v>45670</v>
      </c>
      <c r="D715" t="inlineStr">
        <is>
          <t>VÄSTERNORRLANDS LÄN</t>
        </is>
      </c>
      <c r="E715" t="inlineStr">
        <is>
          <t>SOLLEFTEÅ</t>
        </is>
      </c>
      <c r="G715" t="n">
        <v>4.7</v>
      </c>
      <c r="H715" t="n">
        <v>0</v>
      </c>
      <c r="I715" t="n">
        <v>0</v>
      </c>
      <c r="J715" t="n">
        <v>0</v>
      </c>
      <c r="K715" t="n">
        <v>0</v>
      </c>
      <c r="L715" t="n">
        <v>0</v>
      </c>
      <c r="M715" t="n">
        <v>0</v>
      </c>
      <c r="N715" t="n">
        <v>0</v>
      </c>
      <c r="O715" t="n">
        <v>0</v>
      </c>
      <c r="P715" t="n">
        <v>0</v>
      </c>
      <c r="Q715" t="n">
        <v>0</v>
      </c>
      <c r="R715" s="2" t="inlineStr"/>
    </row>
    <row r="716" ht="15" customHeight="1">
      <c r="A716" t="inlineStr">
        <is>
          <t>A 37710-2020</t>
        </is>
      </c>
      <c r="B716" s="1" t="n">
        <v>44056</v>
      </c>
      <c r="C716" s="1" t="n">
        <v>45670</v>
      </c>
      <c r="D716" t="inlineStr">
        <is>
          <t>VÄSTERNORRLANDS LÄN</t>
        </is>
      </c>
      <c r="E716" t="inlineStr">
        <is>
          <t>SOLLEFTEÅ</t>
        </is>
      </c>
      <c r="F716" t="inlineStr">
        <is>
          <t>Kommuner</t>
        </is>
      </c>
      <c r="G716" t="n">
        <v>1</v>
      </c>
      <c r="H716" t="n">
        <v>0</v>
      </c>
      <c r="I716" t="n">
        <v>0</v>
      </c>
      <c r="J716" t="n">
        <v>0</v>
      </c>
      <c r="K716" t="n">
        <v>0</v>
      </c>
      <c r="L716" t="n">
        <v>0</v>
      </c>
      <c r="M716" t="n">
        <v>0</v>
      </c>
      <c r="N716" t="n">
        <v>0</v>
      </c>
      <c r="O716" t="n">
        <v>0</v>
      </c>
      <c r="P716" t="n">
        <v>0</v>
      </c>
      <c r="Q716" t="n">
        <v>0</v>
      </c>
      <c r="R716" s="2" t="inlineStr"/>
    </row>
    <row r="717" ht="15" customHeight="1">
      <c r="A717" t="inlineStr">
        <is>
          <t>A 38482-2020</t>
        </is>
      </c>
      <c r="B717" s="1" t="n">
        <v>44060</v>
      </c>
      <c r="C717" s="1" t="n">
        <v>45670</v>
      </c>
      <c r="D717" t="inlineStr">
        <is>
          <t>VÄSTERNORRLANDS LÄN</t>
        </is>
      </c>
      <c r="E717" t="inlineStr">
        <is>
          <t>SOLLEFTEÅ</t>
        </is>
      </c>
      <c r="F717" t="inlineStr">
        <is>
          <t>SCA</t>
        </is>
      </c>
      <c r="G717" t="n">
        <v>1.9</v>
      </c>
      <c r="H717" t="n">
        <v>0</v>
      </c>
      <c r="I717" t="n">
        <v>0</v>
      </c>
      <c r="J717" t="n">
        <v>0</v>
      </c>
      <c r="K717" t="n">
        <v>0</v>
      </c>
      <c r="L717" t="n">
        <v>0</v>
      </c>
      <c r="M717" t="n">
        <v>0</v>
      </c>
      <c r="N717" t="n">
        <v>0</v>
      </c>
      <c r="O717" t="n">
        <v>0</v>
      </c>
      <c r="P717" t="n">
        <v>0</v>
      </c>
      <c r="Q717" t="n">
        <v>0</v>
      </c>
      <c r="R717" s="2" t="inlineStr"/>
    </row>
    <row r="718" ht="15" customHeight="1">
      <c r="A718" t="inlineStr">
        <is>
          <t>A 38517-2020</t>
        </is>
      </c>
      <c r="B718" s="1" t="n">
        <v>44060</v>
      </c>
      <c r="C718" s="1" t="n">
        <v>45670</v>
      </c>
      <c r="D718" t="inlineStr">
        <is>
          <t>VÄSTERNORRLANDS LÄN</t>
        </is>
      </c>
      <c r="E718" t="inlineStr">
        <is>
          <t>SOLLEFTEÅ</t>
        </is>
      </c>
      <c r="G718" t="n">
        <v>1.5</v>
      </c>
      <c r="H718" t="n">
        <v>0</v>
      </c>
      <c r="I718" t="n">
        <v>0</v>
      </c>
      <c r="J718" t="n">
        <v>0</v>
      </c>
      <c r="K718" t="n">
        <v>0</v>
      </c>
      <c r="L718" t="n">
        <v>0</v>
      </c>
      <c r="M718" t="n">
        <v>0</v>
      </c>
      <c r="N718" t="n">
        <v>0</v>
      </c>
      <c r="O718" t="n">
        <v>0</v>
      </c>
      <c r="P718" t="n">
        <v>0</v>
      </c>
      <c r="Q718" t="n">
        <v>0</v>
      </c>
      <c r="R718" s="2" t="inlineStr"/>
    </row>
    <row r="719" ht="15" customHeight="1">
      <c r="A719" t="inlineStr">
        <is>
          <t>A 39007-2020</t>
        </is>
      </c>
      <c r="B719" s="1" t="n">
        <v>44062</v>
      </c>
      <c r="C719" s="1" t="n">
        <v>45670</v>
      </c>
      <c r="D719" t="inlineStr">
        <is>
          <t>VÄSTERNORRLANDS LÄN</t>
        </is>
      </c>
      <c r="E719" t="inlineStr">
        <is>
          <t>SOLLEFTEÅ</t>
        </is>
      </c>
      <c r="F719" t="inlineStr">
        <is>
          <t>Kyrkan</t>
        </is>
      </c>
      <c r="G719" t="n">
        <v>5</v>
      </c>
      <c r="H719" t="n">
        <v>0</v>
      </c>
      <c r="I719" t="n">
        <v>0</v>
      </c>
      <c r="J719" t="n">
        <v>0</v>
      </c>
      <c r="K719" t="n">
        <v>0</v>
      </c>
      <c r="L719" t="n">
        <v>0</v>
      </c>
      <c r="M719" t="n">
        <v>0</v>
      </c>
      <c r="N719" t="n">
        <v>0</v>
      </c>
      <c r="O719" t="n">
        <v>0</v>
      </c>
      <c r="P719" t="n">
        <v>0</v>
      </c>
      <c r="Q719" t="n">
        <v>0</v>
      </c>
      <c r="R719" s="2" t="inlineStr"/>
    </row>
    <row r="720" ht="15" customHeight="1">
      <c r="A720" t="inlineStr">
        <is>
          <t>A 39077-2020</t>
        </is>
      </c>
      <c r="B720" s="1" t="n">
        <v>44062</v>
      </c>
      <c r="C720" s="1" t="n">
        <v>45670</v>
      </c>
      <c r="D720" t="inlineStr">
        <is>
          <t>VÄSTERNORRLANDS LÄN</t>
        </is>
      </c>
      <c r="E720" t="inlineStr">
        <is>
          <t>SOLLEFTEÅ</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39016-2020</t>
        </is>
      </c>
      <c r="B721" s="1" t="n">
        <v>44062</v>
      </c>
      <c r="C721" s="1" t="n">
        <v>45670</v>
      </c>
      <c r="D721" t="inlineStr">
        <is>
          <t>VÄSTERNORRLANDS LÄN</t>
        </is>
      </c>
      <c r="E721" t="inlineStr">
        <is>
          <t>SOLLEFTEÅ</t>
        </is>
      </c>
      <c r="F721" t="inlineStr">
        <is>
          <t>Kyrkan</t>
        </is>
      </c>
      <c r="G721" t="n">
        <v>2.4</v>
      </c>
      <c r="H721" t="n">
        <v>0</v>
      </c>
      <c r="I721" t="n">
        <v>0</v>
      </c>
      <c r="J721" t="n">
        <v>0</v>
      </c>
      <c r="K721" t="n">
        <v>0</v>
      </c>
      <c r="L721" t="n">
        <v>0</v>
      </c>
      <c r="M721" t="n">
        <v>0</v>
      </c>
      <c r="N721" t="n">
        <v>0</v>
      </c>
      <c r="O721" t="n">
        <v>0</v>
      </c>
      <c r="P721" t="n">
        <v>0</v>
      </c>
      <c r="Q721" t="n">
        <v>0</v>
      </c>
      <c r="R721" s="2" t="inlineStr"/>
    </row>
    <row r="722" ht="15" customHeight="1">
      <c r="A722" t="inlineStr">
        <is>
          <t>A 39148-2020</t>
        </is>
      </c>
      <c r="B722" s="1" t="n">
        <v>44063</v>
      </c>
      <c r="C722" s="1" t="n">
        <v>45670</v>
      </c>
      <c r="D722" t="inlineStr">
        <is>
          <t>VÄSTERNORRLANDS LÄN</t>
        </is>
      </c>
      <c r="E722" t="inlineStr">
        <is>
          <t>SOLLEFTEÅ</t>
        </is>
      </c>
      <c r="G722" t="n">
        <v>0.7</v>
      </c>
      <c r="H722" t="n">
        <v>0</v>
      </c>
      <c r="I722" t="n">
        <v>0</v>
      </c>
      <c r="J722" t="n">
        <v>0</v>
      </c>
      <c r="K722" t="n">
        <v>0</v>
      </c>
      <c r="L722" t="n">
        <v>0</v>
      </c>
      <c r="M722" t="n">
        <v>0</v>
      </c>
      <c r="N722" t="n">
        <v>0</v>
      </c>
      <c r="O722" t="n">
        <v>0</v>
      </c>
      <c r="P722" t="n">
        <v>0</v>
      </c>
      <c r="Q722" t="n">
        <v>0</v>
      </c>
      <c r="R722" s="2" t="inlineStr"/>
    </row>
    <row r="723" ht="15" customHeight="1">
      <c r="A723" t="inlineStr">
        <is>
          <t>A 39409-2020</t>
        </is>
      </c>
      <c r="B723" s="1" t="n">
        <v>44064</v>
      </c>
      <c r="C723" s="1" t="n">
        <v>45670</v>
      </c>
      <c r="D723" t="inlineStr">
        <is>
          <t>VÄSTERNORRLANDS LÄN</t>
        </is>
      </c>
      <c r="E723" t="inlineStr">
        <is>
          <t>SOLLEFTEÅ</t>
        </is>
      </c>
      <c r="F723" t="inlineStr">
        <is>
          <t>Holmen skog AB</t>
        </is>
      </c>
      <c r="G723" t="n">
        <v>7.8</v>
      </c>
      <c r="H723" t="n">
        <v>0</v>
      </c>
      <c r="I723" t="n">
        <v>0</v>
      </c>
      <c r="J723" t="n">
        <v>0</v>
      </c>
      <c r="K723" t="n">
        <v>0</v>
      </c>
      <c r="L723" t="n">
        <v>0</v>
      </c>
      <c r="M723" t="n">
        <v>0</v>
      </c>
      <c r="N723" t="n">
        <v>0</v>
      </c>
      <c r="O723" t="n">
        <v>0</v>
      </c>
      <c r="P723" t="n">
        <v>0</v>
      </c>
      <c r="Q723" t="n">
        <v>0</v>
      </c>
      <c r="R723" s="2" t="inlineStr"/>
    </row>
    <row r="724" ht="15" customHeight="1">
      <c r="A724" t="inlineStr">
        <is>
          <t>A 39479-2020</t>
        </is>
      </c>
      <c r="B724" s="1" t="n">
        <v>44064</v>
      </c>
      <c r="C724" s="1" t="n">
        <v>45670</v>
      </c>
      <c r="D724" t="inlineStr">
        <is>
          <t>VÄSTERNORRLANDS LÄN</t>
        </is>
      </c>
      <c r="E724" t="inlineStr">
        <is>
          <t>SOLLEFTEÅ</t>
        </is>
      </c>
      <c r="G724" t="n">
        <v>17.8</v>
      </c>
      <c r="H724" t="n">
        <v>0</v>
      </c>
      <c r="I724" t="n">
        <v>0</v>
      </c>
      <c r="J724" t="n">
        <v>0</v>
      </c>
      <c r="K724" t="n">
        <v>0</v>
      </c>
      <c r="L724" t="n">
        <v>0</v>
      </c>
      <c r="M724" t="n">
        <v>0</v>
      </c>
      <c r="N724" t="n">
        <v>0</v>
      </c>
      <c r="O724" t="n">
        <v>0</v>
      </c>
      <c r="P724" t="n">
        <v>0</v>
      </c>
      <c r="Q724" t="n">
        <v>0</v>
      </c>
      <c r="R724" s="2" t="inlineStr"/>
    </row>
    <row r="725" ht="15" customHeight="1">
      <c r="A725" t="inlineStr">
        <is>
          <t>A 40180-2020</t>
        </is>
      </c>
      <c r="B725" s="1" t="n">
        <v>44064</v>
      </c>
      <c r="C725" s="1" t="n">
        <v>45670</v>
      </c>
      <c r="D725" t="inlineStr">
        <is>
          <t>VÄSTERNORRLANDS LÄN</t>
        </is>
      </c>
      <c r="E725" t="inlineStr">
        <is>
          <t>SOLLEFTEÅ</t>
        </is>
      </c>
      <c r="G725" t="n">
        <v>3.8</v>
      </c>
      <c r="H725" t="n">
        <v>0</v>
      </c>
      <c r="I725" t="n">
        <v>0</v>
      </c>
      <c r="J725" t="n">
        <v>0</v>
      </c>
      <c r="K725" t="n">
        <v>0</v>
      </c>
      <c r="L725" t="n">
        <v>0</v>
      </c>
      <c r="M725" t="n">
        <v>0</v>
      </c>
      <c r="N725" t="n">
        <v>0</v>
      </c>
      <c r="O725" t="n">
        <v>0</v>
      </c>
      <c r="P725" t="n">
        <v>0</v>
      </c>
      <c r="Q725" t="n">
        <v>0</v>
      </c>
      <c r="R725" s="2" t="inlineStr"/>
    </row>
    <row r="726" ht="15" customHeight="1">
      <c r="A726" t="inlineStr">
        <is>
          <t>A 39681-2020</t>
        </is>
      </c>
      <c r="B726" s="1" t="n">
        <v>44065</v>
      </c>
      <c r="C726" s="1" t="n">
        <v>45670</v>
      </c>
      <c r="D726" t="inlineStr">
        <is>
          <t>VÄSTERNORRLANDS LÄN</t>
        </is>
      </c>
      <c r="E726" t="inlineStr">
        <is>
          <t>SOLLEFTEÅ</t>
        </is>
      </c>
      <c r="F726" t="inlineStr">
        <is>
          <t>SCA</t>
        </is>
      </c>
      <c r="G726" t="n">
        <v>19.7</v>
      </c>
      <c r="H726" t="n">
        <v>0</v>
      </c>
      <c r="I726" t="n">
        <v>0</v>
      </c>
      <c r="J726" t="n">
        <v>0</v>
      </c>
      <c r="K726" t="n">
        <v>0</v>
      </c>
      <c r="L726" t="n">
        <v>0</v>
      </c>
      <c r="M726" t="n">
        <v>0</v>
      </c>
      <c r="N726" t="n">
        <v>0</v>
      </c>
      <c r="O726" t="n">
        <v>0</v>
      </c>
      <c r="P726" t="n">
        <v>0</v>
      </c>
      <c r="Q726" t="n">
        <v>0</v>
      </c>
      <c r="R726" s="2" t="inlineStr"/>
    </row>
    <row r="727" ht="15" customHeight="1">
      <c r="A727" t="inlineStr">
        <is>
          <t>A 40476-2020</t>
        </is>
      </c>
      <c r="B727" s="1" t="n">
        <v>44067</v>
      </c>
      <c r="C727" s="1" t="n">
        <v>45670</v>
      </c>
      <c r="D727" t="inlineStr">
        <is>
          <t>VÄSTERNORRLANDS LÄN</t>
        </is>
      </c>
      <c r="E727" t="inlineStr">
        <is>
          <t>SOLLEFTEÅ</t>
        </is>
      </c>
      <c r="G727" t="n">
        <v>8</v>
      </c>
      <c r="H727" t="n">
        <v>0</v>
      </c>
      <c r="I727" t="n">
        <v>0</v>
      </c>
      <c r="J727" t="n">
        <v>0</v>
      </c>
      <c r="K727" t="n">
        <v>0</v>
      </c>
      <c r="L727" t="n">
        <v>0</v>
      </c>
      <c r="M727" t="n">
        <v>0</v>
      </c>
      <c r="N727" t="n">
        <v>0</v>
      </c>
      <c r="O727" t="n">
        <v>0</v>
      </c>
      <c r="P727" t="n">
        <v>0</v>
      </c>
      <c r="Q727" t="n">
        <v>0</v>
      </c>
      <c r="R727" s="2" t="inlineStr"/>
    </row>
    <row r="728" ht="15" customHeight="1">
      <c r="A728" t="inlineStr">
        <is>
          <t>A 40697-2020</t>
        </is>
      </c>
      <c r="B728" s="1" t="n">
        <v>44067</v>
      </c>
      <c r="C728" s="1" t="n">
        <v>45670</v>
      </c>
      <c r="D728" t="inlineStr">
        <is>
          <t>VÄSTERNORRLANDS LÄN</t>
        </is>
      </c>
      <c r="E728" t="inlineStr">
        <is>
          <t>SOLLEFTEÅ</t>
        </is>
      </c>
      <c r="G728" t="n">
        <v>1.5</v>
      </c>
      <c r="H728" t="n">
        <v>0</v>
      </c>
      <c r="I728" t="n">
        <v>0</v>
      </c>
      <c r="J728" t="n">
        <v>0</v>
      </c>
      <c r="K728" t="n">
        <v>0</v>
      </c>
      <c r="L728" t="n">
        <v>0</v>
      </c>
      <c r="M728" t="n">
        <v>0</v>
      </c>
      <c r="N728" t="n">
        <v>0</v>
      </c>
      <c r="O728" t="n">
        <v>0</v>
      </c>
      <c r="P728" t="n">
        <v>0</v>
      </c>
      <c r="Q728" t="n">
        <v>0</v>
      </c>
      <c r="R728" s="2" t="inlineStr"/>
    </row>
    <row r="729" ht="15" customHeight="1">
      <c r="A729" t="inlineStr">
        <is>
          <t>A 40682-2020</t>
        </is>
      </c>
      <c r="B729" s="1" t="n">
        <v>44067</v>
      </c>
      <c r="C729" s="1" t="n">
        <v>45670</v>
      </c>
      <c r="D729" t="inlineStr">
        <is>
          <t>VÄSTERNORRLANDS LÄN</t>
        </is>
      </c>
      <c r="E729" t="inlineStr">
        <is>
          <t>SOLLEFTEÅ</t>
        </is>
      </c>
      <c r="G729" t="n">
        <v>3.5</v>
      </c>
      <c r="H729" t="n">
        <v>0</v>
      </c>
      <c r="I729" t="n">
        <v>0</v>
      </c>
      <c r="J729" t="n">
        <v>0</v>
      </c>
      <c r="K729" t="n">
        <v>0</v>
      </c>
      <c r="L729" t="n">
        <v>0</v>
      </c>
      <c r="M729" t="n">
        <v>0</v>
      </c>
      <c r="N729" t="n">
        <v>0</v>
      </c>
      <c r="O729" t="n">
        <v>0</v>
      </c>
      <c r="P729" t="n">
        <v>0</v>
      </c>
      <c r="Q729" t="n">
        <v>0</v>
      </c>
      <c r="R729" s="2" t="inlineStr"/>
    </row>
    <row r="730" ht="15" customHeight="1">
      <c r="A730" t="inlineStr">
        <is>
          <t>A 40735-2020</t>
        </is>
      </c>
      <c r="B730" s="1" t="n">
        <v>44069</v>
      </c>
      <c r="C730" s="1" t="n">
        <v>45670</v>
      </c>
      <c r="D730" t="inlineStr">
        <is>
          <t>VÄSTERNORRLANDS LÄN</t>
        </is>
      </c>
      <c r="E730" t="inlineStr">
        <is>
          <t>SOLLEFTEÅ</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40747-2020</t>
        </is>
      </c>
      <c r="B731" s="1" t="n">
        <v>44069</v>
      </c>
      <c r="C731" s="1" t="n">
        <v>45670</v>
      </c>
      <c r="D731" t="inlineStr">
        <is>
          <t>VÄSTERNORRLANDS LÄN</t>
        </is>
      </c>
      <c r="E731" t="inlineStr">
        <is>
          <t>SOLLEFTEÅ</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42196-2020</t>
        </is>
      </c>
      <c r="B732" s="1" t="n">
        <v>44076</v>
      </c>
      <c r="C732" s="1" t="n">
        <v>45670</v>
      </c>
      <c r="D732" t="inlineStr">
        <is>
          <t>VÄSTERNORRLANDS LÄN</t>
        </is>
      </c>
      <c r="E732" t="inlineStr">
        <is>
          <t>SOLLEFTEÅ</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43300-2020</t>
        </is>
      </c>
      <c r="B733" s="1" t="n">
        <v>44076</v>
      </c>
      <c r="C733" s="1" t="n">
        <v>45670</v>
      </c>
      <c r="D733" t="inlineStr">
        <is>
          <t>VÄSTERNORRLANDS LÄN</t>
        </is>
      </c>
      <c r="E733" t="inlineStr">
        <is>
          <t>SOLLEFTEÅ</t>
        </is>
      </c>
      <c r="G733" t="n">
        <v>1.9</v>
      </c>
      <c r="H733" t="n">
        <v>0</v>
      </c>
      <c r="I733" t="n">
        <v>0</v>
      </c>
      <c r="J733" t="n">
        <v>0</v>
      </c>
      <c r="K733" t="n">
        <v>0</v>
      </c>
      <c r="L733" t="n">
        <v>0</v>
      </c>
      <c r="M733" t="n">
        <v>0</v>
      </c>
      <c r="N733" t="n">
        <v>0</v>
      </c>
      <c r="O733" t="n">
        <v>0</v>
      </c>
      <c r="P733" t="n">
        <v>0</v>
      </c>
      <c r="Q733" t="n">
        <v>0</v>
      </c>
      <c r="R733" s="2" t="inlineStr"/>
    </row>
    <row r="734" ht="15" customHeight="1">
      <c r="A734" t="inlineStr">
        <is>
          <t>A 43160-2020</t>
        </is>
      </c>
      <c r="B734" s="1" t="n">
        <v>44076</v>
      </c>
      <c r="C734" s="1" t="n">
        <v>45670</v>
      </c>
      <c r="D734" t="inlineStr">
        <is>
          <t>VÄSTERNORRLANDS LÄN</t>
        </is>
      </c>
      <c r="E734" t="inlineStr">
        <is>
          <t>SOLLEFTEÅ</t>
        </is>
      </c>
      <c r="G734" t="n">
        <v>1.1</v>
      </c>
      <c r="H734" t="n">
        <v>0</v>
      </c>
      <c r="I734" t="n">
        <v>0</v>
      </c>
      <c r="J734" t="n">
        <v>0</v>
      </c>
      <c r="K734" t="n">
        <v>0</v>
      </c>
      <c r="L734" t="n">
        <v>0</v>
      </c>
      <c r="M734" t="n">
        <v>0</v>
      </c>
      <c r="N734" t="n">
        <v>0</v>
      </c>
      <c r="O734" t="n">
        <v>0</v>
      </c>
      <c r="P734" t="n">
        <v>0</v>
      </c>
      <c r="Q734" t="n">
        <v>0</v>
      </c>
      <c r="R734" s="2" t="inlineStr"/>
    </row>
    <row r="735" ht="15" customHeight="1">
      <c r="A735" t="inlineStr">
        <is>
          <t>A 42846-2020</t>
        </is>
      </c>
      <c r="B735" s="1" t="n">
        <v>44078</v>
      </c>
      <c r="C735" s="1" t="n">
        <v>45670</v>
      </c>
      <c r="D735" t="inlineStr">
        <is>
          <t>VÄSTERNORRLANDS LÄN</t>
        </is>
      </c>
      <c r="E735" t="inlineStr">
        <is>
          <t>SOLLEFTEÅ</t>
        </is>
      </c>
      <c r="G735" t="n">
        <v>8.6</v>
      </c>
      <c r="H735" t="n">
        <v>0</v>
      </c>
      <c r="I735" t="n">
        <v>0</v>
      </c>
      <c r="J735" t="n">
        <v>0</v>
      </c>
      <c r="K735" t="n">
        <v>0</v>
      </c>
      <c r="L735" t="n">
        <v>0</v>
      </c>
      <c r="M735" t="n">
        <v>0</v>
      </c>
      <c r="N735" t="n">
        <v>0</v>
      </c>
      <c r="O735" t="n">
        <v>0</v>
      </c>
      <c r="P735" t="n">
        <v>0</v>
      </c>
      <c r="Q735" t="n">
        <v>0</v>
      </c>
      <c r="R735" s="2" t="inlineStr"/>
    </row>
    <row r="736" ht="15" customHeight="1">
      <c r="A736" t="inlineStr">
        <is>
          <t>A 43107-2020</t>
        </is>
      </c>
      <c r="B736" s="1" t="n">
        <v>44078</v>
      </c>
      <c r="C736" s="1" t="n">
        <v>45670</v>
      </c>
      <c r="D736" t="inlineStr">
        <is>
          <t>VÄSTERNORRLANDS LÄN</t>
        </is>
      </c>
      <c r="E736" t="inlineStr">
        <is>
          <t>SOLLEFTEÅ</t>
        </is>
      </c>
      <c r="F736" t="inlineStr">
        <is>
          <t>SCA</t>
        </is>
      </c>
      <c r="G736" t="n">
        <v>3.7</v>
      </c>
      <c r="H736" t="n">
        <v>0</v>
      </c>
      <c r="I736" t="n">
        <v>0</v>
      </c>
      <c r="J736" t="n">
        <v>0</v>
      </c>
      <c r="K736" t="n">
        <v>0</v>
      </c>
      <c r="L736" t="n">
        <v>0</v>
      </c>
      <c r="M736" t="n">
        <v>0</v>
      </c>
      <c r="N736" t="n">
        <v>0</v>
      </c>
      <c r="O736" t="n">
        <v>0</v>
      </c>
      <c r="P736" t="n">
        <v>0</v>
      </c>
      <c r="Q736" t="n">
        <v>0</v>
      </c>
      <c r="R736" s="2" t="inlineStr"/>
    </row>
    <row r="737" ht="15" customHeight="1">
      <c r="A737" t="inlineStr">
        <is>
          <t>A 43438-2020</t>
        </is>
      </c>
      <c r="B737" s="1" t="n">
        <v>44081</v>
      </c>
      <c r="C737" s="1" t="n">
        <v>45670</v>
      </c>
      <c r="D737" t="inlineStr">
        <is>
          <t>VÄSTERNORRLANDS LÄN</t>
        </is>
      </c>
      <c r="E737" t="inlineStr">
        <is>
          <t>SOLLEFTEÅ</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43820-2020</t>
        </is>
      </c>
      <c r="B738" s="1" t="n">
        <v>44082</v>
      </c>
      <c r="C738" s="1" t="n">
        <v>45670</v>
      </c>
      <c r="D738" t="inlineStr">
        <is>
          <t>VÄSTERNORRLANDS LÄN</t>
        </is>
      </c>
      <c r="E738" t="inlineStr">
        <is>
          <t>SOLLEFTEÅ</t>
        </is>
      </c>
      <c r="F738" t="inlineStr">
        <is>
          <t>SCA</t>
        </is>
      </c>
      <c r="G738" t="n">
        <v>8.1</v>
      </c>
      <c r="H738" t="n">
        <v>0</v>
      </c>
      <c r="I738" t="n">
        <v>0</v>
      </c>
      <c r="J738" t="n">
        <v>0</v>
      </c>
      <c r="K738" t="n">
        <v>0</v>
      </c>
      <c r="L738" t="n">
        <v>0</v>
      </c>
      <c r="M738" t="n">
        <v>0</v>
      </c>
      <c r="N738" t="n">
        <v>0</v>
      </c>
      <c r="O738" t="n">
        <v>0</v>
      </c>
      <c r="P738" t="n">
        <v>0</v>
      </c>
      <c r="Q738" t="n">
        <v>0</v>
      </c>
      <c r="R738" s="2" t="inlineStr"/>
    </row>
    <row r="739" ht="15" customHeight="1">
      <c r="A739" t="inlineStr">
        <is>
          <t>A 45147-2020</t>
        </is>
      </c>
      <c r="B739" s="1" t="n">
        <v>44084</v>
      </c>
      <c r="C739" s="1" t="n">
        <v>45670</v>
      </c>
      <c r="D739" t="inlineStr">
        <is>
          <t>VÄSTERNORRLANDS LÄN</t>
        </is>
      </c>
      <c r="E739" t="inlineStr">
        <is>
          <t>SOLLEFTEÅ</t>
        </is>
      </c>
      <c r="G739" t="n">
        <v>2.3</v>
      </c>
      <c r="H739" t="n">
        <v>0</v>
      </c>
      <c r="I739" t="n">
        <v>0</v>
      </c>
      <c r="J739" t="n">
        <v>0</v>
      </c>
      <c r="K739" t="n">
        <v>0</v>
      </c>
      <c r="L739" t="n">
        <v>0</v>
      </c>
      <c r="M739" t="n">
        <v>0</v>
      </c>
      <c r="N739" t="n">
        <v>0</v>
      </c>
      <c r="O739" t="n">
        <v>0</v>
      </c>
      <c r="P739" t="n">
        <v>0</v>
      </c>
      <c r="Q739" t="n">
        <v>0</v>
      </c>
      <c r="R739" s="2" t="inlineStr"/>
    </row>
    <row r="740" ht="15" customHeight="1">
      <c r="A740" t="inlineStr">
        <is>
          <t>A 44681-2020</t>
        </is>
      </c>
      <c r="B740" s="1" t="n">
        <v>44085</v>
      </c>
      <c r="C740" s="1" t="n">
        <v>45670</v>
      </c>
      <c r="D740" t="inlineStr">
        <is>
          <t>VÄSTERNORRLANDS LÄN</t>
        </is>
      </c>
      <c r="E740" t="inlineStr">
        <is>
          <t>SOLLEFTEÅ</t>
        </is>
      </c>
      <c r="G740" t="n">
        <v>7.8</v>
      </c>
      <c r="H740" t="n">
        <v>0</v>
      </c>
      <c r="I740" t="n">
        <v>0</v>
      </c>
      <c r="J740" t="n">
        <v>0</v>
      </c>
      <c r="K740" t="n">
        <v>0</v>
      </c>
      <c r="L740" t="n">
        <v>0</v>
      </c>
      <c r="M740" t="n">
        <v>0</v>
      </c>
      <c r="N740" t="n">
        <v>0</v>
      </c>
      <c r="O740" t="n">
        <v>0</v>
      </c>
      <c r="P740" t="n">
        <v>0</v>
      </c>
      <c r="Q740" t="n">
        <v>0</v>
      </c>
      <c r="R740" s="2" t="inlineStr"/>
    </row>
    <row r="741" ht="15" customHeight="1">
      <c r="A741" t="inlineStr">
        <is>
          <t>A 45250-2020</t>
        </is>
      </c>
      <c r="B741" s="1" t="n">
        <v>44088</v>
      </c>
      <c r="C741" s="1" t="n">
        <v>45670</v>
      </c>
      <c r="D741" t="inlineStr">
        <is>
          <t>VÄSTERNORRLANDS LÄN</t>
        </is>
      </c>
      <c r="E741" t="inlineStr">
        <is>
          <t>SOLLEFTEÅ</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45251-2020</t>
        </is>
      </c>
      <c r="B742" s="1" t="n">
        <v>44088</v>
      </c>
      <c r="C742" s="1" t="n">
        <v>45670</v>
      </c>
      <c r="D742" t="inlineStr">
        <is>
          <t>VÄSTERNORRLANDS LÄN</t>
        </is>
      </c>
      <c r="E742" t="inlineStr">
        <is>
          <t>SOLLEFTEÅ</t>
        </is>
      </c>
      <c r="F742" t="inlineStr">
        <is>
          <t>SCA</t>
        </is>
      </c>
      <c r="G742" t="n">
        <v>5.6</v>
      </c>
      <c r="H742" t="n">
        <v>0</v>
      </c>
      <c r="I742" t="n">
        <v>0</v>
      </c>
      <c r="J742" t="n">
        <v>0</v>
      </c>
      <c r="K742" t="n">
        <v>0</v>
      </c>
      <c r="L742" t="n">
        <v>0</v>
      </c>
      <c r="M742" t="n">
        <v>0</v>
      </c>
      <c r="N742" t="n">
        <v>0</v>
      </c>
      <c r="O742" t="n">
        <v>0</v>
      </c>
      <c r="P742" t="n">
        <v>0</v>
      </c>
      <c r="Q742" t="n">
        <v>0</v>
      </c>
      <c r="R742" s="2" t="inlineStr"/>
    </row>
    <row r="743" ht="15" customHeight="1">
      <c r="A743" t="inlineStr">
        <is>
          <t>A 45549-2020</t>
        </is>
      </c>
      <c r="B743" s="1" t="n">
        <v>44090</v>
      </c>
      <c r="C743" s="1" t="n">
        <v>45670</v>
      </c>
      <c r="D743" t="inlineStr">
        <is>
          <t>VÄSTERNORRLANDS LÄN</t>
        </is>
      </c>
      <c r="E743" t="inlineStr">
        <is>
          <t>SOLLEFTEÅ</t>
        </is>
      </c>
      <c r="G743" t="n">
        <v>1.3</v>
      </c>
      <c r="H743" t="n">
        <v>0</v>
      </c>
      <c r="I743" t="n">
        <v>0</v>
      </c>
      <c r="J743" t="n">
        <v>0</v>
      </c>
      <c r="K743" t="n">
        <v>0</v>
      </c>
      <c r="L743" t="n">
        <v>0</v>
      </c>
      <c r="M743" t="n">
        <v>0</v>
      </c>
      <c r="N743" t="n">
        <v>0</v>
      </c>
      <c r="O743" t="n">
        <v>0</v>
      </c>
      <c r="P743" t="n">
        <v>0</v>
      </c>
      <c r="Q743" t="n">
        <v>0</v>
      </c>
      <c r="R743" s="2" t="inlineStr"/>
    </row>
    <row r="744" ht="15" customHeight="1">
      <c r="A744" t="inlineStr">
        <is>
          <t>A 45542-2020</t>
        </is>
      </c>
      <c r="B744" s="1" t="n">
        <v>44089</v>
      </c>
      <c r="C744" s="1" t="n">
        <v>45670</v>
      </c>
      <c r="D744" t="inlineStr">
        <is>
          <t>VÄSTERNORRLANDS LÄN</t>
        </is>
      </c>
      <c r="E744" t="inlineStr">
        <is>
          <t>SOLLEFTEÅ</t>
        </is>
      </c>
      <c r="G744" t="n">
        <v>0.3</v>
      </c>
      <c r="H744" t="n">
        <v>0</v>
      </c>
      <c r="I744" t="n">
        <v>0</v>
      </c>
      <c r="J744" t="n">
        <v>0</v>
      </c>
      <c r="K744" t="n">
        <v>0</v>
      </c>
      <c r="L744" t="n">
        <v>0</v>
      </c>
      <c r="M744" t="n">
        <v>0</v>
      </c>
      <c r="N744" t="n">
        <v>0</v>
      </c>
      <c r="O744" t="n">
        <v>0</v>
      </c>
      <c r="P744" t="n">
        <v>0</v>
      </c>
      <c r="Q744" t="n">
        <v>0</v>
      </c>
      <c r="R744" s="2" t="inlineStr"/>
    </row>
    <row r="745" ht="15" customHeight="1">
      <c r="A745" t="inlineStr">
        <is>
          <t>A 45551-2020</t>
        </is>
      </c>
      <c r="B745" s="1" t="n">
        <v>44089</v>
      </c>
      <c r="C745" s="1" t="n">
        <v>45670</v>
      </c>
      <c r="D745" t="inlineStr">
        <is>
          <t>VÄSTERNORRLANDS LÄN</t>
        </is>
      </c>
      <c r="E745" t="inlineStr">
        <is>
          <t>SOLLEFTEÅ</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46715-2020</t>
        </is>
      </c>
      <c r="B746" s="1" t="n">
        <v>44095</v>
      </c>
      <c r="C746" s="1" t="n">
        <v>45670</v>
      </c>
      <c r="D746" t="inlineStr">
        <is>
          <t>VÄSTERNORRLANDS LÄN</t>
        </is>
      </c>
      <c r="E746" t="inlineStr">
        <is>
          <t>SOLLEFTEÅ</t>
        </is>
      </c>
      <c r="G746" t="n">
        <v>1</v>
      </c>
      <c r="H746" t="n">
        <v>0</v>
      </c>
      <c r="I746" t="n">
        <v>0</v>
      </c>
      <c r="J746" t="n">
        <v>0</v>
      </c>
      <c r="K746" t="n">
        <v>0</v>
      </c>
      <c r="L746" t="n">
        <v>0</v>
      </c>
      <c r="M746" t="n">
        <v>0</v>
      </c>
      <c r="N746" t="n">
        <v>0</v>
      </c>
      <c r="O746" t="n">
        <v>0</v>
      </c>
      <c r="P746" t="n">
        <v>0</v>
      </c>
      <c r="Q746" t="n">
        <v>0</v>
      </c>
      <c r="R746" s="2" t="inlineStr"/>
    </row>
    <row r="747" ht="15" customHeight="1">
      <c r="A747" t="inlineStr">
        <is>
          <t>A 47827-2020</t>
        </is>
      </c>
      <c r="B747" s="1" t="n">
        <v>44098</v>
      </c>
      <c r="C747" s="1" t="n">
        <v>45670</v>
      </c>
      <c r="D747" t="inlineStr">
        <is>
          <t>VÄSTERNORRLANDS LÄN</t>
        </is>
      </c>
      <c r="E747" t="inlineStr">
        <is>
          <t>SOLLEFTEÅ</t>
        </is>
      </c>
      <c r="F747" t="inlineStr">
        <is>
          <t>SCA</t>
        </is>
      </c>
      <c r="G747" t="n">
        <v>4.8</v>
      </c>
      <c r="H747" t="n">
        <v>0</v>
      </c>
      <c r="I747" t="n">
        <v>0</v>
      </c>
      <c r="J747" t="n">
        <v>0</v>
      </c>
      <c r="K747" t="n">
        <v>0</v>
      </c>
      <c r="L747" t="n">
        <v>0</v>
      </c>
      <c r="M747" t="n">
        <v>0</v>
      </c>
      <c r="N747" t="n">
        <v>0</v>
      </c>
      <c r="O747" t="n">
        <v>0</v>
      </c>
      <c r="P747" t="n">
        <v>0</v>
      </c>
      <c r="Q747" t="n">
        <v>0</v>
      </c>
      <c r="R747" s="2" t="inlineStr"/>
    </row>
    <row r="748" ht="15" customHeight="1">
      <c r="A748" t="inlineStr">
        <is>
          <t>A 47859-2020</t>
        </is>
      </c>
      <c r="B748" s="1" t="n">
        <v>44099</v>
      </c>
      <c r="C748" s="1" t="n">
        <v>45670</v>
      </c>
      <c r="D748" t="inlineStr">
        <is>
          <t>VÄSTERNORRLANDS LÄN</t>
        </is>
      </c>
      <c r="E748" t="inlineStr">
        <is>
          <t>SOLLEFTEÅ</t>
        </is>
      </c>
      <c r="F748" t="inlineStr">
        <is>
          <t>SCA</t>
        </is>
      </c>
      <c r="G748" t="n">
        <v>0.6</v>
      </c>
      <c r="H748" t="n">
        <v>0</v>
      </c>
      <c r="I748" t="n">
        <v>0</v>
      </c>
      <c r="J748" t="n">
        <v>0</v>
      </c>
      <c r="K748" t="n">
        <v>0</v>
      </c>
      <c r="L748" t="n">
        <v>0</v>
      </c>
      <c r="M748" t="n">
        <v>0</v>
      </c>
      <c r="N748" t="n">
        <v>0</v>
      </c>
      <c r="O748" t="n">
        <v>0</v>
      </c>
      <c r="P748" t="n">
        <v>0</v>
      </c>
      <c r="Q748" t="n">
        <v>0</v>
      </c>
      <c r="R748" s="2" t="inlineStr"/>
    </row>
    <row r="749" ht="15" customHeight="1">
      <c r="A749" t="inlineStr">
        <is>
          <t>A 48052-2020</t>
        </is>
      </c>
      <c r="B749" s="1" t="n">
        <v>44100</v>
      </c>
      <c r="C749" s="1" t="n">
        <v>45670</v>
      </c>
      <c r="D749" t="inlineStr">
        <is>
          <t>VÄSTERNORRLANDS LÄN</t>
        </is>
      </c>
      <c r="E749" t="inlineStr">
        <is>
          <t>SOLLEFTEÅ</t>
        </is>
      </c>
      <c r="F749" t="inlineStr">
        <is>
          <t>SCA</t>
        </is>
      </c>
      <c r="G749" t="n">
        <v>0.5</v>
      </c>
      <c r="H749" t="n">
        <v>0</v>
      </c>
      <c r="I749" t="n">
        <v>0</v>
      </c>
      <c r="J749" t="n">
        <v>0</v>
      </c>
      <c r="K749" t="n">
        <v>0</v>
      </c>
      <c r="L749" t="n">
        <v>0</v>
      </c>
      <c r="M749" t="n">
        <v>0</v>
      </c>
      <c r="N749" t="n">
        <v>0</v>
      </c>
      <c r="O749" t="n">
        <v>0</v>
      </c>
      <c r="P749" t="n">
        <v>0</v>
      </c>
      <c r="Q749" t="n">
        <v>0</v>
      </c>
      <c r="R749" s="2" t="inlineStr"/>
    </row>
    <row r="750" ht="15" customHeight="1">
      <c r="A750" t="inlineStr">
        <is>
          <t>A 48240-2020</t>
        </is>
      </c>
      <c r="B750" s="1" t="n">
        <v>44102</v>
      </c>
      <c r="C750" s="1" t="n">
        <v>45670</v>
      </c>
      <c r="D750" t="inlineStr">
        <is>
          <t>VÄSTERNORRLANDS LÄN</t>
        </is>
      </c>
      <c r="E750" t="inlineStr">
        <is>
          <t>SOLLEFTEÅ</t>
        </is>
      </c>
      <c r="G750" t="n">
        <v>0.5</v>
      </c>
      <c r="H750" t="n">
        <v>0</v>
      </c>
      <c r="I750" t="n">
        <v>0</v>
      </c>
      <c r="J750" t="n">
        <v>0</v>
      </c>
      <c r="K750" t="n">
        <v>0</v>
      </c>
      <c r="L750" t="n">
        <v>0</v>
      </c>
      <c r="M750" t="n">
        <v>0</v>
      </c>
      <c r="N750" t="n">
        <v>0</v>
      </c>
      <c r="O750" t="n">
        <v>0</v>
      </c>
      <c r="P750" t="n">
        <v>0</v>
      </c>
      <c r="Q750" t="n">
        <v>0</v>
      </c>
      <c r="R750" s="2" t="inlineStr"/>
    </row>
    <row r="751" ht="15" customHeight="1">
      <c r="A751" t="inlineStr">
        <is>
          <t>A 48477-2020</t>
        </is>
      </c>
      <c r="B751" s="1" t="n">
        <v>44102</v>
      </c>
      <c r="C751" s="1" t="n">
        <v>45670</v>
      </c>
      <c r="D751" t="inlineStr">
        <is>
          <t>VÄSTERNORRLANDS LÄN</t>
        </is>
      </c>
      <c r="E751" t="inlineStr">
        <is>
          <t>SOLLEFTEÅ</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48468-2020</t>
        </is>
      </c>
      <c r="B752" s="1" t="n">
        <v>44102</v>
      </c>
      <c r="C752" s="1" t="n">
        <v>45670</v>
      </c>
      <c r="D752" t="inlineStr">
        <is>
          <t>VÄSTERNORRLANDS LÄN</t>
        </is>
      </c>
      <c r="E752" t="inlineStr">
        <is>
          <t>SOLLEFTEÅ</t>
        </is>
      </c>
      <c r="F752" t="inlineStr">
        <is>
          <t>SCA</t>
        </is>
      </c>
      <c r="G752" t="n">
        <v>3</v>
      </c>
      <c r="H752" t="n">
        <v>0</v>
      </c>
      <c r="I752" t="n">
        <v>0</v>
      </c>
      <c r="J752" t="n">
        <v>0</v>
      </c>
      <c r="K752" t="n">
        <v>0</v>
      </c>
      <c r="L752" t="n">
        <v>0</v>
      </c>
      <c r="M752" t="n">
        <v>0</v>
      </c>
      <c r="N752" t="n">
        <v>0</v>
      </c>
      <c r="O752" t="n">
        <v>0</v>
      </c>
      <c r="P752" t="n">
        <v>0</v>
      </c>
      <c r="Q752" t="n">
        <v>0</v>
      </c>
      <c r="R752" s="2" t="inlineStr"/>
    </row>
    <row r="753" ht="15" customHeight="1">
      <c r="A753" t="inlineStr">
        <is>
          <t>A 48470-2020</t>
        </is>
      </c>
      <c r="B753" s="1" t="n">
        <v>44102</v>
      </c>
      <c r="C753" s="1" t="n">
        <v>45670</v>
      </c>
      <c r="D753" t="inlineStr">
        <is>
          <t>VÄSTERNORRLANDS LÄN</t>
        </is>
      </c>
      <c r="E753" t="inlineStr">
        <is>
          <t>SOLLEFTEÅ</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48475-2020</t>
        </is>
      </c>
      <c r="B754" s="1" t="n">
        <v>44103</v>
      </c>
      <c r="C754" s="1" t="n">
        <v>45670</v>
      </c>
      <c r="D754" t="inlineStr">
        <is>
          <t>VÄSTERNORRLANDS LÄN</t>
        </is>
      </c>
      <c r="E754" t="inlineStr">
        <is>
          <t>SOLLEFTEÅ</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48802-2020</t>
        </is>
      </c>
      <c r="B755" s="1" t="n">
        <v>44103</v>
      </c>
      <c r="C755" s="1" t="n">
        <v>45670</v>
      </c>
      <c r="D755" t="inlineStr">
        <is>
          <t>VÄSTERNORRLANDS LÄN</t>
        </is>
      </c>
      <c r="E755" t="inlineStr">
        <is>
          <t>SOLLEFTEÅ</t>
        </is>
      </c>
      <c r="F755" t="inlineStr">
        <is>
          <t>SCA</t>
        </is>
      </c>
      <c r="G755" t="n">
        <v>10.9</v>
      </c>
      <c r="H755" t="n">
        <v>0</v>
      </c>
      <c r="I755" t="n">
        <v>0</v>
      </c>
      <c r="J755" t="n">
        <v>0</v>
      </c>
      <c r="K755" t="n">
        <v>0</v>
      </c>
      <c r="L755" t="n">
        <v>0</v>
      </c>
      <c r="M755" t="n">
        <v>0</v>
      </c>
      <c r="N755" t="n">
        <v>0</v>
      </c>
      <c r="O755" t="n">
        <v>0</v>
      </c>
      <c r="P755" t="n">
        <v>0</v>
      </c>
      <c r="Q755" t="n">
        <v>0</v>
      </c>
      <c r="R755" s="2" t="inlineStr"/>
    </row>
    <row r="756" ht="15" customHeight="1">
      <c r="A756" t="inlineStr">
        <is>
          <t>A 49629-2020</t>
        </is>
      </c>
      <c r="B756" s="1" t="n">
        <v>44103</v>
      </c>
      <c r="C756" s="1" t="n">
        <v>45670</v>
      </c>
      <c r="D756" t="inlineStr">
        <is>
          <t>VÄSTERNORRLANDS LÄN</t>
        </is>
      </c>
      <c r="E756" t="inlineStr">
        <is>
          <t>SOLLEFTEÅ</t>
        </is>
      </c>
      <c r="G756" t="n">
        <v>0.8</v>
      </c>
      <c r="H756" t="n">
        <v>0</v>
      </c>
      <c r="I756" t="n">
        <v>0</v>
      </c>
      <c r="J756" t="n">
        <v>0</v>
      </c>
      <c r="K756" t="n">
        <v>0</v>
      </c>
      <c r="L756" t="n">
        <v>0</v>
      </c>
      <c r="M756" t="n">
        <v>0</v>
      </c>
      <c r="N756" t="n">
        <v>0</v>
      </c>
      <c r="O756" t="n">
        <v>0</v>
      </c>
      <c r="P756" t="n">
        <v>0</v>
      </c>
      <c r="Q756" t="n">
        <v>0</v>
      </c>
      <c r="R756" s="2" t="inlineStr"/>
    </row>
    <row r="757" ht="15" customHeight="1">
      <c r="A757" t="inlineStr">
        <is>
          <t>A 49165-2020</t>
        </is>
      </c>
      <c r="B757" s="1" t="n">
        <v>44105</v>
      </c>
      <c r="C757" s="1" t="n">
        <v>45670</v>
      </c>
      <c r="D757" t="inlineStr">
        <is>
          <t>VÄSTERNORRLANDS LÄN</t>
        </is>
      </c>
      <c r="E757" t="inlineStr">
        <is>
          <t>SOLLEFTEÅ</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49507-2020</t>
        </is>
      </c>
      <c r="B758" s="1" t="n">
        <v>44105</v>
      </c>
      <c r="C758" s="1" t="n">
        <v>45670</v>
      </c>
      <c r="D758" t="inlineStr">
        <is>
          <t>VÄSTERNORRLANDS LÄN</t>
        </is>
      </c>
      <c r="E758" t="inlineStr">
        <is>
          <t>SOLLEFTEÅ</t>
        </is>
      </c>
      <c r="F758" t="inlineStr">
        <is>
          <t>SCA</t>
        </is>
      </c>
      <c r="G758" t="n">
        <v>0.2</v>
      </c>
      <c r="H758" t="n">
        <v>0</v>
      </c>
      <c r="I758" t="n">
        <v>0</v>
      </c>
      <c r="J758" t="n">
        <v>0</v>
      </c>
      <c r="K758" t="n">
        <v>0</v>
      </c>
      <c r="L758" t="n">
        <v>0</v>
      </c>
      <c r="M758" t="n">
        <v>0</v>
      </c>
      <c r="N758" t="n">
        <v>0</v>
      </c>
      <c r="O758" t="n">
        <v>0</v>
      </c>
      <c r="P758" t="n">
        <v>0</v>
      </c>
      <c r="Q758" t="n">
        <v>0</v>
      </c>
      <c r="R758" s="2" t="inlineStr"/>
    </row>
    <row r="759" ht="15" customHeight="1">
      <c r="A759" t="inlineStr">
        <is>
          <t>A 49508-2020</t>
        </is>
      </c>
      <c r="B759" s="1" t="n">
        <v>44105</v>
      </c>
      <c r="C759" s="1" t="n">
        <v>45670</v>
      </c>
      <c r="D759" t="inlineStr">
        <is>
          <t>VÄSTERNORRLANDS LÄN</t>
        </is>
      </c>
      <c r="E759" t="inlineStr">
        <is>
          <t>SOLLEFTEÅ</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49837-2020</t>
        </is>
      </c>
      <c r="B760" s="1" t="n">
        <v>44106</v>
      </c>
      <c r="C760" s="1" t="n">
        <v>45670</v>
      </c>
      <c r="D760" t="inlineStr">
        <is>
          <t>VÄSTERNORRLANDS LÄN</t>
        </is>
      </c>
      <c r="E760" t="inlineStr">
        <is>
          <t>SOLLEFTEÅ</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50647-2020</t>
        </is>
      </c>
      <c r="B761" s="1" t="n">
        <v>44111</v>
      </c>
      <c r="C761" s="1" t="n">
        <v>45670</v>
      </c>
      <c r="D761" t="inlineStr">
        <is>
          <t>VÄSTERNORRLANDS LÄN</t>
        </is>
      </c>
      <c r="E761" t="inlineStr">
        <is>
          <t>SOLLEFTEÅ</t>
        </is>
      </c>
      <c r="F761" t="inlineStr">
        <is>
          <t>SCA</t>
        </is>
      </c>
      <c r="G761" t="n">
        <v>4</v>
      </c>
      <c r="H761" t="n">
        <v>0</v>
      </c>
      <c r="I761" t="n">
        <v>0</v>
      </c>
      <c r="J761" t="n">
        <v>0</v>
      </c>
      <c r="K761" t="n">
        <v>0</v>
      </c>
      <c r="L761" t="n">
        <v>0</v>
      </c>
      <c r="M761" t="n">
        <v>0</v>
      </c>
      <c r="N761" t="n">
        <v>0</v>
      </c>
      <c r="O761" t="n">
        <v>0</v>
      </c>
      <c r="P761" t="n">
        <v>0</v>
      </c>
      <c r="Q761" t="n">
        <v>0</v>
      </c>
      <c r="R761" s="2" t="inlineStr"/>
    </row>
    <row r="762" ht="15" customHeight="1">
      <c r="A762" t="inlineStr">
        <is>
          <t>A 51018-2020</t>
        </is>
      </c>
      <c r="B762" s="1" t="n">
        <v>44111</v>
      </c>
      <c r="C762" s="1" t="n">
        <v>45670</v>
      </c>
      <c r="D762" t="inlineStr">
        <is>
          <t>VÄSTERNORRLANDS LÄN</t>
        </is>
      </c>
      <c r="E762" t="inlineStr">
        <is>
          <t>SOLLEFTEÅ</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51011-2020</t>
        </is>
      </c>
      <c r="B763" s="1" t="n">
        <v>44111</v>
      </c>
      <c r="C763" s="1" t="n">
        <v>45670</v>
      </c>
      <c r="D763" t="inlineStr">
        <is>
          <t>VÄSTERNORRLANDS LÄN</t>
        </is>
      </c>
      <c r="E763" t="inlineStr">
        <is>
          <t>SOLLEFTEÅ</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51534-2020</t>
        </is>
      </c>
      <c r="B764" s="1" t="n">
        <v>44113</v>
      </c>
      <c r="C764" s="1" t="n">
        <v>45670</v>
      </c>
      <c r="D764" t="inlineStr">
        <is>
          <t>VÄSTERNORRLANDS LÄN</t>
        </is>
      </c>
      <c r="E764" t="inlineStr">
        <is>
          <t>SOLLEFTEÅ</t>
        </is>
      </c>
      <c r="G764" t="n">
        <v>2.7</v>
      </c>
      <c r="H764" t="n">
        <v>0</v>
      </c>
      <c r="I764" t="n">
        <v>0</v>
      </c>
      <c r="J764" t="n">
        <v>0</v>
      </c>
      <c r="K764" t="n">
        <v>0</v>
      </c>
      <c r="L764" t="n">
        <v>0</v>
      </c>
      <c r="M764" t="n">
        <v>0</v>
      </c>
      <c r="N764" t="n">
        <v>0</v>
      </c>
      <c r="O764" t="n">
        <v>0</v>
      </c>
      <c r="P764" t="n">
        <v>0</v>
      </c>
      <c r="Q764" t="n">
        <v>0</v>
      </c>
      <c r="R764" s="2" t="inlineStr"/>
    </row>
    <row r="765" ht="15" customHeight="1">
      <c r="A765" t="inlineStr">
        <is>
          <t>A 52035-2020</t>
        </is>
      </c>
      <c r="B765" s="1" t="n">
        <v>44117</v>
      </c>
      <c r="C765" s="1" t="n">
        <v>45670</v>
      </c>
      <c r="D765" t="inlineStr">
        <is>
          <t>VÄSTERNORRLANDS LÄN</t>
        </is>
      </c>
      <c r="E765" t="inlineStr">
        <is>
          <t>SOLLEFTEÅ</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52189-2020</t>
        </is>
      </c>
      <c r="B766" s="1" t="n">
        <v>44117</v>
      </c>
      <c r="C766" s="1" t="n">
        <v>45670</v>
      </c>
      <c r="D766" t="inlineStr">
        <is>
          <t>VÄSTERNORRLANDS LÄN</t>
        </is>
      </c>
      <c r="E766" t="inlineStr">
        <is>
          <t>SOLLEFTEÅ</t>
        </is>
      </c>
      <c r="G766" t="n">
        <v>2.2</v>
      </c>
      <c r="H766" t="n">
        <v>0</v>
      </c>
      <c r="I766" t="n">
        <v>0</v>
      </c>
      <c r="J766" t="n">
        <v>0</v>
      </c>
      <c r="K766" t="n">
        <v>0</v>
      </c>
      <c r="L766" t="n">
        <v>0</v>
      </c>
      <c r="M766" t="n">
        <v>0</v>
      </c>
      <c r="N766" t="n">
        <v>0</v>
      </c>
      <c r="O766" t="n">
        <v>0</v>
      </c>
      <c r="P766" t="n">
        <v>0</v>
      </c>
      <c r="Q766" t="n">
        <v>0</v>
      </c>
      <c r="R766" s="2" t="inlineStr"/>
    </row>
    <row r="767" ht="15" customHeight="1">
      <c r="A767" t="inlineStr">
        <is>
          <t>A 52199-2020</t>
        </is>
      </c>
      <c r="B767" s="1" t="n">
        <v>44117</v>
      </c>
      <c r="C767" s="1" t="n">
        <v>45670</v>
      </c>
      <c r="D767" t="inlineStr">
        <is>
          <t>VÄSTERNORRLANDS LÄN</t>
        </is>
      </c>
      <c r="E767" t="inlineStr">
        <is>
          <t>SOLLEFTEÅ</t>
        </is>
      </c>
      <c r="G767" t="n">
        <v>4.9</v>
      </c>
      <c r="H767" t="n">
        <v>0</v>
      </c>
      <c r="I767" t="n">
        <v>0</v>
      </c>
      <c r="J767" t="n">
        <v>0</v>
      </c>
      <c r="K767" t="n">
        <v>0</v>
      </c>
      <c r="L767" t="n">
        <v>0</v>
      </c>
      <c r="M767" t="n">
        <v>0</v>
      </c>
      <c r="N767" t="n">
        <v>0</v>
      </c>
      <c r="O767" t="n">
        <v>0</v>
      </c>
      <c r="P767" t="n">
        <v>0</v>
      </c>
      <c r="Q767" t="n">
        <v>0</v>
      </c>
      <c r="R767" s="2" t="inlineStr"/>
    </row>
    <row r="768" ht="15" customHeight="1">
      <c r="A768" t="inlineStr">
        <is>
          <t>A 52406-2020</t>
        </is>
      </c>
      <c r="B768" s="1" t="n">
        <v>44118</v>
      </c>
      <c r="C768" s="1" t="n">
        <v>45670</v>
      </c>
      <c r="D768" t="inlineStr">
        <is>
          <t>VÄSTERNORRLANDS LÄN</t>
        </is>
      </c>
      <c r="E768" t="inlineStr">
        <is>
          <t>SOLLEFTEÅ</t>
        </is>
      </c>
      <c r="G768" t="n">
        <v>2.8</v>
      </c>
      <c r="H768" t="n">
        <v>0</v>
      </c>
      <c r="I768" t="n">
        <v>0</v>
      </c>
      <c r="J768" t="n">
        <v>0</v>
      </c>
      <c r="K768" t="n">
        <v>0</v>
      </c>
      <c r="L768" t="n">
        <v>0</v>
      </c>
      <c r="M768" t="n">
        <v>0</v>
      </c>
      <c r="N768" t="n">
        <v>0</v>
      </c>
      <c r="O768" t="n">
        <v>0</v>
      </c>
      <c r="P768" t="n">
        <v>0</v>
      </c>
      <c r="Q768" t="n">
        <v>0</v>
      </c>
      <c r="R768" s="2" t="inlineStr"/>
    </row>
    <row r="769" ht="15" customHeight="1">
      <c r="A769" t="inlineStr">
        <is>
          <t>A 52983-2020</t>
        </is>
      </c>
      <c r="B769" s="1" t="n">
        <v>44119</v>
      </c>
      <c r="C769" s="1" t="n">
        <v>45670</v>
      </c>
      <c r="D769" t="inlineStr">
        <is>
          <t>VÄSTERNORRLANDS LÄN</t>
        </is>
      </c>
      <c r="E769" t="inlineStr">
        <is>
          <t>SOLLEFTEÅ</t>
        </is>
      </c>
      <c r="G769" t="n">
        <v>3.8</v>
      </c>
      <c r="H769" t="n">
        <v>0</v>
      </c>
      <c r="I769" t="n">
        <v>0</v>
      </c>
      <c r="J769" t="n">
        <v>0</v>
      </c>
      <c r="K769" t="n">
        <v>0</v>
      </c>
      <c r="L769" t="n">
        <v>0</v>
      </c>
      <c r="M769" t="n">
        <v>0</v>
      </c>
      <c r="N769" t="n">
        <v>0</v>
      </c>
      <c r="O769" t="n">
        <v>0</v>
      </c>
      <c r="P769" t="n">
        <v>0</v>
      </c>
      <c r="Q769" t="n">
        <v>0</v>
      </c>
      <c r="R769" s="2" t="inlineStr"/>
    </row>
    <row r="770" ht="15" customHeight="1">
      <c r="A770" t="inlineStr">
        <is>
          <t>A 52936-2020</t>
        </is>
      </c>
      <c r="B770" s="1" t="n">
        <v>44120</v>
      </c>
      <c r="C770" s="1" t="n">
        <v>45670</v>
      </c>
      <c r="D770" t="inlineStr">
        <is>
          <t>VÄSTERNORRLANDS LÄN</t>
        </is>
      </c>
      <c r="E770" t="inlineStr">
        <is>
          <t>SOLLEFTEÅ</t>
        </is>
      </c>
      <c r="F770" t="inlineStr">
        <is>
          <t>Holmen skog AB</t>
        </is>
      </c>
      <c r="G770" t="n">
        <v>1.9</v>
      </c>
      <c r="H770" t="n">
        <v>0</v>
      </c>
      <c r="I770" t="n">
        <v>0</v>
      </c>
      <c r="J770" t="n">
        <v>0</v>
      </c>
      <c r="K770" t="n">
        <v>0</v>
      </c>
      <c r="L770" t="n">
        <v>0</v>
      </c>
      <c r="M770" t="n">
        <v>0</v>
      </c>
      <c r="N770" t="n">
        <v>0</v>
      </c>
      <c r="O770" t="n">
        <v>0</v>
      </c>
      <c r="P770" t="n">
        <v>0</v>
      </c>
      <c r="Q770" t="n">
        <v>0</v>
      </c>
      <c r="R770" s="2" t="inlineStr"/>
    </row>
    <row r="771" ht="15" customHeight="1">
      <c r="A771" t="inlineStr">
        <is>
          <t>A 53828-2020</t>
        </is>
      </c>
      <c r="B771" s="1" t="n">
        <v>44124</v>
      </c>
      <c r="C771" s="1" t="n">
        <v>45670</v>
      </c>
      <c r="D771" t="inlineStr">
        <is>
          <t>VÄSTERNORRLANDS LÄN</t>
        </is>
      </c>
      <c r="E771" t="inlineStr">
        <is>
          <t>SOLLEFTEÅ</t>
        </is>
      </c>
      <c r="F771" t="inlineStr">
        <is>
          <t>SCA</t>
        </is>
      </c>
      <c r="G771" t="n">
        <v>0.4</v>
      </c>
      <c r="H771" t="n">
        <v>0</v>
      </c>
      <c r="I771" t="n">
        <v>0</v>
      </c>
      <c r="J771" t="n">
        <v>0</v>
      </c>
      <c r="K771" t="n">
        <v>0</v>
      </c>
      <c r="L771" t="n">
        <v>0</v>
      </c>
      <c r="M771" t="n">
        <v>0</v>
      </c>
      <c r="N771" t="n">
        <v>0</v>
      </c>
      <c r="O771" t="n">
        <v>0</v>
      </c>
      <c r="P771" t="n">
        <v>0</v>
      </c>
      <c r="Q771" t="n">
        <v>0</v>
      </c>
      <c r="R771" s="2" t="inlineStr"/>
    </row>
    <row r="772" ht="15" customHeight="1">
      <c r="A772" t="inlineStr">
        <is>
          <t>A 54463-2020</t>
        </is>
      </c>
      <c r="B772" s="1" t="n">
        <v>44125</v>
      </c>
      <c r="C772" s="1" t="n">
        <v>45670</v>
      </c>
      <c r="D772" t="inlineStr">
        <is>
          <t>VÄSTERNORRLANDS LÄN</t>
        </is>
      </c>
      <c r="E772" t="inlineStr">
        <is>
          <t>SOLLEFTEÅ</t>
        </is>
      </c>
      <c r="G772" t="n">
        <v>2</v>
      </c>
      <c r="H772" t="n">
        <v>0</v>
      </c>
      <c r="I772" t="n">
        <v>0</v>
      </c>
      <c r="J772" t="n">
        <v>0</v>
      </c>
      <c r="K772" t="n">
        <v>0</v>
      </c>
      <c r="L772" t="n">
        <v>0</v>
      </c>
      <c r="M772" t="n">
        <v>0</v>
      </c>
      <c r="N772" t="n">
        <v>0</v>
      </c>
      <c r="O772" t="n">
        <v>0</v>
      </c>
      <c r="P772" t="n">
        <v>0</v>
      </c>
      <c r="Q772" t="n">
        <v>0</v>
      </c>
      <c r="R772" s="2" t="inlineStr"/>
    </row>
    <row r="773" ht="15" customHeight="1">
      <c r="A773" t="inlineStr">
        <is>
          <t>A 53866-2020</t>
        </is>
      </c>
      <c r="B773" s="1" t="n">
        <v>44125</v>
      </c>
      <c r="C773" s="1" t="n">
        <v>45670</v>
      </c>
      <c r="D773" t="inlineStr">
        <is>
          <t>VÄSTERNORRLANDS LÄN</t>
        </is>
      </c>
      <c r="E773" t="inlineStr">
        <is>
          <t>SOLLEFTEÅ</t>
        </is>
      </c>
      <c r="G773" t="n">
        <v>1.4</v>
      </c>
      <c r="H773" t="n">
        <v>0</v>
      </c>
      <c r="I773" t="n">
        <v>0</v>
      </c>
      <c r="J773" t="n">
        <v>0</v>
      </c>
      <c r="K773" t="n">
        <v>0</v>
      </c>
      <c r="L773" t="n">
        <v>0</v>
      </c>
      <c r="M773" t="n">
        <v>0</v>
      </c>
      <c r="N773" t="n">
        <v>0</v>
      </c>
      <c r="O773" t="n">
        <v>0</v>
      </c>
      <c r="P773" t="n">
        <v>0</v>
      </c>
      <c r="Q773" t="n">
        <v>0</v>
      </c>
      <c r="R773" s="2" t="inlineStr"/>
    </row>
    <row r="774" ht="15" customHeight="1">
      <c r="A774" t="inlineStr">
        <is>
          <t>A 54567-2020</t>
        </is>
      </c>
      <c r="B774" s="1" t="n">
        <v>44126</v>
      </c>
      <c r="C774" s="1" t="n">
        <v>45670</v>
      </c>
      <c r="D774" t="inlineStr">
        <is>
          <t>VÄSTERNORRLANDS LÄN</t>
        </is>
      </c>
      <c r="E774" t="inlineStr">
        <is>
          <t>SOLLEFTEÅ</t>
        </is>
      </c>
      <c r="G774" t="n">
        <v>0.4</v>
      </c>
      <c r="H774" t="n">
        <v>0</v>
      </c>
      <c r="I774" t="n">
        <v>0</v>
      </c>
      <c r="J774" t="n">
        <v>0</v>
      </c>
      <c r="K774" t="n">
        <v>0</v>
      </c>
      <c r="L774" t="n">
        <v>0</v>
      </c>
      <c r="M774" t="n">
        <v>0</v>
      </c>
      <c r="N774" t="n">
        <v>0</v>
      </c>
      <c r="O774" t="n">
        <v>0</v>
      </c>
      <c r="P774" t="n">
        <v>0</v>
      </c>
      <c r="Q774" t="n">
        <v>0</v>
      </c>
      <c r="R774" s="2" t="inlineStr"/>
    </row>
    <row r="775" ht="15" customHeight="1">
      <c r="A775" t="inlineStr">
        <is>
          <t>A 54568-2020</t>
        </is>
      </c>
      <c r="B775" s="1" t="n">
        <v>44126</v>
      </c>
      <c r="C775" s="1" t="n">
        <v>45670</v>
      </c>
      <c r="D775" t="inlineStr">
        <is>
          <t>VÄSTERNORRLANDS LÄN</t>
        </is>
      </c>
      <c r="E775" t="inlineStr">
        <is>
          <t>SOLLEFTEÅ</t>
        </is>
      </c>
      <c r="G775" t="n">
        <v>0.2</v>
      </c>
      <c r="H775" t="n">
        <v>0</v>
      </c>
      <c r="I775" t="n">
        <v>0</v>
      </c>
      <c r="J775" t="n">
        <v>0</v>
      </c>
      <c r="K775" t="n">
        <v>0</v>
      </c>
      <c r="L775" t="n">
        <v>0</v>
      </c>
      <c r="M775" t="n">
        <v>0</v>
      </c>
      <c r="N775" t="n">
        <v>0</v>
      </c>
      <c r="O775" t="n">
        <v>0</v>
      </c>
      <c r="P775" t="n">
        <v>0</v>
      </c>
      <c r="Q775" t="n">
        <v>0</v>
      </c>
      <c r="R775" s="2" t="inlineStr"/>
    </row>
    <row r="776" ht="15" customHeight="1">
      <c r="A776" t="inlineStr">
        <is>
          <t>A 54572-2020</t>
        </is>
      </c>
      <c r="B776" s="1" t="n">
        <v>44126</v>
      </c>
      <c r="C776" s="1" t="n">
        <v>45670</v>
      </c>
      <c r="D776" t="inlineStr">
        <is>
          <t>VÄSTERNORRLANDS LÄN</t>
        </is>
      </c>
      <c r="E776" t="inlineStr">
        <is>
          <t>SOLLEFTEÅ</t>
        </is>
      </c>
      <c r="G776" t="n">
        <v>0.5</v>
      </c>
      <c r="H776" t="n">
        <v>0</v>
      </c>
      <c r="I776" t="n">
        <v>0</v>
      </c>
      <c r="J776" t="n">
        <v>0</v>
      </c>
      <c r="K776" t="n">
        <v>0</v>
      </c>
      <c r="L776" t="n">
        <v>0</v>
      </c>
      <c r="M776" t="n">
        <v>0</v>
      </c>
      <c r="N776" t="n">
        <v>0</v>
      </c>
      <c r="O776" t="n">
        <v>0</v>
      </c>
      <c r="P776" t="n">
        <v>0</v>
      </c>
      <c r="Q776" t="n">
        <v>0</v>
      </c>
      <c r="R776" s="2" t="inlineStr"/>
    </row>
    <row r="777" ht="15" customHeight="1">
      <c r="A777" t="inlineStr">
        <is>
          <t>A 54576-2020</t>
        </is>
      </c>
      <c r="B777" s="1" t="n">
        <v>44126</v>
      </c>
      <c r="C777" s="1" t="n">
        <v>45670</v>
      </c>
      <c r="D777" t="inlineStr">
        <is>
          <t>VÄSTERNORRLANDS LÄN</t>
        </is>
      </c>
      <c r="E777" t="inlineStr">
        <is>
          <t>SOLLEFTEÅ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54571-2020</t>
        </is>
      </c>
      <c r="B778" s="1" t="n">
        <v>44126</v>
      </c>
      <c r="C778" s="1" t="n">
        <v>45670</v>
      </c>
      <c r="D778" t="inlineStr">
        <is>
          <t>VÄSTERNORRLANDS LÄN</t>
        </is>
      </c>
      <c r="E778" t="inlineStr">
        <is>
          <t>SOLLEFTEÅ</t>
        </is>
      </c>
      <c r="G778" t="n">
        <v>0.6</v>
      </c>
      <c r="H778" t="n">
        <v>0</v>
      </c>
      <c r="I778" t="n">
        <v>0</v>
      </c>
      <c r="J778" t="n">
        <v>0</v>
      </c>
      <c r="K778" t="n">
        <v>0</v>
      </c>
      <c r="L778" t="n">
        <v>0</v>
      </c>
      <c r="M778" t="n">
        <v>0</v>
      </c>
      <c r="N778" t="n">
        <v>0</v>
      </c>
      <c r="O778" t="n">
        <v>0</v>
      </c>
      <c r="P778" t="n">
        <v>0</v>
      </c>
      <c r="Q778" t="n">
        <v>0</v>
      </c>
      <c r="R778" s="2" t="inlineStr"/>
    </row>
    <row r="779" ht="15" customHeight="1">
      <c r="A779" t="inlineStr">
        <is>
          <t>A 54569-2020</t>
        </is>
      </c>
      <c r="B779" s="1" t="n">
        <v>44126</v>
      </c>
      <c r="C779" s="1" t="n">
        <v>45670</v>
      </c>
      <c r="D779" t="inlineStr">
        <is>
          <t>VÄSTERNORRLANDS LÄN</t>
        </is>
      </c>
      <c r="E779" t="inlineStr">
        <is>
          <t>SOLLEFTEÅ</t>
        </is>
      </c>
      <c r="G779" t="n">
        <v>0.5</v>
      </c>
      <c r="H779" t="n">
        <v>0</v>
      </c>
      <c r="I779" t="n">
        <v>0</v>
      </c>
      <c r="J779" t="n">
        <v>0</v>
      </c>
      <c r="K779" t="n">
        <v>0</v>
      </c>
      <c r="L779" t="n">
        <v>0</v>
      </c>
      <c r="M779" t="n">
        <v>0</v>
      </c>
      <c r="N779" t="n">
        <v>0</v>
      </c>
      <c r="O779" t="n">
        <v>0</v>
      </c>
      <c r="P779" t="n">
        <v>0</v>
      </c>
      <c r="Q779" t="n">
        <v>0</v>
      </c>
      <c r="R779" s="2" t="inlineStr"/>
    </row>
    <row r="780" ht="15" customHeight="1">
      <c r="A780" t="inlineStr">
        <is>
          <t>A 54566-2020</t>
        </is>
      </c>
      <c r="B780" s="1" t="n">
        <v>44126</v>
      </c>
      <c r="C780" s="1" t="n">
        <v>45670</v>
      </c>
      <c r="D780" t="inlineStr">
        <is>
          <t>VÄSTERNORRLANDS LÄN</t>
        </is>
      </c>
      <c r="E780" t="inlineStr">
        <is>
          <t>SOLLEFTEÅ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54570-2020</t>
        </is>
      </c>
      <c r="B781" s="1" t="n">
        <v>44126</v>
      </c>
      <c r="C781" s="1" t="n">
        <v>45670</v>
      </c>
      <c r="D781" t="inlineStr">
        <is>
          <t>VÄSTERNORRLANDS LÄN</t>
        </is>
      </c>
      <c r="E781" t="inlineStr">
        <is>
          <t>SOLLEFTEÅ</t>
        </is>
      </c>
      <c r="G781" t="n">
        <v>0.3</v>
      </c>
      <c r="H781" t="n">
        <v>0</v>
      </c>
      <c r="I781" t="n">
        <v>0</v>
      </c>
      <c r="J781" t="n">
        <v>0</v>
      </c>
      <c r="K781" t="n">
        <v>0</v>
      </c>
      <c r="L781" t="n">
        <v>0</v>
      </c>
      <c r="M781" t="n">
        <v>0</v>
      </c>
      <c r="N781" t="n">
        <v>0</v>
      </c>
      <c r="O781" t="n">
        <v>0</v>
      </c>
      <c r="P781" t="n">
        <v>0</v>
      </c>
      <c r="Q781" t="n">
        <v>0</v>
      </c>
      <c r="R781" s="2" t="inlineStr"/>
    </row>
    <row r="782" ht="15" customHeight="1">
      <c r="A782" t="inlineStr">
        <is>
          <t>A 54573-2020</t>
        </is>
      </c>
      <c r="B782" s="1" t="n">
        <v>44126</v>
      </c>
      <c r="C782" s="1" t="n">
        <v>45670</v>
      </c>
      <c r="D782" t="inlineStr">
        <is>
          <t>VÄSTERNORRLANDS LÄN</t>
        </is>
      </c>
      <c r="E782" t="inlineStr">
        <is>
          <t>SOLLEFTEÅ</t>
        </is>
      </c>
      <c r="G782" t="n">
        <v>0.2</v>
      </c>
      <c r="H782" t="n">
        <v>0</v>
      </c>
      <c r="I782" t="n">
        <v>0</v>
      </c>
      <c r="J782" t="n">
        <v>0</v>
      </c>
      <c r="K782" t="n">
        <v>0</v>
      </c>
      <c r="L782" t="n">
        <v>0</v>
      </c>
      <c r="M782" t="n">
        <v>0</v>
      </c>
      <c r="N782" t="n">
        <v>0</v>
      </c>
      <c r="O782" t="n">
        <v>0</v>
      </c>
      <c r="P782" t="n">
        <v>0</v>
      </c>
      <c r="Q782" t="n">
        <v>0</v>
      </c>
      <c r="R782" s="2" t="inlineStr"/>
    </row>
    <row r="783" ht="15" customHeight="1">
      <c r="A783" t="inlineStr">
        <is>
          <t>A 55337-2020</t>
        </is>
      </c>
      <c r="B783" s="1" t="n">
        <v>44130</v>
      </c>
      <c r="C783" s="1" t="n">
        <v>45670</v>
      </c>
      <c r="D783" t="inlineStr">
        <is>
          <t>VÄSTERNORRLANDS LÄN</t>
        </is>
      </c>
      <c r="E783" t="inlineStr">
        <is>
          <t>SOLLEFTEÅ</t>
        </is>
      </c>
      <c r="G783" t="n">
        <v>21.1</v>
      </c>
      <c r="H783" t="n">
        <v>0</v>
      </c>
      <c r="I783" t="n">
        <v>0</v>
      </c>
      <c r="J783" t="n">
        <v>0</v>
      </c>
      <c r="K783" t="n">
        <v>0</v>
      </c>
      <c r="L783" t="n">
        <v>0</v>
      </c>
      <c r="M783" t="n">
        <v>0</v>
      </c>
      <c r="N783" t="n">
        <v>0</v>
      </c>
      <c r="O783" t="n">
        <v>0</v>
      </c>
      <c r="P783" t="n">
        <v>0</v>
      </c>
      <c r="Q783" t="n">
        <v>0</v>
      </c>
      <c r="R783" s="2" t="inlineStr"/>
    </row>
    <row r="784" ht="15" customHeight="1">
      <c r="A784" t="inlineStr">
        <is>
          <t>A 55489-2020</t>
        </is>
      </c>
      <c r="B784" s="1" t="n">
        <v>44131</v>
      </c>
      <c r="C784" s="1" t="n">
        <v>45670</v>
      </c>
      <c r="D784" t="inlineStr">
        <is>
          <t>VÄSTERNORRLANDS LÄN</t>
        </is>
      </c>
      <c r="E784" t="inlineStr">
        <is>
          <t>SOLLEFTEÅ</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58380-2020</t>
        </is>
      </c>
      <c r="B785" s="1" t="n">
        <v>44145</v>
      </c>
      <c r="C785" s="1" t="n">
        <v>45670</v>
      </c>
      <c r="D785" t="inlineStr">
        <is>
          <t>VÄSTERNORRLANDS LÄN</t>
        </is>
      </c>
      <c r="E785" t="inlineStr">
        <is>
          <t>SOLLEFTEÅ</t>
        </is>
      </c>
      <c r="G785" t="n">
        <v>2.4</v>
      </c>
      <c r="H785" t="n">
        <v>0</v>
      </c>
      <c r="I785" t="n">
        <v>0</v>
      </c>
      <c r="J785" t="n">
        <v>0</v>
      </c>
      <c r="K785" t="n">
        <v>0</v>
      </c>
      <c r="L785" t="n">
        <v>0</v>
      </c>
      <c r="M785" t="n">
        <v>0</v>
      </c>
      <c r="N785" t="n">
        <v>0</v>
      </c>
      <c r="O785" t="n">
        <v>0</v>
      </c>
      <c r="P785" t="n">
        <v>0</v>
      </c>
      <c r="Q785" t="n">
        <v>0</v>
      </c>
      <c r="R785" s="2" t="inlineStr"/>
    </row>
    <row r="786" ht="15" customHeight="1">
      <c r="A786" t="inlineStr">
        <is>
          <t>A 58381-2020</t>
        </is>
      </c>
      <c r="B786" s="1" t="n">
        <v>44145</v>
      </c>
      <c r="C786" s="1" t="n">
        <v>45670</v>
      </c>
      <c r="D786" t="inlineStr">
        <is>
          <t>VÄSTERNORRLANDS LÄN</t>
        </is>
      </c>
      <c r="E786" t="inlineStr">
        <is>
          <t>SOLLEFTEÅ</t>
        </is>
      </c>
      <c r="G786" t="n">
        <v>2.3</v>
      </c>
      <c r="H786" t="n">
        <v>0</v>
      </c>
      <c r="I786" t="n">
        <v>0</v>
      </c>
      <c r="J786" t="n">
        <v>0</v>
      </c>
      <c r="K786" t="n">
        <v>0</v>
      </c>
      <c r="L786" t="n">
        <v>0</v>
      </c>
      <c r="M786" t="n">
        <v>0</v>
      </c>
      <c r="N786" t="n">
        <v>0</v>
      </c>
      <c r="O786" t="n">
        <v>0</v>
      </c>
      <c r="P786" t="n">
        <v>0</v>
      </c>
      <c r="Q786" t="n">
        <v>0</v>
      </c>
      <c r="R786" s="2" t="inlineStr"/>
    </row>
    <row r="787" ht="15" customHeight="1">
      <c r="A787" t="inlineStr">
        <is>
          <t>A 59334-2020</t>
        </is>
      </c>
      <c r="B787" s="1" t="n">
        <v>44147</v>
      </c>
      <c r="C787" s="1" t="n">
        <v>45670</v>
      </c>
      <c r="D787" t="inlineStr">
        <is>
          <t>VÄSTERNORRLANDS LÄN</t>
        </is>
      </c>
      <c r="E787" t="inlineStr">
        <is>
          <t>SOLLEFTEÅ</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59950-2020</t>
        </is>
      </c>
      <c r="B788" s="1" t="n">
        <v>44151</v>
      </c>
      <c r="C788" s="1" t="n">
        <v>45670</v>
      </c>
      <c r="D788" t="inlineStr">
        <is>
          <t>VÄSTERNORRLANDS LÄN</t>
        </is>
      </c>
      <c r="E788" t="inlineStr">
        <is>
          <t>SOLLEFTEÅ</t>
        </is>
      </c>
      <c r="G788" t="n">
        <v>2.3</v>
      </c>
      <c r="H788" t="n">
        <v>0</v>
      </c>
      <c r="I788" t="n">
        <v>0</v>
      </c>
      <c r="J788" t="n">
        <v>0</v>
      </c>
      <c r="K788" t="n">
        <v>0</v>
      </c>
      <c r="L788" t="n">
        <v>0</v>
      </c>
      <c r="M788" t="n">
        <v>0</v>
      </c>
      <c r="N788" t="n">
        <v>0</v>
      </c>
      <c r="O788" t="n">
        <v>0</v>
      </c>
      <c r="P788" t="n">
        <v>0</v>
      </c>
      <c r="Q788" t="n">
        <v>0</v>
      </c>
      <c r="R788" s="2" t="inlineStr"/>
    </row>
    <row r="789" ht="15" customHeight="1">
      <c r="A789" t="inlineStr">
        <is>
          <t>A 59953-2020</t>
        </is>
      </c>
      <c r="B789" s="1" t="n">
        <v>44151</v>
      </c>
      <c r="C789" s="1" t="n">
        <v>45670</v>
      </c>
      <c r="D789" t="inlineStr">
        <is>
          <t>VÄSTERNORRLANDS LÄN</t>
        </is>
      </c>
      <c r="E789" t="inlineStr">
        <is>
          <t>SOLLEFTEÅ</t>
        </is>
      </c>
      <c r="G789" t="n">
        <v>3.6</v>
      </c>
      <c r="H789" t="n">
        <v>0</v>
      </c>
      <c r="I789" t="n">
        <v>0</v>
      </c>
      <c r="J789" t="n">
        <v>0</v>
      </c>
      <c r="K789" t="n">
        <v>0</v>
      </c>
      <c r="L789" t="n">
        <v>0</v>
      </c>
      <c r="M789" t="n">
        <v>0</v>
      </c>
      <c r="N789" t="n">
        <v>0</v>
      </c>
      <c r="O789" t="n">
        <v>0</v>
      </c>
      <c r="P789" t="n">
        <v>0</v>
      </c>
      <c r="Q789" t="n">
        <v>0</v>
      </c>
      <c r="R789" s="2" t="inlineStr"/>
    </row>
    <row r="790" ht="15" customHeight="1">
      <c r="A790" t="inlineStr">
        <is>
          <t>A 60091-2020</t>
        </is>
      </c>
      <c r="B790" s="1" t="n">
        <v>44151</v>
      </c>
      <c r="C790" s="1" t="n">
        <v>45670</v>
      </c>
      <c r="D790" t="inlineStr">
        <is>
          <t>VÄSTERNORRLANDS LÄN</t>
        </is>
      </c>
      <c r="E790" t="inlineStr">
        <is>
          <t>SOLLEFTEÅ</t>
        </is>
      </c>
      <c r="G790" t="n">
        <v>1.3</v>
      </c>
      <c r="H790" t="n">
        <v>0</v>
      </c>
      <c r="I790" t="n">
        <v>0</v>
      </c>
      <c r="J790" t="n">
        <v>0</v>
      </c>
      <c r="K790" t="n">
        <v>0</v>
      </c>
      <c r="L790" t="n">
        <v>0</v>
      </c>
      <c r="M790" t="n">
        <v>0</v>
      </c>
      <c r="N790" t="n">
        <v>0</v>
      </c>
      <c r="O790" t="n">
        <v>0</v>
      </c>
      <c r="P790" t="n">
        <v>0</v>
      </c>
      <c r="Q790" t="n">
        <v>0</v>
      </c>
      <c r="R790" s="2" t="inlineStr"/>
    </row>
    <row r="791" ht="15" customHeight="1">
      <c r="A791" t="inlineStr">
        <is>
          <t>A 61127-2020</t>
        </is>
      </c>
      <c r="B791" s="1" t="n">
        <v>44154</v>
      </c>
      <c r="C791" s="1" t="n">
        <v>45670</v>
      </c>
      <c r="D791" t="inlineStr">
        <is>
          <t>VÄSTERNORRLANDS LÄN</t>
        </is>
      </c>
      <c r="E791" t="inlineStr">
        <is>
          <t>SOLLEFTEÅ</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61130-2020</t>
        </is>
      </c>
      <c r="B792" s="1" t="n">
        <v>44154</v>
      </c>
      <c r="C792" s="1" t="n">
        <v>45670</v>
      </c>
      <c r="D792" t="inlineStr">
        <is>
          <t>VÄSTERNORRLANDS LÄN</t>
        </is>
      </c>
      <c r="E792" t="inlineStr">
        <is>
          <t>SOLLEFTEÅ</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61894-2020</t>
        </is>
      </c>
      <c r="B793" s="1" t="n">
        <v>44155</v>
      </c>
      <c r="C793" s="1" t="n">
        <v>45670</v>
      </c>
      <c r="D793" t="inlineStr">
        <is>
          <t>VÄSTERNORRLANDS LÄN</t>
        </is>
      </c>
      <c r="E793" t="inlineStr">
        <is>
          <t>SOLLEFTEÅ</t>
        </is>
      </c>
      <c r="G793" t="n">
        <v>0.4</v>
      </c>
      <c r="H793" t="n">
        <v>0</v>
      </c>
      <c r="I793" t="n">
        <v>0</v>
      </c>
      <c r="J793" t="n">
        <v>0</v>
      </c>
      <c r="K793" t="n">
        <v>0</v>
      </c>
      <c r="L793" t="n">
        <v>0</v>
      </c>
      <c r="M793" t="n">
        <v>0</v>
      </c>
      <c r="N793" t="n">
        <v>0</v>
      </c>
      <c r="O793" t="n">
        <v>0</v>
      </c>
      <c r="P793" t="n">
        <v>0</v>
      </c>
      <c r="Q793" t="n">
        <v>0</v>
      </c>
      <c r="R793" s="2" t="inlineStr"/>
    </row>
    <row r="794" ht="15" customHeight="1">
      <c r="A794" t="inlineStr">
        <is>
          <t>A 61943-2020</t>
        </is>
      </c>
      <c r="B794" s="1" t="n">
        <v>44155</v>
      </c>
      <c r="C794" s="1" t="n">
        <v>45670</v>
      </c>
      <c r="D794" t="inlineStr">
        <is>
          <t>VÄSTERNORRLANDS LÄN</t>
        </is>
      </c>
      <c r="E794" t="inlineStr">
        <is>
          <t>SOLLEFTEÅ</t>
        </is>
      </c>
      <c r="G794" t="n">
        <v>1.7</v>
      </c>
      <c r="H794" t="n">
        <v>0</v>
      </c>
      <c r="I794" t="n">
        <v>0</v>
      </c>
      <c r="J794" t="n">
        <v>0</v>
      </c>
      <c r="K794" t="n">
        <v>0</v>
      </c>
      <c r="L794" t="n">
        <v>0</v>
      </c>
      <c r="M794" t="n">
        <v>0</v>
      </c>
      <c r="N794" t="n">
        <v>0</v>
      </c>
      <c r="O794" t="n">
        <v>0</v>
      </c>
      <c r="P794" t="n">
        <v>0</v>
      </c>
      <c r="Q794" t="n">
        <v>0</v>
      </c>
      <c r="R794" s="2" t="inlineStr"/>
    </row>
    <row r="795" ht="15" customHeight="1">
      <c r="A795" t="inlineStr">
        <is>
          <t>A 62666-2020</t>
        </is>
      </c>
      <c r="B795" s="1" t="n">
        <v>44161</v>
      </c>
      <c r="C795" s="1" t="n">
        <v>45670</v>
      </c>
      <c r="D795" t="inlineStr">
        <is>
          <t>VÄSTERNORRLANDS LÄN</t>
        </is>
      </c>
      <c r="E795" t="inlineStr">
        <is>
          <t>SOLLEFTEÅ</t>
        </is>
      </c>
      <c r="G795" t="n">
        <v>0.9</v>
      </c>
      <c r="H795" t="n">
        <v>0</v>
      </c>
      <c r="I795" t="n">
        <v>0</v>
      </c>
      <c r="J795" t="n">
        <v>0</v>
      </c>
      <c r="K795" t="n">
        <v>0</v>
      </c>
      <c r="L795" t="n">
        <v>0</v>
      </c>
      <c r="M795" t="n">
        <v>0</v>
      </c>
      <c r="N795" t="n">
        <v>0</v>
      </c>
      <c r="O795" t="n">
        <v>0</v>
      </c>
      <c r="P795" t="n">
        <v>0</v>
      </c>
      <c r="Q795" t="n">
        <v>0</v>
      </c>
      <c r="R795" s="2" t="inlineStr"/>
    </row>
    <row r="796" ht="15" customHeight="1">
      <c r="A796" t="inlineStr">
        <is>
          <t>A 62881-2020</t>
        </is>
      </c>
      <c r="B796" s="1" t="n">
        <v>44161</v>
      </c>
      <c r="C796" s="1" t="n">
        <v>45670</v>
      </c>
      <c r="D796" t="inlineStr">
        <is>
          <t>VÄSTERNORRLANDS LÄN</t>
        </is>
      </c>
      <c r="E796" t="inlineStr">
        <is>
          <t>SOLLEFTEÅ</t>
        </is>
      </c>
      <c r="F796" t="inlineStr">
        <is>
          <t>SCA</t>
        </is>
      </c>
      <c r="G796" t="n">
        <v>0.4</v>
      </c>
      <c r="H796" t="n">
        <v>0</v>
      </c>
      <c r="I796" t="n">
        <v>0</v>
      </c>
      <c r="J796" t="n">
        <v>0</v>
      </c>
      <c r="K796" t="n">
        <v>0</v>
      </c>
      <c r="L796" t="n">
        <v>0</v>
      </c>
      <c r="M796" t="n">
        <v>0</v>
      </c>
      <c r="N796" t="n">
        <v>0</v>
      </c>
      <c r="O796" t="n">
        <v>0</v>
      </c>
      <c r="P796" t="n">
        <v>0</v>
      </c>
      <c r="Q796" t="n">
        <v>0</v>
      </c>
      <c r="R796" s="2" t="inlineStr"/>
    </row>
    <row r="797" ht="15" customHeight="1">
      <c r="A797" t="inlineStr">
        <is>
          <t>A 62883-2020</t>
        </is>
      </c>
      <c r="B797" s="1" t="n">
        <v>44161</v>
      </c>
      <c r="C797" s="1" t="n">
        <v>45670</v>
      </c>
      <c r="D797" t="inlineStr">
        <is>
          <t>VÄSTERNORRLANDS LÄN</t>
        </is>
      </c>
      <c r="E797" t="inlineStr">
        <is>
          <t>SOLLEFTEÅ</t>
        </is>
      </c>
      <c r="F797" t="inlineStr">
        <is>
          <t>SCA</t>
        </is>
      </c>
      <c r="G797" t="n">
        <v>8.5</v>
      </c>
      <c r="H797" t="n">
        <v>0</v>
      </c>
      <c r="I797" t="n">
        <v>0</v>
      </c>
      <c r="J797" t="n">
        <v>0</v>
      </c>
      <c r="K797" t="n">
        <v>0</v>
      </c>
      <c r="L797" t="n">
        <v>0</v>
      </c>
      <c r="M797" t="n">
        <v>0</v>
      </c>
      <c r="N797" t="n">
        <v>0</v>
      </c>
      <c r="O797" t="n">
        <v>0</v>
      </c>
      <c r="P797" t="n">
        <v>0</v>
      </c>
      <c r="Q797" t="n">
        <v>0</v>
      </c>
      <c r="R797" s="2" t="inlineStr"/>
    </row>
    <row r="798" ht="15" customHeight="1">
      <c r="A798" t="inlineStr">
        <is>
          <t>A 63190-2020</t>
        </is>
      </c>
      <c r="B798" s="1" t="n">
        <v>44162</v>
      </c>
      <c r="C798" s="1" t="n">
        <v>45670</v>
      </c>
      <c r="D798" t="inlineStr">
        <is>
          <t>VÄSTERNORRLANDS LÄN</t>
        </is>
      </c>
      <c r="E798" t="inlineStr">
        <is>
          <t>SOLLEFTEÅ</t>
        </is>
      </c>
      <c r="G798" t="n">
        <v>0.2</v>
      </c>
      <c r="H798" t="n">
        <v>0</v>
      </c>
      <c r="I798" t="n">
        <v>0</v>
      </c>
      <c r="J798" t="n">
        <v>0</v>
      </c>
      <c r="K798" t="n">
        <v>0</v>
      </c>
      <c r="L798" t="n">
        <v>0</v>
      </c>
      <c r="M798" t="n">
        <v>0</v>
      </c>
      <c r="N798" t="n">
        <v>0</v>
      </c>
      <c r="O798" t="n">
        <v>0</v>
      </c>
      <c r="P798" t="n">
        <v>0</v>
      </c>
      <c r="Q798" t="n">
        <v>0</v>
      </c>
      <c r="R798" s="2" t="inlineStr"/>
    </row>
    <row r="799" ht="15" customHeight="1">
      <c r="A799" t="inlineStr">
        <is>
          <t>A 63210-2020</t>
        </is>
      </c>
      <c r="B799" s="1" t="n">
        <v>44163</v>
      </c>
      <c r="C799" s="1" t="n">
        <v>45670</v>
      </c>
      <c r="D799" t="inlineStr">
        <is>
          <t>VÄSTERNORRLANDS LÄN</t>
        </is>
      </c>
      <c r="E799" t="inlineStr">
        <is>
          <t>SOLLEFTEÅ</t>
        </is>
      </c>
      <c r="G799" t="n">
        <v>1.8</v>
      </c>
      <c r="H799" t="n">
        <v>0</v>
      </c>
      <c r="I799" t="n">
        <v>0</v>
      </c>
      <c r="J799" t="n">
        <v>0</v>
      </c>
      <c r="K799" t="n">
        <v>0</v>
      </c>
      <c r="L799" t="n">
        <v>0</v>
      </c>
      <c r="M799" t="n">
        <v>0</v>
      </c>
      <c r="N799" t="n">
        <v>0</v>
      </c>
      <c r="O799" t="n">
        <v>0</v>
      </c>
      <c r="P799" t="n">
        <v>0</v>
      </c>
      <c r="Q799" t="n">
        <v>0</v>
      </c>
      <c r="R799" s="2" t="inlineStr"/>
    </row>
    <row r="800" ht="15" customHeight="1">
      <c r="A800" t="inlineStr">
        <is>
          <t>A 65401-2020</t>
        </is>
      </c>
      <c r="B800" s="1" t="n">
        <v>44169</v>
      </c>
      <c r="C800" s="1" t="n">
        <v>45670</v>
      </c>
      <c r="D800" t="inlineStr">
        <is>
          <t>VÄSTERNORRLANDS LÄN</t>
        </is>
      </c>
      <c r="E800" t="inlineStr">
        <is>
          <t>SOLLEFTEÅ</t>
        </is>
      </c>
      <c r="G800" t="n">
        <v>2.3</v>
      </c>
      <c r="H800" t="n">
        <v>0</v>
      </c>
      <c r="I800" t="n">
        <v>0</v>
      </c>
      <c r="J800" t="n">
        <v>0</v>
      </c>
      <c r="K800" t="n">
        <v>0</v>
      </c>
      <c r="L800" t="n">
        <v>0</v>
      </c>
      <c r="M800" t="n">
        <v>0</v>
      </c>
      <c r="N800" t="n">
        <v>0</v>
      </c>
      <c r="O800" t="n">
        <v>0</v>
      </c>
      <c r="P800" t="n">
        <v>0</v>
      </c>
      <c r="Q800" t="n">
        <v>0</v>
      </c>
      <c r="R800" s="2" t="inlineStr"/>
    </row>
    <row r="801" ht="15" customHeight="1">
      <c r="A801" t="inlineStr">
        <is>
          <t>A 65407-2020</t>
        </is>
      </c>
      <c r="B801" s="1" t="n">
        <v>44169</v>
      </c>
      <c r="C801" s="1" t="n">
        <v>45670</v>
      </c>
      <c r="D801" t="inlineStr">
        <is>
          <t>VÄSTERNORRLANDS LÄN</t>
        </is>
      </c>
      <c r="E801" t="inlineStr">
        <is>
          <t>SOLLEFTEÅ</t>
        </is>
      </c>
      <c r="G801" t="n">
        <v>2.8</v>
      </c>
      <c r="H801" t="n">
        <v>0</v>
      </c>
      <c r="I801" t="n">
        <v>0</v>
      </c>
      <c r="J801" t="n">
        <v>0</v>
      </c>
      <c r="K801" t="n">
        <v>0</v>
      </c>
      <c r="L801" t="n">
        <v>0</v>
      </c>
      <c r="M801" t="n">
        <v>0</v>
      </c>
      <c r="N801" t="n">
        <v>0</v>
      </c>
      <c r="O801" t="n">
        <v>0</v>
      </c>
      <c r="P801" t="n">
        <v>0</v>
      </c>
      <c r="Q801" t="n">
        <v>0</v>
      </c>
      <c r="R801" s="2" t="inlineStr"/>
    </row>
    <row r="802" ht="15" customHeight="1">
      <c r="A802" t="inlineStr">
        <is>
          <t>A 65403-2020</t>
        </is>
      </c>
      <c r="B802" s="1" t="n">
        <v>44169</v>
      </c>
      <c r="C802" s="1" t="n">
        <v>45670</v>
      </c>
      <c r="D802" t="inlineStr">
        <is>
          <t>VÄSTERNORRLANDS LÄN</t>
        </is>
      </c>
      <c r="E802" t="inlineStr">
        <is>
          <t>SOLLEFTEÅ</t>
        </is>
      </c>
      <c r="G802" t="n">
        <v>1.2</v>
      </c>
      <c r="H802" t="n">
        <v>0</v>
      </c>
      <c r="I802" t="n">
        <v>0</v>
      </c>
      <c r="J802" t="n">
        <v>0</v>
      </c>
      <c r="K802" t="n">
        <v>0</v>
      </c>
      <c r="L802" t="n">
        <v>0</v>
      </c>
      <c r="M802" t="n">
        <v>0</v>
      </c>
      <c r="N802" t="n">
        <v>0</v>
      </c>
      <c r="O802" t="n">
        <v>0</v>
      </c>
      <c r="P802" t="n">
        <v>0</v>
      </c>
      <c r="Q802" t="n">
        <v>0</v>
      </c>
      <c r="R802" s="2" t="inlineStr"/>
    </row>
    <row r="803" ht="15" customHeight="1">
      <c r="A803" t="inlineStr">
        <is>
          <t>A 67063-2020</t>
        </is>
      </c>
      <c r="B803" s="1" t="n">
        <v>44176</v>
      </c>
      <c r="C803" s="1" t="n">
        <v>45670</v>
      </c>
      <c r="D803" t="inlineStr">
        <is>
          <t>VÄSTERNORRLANDS LÄN</t>
        </is>
      </c>
      <c r="E803" t="inlineStr">
        <is>
          <t>SOLLEFTEÅ</t>
        </is>
      </c>
      <c r="G803" t="n">
        <v>1.4</v>
      </c>
      <c r="H803" t="n">
        <v>0</v>
      </c>
      <c r="I803" t="n">
        <v>0</v>
      </c>
      <c r="J803" t="n">
        <v>0</v>
      </c>
      <c r="K803" t="n">
        <v>0</v>
      </c>
      <c r="L803" t="n">
        <v>0</v>
      </c>
      <c r="M803" t="n">
        <v>0</v>
      </c>
      <c r="N803" t="n">
        <v>0</v>
      </c>
      <c r="O803" t="n">
        <v>0</v>
      </c>
      <c r="P803" t="n">
        <v>0</v>
      </c>
      <c r="Q803" t="n">
        <v>0</v>
      </c>
      <c r="R803" s="2" t="inlineStr"/>
    </row>
    <row r="804" ht="15" customHeight="1">
      <c r="A804" t="inlineStr">
        <is>
          <t>A 66845-2020</t>
        </is>
      </c>
      <c r="B804" s="1" t="n">
        <v>44179</v>
      </c>
      <c r="C804" s="1" t="n">
        <v>45670</v>
      </c>
      <c r="D804" t="inlineStr">
        <is>
          <t>VÄSTERNORRLANDS LÄN</t>
        </is>
      </c>
      <c r="E804" t="inlineStr">
        <is>
          <t>SOLLEFTEÅ</t>
        </is>
      </c>
      <c r="F804" t="inlineStr">
        <is>
          <t>SCA</t>
        </is>
      </c>
      <c r="G804" t="n">
        <v>5.7</v>
      </c>
      <c r="H804" t="n">
        <v>0</v>
      </c>
      <c r="I804" t="n">
        <v>0</v>
      </c>
      <c r="J804" t="n">
        <v>0</v>
      </c>
      <c r="K804" t="n">
        <v>0</v>
      </c>
      <c r="L804" t="n">
        <v>0</v>
      </c>
      <c r="M804" t="n">
        <v>0</v>
      </c>
      <c r="N804" t="n">
        <v>0</v>
      </c>
      <c r="O804" t="n">
        <v>0</v>
      </c>
      <c r="P804" t="n">
        <v>0</v>
      </c>
      <c r="Q804" t="n">
        <v>0</v>
      </c>
      <c r="R804" s="2" t="inlineStr"/>
    </row>
    <row r="805" ht="15" customHeight="1">
      <c r="A805" t="inlineStr">
        <is>
          <t>A 66844-2020</t>
        </is>
      </c>
      <c r="B805" s="1" t="n">
        <v>44179</v>
      </c>
      <c r="C805" s="1" t="n">
        <v>45670</v>
      </c>
      <c r="D805" t="inlineStr">
        <is>
          <t>VÄSTERNORRLANDS LÄN</t>
        </is>
      </c>
      <c r="E805" t="inlineStr">
        <is>
          <t>SOLLEFTEÅ</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66850-2020</t>
        </is>
      </c>
      <c r="B806" s="1" t="n">
        <v>44179</v>
      </c>
      <c r="C806" s="1" t="n">
        <v>45670</v>
      </c>
      <c r="D806" t="inlineStr">
        <is>
          <t>VÄSTERNORRLANDS LÄN</t>
        </is>
      </c>
      <c r="E806" t="inlineStr">
        <is>
          <t>SOLLEFTEÅ</t>
        </is>
      </c>
      <c r="G806" t="n">
        <v>3</v>
      </c>
      <c r="H806" t="n">
        <v>0</v>
      </c>
      <c r="I806" t="n">
        <v>0</v>
      </c>
      <c r="J806" t="n">
        <v>0</v>
      </c>
      <c r="K806" t="n">
        <v>0</v>
      </c>
      <c r="L806" t="n">
        <v>0</v>
      </c>
      <c r="M806" t="n">
        <v>0</v>
      </c>
      <c r="N806" t="n">
        <v>0</v>
      </c>
      <c r="O806" t="n">
        <v>0</v>
      </c>
      <c r="P806" t="n">
        <v>0</v>
      </c>
      <c r="Q806" t="n">
        <v>0</v>
      </c>
      <c r="R806" s="2" t="inlineStr"/>
    </row>
    <row r="807" ht="15" customHeight="1">
      <c r="A807" t="inlineStr">
        <is>
          <t>A 66851-2020</t>
        </is>
      </c>
      <c r="B807" s="1" t="n">
        <v>44179</v>
      </c>
      <c r="C807" s="1" t="n">
        <v>45670</v>
      </c>
      <c r="D807" t="inlineStr">
        <is>
          <t>VÄSTERNORRLANDS LÄN</t>
        </is>
      </c>
      <c r="E807" t="inlineStr">
        <is>
          <t>SOLLEFTEÅ</t>
        </is>
      </c>
      <c r="F807" t="inlineStr">
        <is>
          <t>SCA</t>
        </is>
      </c>
      <c r="G807" t="n">
        <v>6</v>
      </c>
      <c r="H807" t="n">
        <v>0</v>
      </c>
      <c r="I807" t="n">
        <v>0</v>
      </c>
      <c r="J807" t="n">
        <v>0</v>
      </c>
      <c r="K807" t="n">
        <v>0</v>
      </c>
      <c r="L807" t="n">
        <v>0</v>
      </c>
      <c r="M807" t="n">
        <v>0</v>
      </c>
      <c r="N807" t="n">
        <v>0</v>
      </c>
      <c r="O807" t="n">
        <v>0</v>
      </c>
      <c r="P807" t="n">
        <v>0</v>
      </c>
      <c r="Q807" t="n">
        <v>0</v>
      </c>
      <c r="R807" s="2" t="inlineStr"/>
    </row>
    <row r="808" ht="15" customHeight="1">
      <c r="A808" t="inlineStr">
        <is>
          <t>A 66853-2020</t>
        </is>
      </c>
      <c r="B808" s="1" t="n">
        <v>44179</v>
      </c>
      <c r="C808" s="1" t="n">
        <v>45670</v>
      </c>
      <c r="D808" t="inlineStr">
        <is>
          <t>VÄSTERNORRLANDS LÄN</t>
        </is>
      </c>
      <c r="E808" t="inlineStr">
        <is>
          <t>SOLLEFTEÅ</t>
        </is>
      </c>
      <c r="F808" t="inlineStr">
        <is>
          <t>SCA</t>
        </is>
      </c>
      <c r="G808" t="n">
        <v>6</v>
      </c>
      <c r="H808" t="n">
        <v>0</v>
      </c>
      <c r="I808" t="n">
        <v>0</v>
      </c>
      <c r="J808" t="n">
        <v>0</v>
      </c>
      <c r="K808" t="n">
        <v>0</v>
      </c>
      <c r="L808" t="n">
        <v>0</v>
      </c>
      <c r="M808" t="n">
        <v>0</v>
      </c>
      <c r="N808" t="n">
        <v>0</v>
      </c>
      <c r="O808" t="n">
        <v>0</v>
      </c>
      <c r="P808" t="n">
        <v>0</v>
      </c>
      <c r="Q808" t="n">
        <v>0</v>
      </c>
      <c r="R808" s="2" t="inlineStr"/>
    </row>
    <row r="809" ht="15" customHeight="1">
      <c r="A809" t="inlineStr">
        <is>
          <t>A 67602-2020</t>
        </is>
      </c>
      <c r="B809" s="1" t="n">
        <v>44181</v>
      </c>
      <c r="C809" s="1" t="n">
        <v>45670</v>
      </c>
      <c r="D809" t="inlineStr">
        <is>
          <t>VÄSTERNORRLANDS LÄN</t>
        </is>
      </c>
      <c r="E809" t="inlineStr">
        <is>
          <t>SOLLEFTEÅ</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68016-2020</t>
        </is>
      </c>
      <c r="B810" s="1" t="n">
        <v>44182</v>
      </c>
      <c r="C810" s="1" t="n">
        <v>45670</v>
      </c>
      <c r="D810" t="inlineStr">
        <is>
          <t>VÄSTERNORRLANDS LÄN</t>
        </is>
      </c>
      <c r="E810" t="inlineStr">
        <is>
          <t>SOLLEFTEÅ</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68026-2020</t>
        </is>
      </c>
      <c r="B811" s="1" t="n">
        <v>44182</v>
      </c>
      <c r="C811" s="1" t="n">
        <v>45670</v>
      </c>
      <c r="D811" t="inlineStr">
        <is>
          <t>VÄSTERNORRLANDS LÄN</t>
        </is>
      </c>
      <c r="E811" t="inlineStr">
        <is>
          <t>SOLLEFTEÅ</t>
        </is>
      </c>
      <c r="F811" t="inlineStr">
        <is>
          <t>SCA</t>
        </is>
      </c>
      <c r="G811" t="n">
        <v>4.8</v>
      </c>
      <c r="H811" t="n">
        <v>0</v>
      </c>
      <c r="I811" t="n">
        <v>0</v>
      </c>
      <c r="J811" t="n">
        <v>0</v>
      </c>
      <c r="K811" t="n">
        <v>0</v>
      </c>
      <c r="L811" t="n">
        <v>0</v>
      </c>
      <c r="M811" t="n">
        <v>0</v>
      </c>
      <c r="N811" t="n">
        <v>0</v>
      </c>
      <c r="O811" t="n">
        <v>0</v>
      </c>
      <c r="P811" t="n">
        <v>0</v>
      </c>
      <c r="Q811" t="n">
        <v>0</v>
      </c>
      <c r="R811" s="2" t="inlineStr"/>
    </row>
    <row r="812" ht="15" customHeight="1">
      <c r="A812" t="inlineStr">
        <is>
          <t>A 68022-2020</t>
        </is>
      </c>
      <c r="B812" s="1" t="n">
        <v>44182</v>
      </c>
      <c r="C812" s="1" t="n">
        <v>45670</v>
      </c>
      <c r="D812" t="inlineStr">
        <is>
          <t>VÄSTERNORRLANDS LÄN</t>
        </is>
      </c>
      <c r="E812" t="inlineStr">
        <is>
          <t>SOLLEFTEÅ</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68031-2020</t>
        </is>
      </c>
      <c r="B813" s="1" t="n">
        <v>44182</v>
      </c>
      <c r="C813" s="1" t="n">
        <v>45670</v>
      </c>
      <c r="D813" t="inlineStr">
        <is>
          <t>VÄSTERNORRLANDS LÄN</t>
        </is>
      </c>
      <c r="E813" t="inlineStr">
        <is>
          <t>SOLLEFTEÅ</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68036-2020</t>
        </is>
      </c>
      <c r="B814" s="1" t="n">
        <v>44182</v>
      </c>
      <c r="C814" s="1" t="n">
        <v>45670</v>
      </c>
      <c r="D814" t="inlineStr">
        <is>
          <t>VÄSTERNORRLANDS LÄN</t>
        </is>
      </c>
      <c r="E814" t="inlineStr">
        <is>
          <t>SOLLEFTEÅ</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68020-2020</t>
        </is>
      </c>
      <c r="B815" s="1" t="n">
        <v>44182</v>
      </c>
      <c r="C815" s="1" t="n">
        <v>45670</v>
      </c>
      <c r="D815" t="inlineStr">
        <is>
          <t>VÄSTERNORRLANDS LÄN</t>
        </is>
      </c>
      <c r="E815" t="inlineStr">
        <is>
          <t>SOLLEFTEÅ</t>
        </is>
      </c>
      <c r="F815" t="inlineStr">
        <is>
          <t>SCA</t>
        </is>
      </c>
      <c r="G815" t="n">
        <v>8.5</v>
      </c>
      <c r="H815" t="n">
        <v>0</v>
      </c>
      <c r="I815" t="n">
        <v>0</v>
      </c>
      <c r="J815" t="n">
        <v>0</v>
      </c>
      <c r="K815" t="n">
        <v>0</v>
      </c>
      <c r="L815" t="n">
        <v>0</v>
      </c>
      <c r="M815" t="n">
        <v>0</v>
      </c>
      <c r="N815" t="n">
        <v>0</v>
      </c>
      <c r="O815" t="n">
        <v>0</v>
      </c>
      <c r="P815" t="n">
        <v>0</v>
      </c>
      <c r="Q815" t="n">
        <v>0</v>
      </c>
      <c r="R815" s="2" t="inlineStr"/>
    </row>
    <row r="816" ht="15" customHeight="1">
      <c r="A816" t="inlineStr">
        <is>
          <t>A 68030-2020</t>
        </is>
      </c>
      <c r="B816" s="1" t="n">
        <v>44182</v>
      </c>
      <c r="C816" s="1" t="n">
        <v>45670</v>
      </c>
      <c r="D816" t="inlineStr">
        <is>
          <t>VÄSTERNORRLANDS LÄN</t>
        </is>
      </c>
      <c r="E816" t="inlineStr">
        <is>
          <t>SOLLEFTEÅ</t>
        </is>
      </c>
      <c r="F816" t="inlineStr">
        <is>
          <t>SCA</t>
        </is>
      </c>
      <c r="G816" t="n">
        <v>4.6</v>
      </c>
      <c r="H816" t="n">
        <v>0</v>
      </c>
      <c r="I816" t="n">
        <v>0</v>
      </c>
      <c r="J816" t="n">
        <v>0</v>
      </c>
      <c r="K816" t="n">
        <v>0</v>
      </c>
      <c r="L816" t="n">
        <v>0</v>
      </c>
      <c r="M816" t="n">
        <v>0</v>
      </c>
      <c r="N816" t="n">
        <v>0</v>
      </c>
      <c r="O816" t="n">
        <v>0</v>
      </c>
      <c r="P816" t="n">
        <v>0</v>
      </c>
      <c r="Q816" t="n">
        <v>0</v>
      </c>
      <c r="R816" s="2" t="inlineStr"/>
    </row>
    <row r="817" ht="15" customHeight="1">
      <c r="A817" t="inlineStr">
        <is>
          <t>A 68034-2020</t>
        </is>
      </c>
      <c r="B817" s="1" t="n">
        <v>44182</v>
      </c>
      <c r="C817" s="1" t="n">
        <v>45670</v>
      </c>
      <c r="D817" t="inlineStr">
        <is>
          <t>VÄSTERNORRLANDS LÄN</t>
        </is>
      </c>
      <c r="E817" t="inlineStr">
        <is>
          <t>SOLLEFTEÅ</t>
        </is>
      </c>
      <c r="F817" t="inlineStr">
        <is>
          <t>SCA</t>
        </is>
      </c>
      <c r="G817" t="n">
        <v>17.1</v>
      </c>
      <c r="H817" t="n">
        <v>0</v>
      </c>
      <c r="I817" t="n">
        <v>0</v>
      </c>
      <c r="J817" t="n">
        <v>0</v>
      </c>
      <c r="K817" t="n">
        <v>0</v>
      </c>
      <c r="L817" t="n">
        <v>0</v>
      </c>
      <c r="M817" t="n">
        <v>0</v>
      </c>
      <c r="N817" t="n">
        <v>0</v>
      </c>
      <c r="O817" t="n">
        <v>0</v>
      </c>
      <c r="P817" t="n">
        <v>0</v>
      </c>
      <c r="Q817" t="n">
        <v>0</v>
      </c>
      <c r="R817" s="2" t="inlineStr"/>
    </row>
    <row r="818" ht="15" customHeight="1">
      <c r="A818" t="inlineStr">
        <is>
          <t>A 68033-2020</t>
        </is>
      </c>
      <c r="B818" s="1" t="n">
        <v>44182</v>
      </c>
      <c r="C818" s="1" t="n">
        <v>45670</v>
      </c>
      <c r="D818" t="inlineStr">
        <is>
          <t>VÄSTERNORRLANDS LÄN</t>
        </is>
      </c>
      <c r="E818" t="inlineStr">
        <is>
          <t>SOLLEFTEÅ</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68015-2020</t>
        </is>
      </c>
      <c r="B819" s="1" t="n">
        <v>44182</v>
      </c>
      <c r="C819" s="1" t="n">
        <v>45670</v>
      </c>
      <c r="D819" t="inlineStr">
        <is>
          <t>VÄSTERNORRLANDS LÄN</t>
        </is>
      </c>
      <c r="E819" t="inlineStr">
        <is>
          <t>SOLLEFTEÅ</t>
        </is>
      </c>
      <c r="F819" t="inlineStr">
        <is>
          <t>SCA</t>
        </is>
      </c>
      <c r="G819" t="n">
        <v>5.7</v>
      </c>
      <c r="H819" t="n">
        <v>0</v>
      </c>
      <c r="I819" t="n">
        <v>0</v>
      </c>
      <c r="J819" t="n">
        <v>0</v>
      </c>
      <c r="K819" t="n">
        <v>0</v>
      </c>
      <c r="L819" t="n">
        <v>0</v>
      </c>
      <c r="M819" t="n">
        <v>0</v>
      </c>
      <c r="N819" t="n">
        <v>0</v>
      </c>
      <c r="O819" t="n">
        <v>0</v>
      </c>
      <c r="P819" t="n">
        <v>0</v>
      </c>
      <c r="Q819" t="n">
        <v>0</v>
      </c>
      <c r="R819" s="2" t="inlineStr"/>
    </row>
    <row r="820" ht="15" customHeight="1">
      <c r="A820" t="inlineStr">
        <is>
          <t>A 68025-2020</t>
        </is>
      </c>
      <c r="B820" s="1" t="n">
        <v>44182</v>
      </c>
      <c r="C820" s="1" t="n">
        <v>45670</v>
      </c>
      <c r="D820" t="inlineStr">
        <is>
          <t>VÄSTERNORRLANDS LÄN</t>
        </is>
      </c>
      <c r="E820" t="inlineStr">
        <is>
          <t>SOLLEFTEÅ</t>
        </is>
      </c>
      <c r="F820" t="inlineStr">
        <is>
          <t>SCA</t>
        </is>
      </c>
      <c r="G820" t="n">
        <v>7.6</v>
      </c>
      <c r="H820" t="n">
        <v>0</v>
      </c>
      <c r="I820" t="n">
        <v>0</v>
      </c>
      <c r="J820" t="n">
        <v>0</v>
      </c>
      <c r="K820" t="n">
        <v>0</v>
      </c>
      <c r="L820" t="n">
        <v>0</v>
      </c>
      <c r="M820" t="n">
        <v>0</v>
      </c>
      <c r="N820" t="n">
        <v>0</v>
      </c>
      <c r="O820" t="n">
        <v>0</v>
      </c>
      <c r="P820" t="n">
        <v>0</v>
      </c>
      <c r="Q820" t="n">
        <v>0</v>
      </c>
      <c r="R820" s="2" t="inlineStr"/>
    </row>
    <row r="821" ht="15" customHeight="1">
      <c r="A821" t="inlineStr">
        <is>
          <t>A 68032-2020</t>
        </is>
      </c>
      <c r="B821" s="1" t="n">
        <v>44182</v>
      </c>
      <c r="C821" s="1" t="n">
        <v>45670</v>
      </c>
      <c r="D821" t="inlineStr">
        <is>
          <t>VÄSTERNORRLANDS LÄN</t>
        </is>
      </c>
      <c r="E821" t="inlineStr">
        <is>
          <t>SOLLEFTEÅ</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68037-2020</t>
        </is>
      </c>
      <c r="B822" s="1" t="n">
        <v>44182</v>
      </c>
      <c r="C822" s="1" t="n">
        <v>45670</v>
      </c>
      <c r="D822" t="inlineStr">
        <is>
          <t>VÄSTERNORRLANDS LÄN</t>
        </is>
      </c>
      <c r="E822" t="inlineStr">
        <is>
          <t>SOLLEFTEÅ</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68292-2020</t>
        </is>
      </c>
      <c r="B823" s="1" t="n">
        <v>44183</v>
      </c>
      <c r="C823" s="1" t="n">
        <v>45670</v>
      </c>
      <c r="D823" t="inlineStr">
        <is>
          <t>VÄSTERNORRLANDS LÄN</t>
        </is>
      </c>
      <c r="E823" t="inlineStr">
        <is>
          <t>SOLLEFTEÅ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68570-2020</t>
        </is>
      </c>
      <c r="B824" s="1" t="n">
        <v>44186</v>
      </c>
      <c r="C824" s="1" t="n">
        <v>45670</v>
      </c>
      <c r="D824" t="inlineStr">
        <is>
          <t>VÄSTERNORRLANDS LÄN</t>
        </is>
      </c>
      <c r="E824" t="inlineStr">
        <is>
          <t>SOLLEFTEÅ</t>
        </is>
      </c>
      <c r="G824" t="n">
        <v>5.5</v>
      </c>
      <c r="H824" t="n">
        <v>0</v>
      </c>
      <c r="I824" t="n">
        <v>0</v>
      </c>
      <c r="J824" t="n">
        <v>0</v>
      </c>
      <c r="K824" t="n">
        <v>0</v>
      </c>
      <c r="L824" t="n">
        <v>0</v>
      </c>
      <c r="M824" t="n">
        <v>0</v>
      </c>
      <c r="N824" t="n">
        <v>0</v>
      </c>
      <c r="O824" t="n">
        <v>0</v>
      </c>
      <c r="P824" t="n">
        <v>0</v>
      </c>
      <c r="Q824" t="n">
        <v>0</v>
      </c>
      <c r="R824" s="2" t="inlineStr"/>
    </row>
    <row r="825" ht="15" customHeight="1">
      <c r="A825" t="inlineStr">
        <is>
          <t>A 68652-2020</t>
        </is>
      </c>
      <c r="B825" s="1" t="n">
        <v>44186</v>
      </c>
      <c r="C825" s="1" t="n">
        <v>45670</v>
      </c>
      <c r="D825" t="inlineStr">
        <is>
          <t>VÄSTERNORRLANDS LÄN</t>
        </is>
      </c>
      <c r="E825" t="inlineStr">
        <is>
          <t>SOLLEFTEÅ</t>
        </is>
      </c>
      <c r="F825" t="inlineStr">
        <is>
          <t>SCA</t>
        </is>
      </c>
      <c r="G825" t="n">
        <v>5.4</v>
      </c>
      <c r="H825" t="n">
        <v>0</v>
      </c>
      <c r="I825" t="n">
        <v>0</v>
      </c>
      <c r="J825" t="n">
        <v>0</v>
      </c>
      <c r="K825" t="n">
        <v>0</v>
      </c>
      <c r="L825" t="n">
        <v>0</v>
      </c>
      <c r="M825" t="n">
        <v>0</v>
      </c>
      <c r="N825" t="n">
        <v>0</v>
      </c>
      <c r="O825" t="n">
        <v>0</v>
      </c>
      <c r="P825" t="n">
        <v>0</v>
      </c>
      <c r="Q825" t="n">
        <v>0</v>
      </c>
      <c r="R825" s="2" t="inlineStr"/>
    </row>
    <row r="826" ht="15" customHeight="1">
      <c r="A826" t="inlineStr">
        <is>
          <t>A 68647-2020</t>
        </is>
      </c>
      <c r="B826" s="1" t="n">
        <v>44186</v>
      </c>
      <c r="C826" s="1" t="n">
        <v>45670</v>
      </c>
      <c r="D826" t="inlineStr">
        <is>
          <t>VÄSTERNORRLANDS LÄN</t>
        </is>
      </c>
      <c r="E826" t="inlineStr">
        <is>
          <t>SOLLEFTEÅ</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68648-2020</t>
        </is>
      </c>
      <c r="B827" s="1" t="n">
        <v>44186</v>
      </c>
      <c r="C827" s="1" t="n">
        <v>45670</v>
      </c>
      <c r="D827" t="inlineStr">
        <is>
          <t>VÄSTERNORRLANDS LÄN</t>
        </is>
      </c>
      <c r="E827" t="inlineStr">
        <is>
          <t>SOLLEFTEÅ</t>
        </is>
      </c>
      <c r="F827" t="inlineStr">
        <is>
          <t>SCA</t>
        </is>
      </c>
      <c r="G827" t="n">
        <v>1.4</v>
      </c>
      <c r="H827" t="n">
        <v>0</v>
      </c>
      <c r="I827" t="n">
        <v>0</v>
      </c>
      <c r="J827" t="n">
        <v>0</v>
      </c>
      <c r="K827" t="n">
        <v>0</v>
      </c>
      <c r="L827" t="n">
        <v>0</v>
      </c>
      <c r="M827" t="n">
        <v>0</v>
      </c>
      <c r="N827" t="n">
        <v>0</v>
      </c>
      <c r="O827" t="n">
        <v>0</v>
      </c>
      <c r="P827" t="n">
        <v>0</v>
      </c>
      <c r="Q827" t="n">
        <v>0</v>
      </c>
      <c r="R827" s="2" t="inlineStr"/>
    </row>
    <row r="828" ht="15" customHeight="1">
      <c r="A828" t="inlineStr">
        <is>
          <t>A 68656-2020</t>
        </is>
      </c>
      <c r="B828" s="1" t="n">
        <v>44186</v>
      </c>
      <c r="C828" s="1" t="n">
        <v>45670</v>
      </c>
      <c r="D828" t="inlineStr">
        <is>
          <t>VÄSTERNORRLANDS LÄN</t>
        </is>
      </c>
      <c r="E828" t="inlineStr">
        <is>
          <t>SOLLEFTEÅ</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69436-2020</t>
        </is>
      </c>
      <c r="B829" s="1" t="n">
        <v>44193</v>
      </c>
      <c r="C829" s="1" t="n">
        <v>45670</v>
      </c>
      <c r="D829" t="inlineStr">
        <is>
          <t>VÄSTERNORRLANDS LÄN</t>
        </is>
      </c>
      <c r="E829" t="inlineStr">
        <is>
          <t>SOLLEFTEÅ</t>
        </is>
      </c>
      <c r="G829" t="n">
        <v>4.9</v>
      </c>
      <c r="H829" t="n">
        <v>0</v>
      </c>
      <c r="I829" t="n">
        <v>0</v>
      </c>
      <c r="J829" t="n">
        <v>0</v>
      </c>
      <c r="K829" t="n">
        <v>0</v>
      </c>
      <c r="L829" t="n">
        <v>0</v>
      </c>
      <c r="M829" t="n">
        <v>0</v>
      </c>
      <c r="N829" t="n">
        <v>0</v>
      </c>
      <c r="O829" t="n">
        <v>0</v>
      </c>
      <c r="P829" t="n">
        <v>0</v>
      </c>
      <c r="Q829" t="n">
        <v>0</v>
      </c>
      <c r="R829" s="2" t="inlineStr"/>
    </row>
    <row r="830" ht="15" customHeight="1">
      <c r="A830" t="inlineStr">
        <is>
          <t>A 272-2021</t>
        </is>
      </c>
      <c r="B830" s="1" t="n">
        <v>44200</v>
      </c>
      <c r="C830" s="1" t="n">
        <v>45670</v>
      </c>
      <c r="D830" t="inlineStr">
        <is>
          <t>VÄSTERNORRLANDS LÄN</t>
        </is>
      </c>
      <c r="E830" t="inlineStr">
        <is>
          <t>SOLLEFTEÅ</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691-2021</t>
        </is>
      </c>
      <c r="B831" s="1" t="n">
        <v>44203</v>
      </c>
      <c r="C831" s="1" t="n">
        <v>45670</v>
      </c>
      <c r="D831" t="inlineStr">
        <is>
          <t>VÄSTERNORRLANDS LÄN</t>
        </is>
      </c>
      <c r="E831" t="inlineStr">
        <is>
          <t>SOLLEFTEÅ</t>
        </is>
      </c>
      <c r="G831" t="n">
        <v>1.3</v>
      </c>
      <c r="H831" t="n">
        <v>0</v>
      </c>
      <c r="I831" t="n">
        <v>0</v>
      </c>
      <c r="J831" t="n">
        <v>0</v>
      </c>
      <c r="K831" t="n">
        <v>0</v>
      </c>
      <c r="L831" t="n">
        <v>0</v>
      </c>
      <c r="M831" t="n">
        <v>0</v>
      </c>
      <c r="N831" t="n">
        <v>0</v>
      </c>
      <c r="O831" t="n">
        <v>0</v>
      </c>
      <c r="P831" t="n">
        <v>0</v>
      </c>
      <c r="Q831" t="n">
        <v>0</v>
      </c>
      <c r="R831" s="2" t="inlineStr"/>
    </row>
    <row r="832" ht="15" customHeight="1">
      <c r="A832" t="inlineStr">
        <is>
          <t>A 1858-2021</t>
        </is>
      </c>
      <c r="B832" s="1" t="n">
        <v>44210</v>
      </c>
      <c r="C832" s="1" t="n">
        <v>45670</v>
      </c>
      <c r="D832" t="inlineStr">
        <is>
          <t>VÄSTERNORRLANDS LÄN</t>
        </is>
      </c>
      <c r="E832" t="inlineStr">
        <is>
          <t>SOLLEFTEÅ</t>
        </is>
      </c>
      <c r="G832" t="n">
        <v>2</v>
      </c>
      <c r="H832" t="n">
        <v>0</v>
      </c>
      <c r="I832" t="n">
        <v>0</v>
      </c>
      <c r="J832" t="n">
        <v>0</v>
      </c>
      <c r="K832" t="n">
        <v>0</v>
      </c>
      <c r="L832" t="n">
        <v>0</v>
      </c>
      <c r="M832" t="n">
        <v>0</v>
      </c>
      <c r="N832" t="n">
        <v>0</v>
      </c>
      <c r="O832" t="n">
        <v>0</v>
      </c>
      <c r="P832" t="n">
        <v>0</v>
      </c>
      <c r="Q832" t="n">
        <v>0</v>
      </c>
      <c r="R832" s="2" t="inlineStr"/>
    </row>
    <row r="833" ht="15" customHeight="1">
      <c r="A833" t="inlineStr">
        <is>
          <t>A 2077-2021</t>
        </is>
      </c>
      <c r="B833" s="1" t="n">
        <v>44210</v>
      </c>
      <c r="C833" s="1" t="n">
        <v>45670</v>
      </c>
      <c r="D833" t="inlineStr">
        <is>
          <t>VÄSTERNORRLANDS LÄN</t>
        </is>
      </c>
      <c r="E833" t="inlineStr">
        <is>
          <t>SOLLEFTEÅ</t>
        </is>
      </c>
      <c r="G833" t="n">
        <v>6.1</v>
      </c>
      <c r="H833" t="n">
        <v>0</v>
      </c>
      <c r="I833" t="n">
        <v>0</v>
      </c>
      <c r="J833" t="n">
        <v>0</v>
      </c>
      <c r="K833" t="n">
        <v>0</v>
      </c>
      <c r="L833" t="n">
        <v>0</v>
      </c>
      <c r="M833" t="n">
        <v>0</v>
      </c>
      <c r="N833" t="n">
        <v>0</v>
      </c>
      <c r="O833" t="n">
        <v>0</v>
      </c>
      <c r="P833" t="n">
        <v>0</v>
      </c>
      <c r="Q833" t="n">
        <v>0</v>
      </c>
      <c r="R833" s="2" t="inlineStr"/>
    </row>
    <row r="834" ht="15" customHeight="1">
      <c r="A834" t="inlineStr">
        <is>
          <t>A 2487-2021</t>
        </is>
      </c>
      <c r="B834" s="1" t="n">
        <v>44211</v>
      </c>
      <c r="C834" s="1" t="n">
        <v>45670</v>
      </c>
      <c r="D834" t="inlineStr">
        <is>
          <t>VÄSTERNORRLANDS LÄN</t>
        </is>
      </c>
      <c r="E834" t="inlineStr">
        <is>
          <t>SOLLEFTEÅ</t>
        </is>
      </c>
      <c r="G834" t="n">
        <v>2.7</v>
      </c>
      <c r="H834" t="n">
        <v>0</v>
      </c>
      <c r="I834" t="n">
        <v>0</v>
      </c>
      <c r="J834" t="n">
        <v>0</v>
      </c>
      <c r="K834" t="n">
        <v>0</v>
      </c>
      <c r="L834" t="n">
        <v>0</v>
      </c>
      <c r="M834" t="n">
        <v>0</v>
      </c>
      <c r="N834" t="n">
        <v>0</v>
      </c>
      <c r="O834" t="n">
        <v>0</v>
      </c>
      <c r="P834" t="n">
        <v>0</v>
      </c>
      <c r="Q834" t="n">
        <v>0</v>
      </c>
      <c r="R834" s="2" t="inlineStr"/>
    </row>
    <row r="835" ht="15" customHeight="1">
      <c r="A835" t="inlineStr">
        <is>
          <t>A 3441-2021</t>
        </is>
      </c>
      <c r="B835" s="1" t="n">
        <v>44218</v>
      </c>
      <c r="C835" s="1" t="n">
        <v>45670</v>
      </c>
      <c r="D835" t="inlineStr">
        <is>
          <t>VÄSTERNORRLANDS LÄN</t>
        </is>
      </c>
      <c r="E835" t="inlineStr">
        <is>
          <t>SOLLEFTEÅ</t>
        </is>
      </c>
      <c r="G835" t="n">
        <v>2.3</v>
      </c>
      <c r="H835" t="n">
        <v>0</v>
      </c>
      <c r="I835" t="n">
        <v>0</v>
      </c>
      <c r="J835" t="n">
        <v>0</v>
      </c>
      <c r="K835" t="n">
        <v>0</v>
      </c>
      <c r="L835" t="n">
        <v>0</v>
      </c>
      <c r="M835" t="n">
        <v>0</v>
      </c>
      <c r="N835" t="n">
        <v>0</v>
      </c>
      <c r="O835" t="n">
        <v>0</v>
      </c>
      <c r="P835" t="n">
        <v>0</v>
      </c>
      <c r="Q835" t="n">
        <v>0</v>
      </c>
      <c r="R835" s="2" t="inlineStr"/>
    </row>
    <row r="836" ht="15" customHeight="1">
      <c r="A836" t="inlineStr">
        <is>
          <t>A 4127-2021</t>
        </is>
      </c>
      <c r="B836" s="1" t="n">
        <v>44222</v>
      </c>
      <c r="C836" s="1" t="n">
        <v>45670</v>
      </c>
      <c r="D836" t="inlineStr">
        <is>
          <t>VÄSTERNORRLANDS LÄN</t>
        </is>
      </c>
      <c r="E836" t="inlineStr">
        <is>
          <t>SOLLEFTEÅ</t>
        </is>
      </c>
      <c r="G836" t="n">
        <v>1.3</v>
      </c>
      <c r="H836" t="n">
        <v>0</v>
      </c>
      <c r="I836" t="n">
        <v>0</v>
      </c>
      <c r="J836" t="n">
        <v>0</v>
      </c>
      <c r="K836" t="n">
        <v>0</v>
      </c>
      <c r="L836" t="n">
        <v>0</v>
      </c>
      <c r="M836" t="n">
        <v>0</v>
      </c>
      <c r="N836" t="n">
        <v>0</v>
      </c>
      <c r="O836" t="n">
        <v>0</v>
      </c>
      <c r="P836" t="n">
        <v>0</v>
      </c>
      <c r="Q836" t="n">
        <v>0</v>
      </c>
      <c r="R836" s="2" t="inlineStr"/>
    </row>
    <row r="837" ht="15" customHeight="1">
      <c r="A837" t="inlineStr">
        <is>
          <t>A 5989-2021</t>
        </is>
      </c>
      <c r="B837" s="1" t="n">
        <v>44231</v>
      </c>
      <c r="C837" s="1" t="n">
        <v>45670</v>
      </c>
      <c r="D837" t="inlineStr">
        <is>
          <t>VÄSTERNORRLANDS LÄN</t>
        </is>
      </c>
      <c r="E837" t="inlineStr">
        <is>
          <t>SOLLEFTEÅ</t>
        </is>
      </c>
      <c r="G837" t="n">
        <v>0.9</v>
      </c>
      <c r="H837" t="n">
        <v>0</v>
      </c>
      <c r="I837" t="n">
        <v>0</v>
      </c>
      <c r="J837" t="n">
        <v>0</v>
      </c>
      <c r="K837" t="n">
        <v>0</v>
      </c>
      <c r="L837" t="n">
        <v>0</v>
      </c>
      <c r="M837" t="n">
        <v>0</v>
      </c>
      <c r="N837" t="n">
        <v>0</v>
      </c>
      <c r="O837" t="n">
        <v>0</v>
      </c>
      <c r="P837" t="n">
        <v>0</v>
      </c>
      <c r="Q837" t="n">
        <v>0</v>
      </c>
      <c r="R837" s="2" t="inlineStr"/>
    </row>
    <row r="838" ht="15" customHeight="1">
      <c r="A838" t="inlineStr">
        <is>
          <t>A 7658-2021</t>
        </is>
      </c>
      <c r="B838" s="1" t="n">
        <v>44242</v>
      </c>
      <c r="C838" s="1" t="n">
        <v>45670</v>
      </c>
      <c r="D838" t="inlineStr">
        <is>
          <t>VÄSTERNORRLANDS LÄN</t>
        </is>
      </c>
      <c r="E838" t="inlineStr">
        <is>
          <t>SOLLEFTEÅ</t>
        </is>
      </c>
      <c r="G838" t="n">
        <v>4.9</v>
      </c>
      <c r="H838" t="n">
        <v>0</v>
      </c>
      <c r="I838" t="n">
        <v>0</v>
      </c>
      <c r="J838" t="n">
        <v>0</v>
      </c>
      <c r="K838" t="n">
        <v>0</v>
      </c>
      <c r="L838" t="n">
        <v>0</v>
      </c>
      <c r="M838" t="n">
        <v>0</v>
      </c>
      <c r="N838" t="n">
        <v>0</v>
      </c>
      <c r="O838" t="n">
        <v>0</v>
      </c>
      <c r="P838" t="n">
        <v>0</v>
      </c>
      <c r="Q838" t="n">
        <v>0</v>
      </c>
      <c r="R838" s="2" t="inlineStr"/>
    </row>
    <row r="839" ht="15" customHeight="1">
      <c r="A839" t="inlineStr">
        <is>
          <t>A 7659-2021</t>
        </is>
      </c>
      <c r="B839" s="1" t="n">
        <v>44242</v>
      </c>
      <c r="C839" s="1" t="n">
        <v>45670</v>
      </c>
      <c r="D839" t="inlineStr">
        <is>
          <t>VÄSTERNORRLANDS LÄN</t>
        </is>
      </c>
      <c r="E839" t="inlineStr">
        <is>
          <t>SOLLEFTEÅ</t>
        </is>
      </c>
      <c r="G839" t="n">
        <v>8.1</v>
      </c>
      <c r="H839" t="n">
        <v>0</v>
      </c>
      <c r="I839" t="n">
        <v>0</v>
      </c>
      <c r="J839" t="n">
        <v>0</v>
      </c>
      <c r="K839" t="n">
        <v>0</v>
      </c>
      <c r="L839" t="n">
        <v>0</v>
      </c>
      <c r="M839" t="n">
        <v>0</v>
      </c>
      <c r="N839" t="n">
        <v>0</v>
      </c>
      <c r="O839" t="n">
        <v>0</v>
      </c>
      <c r="P839" t="n">
        <v>0</v>
      </c>
      <c r="Q839" t="n">
        <v>0</v>
      </c>
      <c r="R839" s="2" t="inlineStr"/>
    </row>
    <row r="840" ht="15" customHeight="1">
      <c r="A840" t="inlineStr">
        <is>
          <t>A 7889-2021</t>
        </is>
      </c>
      <c r="B840" s="1" t="n">
        <v>44242</v>
      </c>
      <c r="C840" s="1" t="n">
        <v>45670</v>
      </c>
      <c r="D840" t="inlineStr">
        <is>
          <t>VÄSTERNORRLANDS LÄN</t>
        </is>
      </c>
      <c r="E840" t="inlineStr">
        <is>
          <t>SOLLEFTEÅ</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8631-2021</t>
        </is>
      </c>
      <c r="B841" s="1" t="n">
        <v>44245</v>
      </c>
      <c r="C841" s="1" t="n">
        <v>45670</v>
      </c>
      <c r="D841" t="inlineStr">
        <is>
          <t>VÄSTERNORRLANDS LÄN</t>
        </is>
      </c>
      <c r="E841" t="inlineStr">
        <is>
          <t>SOLLEFTEÅ</t>
        </is>
      </c>
      <c r="G841" t="n">
        <v>0.8</v>
      </c>
      <c r="H841" t="n">
        <v>0</v>
      </c>
      <c r="I841" t="n">
        <v>0</v>
      </c>
      <c r="J841" t="n">
        <v>0</v>
      </c>
      <c r="K841" t="n">
        <v>0</v>
      </c>
      <c r="L841" t="n">
        <v>0</v>
      </c>
      <c r="M841" t="n">
        <v>0</v>
      </c>
      <c r="N841" t="n">
        <v>0</v>
      </c>
      <c r="O841" t="n">
        <v>0</v>
      </c>
      <c r="P841" t="n">
        <v>0</v>
      </c>
      <c r="Q841" t="n">
        <v>0</v>
      </c>
      <c r="R841" s="2" t="inlineStr"/>
    </row>
    <row r="842" ht="15" customHeight="1">
      <c r="A842" t="inlineStr">
        <is>
          <t>A 8692-2021</t>
        </is>
      </c>
      <c r="B842" s="1" t="n">
        <v>44246</v>
      </c>
      <c r="C842" s="1" t="n">
        <v>45670</v>
      </c>
      <c r="D842" t="inlineStr">
        <is>
          <t>VÄSTERNORRLANDS LÄN</t>
        </is>
      </c>
      <c r="E842" t="inlineStr">
        <is>
          <t>SOLLEFTEÅ</t>
        </is>
      </c>
      <c r="G842" t="n">
        <v>0.9</v>
      </c>
      <c r="H842" t="n">
        <v>0</v>
      </c>
      <c r="I842" t="n">
        <v>0</v>
      </c>
      <c r="J842" t="n">
        <v>0</v>
      </c>
      <c r="K842" t="n">
        <v>0</v>
      </c>
      <c r="L842" t="n">
        <v>0</v>
      </c>
      <c r="M842" t="n">
        <v>0</v>
      </c>
      <c r="N842" t="n">
        <v>0</v>
      </c>
      <c r="O842" t="n">
        <v>0</v>
      </c>
      <c r="P842" t="n">
        <v>0</v>
      </c>
      <c r="Q842" t="n">
        <v>0</v>
      </c>
      <c r="R842" s="2" t="inlineStr"/>
    </row>
    <row r="843" ht="15" customHeight="1">
      <c r="A843" t="inlineStr">
        <is>
          <t>A 9461-2021</t>
        </is>
      </c>
      <c r="B843" s="1" t="n">
        <v>44251</v>
      </c>
      <c r="C843" s="1" t="n">
        <v>45670</v>
      </c>
      <c r="D843" t="inlineStr">
        <is>
          <t>VÄSTERNORRLANDS LÄN</t>
        </is>
      </c>
      <c r="E843" t="inlineStr">
        <is>
          <t>SOLLEFTEÅ</t>
        </is>
      </c>
      <c r="G843" t="n">
        <v>0.7</v>
      </c>
      <c r="H843" t="n">
        <v>0</v>
      </c>
      <c r="I843" t="n">
        <v>0</v>
      </c>
      <c r="J843" t="n">
        <v>0</v>
      </c>
      <c r="K843" t="n">
        <v>0</v>
      </c>
      <c r="L843" t="n">
        <v>0</v>
      </c>
      <c r="M843" t="n">
        <v>0</v>
      </c>
      <c r="N843" t="n">
        <v>0</v>
      </c>
      <c r="O843" t="n">
        <v>0</v>
      </c>
      <c r="P843" t="n">
        <v>0</v>
      </c>
      <c r="Q843" t="n">
        <v>0</v>
      </c>
      <c r="R843" s="2" t="inlineStr"/>
    </row>
    <row r="844" ht="15" customHeight="1">
      <c r="A844" t="inlineStr">
        <is>
          <t>A 11270-2021</t>
        </is>
      </c>
      <c r="B844" s="1" t="n">
        <v>44263</v>
      </c>
      <c r="C844" s="1" t="n">
        <v>45670</v>
      </c>
      <c r="D844" t="inlineStr">
        <is>
          <t>VÄSTERNORRLANDS LÄN</t>
        </is>
      </c>
      <c r="E844" t="inlineStr">
        <is>
          <t>SOLLEFTEÅ</t>
        </is>
      </c>
      <c r="F844" t="inlineStr">
        <is>
          <t>Kommuner</t>
        </is>
      </c>
      <c r="G844" t="n">
        <v>10.9</v>
      </c>
      <c r="H844" t="n">
        <v>0</v>
      </c>
      <c r="I844" t="n">
        <v>0</v>
      </c>
      <c r="J844" t="n">
        <v>0</v>
      </c>
      <c r="K844" t="n">
        <v>0</v>
      </c>
      <c r="L844" t="n">
        <v>0</v>
      </c>
      <c r="M844" t="n">
        <v>0</v>
      </c>
      <c r="N844" t="n">
        <v>0</v>
      </c>
      <c r="O844" t="n">
        <v>0</v>
      </c>
      <c r="P844" t="n">
        <v>0</v>
      </c>
      <c r="Q844" t="n">
        <v>0</v>
      </c>
      <c r="R844" s="2" t="inlineStr"/>
    </row>
    <row r="845" ht="15" customHeight="1">
      <c r="A845" t="inlineStr">
        <is>
          <t>A 11710-2021</t>
        </is>
      </c>
      <c r="B845" s="1" t="n">
        <v>44264</v>
      </c>
      <c r="C845" s="1" t="n">
        <v>45670</v>
      </c>
      <c r="D845" t="inlineStr">
        <is>
          <t>VÄSTERNORRLANDS LÄN</t>
        </is>
      </c>
      <c r="E845" t="inlineStr">
        <is>
          <t>SOLLEFTEÅ</t>
        </is>
      </c>
      <c r="G845" t="n">
        <v>1.2</v>
      </c>
      <c r="H845" t="n">
        <v>0</v>
      </c>
      <c r="I845" t="n">
        <v>0</v>
      </c>
      <c r="J845" t="n">
        <v>0</v>
      </c>
      <c r="K845" t="n">
        <v>0</v>
      </c>
      <c r="L845" t="n">
        <v>0</v>
      </c>
      <c r="M845" t="n">
        <v>0</v>
      </c>
      <c r="N845" t="n">
        <v>0</v>
      </c>
      <c r="O845" t="n">
        <v>0</v>
      </c>
      <c r="P845" t="n">
        <v>0</v>
      </c>
      <c r="Q845" t="n">
        <v>0</v>
      </c>
      <c r="R845" s="2" t="inlineStr"/>
    </row>
    <row r="846" ht="15" customHeight="1">
      <c r="A846" t="inlineStr">
        <is>
          <t>A 12278-2021</t>
        </is>
      </c>
      <c r="B846" s="1" t="n">
        <v>44266</v>
      </c>
      <c r="C846" s="1" t="n">
        <v>45670</v>
      </c>
      <c r="D846" t="inlineStr">
        <is>
          <t>VÄSTERNORRLANDS LÄN</t>
        </is>
      </c>
      <c r="E846" t="inlineStr">
        <is>
          <t>SOLLEFTEÅ</t>
        </is>
      </c>
      <c r="F846" t="inlineStr">
        <is>
          <t>SCA</t>
        </is>
      </c>
      <c r="G846" t="n">
        <v>2.7</v>
      </c>
      <c r="H846" t="n">
        <v>0</v>
      </c>
      <c r="I846" t="n">
        <v>0</v>
      </c>
      <c r="J846" t="n">
        <v>0</v>
      </c>
      <c r="K846" t="n">
        <v>0</v>
      </c>
      <c r="L846" t="n">
        <v>0</v>
      </c>
      <c r="M846" t="n">
        <v>0</v>
      </c>
      <c r="N846" t="n">
        <v>0</v>
      </c>
      <c r="O846" t="n">
        <v>0</v>
      </c>
      <c r="P846" t="n">
        <v>0</v>
      </c>
      <c r="Q846" t="n">
        <v>0</v>
      </c>
      <c r="R846" s="2" t="inlineStr"/>
    </row>
    <row r="847" ht="15" customHeight="1">
      <c r="A847" t="inlineStr">
        <is>
          <t>A 12277-2021</t>
        </is>
      </c>
      <c r="B847" s="1" t="n">
        <v>44266</v>
      </c>
      <c r="C847" s="1" t="n">
        <v>45670</v>
      </c>
      <c r="D847" t="inlineStr">
        <is>
          <t>VÄSTERNORRLANDS LÄN</t>
        </is>
      </c>
      <c r="E847" t="inlineStr">
        <is>
          <t>SOLLEFTEÅ</t>
        </is>
      </c>
      <c r="F847" t="inlineStr">
        <is>
          <t>SCA</t>
        </is>
      </c>
      <c r="G847" t="n">
        <v>4.5</v>
      </c>
      <c r="H847" t="n">
        <v>0</v>
      </c>
      <c r="I847" t="n">
        <v>0</v>
      </c>
      <c r="J847" t="n">
        <v>0</v>
      </c>
      <c r="K847" t="n">
        <v>0</v>
      </c>
      <c r="L847" t="n">
        <v>0</v>
      </c>
      <c r="M847" t="n">
        <v>0</v>
      </c>
      <c r="N847" t="n">
        <v>0</v>
      </c>
      <c r="O847" t="n">
        <v>0</v>
      </c>
      <c r="P847" t="n">
        <v>0</v>
      </c>
      <c r="Q847" t="n">
        <v>0</v>
      </c>
      <c r="R847" s="2" t="inlineStr"/>
    </row>
    <row r="848" ht="15" customHeight="1">
      <c r="A848" t="inlineStr">
        <is>
          <t>A 12279-2021</t>
        </is>
      </c>
      <c r="B848" s="1" t="n">
        <v>44266</v>
      </c>
      <c r="C848" s="1" t="n">
        <v>45670</v>
      </c>
      <c r="D848" t="inlineStr">
        <is>
          <t>VÄSTERNORRLANDS LÄN</t>
        </is>
      </c>
      <c r="E848" t="inlineStr">
        <is>
          <t>SOLLEFTEÅ</t>
        </is>
      </c>
      <c r="F848" t="inlineStr">
        <is>
          <t>SCA</t>
        </is>
      </c>
      <c r="G848" t="n">
        <v>4.2</v>
      </c>
      <c r="H848" t="n">
        <v>0</v>
      </c>
      <c r="I848" t="n">
        <v>0</v>
      </c>
      <c r="J848" t="n">
        <v>0</v>
      </c>
      <c r="K848" t="n">
        <v>0</v>
      </c>
      <c r="L848" t="n">
        <v>0</v>
      </c>
      <c r="M848" t="n">
        <v>0</v>
      </c>
      <c r="N848" t="n">
        <v>0</v>
      </c>
      <c r="O848" t="n">
        <v>0</v>
      </c>
      <c r="P848" t="n">
        <v>0</v>
      </c>
      <c r="Q848" t="n">
        <v>0</v>
      </c>
      <c r="R848" s="2" t="inlineStr"/>
    </row>
    <row r="849" ht="15" customHeight="1">
      <c r="A849" t="inlineStr">
        <is>
          <t>A 14733-2021</t>
        </is>
      </c>
      <c r="B849" s="1" t="n">
        <v>44280</v>
      </c>
      <c r="C849" s="1" t="n">
        <v>45670</v>
      </c>
      <c r="D849" t="inlineStr">
        <is>
          <t>VÄSTERNORRLANDS LÄN</t>
        </is>
      </c>
      <c r="E849" t="inlineStr">
        <is>
          <t>SOLLEFTEÅ</t>
        </is>
      </c>
      <c r="G849" t="n">
        <v>5.3</v>
      </c>
      <c r="H849" t="n">
        <v>0</v>
      </c>
      <c r="I849" t="n">
        <v>0</v>
      </c>
      <c r="J849" t="n">
        <v>0</v>
      </c>
      <c r="K849" t="n">
        <v>0</v>
      </c>
      <c r="L849" t="n">
        <v>0</v>
      </c>
      <c r="M849" t="n">
        <v>0</v>
      </c>
      <c r="N849" t="n">
        <v>0</v>
      </c>
      <c r="O849" t="n">
        <v>0</v>
      </c>
      <c r="P849" t="n">
        <v>0</v>
      </c>
      <c r="Q849" t="n">
        <v>0</v>
      </c>
      <c r="R849" s="2" t="inlineStr"/>
    </row>
    <row r="850" ht="15" customHeight="1">
      <c r="A850" t="inlineStr">
        <is>
          <t>A 15461-2021</t>
        </is>
      </c>
      <c r="B850" s="1" t="n">
        <v>44285</v>
      </c>
      <c r="C850" s="1" t="n">
        <v>45670</v>
      </c>
      <c r="D850" t="inlineStr">
        <is>
          <t>VÄSTERNORRLANDS LÄN</t>
        </is>
      </c>
      <c r="E850" t="inlineStr">
        <is>
          <t>SOLLEFTEÅ</t>
        </is>
      </c>
      <c r="G850" t="n">
        <v>0.5</v>
      </c>
      <c r="H850" t="n">
        <v>0</v>
      </c>
      <c r="I850" t="n">
        <v>0</v>
      </c>
      <c r="J850" t="n">
        <v>0</v>
      </c>
      <c r="K850" t="n">
        <v>0</v>
      </c>
      <c r="L850" t="n">
        <v>0</v>
      </c>
      <c r="M850" t="n">
        <v>0</v>
      </c>
      <c r="N850" t="n">
        <v>0</v>
      </c>
      <c r="O850" t="n">
        <v>0</v>
      </c>
      <c r="P850" t="n">
        <v>0</v>
      </c>
      <c r="Q850" t="n">
        <v>0</v>
      </c>
      <c r="R850" s="2" t="inlineStr"/>
    </row>
    <row r="851" ht="15" customHeight="1">
      <c r="A851" t="inlineStr">
        <is>
          <t>A 15894-2021</t>
        </is>
      </c>
      <c r="B851" s="1" t="n">
        <v>44286</v>
      </c>
      <c r="C851" s="1" t="n">
        <v>45670</v>
      </c>
      <c r="D851" t="inlineStr">
        <is>
          <t>VÄSTERNORRLANDS LÄN</t>
        </is>
      </c>
      <c r="E851" t="inlineStr">
        <is>
          <t>SOLLEFTEÅ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16700-2021</t>
        </is>
      </c>
      <c r="B852" s="1" t="n">
        <v>44293</v>
      </c>
      <c r="C852" s="1" t="n">
        <v>45670</v>
      </c>
      <c r="D852" t="inlineStr">
        <is>
          <t>VÄSTERNORRLANDS LÄN</t>
        </is>
      </c>
      <c r="E852" t="inlineStr">
        <is>
          <t>SOLLEFTEÅ</t>
        </is>
      </c>
      <c r="G852" t="n">
        <v>13</v>
      </c>
      <c r="H852" t="n">
        <v>0</v>
      </c>
      <c r="I852" t="n">
        <v>0</v>
      </c>
      <c r="J852" t="n">
        <v>0</v>
      </c>
      <c r="K852" t="n">
        <v>0</v>
      </c>
      <c r="L852" t="n">
        <v>0</v>
      </c>
      <c r="M852" t="n">
        <v>0</v>
      </c>
      <c r="N852" t="n">
        <v>0</v>
      </c>
      <c r="O852" t="n">
        <v>0</v>
      </c>
      <c r="P852" t="n">
        <v>0</v>
      </c>
      <c r="Q852" t="n">
        <v>0</v>
      </c>
      <c r="R852" s="2" t="inlineStr"/>
    </row>
    <row r="853" ht="15" customHeight="1">
      <c r="A853" t="inlineStr">
        <is>
          <t>A 16799-2021</t>
        </is>
      </c>
      <c r="B853" s="1" t="n">
        <v>44293</v>
      </c>
      <c r="C853" s="1" t="n">
        <v>45670</v>
      </c>
      <c r="D853" t="inlineStr">
        <is>
          <t>VÄSTERNORRLANDS LÄN</t>
        </is>
      </c>
      <c r="E853" t="inlineStr">
        <is>
          <t>SOLLEFTEÅ</t>
        </is>
      </c>
      <c r="G853" t="n">
        <v>3</v>
      </c>
      <c r="H853" t="n">
        <v>0</v>
      </c>
      <c r="I853" t="n">
        <v>0</v>
      </c>
      <c r="J853" t="n">
        <v>0</v>
      </c>
      <c r="K853" t="n">
        <v>0</v>
      </c>
      <c r="L853" t="n">
        <v>0</v>
      </c>
      <c r="M853" t="n">
        <v>0</v>
      </c>
      <c r="N853" t="n">
        <v>0</v>
      </c>
      <c r="O853" t="n">
        <v>0</v>
      </c>
      <c r="P853" t="n">
        <v>0</v>
      </c>
      <c r="Q853" t="n">
        <v>0</v>
      </c>
      <c r="R853" s="2" t="inlineStr"/>
    </row>
    <row r="854" ht="15" customHeight="1">
      <c r="A854" t="inlineStr">
        <is>
          <t>A 16905-2021</t>
        </is>
      </c>
      <c r="B854" s="1" t="n">
        <v>44294</v>
      </c>
      <c r="C854" s="1" t="n">
        <v>45670</v>
      </c>
      <c r="D854" t="inlineStr">
        <is>
          <t>VÄSTERNORRLANDS LÄN</t>
        </is>
      </c>
      <c r="E854" t="inlineStr">
        <is>
          <t>SOLLEFTEÅ</t>
        </is>
      </c>
      <c r="G854" t="n">
        <v>5</v>
      </c>
      <c r="H854" t="n">
        <v>0</v>
      </c>
      <c r="I854" t="n">
        <v>0</v>
      </c>
      <c r="J854" t="n">
        <v>0</v>
      </c>
      <c r="K854" t="n">
        <v>0</v>
      </c>
      <c r="L854" t="n">
        <v>0</v>
      </c>
      <c r="M854" t="n">
        <v>0</v>
      </c>
      <c r="N854" t="n">
        <v>0</v>
      </c>
      <c r="O854" t="n">
        <v>0</v>
      </c>
      <c r="P854" t="n">
        <v>0</v>
      </c>
      <c r="Q854" t="n">
        <v>0</v>
      </c>
      <c r="R854" s="2" t="inlineStr"/>
    </row>
    <row r="855" ht="15" customHeight="1">
      <c r="A855" t="inlineStr">
        <is>
          <t>A 17604-2021</t>
        </is>
      </c>
      <c r="B855" s="1" t="n">
        <v>44299</v>
      </c>
      <c r="C855" s="1" t="n">
        <v>45670</v>
      </c>
      <c r="D855" t="inlineStr">
        <is>
          <t>VÄSTERNORRLANDS LÄN</t>
        </is>
      </c>
      <c r="E855" t="inlineStr">
        <is>
          <t>SOLLEFTEÅ</t>
        </is>
      </c>
      <c r="G855" t="n">
        <v>1.7</v>
      </c>
      <c r="H855" t="n">
        <v>0</v>
      </c>
      <c r="I855" t="n">
        <v>0</v>
      </c>
      <c r="J855" t="n">
        <v>0</v>
      </c>
      <c r="K855" t="n">
        <v>0</v>
      </c>
      <c r="L855" t="n">
        <v>0</v>
      </c>
      <c r="M855" t="n">
        <v>0</v>
      </c>
      <c r="N855" t="n">
        <v>0</v>
      </c>
      <c r="O855" t="n">
        <v>0</v>
      </c>
      <c r="P855" t="n">
        <v>0</v>
      </c>
      <c r="Q855" t="n">
        <v>0</v>
      </c>
      <c r="R855" s="2" t="inlineStr"/>
    </row>
    <row r="856" ht="15" customHeight="1">
      <c r="A856" t="inlineStr">
        <is>
          <t>A 18459-2021</t>
        </is>
      </c>
      <c r="B856" s="1" t="n">
        <v>44306</v>
      </c>
      <c r="C856" s="1" t="n">
        <v>45670</v>
      </c>
      <c r="D856" t="inlineStr">
        <is>
          <t>VÄSTERNORRLANDS LÄN</t>
        </is>
      </c>
      <c r="E856" t="inlineStr">
        <is>
          <t>SOLLEFTEÅ</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18668-2021</t>
        </is>
      </c>
      <c r="B857" s="1" t="n">
        <v>44306</v>
      </c>
      <c r="C857" s="1" t="n">
        <v>45670</v>
      </c>
      <c r="D857" t="inlineStr">
        <is>
          <t>VÄSTERNORRLANDS LÄN</t>
        </is>
      </c>
      <c r="E857" t="inlineStr">
        <is>
          <t>SOLLEFTEÅ</t>
        </is>
      </c>
      <c r="G857" t="n">
        <v>12.7</v>
      </c>
      <c r="H857" t="n">
        <v>0</v>
      </c>
      <c r="I857" t="n">
        <v>0</v>
      </c>
      <c r="J857" t="n">
        <v>0</v>
      </c>
      <c r="K857" t="n">
        <v>0</v>
      </c>
      <c r="L857" t="n">
        <v>0</v>
      </c>
      <c r="M857" t="n">
        <v>0</v>
      </c>
      <c r="N857" t="n">
        <v>0</v>
      </c>
      <c r="O857" t="n">
        <v>0</v>
      </c>
      <c r="P857" t="n">
        <v>0</v>
      </c>
      <c r="Q857" t="n">
        <v>0</v>
      </c>
      <c r="R857" s="2" t="inlineStr"/>
    </row>
    <row r="858" ht="15" customHeight="1">
      <c r="A858" t="inlineStr">
        <is>
          <t>A 18741-2021</t>
        </is>
      </c>
      <c r="B858" s="1" t="n">
        <v>44306</v>
      </c>
      <c r="C858" s="1" t="n">
        <v>45670</v>
      </c>
      <c r="D858" t="inlineStr">
        <is>
          <t>VÄSTERNORRLANDS LÄN</t>
        </is>
      </c>
      <c r="E858" t="inlineStr">
        <is>
          <t>SOLLEFTEÅ</t>
        </is>
      </c>
      <c r="F858" t="inlineStr">
        <is>
          <t>Kyrkan</t>
        </is>
      </c>
      <c r="G858" t="n">
        <v>4.8</v>
      </c>
      <c r="H858" t="n">
        <v>0</v>
      </c>
      <c r="I858" t="n">
        <v>0</v>
      </c>
      <c r="J858" t="n">
        <v>0</v>
      </c>
      <c r="K858" t="n">
        <v>0</v>
      </c>
      <c r="L858" t="n">
        <v>0</v>
      </c>
      <c r="M858" t="n">
        <v>0</v>
      </c>
      <c r="N858" t="n">
        <v>0</v>
      </c>
      <c r="O858" t="n">
        <v>0</v>
      </c>
      <c r="P858" t="n">
        <v>0</v>
      </c>
      <c r="Q858" t="n">
        <v>0</v>
      </c>
      <c r="R858" s="2" t="inlineStr"/>
    </row>
    <row r="859" ht="15" customHeight="1">
      <c r="A859" t="inlineStr">
        <is>
          <t>A 18662-2021</t>
        </is>
      </c>
      <c r="B859" s="1" t="n">
        <v>44306</v>
      </c>
      <c r="C859" s="1" t="n">
        <v>45670</v>
      </c>
      <c r="D859" t="inlineStr">
        <is>
          <t>VÄSTERNORRLANDS LÄN</t>
        </is>
      </c>
      <c r="E859" t="inlineStr">
        <is>
          <t>SOLLEFTEÅ</t>
        </is>
      </c>
      <c r="G859" t="n">
        <v>0.9</v>
      </c>
      <c r="H859" t="n">
        <v>0</v>
      </c>
      <c r="I859" t="n">
        <v>0</v>
      </c>
      <c r="J859" t="n">
        <v>0</v>
      </c>
      <c r="K859" t="n">
        <v>0</v>
      </c>
      <c r="L859" t="n">
        <v>0</v>
      </c>
      <c r="M859" t="n">
        <v>0</v>
      </c>
      <c r="N859" t="n">
        <v>0</v>
      </c>
      <c r="O859" t="n">
        <v>0</v>
      </c>
      <c r="P859" t="n">
        <v>0</v>
      </c>
      <c r="Q859" t="n">
        <v>0</v>
      </c>
      <c r="R859" s="2" t="inlineStr"/>
    </row>
    <row r="860" ht="15" customHeight="1">
      <c r="A860" t="inlineStr">
        <is>
          <t>A 18766-2021</t>
        </is>
      </c>
      <c r="B860" s="1" t="n">
        <v>44307</v>
      </c>
      <c r="C860" s="1" t="n">
        <v>45670</v>
      </c>
      <c r="D860" t="inlineStr">
        <is>
          <t>VÄSTERNORRLANDS LÄN</t>
        </is>
      </c>
      <c r="E860" t="inlineStr">
        <is>
          <t>SOLLEFTEÅ</t>
        </is>
      </c>
      <c r="G860" t="n">
        <v>1.2</v>
      </c>
      <c r="H860" t="n">
        <v>0</v>
      </c>
      <c r="I860" t="n">
        <v>0</v>
      </c>
      <c r="J860" t="n">
        <v>0</v>
      </c>
      <c r="K860" t="n">
        <v>0</v>
      </c>
      <c r="L860" t="n">
        <v>0</v>
      </c>
      <c r="M860" t="n">
        <v>0</v>
      </c>
      <c r="N860" t="n">
        <v>0</v>
      </c>
      <c r="O860" t="n">
        <v>0</v>
      </c>
      <c r="P860" t="n">
        <v>0</v>
      </c>
      <c r="Q860" t="n">
        <v>0</v>
      </c>
      <c r="R860" s="2" t="inlineStr"/>
    </row>
    <row r="861" ht="15" customHeight="1">
      <c r="A861" t="inlineStr">
        <is>
          <t>A 18761-2021</t>
        </is>
      </c>
      <c r="B861" s="1" t="n">
        <v>44307</v>
      </c>
      <c r="C861" s="1" t="n">
        <v>45670</v>
      </c>
      <c r="D861" t="inlineStr">
        <is>
          <t>VÄSTERNORRLANDS LÄN</t>
        </is>
      </c>
      <c r="E861" t="inlineStr">
        <is>
          <t>SOLLEFTEÅ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18873-2021</t>
        </is>
      </c>
      <c r="B862" s="1" t="n">
        <v>44308</v>
      </c>
      <c r="C862" s="1" t="n">
        <v>45670</v>
      </c>
      <c r="D862" t="inlineStr">
        <is>
          <t>VÄSTERNORRLANDS LÄN</t>
        </is>
      </c>
      <c r="E862" t="inlineStr">
        <is>
          <t>SOLLEFTEÅ</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18878-2021</t>
        </is>
      </c>
      <c r="B863" s="1" t="n">
        <v>44307</v>
      </c>
      <c r="C863" s="1" t="n">
        <v>45670</v>
      </c>
      <c r="D863" t="inlineStr">
        <is>
          <t>VÄSTERNORRLANDS LÄN</t>
        </is>
      </c>
      <c r="E863" t="inlineStr">
        <is>
          <t>SOLLEFTEÅ</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18867-2021</t>
        </is>
      </c>
      <c r="B864" s="1" t="n">
        <v>44307</v>
      </c>
      <c r="C864" s="1" t="n">
        <v>45670</v>
      </c>
      <c r="D864" t="inlineStr">
        <is>
          <t>VÄSTERNORRLANDS LÄN</t>
        </is>
      </c>
      <c r="E864" t="inlineStr">
        <is>
          <t>SOLLEFTEÅ</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18882-2021</t>
        </is>
      </c>
      <c r="B865" s="1" t="n">
        <v>44308</v>
      </c>
      <c r="C865" s="1" t="n">
        <v>45670</v>
      </c>
      <c r="D865" t="inlineStr">
        <is>
          <t>VÄSTERNORRLANDS LÄN</t>
        </is>
      </c>
      <c r="E865" t="inlineStr">
        <is>
          <t>SOLLEFTEÅ</t>
        </is>
      </c>
      <c r="F865" t="inlineStr">
        <is>
          <t>SCA</t>
        </is>
      </c>
      <c r="G865" t="n">
        <v>6.1</v>
      </c>
      <c r="H865" t="n">
        <v>0</v>
      </c>
      <c r="I865" t="n">
        <v>0</v>
      </c>
      <c r="J865" t="n">
        <v>0</v>
      </c>
      <c r="K865" t="n">
        <v>0</v>
      </c>
      <c r="L865" t="n">
        <v>0</v>
      </c>
      <c r="M865" t="n">
        <v>0</v>
      </c>
      <c r="N865" t="n">
        <v>0</v>
      </c>
      <c r="O865" t="n">
        <v>0</v>
      </c>
      <c r="P865" t="n">
        <v>0</v>
      </c>
      <c r="Q865" t="n">
        <v>0</v>
      </c>
      <c r="R865" s="2" t="inlineStr"/>
    </row>
    <row r="866" ht="15" customHeight="1">
      <c r="A866" t="inlineStr">
        <is>
          <t>A 18875-2021</t>
        </is>
      </c>
      <c r="B866" s="1" t="n">
        <v>44307</v>
      </c>
      <c r="C866" s="1" t="n">
        <v>45670</v>
      </c>
      <c r="D866" t="inlineStr">
        <is>
          <t>VÄSTERNORRLANDS LÄN</t>
        </is>
      </c>
      <c r="E866" t="inlineStr">
        <is>
          <t>SOLLEFTEÅ</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18866-2021</t>
        </is>
      </c>
      <c r="B867" s="1" t="n">
        <v>44308</v>
      </c>
      <c r="C867" s="1" t="n">
        <v>45670</v>
      </c>
      <c r="D867" t="inlineStr">
        <is>
          <t>VÄSTERNORRLANDS LÄN</t>
        </is>
      </c>
      <c r="E867" t="inlineStr">
        <is>
          <t>SOLLEFTEÅ</t>
        </is>
      </c>
      <c r="F867" t="inlineStr">
        <is>
          <t>SCA</t>
        </is>
      </c>
      <c r="G867" t="n">
        <v>5.5</v>
      </c>
      <c r="H867" t="n">
        <v>0</v>
      </c>
      <c r="I867" t="n">
        <v>0</v>
      </c>
      <c r="J867" t="n">
        <v>0</v>
      </c>
      <c r="K867" t="n">
        <v>0</v>
      </c>
      <c r="L867" t="n">
        <v>0</v>
      </c>
      <c r="M867" t="n">
        <v>0</v>
      </c>
      <c r="N867" t="n">
        <v>0</v>
      </c>
      <c r="O867" t="n">
        <v>0</v>
      </c>
      <c r="P867" t="n">
        <v>0</v>
      </c>
      <c r="Q867" t="n">
        <v>0</v>
      </c>
      <c r="R867" s="2" t="inlineStr"/>
    </row>
    <row r="868" ht="15" customHeight="1">
      <c r="A868" t="inlineStr">
        <is>
          <t>A 18874-2021</t>
        </is>
      </c>
      <c r="B868" s="1" t="n">
        <v>44308</v>
      </c>
      <c r="C868" s="1" t="n">
        <v>45670</v>
      </c>
      <c r="D868" t="inlineStr">
        <is>
          <t>VÄSTERNORRLANDS LÄN</t>
        </is>
      </c>
      <c r="E868" t="inlineStr">
        <is>
          <t>SOLLEFTEÅ</t>
        </is>
      </c>
      <c r="F868" t="inlineStr">
        <is>
          <t>SCA</t>
        </is>
      </c>
      <c r="G868" t="n">
        <v>10.7</v>
      </c>
      <c r="H868" t="n">
        <v>0</v>
      </c>
      <c r="I868" t="n">
        <v>0</v>
      </c>
      <c r="J868" t="n">
        <v>0</v>
      </c>
      <c r="K868" t="n">
        <v>0</v>
      </c>
      <c r="L868" t="n">
        <v>0</v>
      </c>
      <c r="M868" t="n">
        <v>0</v>
      </c>
      <c r="N868" t="n">
        <v>0</v>
      </c>
      <c r="O868" t="n">
        <v>0</v>
      </c>
      <c r="P868" t="n">
        <v>0</v>
      </c>
      <c r="Q868" t="n">
        <v>0</v>
      </c>
      <c r="R868" s="2" t="inlineStr"/>
    </row>
    <row r="869" ht="15" customHeight="1">
      <c r="A869" t="inlineStr">
        <is>
          <t>A 18879-2021</t>
        </is>
      </c>
      <c r="B869" s="1" t="n">
        <v>44307</v>
      </c>
      <c r="C869" s="1" t="n">
        <v>45670</v>
      </c>
      <c r="D869" t="inlineStr">
        <is>
          <t>VÄSTERNORRLANDS LÄN</t>
        </is>
      </c>
      <c r="E869" t="inlineStr">
        <is>
          <t>SOLLEFTEÅ</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18868-2021</t>
        </is>
      </c>
      <c r="B870" s="1" t="n">
        <v>44307</v>
      </c>
      <c r="C870" s="1" t="n">
        <v>45670</v>
      </c>
      <c r="D870" t="inlineStr">
        <is>
          <t>VÄSTERNORRLANDS LÄN</t>
        </is>
      </c>
      <c r="E870" t="inlineStr">
        <is>
          <t>SOLLEFTEÅ</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18877-2021</t>
        </is>
      </c>
      <c r="B871" s="1" t="n">
        <v>44308</v>
      </c>
      <c r="C871" s="1" t="n">
        <v>45670</v>
      </c>
      <c r="D871" t="inlineStr">
        <is>
          <t>VÄSTERNORRLANDS LÄN</t>
        </is>
      </c>
      <c r="E871" t="inlineStr">
        <is>
          <t>SOLLEFTEÅ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18889-2021</t>
        </is>
      </c>
      <c r="B872" s="1" t="n">
        <v>44308</v>
      </c>
      <c r="C872" s="1" t="n">
        <v>45670</v>
      </c>
      <c r="D872" t="inlineStr">
        <is>
          <t>VÄSTERNORRLANDS LÄN</t>
        </is>
      </c>
      <c r="E872" t="inlineStr">
        <is>
          <t>SOLLEFTEÅ</t>
        </is>
      </c>
      <c r="G872" t="n">
        <v>1.7</v>
      </c>
      <c r="H872" t="n">
        <v>0</v>
      </c>
      <c r="I872" t="n">
        <v>0</v>
      </c>
      <c r="J872" t="n">
        <v>0</v>
      </c>
      <c r="K872" t="n">
        <v>0</v>
      </c>
      <c r="L872" t="n">
        <v>0</v>
      </c>
      <c r="M872" t="n">
        <v>0</v>
      </c>
      <c r="N872" t="n">
        <v>0</v>
      </c>
      <c r="O872" t="n">
        <v>0</v>
      </c>
      <c r="P872" t="n">
        <v>0</v>
      </c>
      <c r="Q872" t="n">
        <v>0</v>
      </c>
      <c r="R872" s="2" t="inlineStr"/>
    </row>
    <row r="873" ht="15" customHeight="1">
      <c r="A873" t="inlineStr">
        <is>
          <t>A 19200-2021</t>
        </is>
      </c>
      <c r="B873" s="1" t="n">
        <v>44309</v>
      </c>
      <c r="C873" s="1" t="n">
        <v>45670</v>
      </c>
      <c r="D873" t="inlineStr">
        <is>
          <t>VÄSTERNORRLANDS LÄN</t>
        </is>
      </c>
      <c r="E873" t="inlineStr">
        <is>
          <t>SOLLEFTEÅ</t>
        </is>
      </c>
      <c r="G873" t="n">
        <v>12.7</v>
      </c>
      <c r="H873" t="n">
        <v>0</v>
      </c>
      <c r="I873" t="n">
        <v>0</v>
      </c>
      <c r="J873" t="n">
        <v>0</v>
      </c>
      <c r="K873" t="n">
        <v>0</v>
      </c>
      <c r="L873" t="n">
        <v>0</v>
      </c>
      <c r="M873" t="n">
        <v>0</v>
      </c>
      <c r="N873" t="n">
        <v>0</v>
      </c>
      <c r="O873" t="n">
        <v>0</v>
      </c>
      <c r="P873" t="n">
        <v>0</v>
      </c>
      <c r="Q873" t="n">
        <v>0</v>
      </c>
      <c r="R873" s="2" t="inlineStr"/>
    </row>
    <row r="874" ht="15" customHeight="1">
      <c r="A874" t="inlineStr">
        <is>
          <t>A 19510-2021</t>
        </is>
      </c>
      <c r="B874" s="1" t="n">
        <v>44308</v>
      </c>
      <c r="C874" s="1" t="n">
        <v>45670</v>
      </c>
      <c r="D874" t="inlineStr">
        <is>
          <t>VÄSTERNORRLANDS LÄN</t>
        </is>
      </c>
      <c r="E874" t="inlineStr">
        <is>
          <t>SOLLEFTEÅ</t>
        </is>
      </c>
      <c r="F874" t="inlineStr">
        <is>
          <t>Kyrkan</t>
        </is>
      </c>
      <c r="G874" t="n">
        <v>19.6</v>
      </c>
      <c r="H874" t="n">
        <v>0</v>
      </c>
      <c r="I874" t="n">
        <v>0</v>
      </c>
      <c r="J874" t="n">
        <v>0</v>
      </c>
      <c r="K874" t="n">
        <v>0</v>
      </c>
      <c r="L874" t="n">
        <v>0</v>
      </c>
      <c r="M874" t="n">
        <v>0</v>
      </c>
      <c r="N874" t="n">
        <v>0</v>
      </c>
      <c r="O874" t="n">
        <v>0</v>
      </c>
      <c r="P874" t="n">
        <v>0</v>
      </c>
      <c r="Q874" t="n">
        <v>0</v>
      </c>
      <c r="R874" s="2" t="inlineStr"/>
    </row>
    <row r="875" ht="15" customHeight="1">
      <c r="A875" t="inlineStr">
        <is>
          <t>A 19220-2021</t>
        </is>
      </c>
      <c r="B875" s="1" t="n">
        <v>44309</v>
      </c>
      <c r="C875" s="1" t="n">
        <v>45670</v>
      </c>
      <c r="D875" t="inlineStr">
        <is>
          <t>VÄSTERNORRLANDS LÄN</t>
        </is>
      </c>
      <c r="E875" t="inlineStr">
        <is>
          <t>SOLLEFTEÅ</t>
        </is>
      </c>
      <c r="F875" t="inlineStr">
        <is>
          <t>Holmen skog AB</t>
        </is>
      </c>
      <c r="G875" t="n">
        <v>1.1</v>
      </c>
      <c r="H875" t="n">
        <v>0</v>
      </c>
      <c r="I875" t="n">
        <v>0</v>
      </c>
      <c r="J875" t="n">
        <v>0</v>
      </c>
      <c r="K875" t="n">
        <v>0</v>
      </c>
      <c r="L875" t="n">
        <v>0</v>
      </c>
      <c r="M875" t="n">
        <v>0</v>
      </c>
      <c r="N875" t="n">
        <v>0</v>
      </c>
      <c r="O875" t="n">
        <v>0</v>
      </c>
      <c r="P875" t="n">
        <v>0</v>
      </c>
      <c r="Q875" t="n">
        <v>0</v>
      </c>
      <c r="R875" s="2" t="inlineStr"/>
    </row>
    <row r="876" ht="15" customHeight="1">
      <c r="A876" t="inlineStr">
        <is>
          <t>A 19433-2021</t>
        </is>
      </c>
      <c r="B876" s="1" t="n">
        <v>44310</v>
      </c>
      <c r="C876" s="1" t="n">
        <v>45670</v>
      </c>
      <c r="D876" t="inlineStr">
        <is>
          <t>VÄSTERNORRLANDS LÄN</t>
        </is>
      </c>
      <c r="E876" t="inlineStr">
        <is>
          <t>SOLLEFTEÅ</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19412-2021</t>
        </is>
      </c>
      <c r="B877" s="1" t="n">
        <v>44310</v>
      </c>
      <c r="C877" s="1" t="n">
        <v>45670</v>
      </c>
      <c r="D877" t="inlineStr">
        <is>
          <t>VÄSTERNORRLANDS LÄN</t>
        </is>
      </c>
      <c r="E877" t="inlineStr">
        <is>
          <t>SOLLEFTEÅ</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19435-2021</t>
        </is>
      </c>
      <c r="B878" s="1" t="n">
        <v>44310</v>
      </c>
      <c r="C878" s="1" t="n">
        <v>45670</v>
      </c>
      <c r="D878" t="inlineStr">
        <is>
          <t>VÄSTERNORRLANDS LÄN</t>
        </is>
      </c>
      <c r="E878" t="inlineStr">
        <is>
          <t>SOLLEFTEÅ</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19516-2021</t>
        </is>
      </c>
      <c r="B879" s="1" t="n">
        <v>44309</v>
      </c>
      <c r="C879" s="1" t="n">
        <v>45670</v>
      </c>
      <c r="D879" t="inlineStr">
        <is>
          <t>VÄSTERNORRLANDS LÄN</t>
        </is>
      </c>
      <c r="E879" t="inlineStr">
        <is>
          <t>SOLLEFTEÅ</t>
        </is>
      </c>
      <c r="G879" t="n">
        <v>15.6</v>
      </c>
      <c r="H879" t="n">
        <v>0</v>
      </c>
      <c r="I879" t="n">
        <v>0</v>
      </c>
      <c r="J879" t="n">
        <v>0</v>
      </c>
      <c r="K879" t="n">
        <v>0</v>
      </c>
      <c r="L879" t="n">
        <v>0</v>
      </c>
      <c r="M879" t="n">
        <v>0</v>
      </c>
      <c r="N879" t="n">
        <v>0</v>
      </c>
      <c r="O879" t="n">
        <v>0</v>
      </c>
      <c r="P879" t="n">
        <v>0</v>
      </c>
      <c r="Q879" t="n">
        <v>0</v>
      </c>
      <c r="R879" s="2" t="inlineStr"/>
    </row>
    <row r="880" ht="15" customHeight="1">
      <c r="A880" t="inlineStr">
        <is>
          <t>A 19830-2021</t>
        </is>
      </c>
      <c r="B880" s="1" t="n">
        <v>44312</v>
      </c>
      <c r="C880" s="1" t="n">
        <v>45670</v>
      </c>
      <c r="D880" t="inlineStr">
        <is>
          <t>VÄSTERNORRLANDS LÄN</t>
        </is>
      </c>
      <c r="E880" t="inlineStr">
        <is>
          <t>SOLLEFTEÅ</t>
        </is>
      </c>
      <c r="G880" t="n">
        <v>1.9</v>
      </c>
      <c r="H880" t="n">
        <v>0</v>
      </c>
      <c r="I880" t="n">
        <v>0</v>
      </c>
      <c r="J880" t="n">
        <v>0</v>
      </c>
      <c r="K880" t="n">
        <v>0</v>
      </c>
      <c r="L880" t="n">
        <v>0</v>
      </c>
      <c r="M880" t="n">
        <v>0</v>
      </c>
      <c r="N880" t="n">
        <v>0</v>
      </c>
      <c r="O880" t="n">
        <v>0</v>
      </c>
      <c r="P880" t="n">
        <v>0</v>
      </c>
      <c r="Q880" t="n">
        <v>0</v>
      </c>
      <c r="R880" s="2" t="inlineStr"/>
    </row>
    <row r="881" ht="15" customHeight="1">
      <c r="A881" t="inlineStr">
        <is>
          <t>A 19637-2021</t>
        </is>
      </c>
      <c r="B881" s="1" t="n">
        <v>44312</v>
      </c>
      <c r="C881" s="1" t="n">
        <v>45670</v>
      </c>
      <c r="D881" t="inlineStr">
        <is>
          <t>VÄSTERNORRLANDS LÄN</t>
        </is>
      </c>
      <c r="E881" t="inlineStr">
        <is>
          <t>SOLLEFTEÅ</t>
        </is>
      </c>
      <c r="F881" t="inlineStr">
        <is>
          <t>Holmen skog AB</t>
        </is>
      </c>
      <c r="G881" t="n">
        <v>0.9</v>
      </c>
      <c r="H881" t="n">
        <v>0</v>
      </c>
      <c r="I881" t="n">
        <v>0</v>
      </c>
      <c r="J881" t="n">
        <v>0</v>
      </c>
      <c r="K881" t="n">
        <v>0</v>
      </c>
      <c r="L881" t="n">
        <v>0</v>
      </c>
      <c r="M881" t="n">
        <v>0</v>
      </c>
      <c r="N881" t="n">
        <v>0</v>
      </c>
      <c r="O881" t="n">
        <v>0</v>
      </c>
      <c r="P881" t="n">
        <v>0</v>
      </c>
      <c r="Q881" t="n">
        <v>0</v>
      </c>
      <c r="R881" s="2" t="inlineStr"/>
    </row>
    <row r="882" ht="15" customHeight="1">
      <c r="A882" t="inlineStr">
        <is>
          <t>A 21341-2021</t>
        </is>
      </c>
      <c r="B882" s="1" t="n">
        <v>44321</v>
      </c>
      <c r="C882" s="1" t="n">
        <v>45670</v>
      </c>
      <c r="D882" t="inlineStr">
        <is>
          <t>VÄSTERNORRLANDS LÄN</t>
        </is>
      </c>
      <c r="E882" t="inlineStr">
        <is>
          <t>SOLLEFTEÅ</t>
        </is>
      </c>
      <c r="G882" t="n">
        <v>4.1</v>
      </c>
      <c r="H882" t="n">
        <v>0</v>
      </c>
      <c r="I882" t="n">
        <v>0</v>
      </c>
      <c r="J882" t="n">
        <v>0</v>
      </c>
      <c r="K882" t="n">
        <v>0</v>
      </c>
      <c r="L882" t="n">
        <v>0</v>
      </c>
      <c r="M882" t="n">
        <v>0</v>
      </c>
      <c r="N882" t="n">
        <v>0</v>
      </c>
      <c r="O882" t="n">
        <v>0</v>
      </c>
      <c r="P882" t="n">
        <v>0</v>
      </c>
      <c r="Q882" t="n">
        <v>0</v>
      </c>
      <c r="R882" s="2" t="inlineStr"/>
    </row>
    <row r="883" ht="15" customHeight="1">
      <c r="A883" t="inlineStr">
        <is>
          <t>A 21350-2021</t>
        </is>
      </c>
      <c r="B883" s="1" t="n">
        <v>44321</v>
      </c>
      <c r="C883" s="1" t="n">
        <v>45670</v>
      </c>
      <c r="D883" t="inlineStr">
        <is>
          <t>VÄSTERNORRLANDS LÄN</t>
        </is>
      </c>
      <c r="E883" t="inlineStr">
        <is>
          <t>SOLLEFTEÅ</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21358-2021</t>
        </is>
      </c>
      <c r="B884" s="1" t="n">
        <v>44320</v>
      </c>
      <c r="C884" s="1" t="n">
        <v>45670</v>
      </c>
      <c r="D884" t="inlineStr">
        <is>
          <t>VÄSTERNORRLANDS LÄN</t>
        </is>
      </c>
      <c r="E884" t="inlineStr">
        <is>
          <t>SOLLEFTEÅ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21362-2021</t>
        </is>
      </c>
      <c r="B885" s="1" t="n">
        <v>44321</v>
      </c>
      <c r="C885" s="1" t="n">
        <v>45670</v>
      </c>
      <c r="D885" t="inlineStr">
        <is>
          <t>VÄSTERNORRLANDS LÄN</t>
        </is>
      </c>
      <c r="E885" t="inlineStr">
        <is>
          <t>SOLLEFTEÅ</t>
        </is>
      </c>
      <c r="G885" t="n">
        <v>1</v>
      </c>
      <c r="H885" t="n">
        <v>0</v>
      </c>
      <c r="I885" t="n">
        <v>0</v>
      </c>
      <c r="J885" t="n">
        <v>0</v>
      </c>
      <c r="K885" t="n">
        <v>0</v>
      </c>
      <c r="L885" t="n">
        <v>0</v>
      </c>
      <c r="M885" t="n">
        <v>0</v>
      </c>
      <c r="N885" t="n">
        <v>0</v>
      </c>
      <c r="O885" t="n">
        <v>0</v>
      </c>
      <c r="P885" t="n">
        <v>0</v>
      </c>
      <c r="Q885" t="n">
        <v>0</v>
      </c>
      <c r="R885" s="2" t="inlineStr"/>
    </row>
    <row r="886" ht="15" customHeight="1">
      <c r="A886" t="inlineStr">
        <is>
          <t>A 21532-2021</t>
        </is>
      </c>
      <c r="B886" s="1" t="n">
        <v>44321</v>
      </c>
      <c r="C886" s="1" t="n">
        <v>45670</v>
      </c>
      <c r="D886" t="inlineStr">
        <is>
          <t>VÄSTERNORRLANDS LÄN</t>
        </is>
      </c>
      <c r="E886" t="inlineStr">
        <is>
          <t>SOLLEFTEÅ</t>
        </is>
      </c>
      <c r="G886" t="n">
        <v>1.1</v>
      </c>
      <c r="H886" t="n">
        <v>0</v>
      </c>
      <c r="I886" t="n">
        <v>0</v>
      </c>
      <c r="J886" t="n">
        <v>0</v>
      </c>
      <c r="K886" t="n">
        <v>0</v>
      </c>
      <c r="L886" t="n">
        <v>0</v>
      </c>
      <c r="M886" t="n">
        <v>0</v>
      </c>
      <c r="N886" t="n">
        <v>0</v>
      </c>
      <c r="O886" t="n">
        <v>0</v>
      </c>
      <c r="P886" t="n">
        <v>0</v>
      </c>
      <c r="Q886" t="n">
        <v>0</v>
      </c>
      <c r="R886" s="2" t="inlineStr"/>
    </row>
    <row r="887" ht="15" customHeight="1">
      <c r="A887" t="inlineStr">
        <is>
          <t>A 21589-2021</t>
        </is>
      </c>
      <c r="B887" s="1" t="n">
        <v>44321</v>
      </c>
      <c r="C887" s="1" t="n">
        <v>45670</v>
      </c>
      <c r="D887" t="inlineStr">
        <is>
          <t>VÄSTERNORRLANDS LÄN</t>
        </is>
      </c>
      <c r="E887" t="inlineStr">
        <is>
          <t>SOLLEFTEÅ</t>
        </is>
      </c>
      <c r="G887" t="n">
        <v>7</v>
      </c>
      <c r="H887" t="n">
        <v>0</v>
      </c>
      <c r="I887" t="n">
        <v>0</v>
      </c>
      <c r="J887" t="n">
        <v>0</v>
      </c>
      <c r="K887" t="n">
        <v>0</v>
      </c>
      <c r="L887" t="n">
        <v>0</v>
      </c>
      <c r="M887" t="n">
        <v>0</v>
      </c>
      <c r="N887" t="n">
        <v>0</v>
      </c>
      <c r="O887" t="n">
        <v>0</v>
      </c>
      <c r="P887" t="n">
        <v>0</v>
      </c>
      <c r="Q887" t="n">
        <v>0</v>
      </c>
      <c r="R887" s="2" t="inlineStr"/>
    </row>
    <row r="888" ht="15" customHeight="1">
      <c r="A888" t="inlineStr">
        <is>
          <t>A 21711-2021</t>
        </is>
      </c>
      <c r="B888" s="1" t="n">
        <v>44322</v>
      </c>
      <c r="C888" s="1" t="n">
        <v>45670</v>
      </c>
      <c r="D888" t="inlineStr">
        <is>
          <t>VÄSTERNORRLANDS LÄN</t>
        </is>
      </c>
      <c r="E888" t="inlineStr">
        <is>
          <t>SOLLEFTEÅ</t>
        </is>
      </c>
      <c r="F888" t="inlineStr">
        <is>
          <t>Kyrkan</t>
        </is>
      </c>
      <c r="G888" t="n">
        <v>22.2</v>
      </c>
      <c r="H888" t="n">
        <v>0</v>
      </c>
      <c r="I888" t="n">
        <v>0</v>
      </c>
      <c r="J888" t="n">
        <v>0</v>
      </c>
      <c r="K888" t="n">
        <v>0</v>
      </c>
      <c r="L888" t="n">
        <v>0</v>
      </c>
      <c r="M888" t="n">
        <v>0</v>
      </c>
      <c r="N888" t="n">
        <v>0</v>
      </c>
      <c r="O888" t="n">
        <v>0</v>
      </c>
      <c r="P888" t="n">
        <v>0</v>
      </c>
      <c r="Q888" t="n">
        <v>0</v>
      </c>
      <c r="R888" s="2" t="inlineStr"/>
    </row>
    <row r="889" ht="15" customHeight="1">
      <c r="A889" t="inlineStr">
        <is>
          <t>A 21924-2021</t>
        </is>
      </c>
      <c r="B889" s="1" t="n">
        <v>44323</v>
      </c>
      <c r="C889" s="1" t="n">
        <v>45670</v>
      </c>
      <c r="D889" t="inlineStr">
        <is>
          <t>VÄSTERNORRLANDS LÄN</t>
        </is>
      </c>
      <c r="E889" t="inlineStr">
        <is>
          <t>SOLLEFTEÅ</t>
        </is>
      </c>
      <c r="G889" t="n">
        <v>3.6</v>
      </c>
      <c r="H889" t="n">
        <v>0</v>
      </c>
      <c r="I889" t="n">
        <v>0</v>
      </c>
      <c r="J889" t="n">
        <v>0</v>
      </c>
      <c r="K889" t="n">
        <v>0</v>
      </c>
      <c r="L889" t="n">
        <v>0</v>
      </c>
      <c r="M889" t="n">
        <v>0</v>
      </c>
      <c r="N889" t="n">
        <v>0</v>
      </c>
      <c r="O889" t="n">
        <v>0</v>
      </c>
      <c r="P889" t="n">
        <v>0</v>
      </c>
      <c r="Q889" t="n">
        <v>0</v>
      </c>
      <c r="R889" s="2" t="inlineStr"/>
    </row>
    <row r="890" ht="15" customHeight="1">
      <c r="A890" t="inlineStr">
        <is>
          <t>A 22447-2021</t>
        </is>
      </c>
      <c r="B890" s="1" t="n">
        <v>44323</v>
      </c>
      <c r="C890" s="1" t="n">
        <v>45670</v>
      </c>
      <c r="D890" t="inlineStr">
        <is>
          <t>VÄSTERNORRLANDS LÄN</t>
        </is>
      </c>
      <c r="E890" t="inlineStr">
        <is>
          <t>SOLLEFTEÅ</t>
        </is>
      </c>
      <c r="G890" t="n">
        <v>1.4</v>
      </c>
      <c r="H890" t="n">
        <v>0</v>
      </c>
      <c r="I890" t="n">
        <v>0</v>
      </c>
      <c r="J890" t="n">
        <v>0</v>
      </c>
      <c r="K890" t="n">
        <v>0</v>
      </c>
      <c r="L890" t="n">
        <v>0</v>
      </c>
      <c r="M890" t="n">
        <v>0</v>
      </c>
      <c r="N890" t="n">
        <v>0</v>
      </c>
      <c r="O890" t="n">
        <v>0</v>
      </c>
      <c r="P890" t="n">
        <v>0</v>
      </c>
      <c r="Q890" t="n">
        <v>0</v>
      </c>
      <c r="R890" s="2" t="inlineStr"/>
    </row>
    <row r="891" ht="15" customHeight="1">
      <c r="A891" t="inlineStr">
        <is>
          <t>A 22441-2021</t>
        </is>
      </c>
      <c r="B891" s="1" t="n">
        <v>44323</v>
      </c>
      <c r="C891" s="1" t="n">
        <v>45670</v>
      </c>
      <c r="D891" t="inlineStr">
        <is>
          <t>VÄSTERNORRLANDS LÄN</t>
        </is>
      </c>
      <c r="E891" t="inlineStr">
        <is>
          <t>SOLLEFTEÅ</t>
        </is>
      </c>
      <c r="G891" t="n">
        <v>2.2</v>
      </c>
      <c r="H891" t="n">
        <v>0</v>
      </c>
      <c r="I891" t="n">
        <v>0</v>
      </c>
      <c r="J891" t="n">
        <v>0</v>
      </c>
      <c r="K891" t="n">
        <v>0</v>
      </c>
      <c r="L891" t="n">
        <v>0</v>
      </c>
      <c r="M891" t="n">
        <v>0</v>
      </c>
      <c r="N891" t="n">
        <v>0</v>
      </c>
      <c r="O891" t="n">
        <v>0</v>
      </c>
      <c r="P891" t="n">
        <v>0</v>
      </c>
      <c r="Q891" t="n">
        <v>0</v>
      </c>
      <c r="R891" s="2" t="inlineStr"/>
    </row>
    <row r="892" ht="15" customHeight="1">
      <c r="A892" t="inlineStr">
        <is>
          <t>A 22224-2021</t>
        </is>
      </c>
      <c r="B892" s="1" t="n">
        <v>44326</v>
      </c>
      <c r="C892" s="1" t="n">
        <v>45670</v>
      </c>
      <c r="D892" t="inlineStr">
        <is>
          <t>VÄSTERNORRLANDS LÄN</t>
        </is>
      </c>
      <c r="E892" t="inlineStr">
        <is>
          <t>SOLLEFTEÅ</t>
        </is>
      </c>
      <c r="F892" t="inlineStr">
        <is>
          <t>Kommuner</t>
        </is>
      </c>
      <c r="G892" t="n">
        <v>2.3</v>
      </c>
      <c r="H892" t="n">
        <v>0</v>
      </c>
      <c r="I892" t="n">
        <v>0</v>
      </c>
      <c r="J892" t="n">
        <v>0</v>
      </c>
      <c r="K892" t="n">
        <v>0</v>
      </c>
      <c r="L892" t="n">
        <v>0</v>
      </c>
      <c r="M892" t="n">
        <v>0</v>
      </c>
      <c r="N892" t="n">
        <v>0</v>
      </c>
      <c r="O892" t="n">
        <v>0</v>
      </c>
      <c r="P892" t="n">
        <v>0</v>
      </c>
      <c r="Q892" t="n">
        <v>0</v>
      </c>
      <c r="R892" s="2" t="inlineStr"/>
    </row>
    <row r="893" ht="15" customHeight="1">
      <c r="A893" t="inlineStr">
        <is>
          <t>A 22934-2021</t>
        </is>
      </c>
      <c r="B893" s="1" t="n">
        <v>44328</v>
      </c>
      <c r="C893" s="1" t="n">
        <v>45670</v>
      </c>
      <c r="D893" t="inlineStr">
        <is>
          <t>VÄSTERNORRLANDS LÄN</t>
        </is>
      </c>
      <c r="E893" t="inlineStr">
        <is>
          <t>SOLLEFTEÅ</t>
        </is>
      </c>
      <c r="G893" t="n">
        <v>10</v>
      </c>
      <c r="H893" t="n">
        <v>0</v>
      </c>
      <c r="I893" t="n">
        <v>0</v>
      </c>
      <c r="J893" t="n">
        <v>0</v>
      </c>
      <c r="K893" t="n">
        <v>0</v>
      </c>
      <c r="L893" t="n">
        <v>0</v>
      </c>
      <c r="M893" t="n">
        <v>0</v>
      </c>
      <c r="N893" t="n">
        <v>0</v>
      </c>
      <c r="O893" t="n">
        <v>0</v>
      </c>
      <c r="P893" t="n">
        <v>0</v>
      </c>
      <c r="Q893" t="n">
        <v>0</v>
      </c>
      <c r="R893" s="2" t="inlineStr"/>
    </row>
    <row r="894" ht="15" customHeight="1">
      <c r="A894" t="inlineStr">
        <is>
          <t>A 23033-2021</t>
        </is>
      </c>
      <c r="B894" s="1" t="n">
        <v>44329</v>
      </c>
      <c r="C894" s="1" t="n">
        <v>45670</v>
      </c>
      <c r="D894" t="inlineStr">
        <is>
          <t>VÄSTERNORRLANDS LÄN</t>
        </is>
      </c>
      <c r="E894" t="inlineStr">
        <is>
          <t>SOLLEFTEÅ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23032-2021</t>
        </is>
      </c>
      <c r="B895" s="1" t="n">
        <v>44329</v>
      </c>
      <c r="C895" s="1" t="n">
        <v>45670</v>
      </c>
      <c r="D895" t="inlineStr">
        <is>
          <t>VÄSTERNORRLANDS LÄN</t>
        </is>
      </c>
      <c r="E895" t="inlineStr">
        <is>
          <t>SOLLEFTEÅ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23034-2021</t>
        </is>
      </c>
      <c r="B896" s="1" t="n">
        <v>44329</v>
      </c>
      <c r="C896" s="1" t="n">
        <v>45670</v>
      </c>
      <c r="D896" t="inlineStr">
        <is>
          <t>VÄSTERNORRLANDS LÄN</t>
        </is>
      </c>
      <c r="E896" t="inlineStr">
        <is>
          <t>SOLLEFTEÅ</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23030-2021</t>
        </is>
      </c>
      <c r="B897" s="1" t="n">
        <v>44329</v>
      </c>
      <c r="C897" s="1" t="n">
        <v>45670</v>
      </c>
      <c r="D897" t="inlineStr">
        <is>
          <t>VÄSTERNORRLANDS LÄN</t>
        </is>
      </c>
      <c r="E897" t="inlineStr">
        <is>
          <t>SOLLEFTEÅ</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23069-2021</t>
        </is>
      </c>
      <c r="B898" s="1" t="n">
        <v>44330</v>
      </c>
      <c r="C898" s="1" t="n">
        <v>45670</v>
      </c>
      <c r="D898" t="inlineStr">
        <is>
          <t>VÄSTERNORRLANDS LÄN</t>
        </is>
      </c>
      <c r="E898" t="inlineStr">
        <is>
          <t>SOLLEFTEÅ</t>
        </is>
      </c>
      <c r="F898" t="inlineStr">
        <is>
          <t>SCA</t>
        </is>
      </c>
      <c r="G898" t="n">
        <v>2.7</v>
      </c>
      <c r="H898" t="n">
        <v>0</v>
      </c>
      <c r="I898" t="n">
        <v>0</v>
      </c>
      <c r="J898" t="n">
        <v>0</v>
      </c>
      <c r="K898" t="n">
        <v>0</v>
      </c>
      <c r="L898" t="n">
        <v>0</v>
      </c>
      <c r="M898" t="n">
        <v>0</v>
      </c>
      <c r="N898" t="n">
        <v>0</v>
      </c>
      <c r="O898" t="n">
        <v>0</v>
      </c>
      <c r="P898" t="n">
        <v>0</v>
      </c>
      <c r="Q898" t="n">
        <v>0</v>
      </c>
      <c r="R898" s="2" t="inlineStr"/>
    </row>
    <row r="899" ht="15" customHeight="1">
      <c r="A899" t="inlineStr">
        <is>
          <t>A 23394-2021</t>
        </is>
      </c>
      <c r="B899" s="1" t="n">
        <v>44333</v>
      </c>
      <c r="C899" s="1" t="n">
        <v>45670</v>
      </c>
      <c r="D899" t="inlineStr">
        <is>
          <t>VÄSTERNORRLANDS LÄN</t>
        </is>
      </c>
      <c r="E899" t="inlineStr">
        <is>
          <t>SOLLEFTEÅ</t>
        </is>
      </c>
      <c r="G899" t="n">
        <v>2.1</v>
      </c>
      <c r="H899" t="n">
        <v>0</v>
      </c>
      <c r="I899" t="n">
        <v>0</v>
      </c>
      <c r="J899" t="n">
        <v>0</v>
      </c>
      <c r="K899" t="n">
        <v>0</v>
      </c>
      <c r="L899" t="n">
        <v>0</v>
      </c>
      <c r="M899" t="n">
        <v>0</v>
      </c>
      <c r="N899" t="n">
        <v>0</v>
      </c>
      <c r="O899" t="n">
        <v>0</v>
      </c>
      <c r="P899" t="n">
        <v>0</v>
      </c>
      <c r="Q899" t="n">
        <v>0</v>
      </c>
      <c r="R899" s="2" t="inlineStr"/>
    </row>
    <row r="900" ht="15" customHeight="1">
      <c r="A900" t="inlineStr">
        <is>
          <t>A 23639-2021</t>
        </is>
      </c>
      <c r="B900" s="1" t="n">
        <v>44334</v>
      </c>
      <c r="C900" s="1" t="n">
        <v>45670</v>
      </c>
      <c r="D900" t="inlineStr">
        <is>
          <t>VÄSTERNORRLANDS LÄN</t>
        </is>
      </c>
      <c r="E900" t="inlineStr">
        <is>
          <t>SOLLEFTEÅ</t>
        </is>
      </c>
      <c r="F900" t="inlineStr">
        <is>
          <t>Kyrkan</t>
        </is>
      </c>
      <c r="G900" t="n">
        <v>5.4</v>
      </c>
      <c r="H900" t="n">
        <v>0</v>
      </c>
      <c r="I900" t="n">
        <v>0</v>
      </c>
      <c r="J900" t="n">
        <v>0</v>
      </c>
      <c r="K900" t="n">
        <v>0</v>
      </c>
      <c r="L900" t="n">
        <v>0</v>
      </c>
      <c r="M900" t="n">
        <v>0</v>
      </c>
      <c r="N900" t="n">
        <v>0</v>
      </c>
      <c r="O900" t="n">
        <v>0</v>
      </c>
      <c r="P900" t="n">
        <v>0</v>
      </c>
      <c r="Q900" t="n">
        <v>0</v>
      </c>
      <c r="R900" s="2" t="inlineStr"/>
    </row>
    <row r="901" ht="15" customHeight="1">
      <c r="A901" t="inlineStr">
        <is>
          <t>A 23689-2021</t>
        </is>
      </c>
      <c r="B901" s="1" t="n">
        <v>44334</v>
      </c>
      <c r="C901" s="1" t="n">
        <v>45670</v>
      </c>
      <c r="D901" t="inlineStr">
        <is>
          <t>VÄSTERNORRLANDS LÄN</t>
        </is>
      </c>
      <c r="E901" t="inlineStr">
        <is>
          <t>SOLLEFTEÅ</t>
        </is>
      </c>
      <c r="G901" t="n">
        <v>14.9</v>
      </c>
      <c r="H901" t="n">
        <v>0</v>
      </c>
      <c r="I901" t="n">
        <v>0</v>
      </c>
      <c r="J901" t="n">
        <v>0</v>
      </c>
      <c r="K901" t="n">
        <v>0</v>
      </c>
      <c r="L901" t="n">
        <v>0</v>
      </c>
      <c r="M901" t="n">
        <v>0</v>
      </c>
      <c r="N901" t="n">
        <v>0</v>
      </c>
      <c r="O901" t="n">
        <v>0</v>
      </c>
      <c r="P901" t="n">
        <v>0</v>
      </c>
      <c r="Q901" t="n">
        <v>0</v>
      </c>
      <c r="R901" s="2" t="inlineStr"/>
    </row>
    <row r="902" ht="15" customHeight="1">
      <c r="A902" t="inlineStr">
        <is>
          <t>A 23770-2021</t>
        </is>
      </c>
      <c r="B902" s="1" t="n">
        <v>44335</v>
      </c>
      <c r="C902" s="1" t="n">
        <v>45670</v>
      </c>
      <c r="D902" t="inlineStr">
        <is>
          <t>VÄSTERNORRLANDS LÄN</t>
        </is>
      </c>
      <c r="E902" t="inlineStr">
        <is>
          <t>SOLLEFTEÅ</t>
        </is>
      </c>
      <c r="G902" t="n">
        <v>1.4</v>
      </c>
      <c r="H902" t="n">
        <v>0</v>
      </c>
      <c r="I902" t="n">
        <v>0</v>
      </c>
      <c r="J902" t="n">
        <v>0</v>
      </c>
      <c r="K902" t="n">
        <v>0</v>
      </c>
      <c r="L902" t="n">
        <v>0</v>
      </c>
      <c r="M902" t="n">
        <v>0</v>
      </c>
      <c r="N902" t="n">
        <v>0</v>
      </c>
      <c r="O902" t="n">
        <v>0</v>
      </c>
      <c r="P902" t="n">
        <v>0</v>
      </c>
      <c r="Q902" t="n">
        <v>0</v>
      </c>
      <c r="R902" s="2" t="inlineStr"/>
    </row>
    <row r="903" ht="15" customHeight="1">
      <c r="A903" t="inlineStr">
        <is>
          <t>A 23753-2021</t>
        </is>
      </c>
      <c r="B903" s="1" t="n">
        <v>44334</v>
      </c>
      <c r="C903" s="1" t="n">
        <v>45670</v>
      </c>
      <c r="D903" t="inlineStr">
        <is>
          <t>VÄSTERNORRLANDS LÄN</t>
        </is>
      </c>
      <c r="E903" t="inlineStr">
        <is>
          <t>SOLLEFTEÅ</t>
        </is>
      </c>
      <c r="G903" t="n">
        <v>14.8</v>
      </c>
      <c r="H903" t="n">
        <v>0</v>
      </c>
      <c r="I903" t="n">
        <v>0</v>
      </c>
      <c r="J903" t="n">
        <v>0</v>
      </c>
      <c r="K903" t="n">
        <v>0</v>
      </c>
      <c r="L903" t="n">
        <v>0</v>
      </c>
      <c r="M903" t="n">
        <v>0</v>
      </c>
      <c r="N903" t="n">
        <v>0</v>
      </c>
      <c r="O903" t="n">
        <v>0</v>
      </c>
      <c r="P903" t="n">
        <v>0</v>
      </c>
      <c r="Q903" t="n">
        <v>0</v>
      </c>
      <c r="R903" s="2" t="inlineStr"/>
    </row>
    <row r="904" ht="15" customHeight="1">
      <c r="A904" t="inlineStr">
        <is>
          <t>A 23814-2021</t>
        </is>
      </c>
      <c r="B904" s="1" t="n">
        <v>44335</v>
      </c>
      <c r="C904" s="1" t="n">
        <v>45670</v>
      </c>
      <c r="D904" t="inlineStr">
        <is>
          <t>VÄSTERNORRLANDS LÄN</t>
        </is>
      </c>
      <c r="E904" t="inlineStr">
        <is>
          <t>SOLLEFTEÅ</t>
        </is>
      </c>
      <c r="G904" t="n">
        <v>1.2</v>
      </c>
      <c r="H904" t="n">
        <v>0</v>
      </c>
      <c r="I904" t="n">
        <v>0</v>
      </c>
      <c r="J904" t="n">
        <v>0</v>
      </c>
      <c r="K904" t="n">
        <v>0</v>
      </c>
      <c r="L904" t="n">
        <v>0</v>
      </c>
      <c r="M904" t="n">
        <v>0</v>
      </c>
      <c r="N904" t="n">
        <v>0</v>
      </c>
      <c r="O904" t="n">
        <v>0</v>
      </c>
      <c r="P904" t="n">
        <v>0</v>
      </c>
      <c r="Q904" t="n">
        <v>0</v>
      </c>
      <c r="R904" s="2" t="inlineStr"/>
    </row>
    <row r="905" ht="15" customHeight="1">
      <c r="A905" t="inlineStr">
        <is>
          <t>A 24243-2021</t>
        </is>
      </c>
      <c r="B905" s="1" t="n">
        <v>44336</v>
      </c>
      <c r="C905" s="1" t="n">
        <v>45670</v>
      </c>
      <c r="D905" t="inlineStr">
        <is>
          <t>VÄSTERNORRLANDS LÄN</t>
        </is>
      </c>
      <c r="E905" t="inlineStr">
        <is>
          <t>SOLLEFTEÅ</t>
        </is>
      </c>
      <c r="F905" t="inlineStr">
        <is>
          <t>SCA</t>
        </is>
      </c>
      <c r="G905" t="n">
        <v>3.7</v>
      </c>
      <c r="H905" t="n">
        <v>0</v>
      </c>
      <c r="I905" t="n">
        <v>0</v>
      </c>
      <c r="J905" t="n">
        <v>0</v>
      </c>
      <c r="K905" t="n">
        <v>0</v>
      </c>
      <c r="L905" t="n">
        <v>0</v>
      </c>
      <c r="M905" t="n">
        <v>0</v>
      </c>
      <c r="N905" t="n">
        <v>0</v>
      </c>
      <c r="O905" t="n">
        <v>0</v>
      </c>
      <c r="P905" t="n">
        <v>0</v>
      </c>
      <c r="Q905" t="n">
        <v>0</v>
      </c>
      <c r="R905" s="2" t="inlineStr"/>
    </row>
    <row r="906" ht="15" customHeight="1">
      <c r="A906" t="inlineStr">
        <is>
          <t>A 24244-2021</t>
        </is>
      </c>
      <c r="B906" s="1" t="n">
        <v>44337</v>
      </c>
      <c r="C906" s="1" t="n">
        <v>45670</v>
      </c>
      <c r="D906" t="inlineStr">
        <is>
          <t>VÄSTERNORRLANDS LÄN</t>
        </is>
      </c>
      <c r="E906" t="inlineStr">
        <is>
          <t>SOLLEFTEÅ</t>
        </is>
      </c>
      <c r="F906" t="inlineStr">
        <is>
          <t>SCA</t>
        </is>
      </c>
      <c r="G906" t="n">
        <v>2.5</v>
      </c>
      <c r="H906" t="n">
        <v>0</v>
      </c>
      <c r="I906" t="n">
        <v>0</v>
      </c>
      <c r="J906" t="n">
        <v>0</v>
      </c>
      <c r="K906" t="n">
        <v>0</v>
      </c>
      <c r="L906" t="n">
        <v>0</v>
      </c>
      <c r="M906" t="n">
        <v>0</v>
      </c>
      <c r="N906" t="n">
        <v>0</v>
      </c>
      <c r="O906" t="n">
        <v>0</v>
      </c>
      <c r="P906" t="n">
        <v>0</v>
      </c>
      <c r="Q906" t="n">
        <v>0</v>
      </c>
      <c r="R906" s="2" t="inlineStr"/>
    </row>
    <row r="907" ht="15" customHeight="1">
      <c r="A907" t="inlineStr">
        <is>
          <t>A 24720-2021</t>
        </is>
      </c>
      <c r="B907" s="1" t="n">
        <v>44340</v>
      </c>
      <c r="C907" s="1" t="n">
        <v>45670</v>
      </c>
      <c r="D907" t="inlineStr">
        <is>
          <t>VÄSTERNORRLANDS LÄN</t>
        </is>
      </c>
      <c r="E907" t="inlineStr">
        <is>
          <t>SOLLEFTEÅ</t>
        </is>
      </c>
      <c r="G907" t="n">
        <v>0.8</v>
      </c>
      <c r="H907" t="n">
        <v>0</v>
      </c>
      <c r="I907" t="n">
        <v>0</v>
      </c>
      <c r="J907" t="n">
        <v>0</v>
      </c>
      <c r="K907" t="n">
        <v>0</v>
      </c>
      <c r="L907" t="n">
        <v>0</v>
      </c>
      <c r="M907" t="n">
        <v>0</v>
      </c>
      <c r="N907" t="n">
        <v>0</v>
      </c>
      <c r="O907" t="n">
        <v>0</v>
      </c>
      <c r="P907" t="n">
        <v>0</v>
      </c>
      <c r="Q907" t="n">
        <v>0</v>
      </c>
      <c r="R907" s="2" t="inlineStr"/>
    </row>
    <row r="908" ht="15" customHeight="1">
      <c r="A908" t="inlineStr">
        <is>
          <t>A 24731-2021</t>
        </is>
      </c>
      <c r="B908" s="1" t="n">
        <v>44340</v>
      </c>
      <c r="C908" s="1" t="n">
        <v>45670</v>
      </c>
      <c r="D908" t="inlineStr">
        <is>
          <t>VÄSTERNORRLANDS LÄN</t>
        </is>
      </c>
      <c r="E908" t="inlineStr">
        <is>
          <t>SOLLEFTEÅ</t>
        </is>
      </c>
      <c r="G908" t="n">
        <v>5.3</v>
      </c>
      <c r="H908" t="n">
        <v>0</v>
      </c>
      <c r="I908" t="n">
        <v>0</v>
      </c>
      <c r="J908" t="n">
        <v>0</v>
      </c>
      <c r="K908" t="n">
        <v>0</v>
      </c>
      <c r="L908" t="n">
        <v>0</v>
      </c>
      <c r="M908" t="n">
        <v>0</v>
      </c>
      <c r="N908" t="n">
        <v>0</v>
      </c>
      <c r="O908" t="n">
        <v>0</v>
      </c>
      <c r="P908" t="n">
        <v>0</v>
      </c>
      <c r="Q908" t="n">
        <v>0</v>
      </c>
      <c r="R908" s="2" t="inlineStr"/>
    </row>
    <row r="909" ht="15" customHeight="1">
      <c r="A909" t="inlineStr">
        <is>
          <t>A 25183-2021</t>
        </is>
      </c>
      <c r="B909" s="1" t="n">
        <v>44341</v>
      </c>
      <c r="C909" s="1" t="n">
        <v>45670</v>
      </c>
      <c r="D909" t="inlineStr">
        <is>
          <t>VÄSTERNORRLANDS LÄN</t>
        </is>
      </c>
      <c r="E909" t="inlineStr">
        <is>
          <t>SOLLEFTEÅ</t>
        </is>
      </c>
      <c r="G909" t="n">
        <v>1.8</v>
      </c>
      <c r="H909" t="n">
        <v>0</v>
      </c>
      <c r="I909" t="n">
        <v>0</v>
      </c>
      <c r="J909" t="n">
        <v>0</v>
      </c>
      <c r="K909" t="n">
        <v>0</v>
      </c>
      <c r="L909" t="n">
        <v>0</v>
      </c>
      <c r="M909" t="n">
        <v>0</v>
      </c>
      <c r="N909" t="n">
        <v>0</v>
      </c>
      <c r="O909" t="n">
        <v>0</v>
      </c>
      <c r="P909" t="n">
        <v>0</v>
      </c>
      <c r="Q909" t="n">
        <v>0</v>
      </c>
      <c r="R909" s="2" t="inlineStr"/>
    </row>
    <row r="910" ht="15" customHeight="1">
      <c r="A910" t="inlineStr">
        <is>
          <t>A 25156-2021</t>
        </is>
      </c>
      <c r="B910" s="1" t="n">
        <v>44341</v>
      </c>
      <c r="C910" s="1" t="n">
        <v>45670</v>
      </c>
      <c r="D910" t="inlineStr">
        <is>
          <t>VÄSTERNORRLANDS LÄN</t>
        </is>
      </c>
      <c r="E910" t="inlineStr">
        <is>
          <t>SOLLEFTEÅ</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25152-2021</t>
        </is>
      </c>
      <c r="B911" s="1" t="n">
        <v>44341</v>
      </c>
      <c r="C911" s="1" t="n">
        <v>45670</v>
      </c>
      <c r="D911" t="inlineStr">
        <is>
          <t>VÄSTERNORRLANDS LÄN</t>
        </is>
      </c>
      <c r="E911" t="inlineStr">
        <is>
          <t>SOLLEFTEÅ</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25329-2021</t>
        </is>
      </c>
      <c r="B912" s="1" t="n">
        <v>44342</v>
      </c>
      <c r="C912" s="1" t="n">
        <v>45670</v>
      </c>
      <c r="D912" t="inlineStr">
        <is>
          <t>VÄSTERNORRLANDS LÄN</t>
        </is>
      </c>
      <c r="E912" t="inlineStr">
        <is>
          <t>SOLLEFTEÅ</t>
        </is>
      </c>
      <c r="G912" t="n">
        <v>2</v>
      </c>
      <c r="H912" t="n">
        <v>0</v>
      </c>
      <c r="I912" t="n">
        <v>0</v>
      </c>
      <c r="J912" t="n">
        <v>0</v>
      </c>
      <c r="K912" t="n">
        <v>0</v>
      </c>
      <c r="L912" t="n">
        <v>0</v>
      </c>
      <c r="M912" t="n">
        <v>0</v>
      </c>
      <c r="N912" t="n">
        <v>0</v>
      </c>
      <c r="O912" t="n">
        <v>0</v>
      </c>
      <c r="P912" t="n">
        <v>0</v>
      </c>
      <c r="Q912" t="n">
        <v>0</v>
      </c>
      <c r="R912" s="2" t="inlineStr"/>
    </row>
    <row r="913" ht="15" customHeight="1">
      <c r="A913" t="inlineStr">
        <is>
          <t>A 25345-2021</t>
        </is>
      </c>
      <c r="B913" s="1" t="n">
        <v>44342</v>
      </c>
      <c r="C913" s="1" t="n">
        <v>45670</v>
      </c>
      <c r="D913" t="inlineStr">
        <is>
          <t>VÄSTERNORRLANDS LÄN</t>
        </is>
      </c>
      <c r="E913" t="inlineStr">
        <is>
          <t>SOLLEFTEÅ</t>
        </is>
      </c>
      <c r="G913" t="n">
        <v>0.2</v>
      </c>
      <c r="H913" t="n">
        <v>0</v>
      </c>
      <c r="I913" t="n">
        <v>0</v>
      </c>
      <c r="J913" t="n">
        <v>0</v>
      </c>
      <c r="K913" t="n">
        <v>0</v>
      </c>
      <c r="L913" t="n">
        <v>0</v>
      </c>
      <c r="M913" t="n">
        <v>0</v>
      </c>
      <c r="N913" t="n">
        <v>0</v>
      </c>
      <c r="O913" t="n">
        <v>0</v>
      </c>
      <c r="P913" t="n">
        <v>0</v>
      </c>
      <c r="Q913" t="n">
        <v>0</v>
      </c>
      <c r="R913" s="2" t="inlineStr"/>
    </row>
    <row r="914" ht="15" customHeight="1">
      <c r="A914" t="inlineStr">
        <is>
          <t>A 25522-2021</t>
        </is>
      </c>
      <c r="B914" s="1" t="n">
        <v>44342</v>
      </c>
      <c r="C914" s="1" t="n">
        <v>45670</v>
      </c>
      <c r="D914" t="inlineStr">
        <is>
          <t>VÄSTERNORRLANDS LÄN</t>
        </is>
      </c>
      <c r="E914" t="inlineStr">
        <is>
          <t>SOLLEFTEÅ</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25999-2021</t>
        </is>
      </c>
      <c r="B915" s="1" t="n">
        <v>44344</v>
      </c>
      <c r="C915" s="1" t="n">
        <v>45670</v>
      </c>
      <c r="D915" t="inlineStr">
        <is>
          <t>VÄSTERNORRLANDS LÄN</t>
        </is>
      </c>
      <c r="E915" t="inlineStr">
        <is>
          <t>SOLLEFTEÅ</t>
        </is>
      </c>
      <c r="G915" t="n">
        <v>2</v>
      </c>
      <c r="H915" t="n">
        <v>0</v>
      </c>
      <c r="I915" t="n">
        <v>0</v>
      </c>
      <c r="J915" t="n">
        <v>0</v>
      </c>
      <c r="K915" t="n">
        <v>0</v>
      </c>
      <c r="L915" t="n">
        <v>0</v>
      </c>
      <c r="M915" t="n">
        <v>0</v>
      </c>
      <c r="N915" t="n">
        <v>0</v>
      </c>
      <c r="O915" t="n">
        <v>0</v>
      </c>
      <c r="P915" t="n">
        <v>0</v>
      </c>
      <c r="Q915" t="n">
        <v>0</v>
      </c>
      <c r="R915" s="2" t="inlineStr"/>
    </row>
    <row r="916" ht="15" customHeight="1">
      <c r="A916" t="inlineStr">
        <is>
          <t>A 25877-2021</t>
        </is>
      </c>
      <c r="B916" s="1" t="n">
        <v>44344</v>
      </c>
      <c r="C916" s="1" t="n">
        <v>45670</v>
      </c>
      <c r="D916" t="inlineStr">
        <is>
          <t>VÄSTERNORRLANDS LÄN</t>
        </is>
      </c>
      <c r="E916" t="inlineStr">
        <is>
          <t>SOLLEFTEÅ</t>
        </is>
      </c>
      <c r="G916" t="n">
        <v>4.2</v>
      </c>
      <c r="H916" t="n">
        <v>0</v>
      </c>
      <c r="I916" t="n">
        <v>0</v>
      </c>
      <c r="J916" t="n">
        <v>0</v>
      </c>
      <c r="K916" t="n">
        <v>0</v>
      </c>
      <c r="L916" t="n">
        <v>0</v>
      </c>
      <c r="M916" t="n">
        <v>0</v>
      </c>
      <c r="N916" t="n">
        <v>0</v>
      </c>
      <c r="O916" t="n">
        <v>0</v>
      </c>
      <c r="P916" t="n">
        <v>0</v>
      </c>
      <c r="Q916" t="n">
        <v>0</v>
      </c>
      <c r="R916" s="2" t="inlineStr"/>
    </row>
    <row r="917" ht="15" customHeight="1">
      <c r="A917" t="inlineStr">
        <is>
          <t>A 25989-2021</t>
        </is>
      </c>
      <c r="B917" s="1" t="n">
        <v>44344</v>
      </c>
      <c r="C917" s="1" t="n">
        <v>45670</v>
      </c>
      <c r="D917" t="inlineStr">
        <is>
          <t>VÄSTERNORRLANDS LÄN</t>
        </is>
      </c>
      <c r="E917" t="inlineStr">
        <is>
          <t>SOLLEFTEÅ</t>
        </is>
      </c>
      <c r="G917" t="n">
        <v>1.5</v>
      </c>
      <c r="H917" t="n">
        <v>0</v>
      </c>
      <c r="I917" t="n">
        <v>0</v>
      </c>
      <c r="J917" t="n">
        <v>0</v>
      </c>
      <c r="K917" t="n">
        <v>0</v>
      </c>
      <c r="L917" t="n">
        <v>0</v>
      </c>
      <c r="M917" t="n">
        <v>0</v>
      </c>
      <c r="N917" t="n">
        <v>0</v>
      </c>
      <c r="O917" t="n">
        <v>0</v>
      </c>
      <c r="P917" t="n">
        <v>0</v>
      </c>
      <c r="Q917" t="n">
        <v>0</v>
      </c>
      <c r="R917" s="2" t="inlineStr"/>
    </row>
    <row r="918" ht="15" customHeight="1">
      <c r="A918" t="inlineStr">
        <is>
          <t>A 26406-2021</t>
        </is>
      </c>
      <c r="B918" s="1" t="n">
        <v>44347</v>
      </c>
      <c r="C918" s="1" t="n">
        <v>45670</v>
      </c>
      <c r="D918" t="inlineStr">
        <is>
          <t>VÄSTERNORRLANDS LÄN</t>
        </is>
      </c>
      <c r="E918" t="inlineStr">
        <is>
          <t>SOLLEFTEÅ</t>
        </is>
      </c>
      <c r="F918" t="inlineStr">
        <is>
          <t>SCA</t>
        </is>
      </c>
      <c r="G918" t="n">
        <v>12.2</v>
      </c>
      <c r="H918" t="n">
        <v>0</v>
      </c>
      <c r="I918" t="n">
        <v>0</v>
      </c>
      <c r="J918" t="n">
        <v>0</v>
      </c>
      <c r="K918" t="n">
        <v>0</v>
      </c>
      <c r="L918" t="n">
        <v>0</v>
      </c>
      <c r="M918" t="n">
        <v>0</v>
      </c>
      <c r="N918" t="n">
        <v>0</v>
      </c>
      <c r="O918" t="n">
        <v>0</v>
      </c>
      <c r="P918" t="n">
        <v>0</v>
      </c>
      <c r="Q918" t="n">
        <v>0</v>
      </c>
      <c r="R918" s="2" t="inlineStr"/>
    </row>
    <row r="919" ht="15" customHeight="1">
      <c r="A919" t="inlineStr">
        <is>
          <t>A 26401-2021</t>
        </is>
      </c>
      <c r="B919" s="1" t="n">
        <v>44348</v>
      </c>
      <c r="C919" s="1" t="n">
        <v>45670</v>
      </c>
      <c r="D919" t="inlineStr">
        <is>
          <t>VÄSTERNORRLANDS LÄN</t>
        </is>
      </c>
      <c r="E919" t="inlineStr">
        <is>
          <t>SOLLEFTEÅ</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26498-2021</t>
        </is>
      </c>
      <c r="B920" s="1" t="n">
        <v>44348</v>
      </c>
      <c r="C920" s="1" t="n">
        <v>45670</v>
      </c>
      <c r="D920" t="inlineStr">
        <is>
          <t>VÄSTERNORRLANDS LÄN</t>
        </is>
      </c>
      <c r="E920" t="inlineStr">
        <is>
          <t>SOLLEFTEÅ</t>
        </is>
      </c>
      <c r="G920" t="n">
        <v>7.8</v>
      </c>
      <c r="H920" t="n">
        <v>0</v>
      </c>
      <c r="I920" t="n">
        <v>0</v>
      </c>
      <c r="J920" t="n">
        <v>0</v>
      </c>
      <c r="K920" t="n">
        <v>0</v>
      </c>
      <c r="L920" t="n">
        <v>0</v>
      </c>
      <c r="M920" t="n">
        <v>0</v>
      </c>
      <c r="N920" t="n">
        <v>0</v>
      </c>
      <c r="O920" t="n">
        <v>0</v>
      </c>
      <c r="P920" t="n">
        <v>0</v>
      </c>
      <c r="Q920" t="n">
        <v>0</v>
      </c>
      <c r="R920" s="2" t="inlineStr"/>
    </row>
    <row r="921" ht="15" customHeight="1">
      <c r="A921" t="inlineStr">
        <is>
          <t>A 26559-2021</t>
        </is>
      </c>
      <c r="B921" s="1" t="n">
        <v>44348</v>
      </c>
      <c r="C921" s="1" t="n">
        <v>45670</v>
      </c>
      <c r="D921" t="inlineStr">
        <is>
          <t>VÄSTERNORRLANDS LÄN</t>
        </is>
      </c>
      <c r="E921" t="inlineStr">
        <is>
          <t>SOLLEFTEÅ</t>
        </is>
      </c>
      <c r="G921" t="n">
        <v>9</v>
      </c>
      <c r="H921" t="n">
        <v>0</v>
      </c>
      <c r="I921" t="n">
        <v>0</v>
      </c>
      <c r="J921" t="n">
        <v>0</v>
      </c>
      <c r="K921" t="n">
        <v>0</v>
      </c>
      <c r="L921" t="n">
        <v>0</v>
      </c>
      <c r="M921" t="n">
        <v>0</v>
      </c>
      <c r="N921" t="n">
        <v>0</v>
      </c>
      <c r="O921" t="n">
        <v>0</v>
      </c>
      <c r="P921" t="n">
        <v>0</v>
      </c>
      <c r="Q921" t="n">
        <v>0</v>
      </c>
      <c r="R921" s="2" t="inlineStr"/>
    </row>
    <row r="922" ht="15" customHeight="1">
      <c r="A922" t="inlineStr">
        <is>
          <t>A 26669-2021</t>
        </is>
      </c>
      <c r="B922" s="1" t="n">
        <v>44349</v>
      </c>
      <c r="C922" s="1" t="n">
        <v>45670</v>
      </c>
      <c r="D922" t="inlineStr">
        <is>
          <t>VÄSTERNORRLANDS LÄN</t>
        </is>
      </c>
      <c r="E922" t="inlineStr">
        <is>
          <t>SOLLEFTEÅ</t>
        </is>
      </c>
      <c r="F922" t="inlineStr">
        <is>
          <t>SCA</t>
        </is>
      </c>
      <c r="G922" t="n">
        <v>0.4</v>
      </c>
      <c r="H922" t="n">
        <v>0</v>
      </c>
      <c r="I922" t="n">
        <v>0</v>
      </c>
      <c r="J922" t="n">
        <v>0</v>
      </c>
      <c r="K922" t="n">
        <v>0</v>
      </c>
      <c r="L922" t="n">
        <v>0</v>
      </c>
      <c r="M922" t="n">
        <v>0</v>
      </c>
      <c r="N922" t="n">
        <v>0</v>
      </c>
      <c r="O922" t="n">
        <v>0</v>
      </c>
      <c r="P922" t="n">
        <v>0</v>
      </c>
      <c r="Q922" t="n">
        <v>0</v>
      </c>
      <c r="R922" s="2" t="inlineStr"/>
    </row>
    <row r="923" ht="15" customHeight="1">
      <c r="A923" t="inlineStr">
        <is>
          <t>A 27809-2021</t>
        </is>
      </c>
      <c r="B923" s="1" t="n">
        <v>44354</v>
      </c>
      <c r="C923" s="1" t="n">
        <v>45670</v>
      </c>
      <c r="D923" t="inlineStr">
        <is>
          <t>VÄSTERNORRLANDS LÄN</t>
        </is>
      </c>
      <c r="E923" t="inlineStr">
        <is>
          <t>SOLLEFTEÅ</t>
        </is>
      </c>
      <c r="F923" t="inlineStr">
        <is>
          <t>Holmen skog AB</t>
        </is>
      </c>
      <c r="G923" t="n">
        <v>1.9</v>
      </c>
      <c r="H923" t="n">
        <v>0</v>
      </c>
      <c r="I923" t="n">
        <v>0</v>
      </c>
      <c r="J923" t="n">
        <v>0</v>
      </c>
      <c r="K923" t="n">
        <v>0</v>
      </c>
      <c r="L923" t="n">
        <v>0</v>
      </c>
      <c r="M923" t="n">
        <v>0</v>
      </c>
      <c r="N923" t="n">
        <v>0</v>
      </c>
      <c r="O923" t="n">
        <v>0</v>
      </c>
      <c r="P923" t="n">
        <v>0</v>
      </c>
      <c r="Q923" t="n">
        <v>0</v>
      </c>
      <c r="R923" s="2" t="inlineStr"/>
    </row>
    <row r="924" ht="15" customHeight="1">
      <c r="A924" t="inlineStr">
        <is>
          <t>A 27972-2021</t>
        </is>
      </c>
      <c r="B924" s="1" t="n">
        <v>44355</v>
      </c>
      <c r="C924" s="1" t="n">
        <v>45670</v>
      </c>
      <c r="D924" t="inlineStr">
        <is>
          <t>VÄSTERNORRLANDS LÄN</t>
        </is>
      </c>
      <c r="E924" t="inlineStr">
        <is>
          <t>SOLLEFTEÅ</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28288-2021</t>
        </is>
      </c>
      <c r="B925" s="1" t="n">
        <v>44355</v>
      </c>
      <c r="C925" s="1" t="n">
        <v>45670</v>
      </c>
      <c r="D925" t="inlineStr">
        <is>
          <t>VÄSTERNORRLANDS LÄN</t>
        </is>
      </c>
      <c r="E925" t="inlineStr">
        <is>
          <t>SOLLEFTEÅ</t>
        </is>
      </c>
      <c r="F925" t="inlineStr">
        <is>
          <t>SCA</t>
        </is>
      </c>
      <c r="G925" t="n">
        <v>2.8</v>
      </c>
      <c r="H925" t="n">
        <v>0</v>
      </c>
      <c r="I925" t="n">
        <v>0</v>
      </c>
      <c r="J925" t="n">
        <v>0</v>
      </c>
      <c r="K925" t="n">
        <v>0</v>
      </c>
      <c r="L925" t="n">
        <v>0</v>
      </c>
      <c r="M925" t="n">
        <v>0</v>
      </c>
      <c r="N925" t="n">
        <v>0</v>
      </c>
      <c r="O925" t="n">
        <v>0</v>
      </c>
      <c r="P925" t="n">
        <v>0</v>
      </c>
      <c r="Q925" t="n">
        <v>0</v>
      </c>
      <c r="R925" s="2" t="inlineStr"/>
    </row>
    <row r="926" ht="15" customHeight="1">
      <c r="A926" t="inlineStr">
        <is>
          <t>A 28615-2021</t>
        </is>
      </c>
      <c r="B926" s="1" t="n">
        <v>44357</v>
      </c>
      <c r="C926" s="1" t="n">
        <v>45670</v>
      </c>
      <c r="D926" t="inlineStr">
        <is>
          <t>VÄSTERNORRLANDS LÄN</t>
        </is>
      </c>
      <c r="E926" t="inlineStr">
        <is>
          <t>SOLLEFTEÅ</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28939-2021</t>
        </is>
      </c>
      <c r="B927" s="1" t="n">
        <v>44358</v>
      </c>
      <c r="C927" s="1" t="n">
        <v>45670</v>
      </c>
      <c r="D927" t="inlineStr">
        <is>
          <t>VÄSTERNORRLANDS LÄN</t>
        </is>
      </c>
      <c r="E927" t="inlineStr">
        <is>
          <t>SOLLEFTEÅ</t>
        </is>
      </c>
      <c r="G927" t="n">
        <v>4.4</v>
      </c>
      <c r="H927" t="n">
        <v>0</v>
      </c>
      <c r="I927" t="n">
        <v>0</v>
      </c>
      <c r="J927" t="n">
        <v>0</v>
      </c>
      <c r="K927" t="n">
        <v>0</v>
      </c>
      <c r="L927" t="n">
        <v>0</v>
      </c>
      <c r="M927" t="n">
        <v>0</v>
      </c>
      <c r="N927" t="n">
        <v>0</v>
      </c>
      <c r="O927" t="n">
        <v>0</v>
      </c>
      <c r="P927" t="n">
        <v>0</v>
      </c>
      <c r="Q927" t="n">
        <v>0</v>
      </c>
      <c r="R927" s="2" t="inlineStr"/>
    </row>
    <row r="928" ht="15" customHeight="1">
      <c r="A928" t="inlineStr">
        <is>
          <t>A 29623-2021</t>
        </is>
      </c>
      <c r="B928" s="1" t="n">
        <v>44361</v>
      </c>
      <c r="C928" s="1" t="n">
        <v>45670</v>
      </c>
      <c r="D928" t="inlineStr">
        <is>
          <t>VÄSTERNORRLANDS LÄN</t>
        </is>
      </c>
      <c r="E928" t="inlineStr">
        <is>
          <t>SOLLEFTEÅ</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29602-2021</t>
        </is>
      </c>
      <c r="B929" s="1" t="n">
        <v>44362</v>
      </c>
      <c r="C929" s="1" t="n">
        <v>45670</v>
      </c>
      <c r="D929" t="inlineStr">
        <is>
          <t>VÄSTERNORRLANDS LÄN</t>
        </is>
      </c>
      <c r="E929" t="inlineStr">
        <is>
          <t>SOLLEFTEÅ</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29829-2021</t>
        </is>
      </c>
      <c r="B930" s="1" t="n">
        <v>44362</v>
      </c>
      <c r="C930" s="1" t="n">
        <v>45670</v>
      </c>
      <c r="D930" t="inlineStr">
        <is>
          <t>VÄSTERNORRLANDS LÄN</t>
        </is>
      </c>
      <c r="E930" t="inlineStr">
        <is>
          <t>SOLLEFTEÅ</t>
        </is>
      </c>
      <c r="G930" t="n">
        <v>4</v>
      </c>
      <c r="H930" t="n">
        <v>0</v>
      </c>
      <c r="I930" t="n">
        <v>0</v>
      </c>
      <c r="J930" t="n">
        <v>0</v>
      </c>
      <c r="K930" t="n">
        <v>0</v>
      </c>
      <c r="L930" t="n">
        <v>0</v>
      </c>
      <c r="M930" t="n">
        <v>0</v>
      </c>
      <c r="N930" t="n">
        <v>0</v>
      </c>
      <c r="O930" t="n">
        <v>0</v>
      </c>
      <c r="P930" t="n">
        <v>0</v>
      </c>
      <c r="Q930" t="n">
        <v>0</v>
      </c>
      <c r="R930" s="2" t="inlineStr"/>
    </row>
    <row r="931" ht="15" customHeight="1">
      <c r="A931" t="inlineStr">
        <is>
          <t>A 30692-2021</t>
        </is>
      </c>
      <c r="B931" s="1" t="n">
        <v>44365</v>
      </c>
      <c r="C931" s="1" t="n">
        <v>45670</v>
      </c>
      <c r="D931" t="inlineStr">
        <is>
          <t>VÄSTERNORRLANDS LÄN</t>
        </is>
      </c>
      <c r="E931" t="inlineStr">
        <is>
          <t>SOLLEFTEÅ</t>
        </is>
      </c>
      <c r="G931" t="n">
        <v>2.4</v>
      </c>
      <c r="H931" t="n">
        <v>0</v>
      </c>
      <c r="I931" t="n">
        <v>0</v>
      </c>
      <c r="J931" t="n">
        <v>0</v>
      </c>
      <c r="K931" t="n">
        <v>0</v>
      </c>
      <c r="L931" t="n">
        <v>0</v>
      </c>
      <c r="M931" t="n">
        <v>0</v>
      </c>
      <c r="N931" t="n">
        <v>0</v>
      </c>
      <c r="O931" t="n">
        <v>0</v>
      </c>
      <c r="P931" t="n">
        <v>0</v>
      </c>
      <c r="Q931" t="n">
        <v>0</v>
      </c>
      <c r="R931" s="2" t="inlineStr"/>
    </row>
    <row r="932" ht="15" customHeight="1">
      <c r="A932" t="inlineStr">
        <is>
          <t>A 31600-2021</t>
        </is>
      </c>
      <c r="B932" s="1" t="n">
        <v>44369</v>
      </c>
      <c r="C932" s="1" t="n">
        <v>45670</v>
      </c>
      <c r="D932" t="inlineStr">
        <is>
          <t>VÄSTERNORRLANDS LÄN</t>
        </is>
      </c>
      <c r="E932" t="inlineStr">
        <is>
          <t>SOLLEFTEÅ</t>
        </is>
      </c>
      <c r="G932" t="n">
        <v>1.2</v>
      </c>
      <c r="H932" t="n">
        <v>0</v>
      </c>
      <c r="I932" t="n">
        <v>0</v>
      </c>
      <c r="J932" t="n">
        <v>0</v>
      </c>
      <c r="K932" t="n">
        <v>0</v>
      </c>
      <c r="L932" t="n">
        <v>0</v>
      </c>
      <c r="M932" t="n">
        <v>0</v>
      </c>
      <c r="N932" t="n">
        <v>0</v>
      </c>
      <c r="O932" t="n">
        <v>0</v>
      </c>
      <c r="P932" t="n">
        <v>0</v>
      </c>
      <c r="Q932" t="n">
        <v>0</v>
      </c>
      <c r="R932" s="2" t="inlineStr"/>
    </row>
    <row r="933" ht="15" customHeight="1">
      <c r="A933" t="inlineStr">
        <is>
          <t>A 31737-2021</t>
        </is>
      </c>
      <c r="B933" s="1" t="n">
        <v>44370</v>
      </c>
      <c r="C933" s="1" t="n">
        <v>45670</v>
      </c>
      <c r="D933" t="inlineStr">
        <is>
          <t>VÄSTERNORRLANDS LÄN</t>
        </is>
      </c>
      <c r="E933" t="inlineStr">
        <is>
          <t>SOLLEFTEÅ</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32091-2021</t>
        </is>
      </c>
      <c r="B934" s="1" t="n">
        <v>44370</v>
      </c>
      <c r="C934" s="1" t="n">
        <v>45670</v>
      </c>
      <c r="D934" t="inlineStr">
        <is>
          <t>VÄSTERNORRLANDS LÄN</t>
        </is>
      </c>
      <c r="E934" t="inlineStr">
        <is>
          <t>SOLLEFTEÅ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33207-2021</t>
        </is>
      </c>
      <c r="B935" s="1" t="n">
        <v>44376</v>
      </c>
      <c r="C935" s="1" t="n">
        <v>45670</v>
      </c>
      <c r="D935" t="inlineStr">
        <is>
          <t>VÄSTERNORRLANDS LÄN</t>
        </is>
      </c>
      <c r="E935" t="inlineStr">
        <is>
          <t>SOLLEFTEÅ</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33214-2021</t>
        </is>
      </c>
      <c r="B936" s="1" t="n">
        <v>44377</v>
      </c>
      <c r="C936" s="1" t="n">
        <v>45670</v>
      </c>
      <c r="D936" t="inlineStr">
        <is>
          <t>VÄSTERNORRLANDS LÄN</t>
        </is>
      </c>
      <c r="E936" t="inlineStr">
        <is>
          <t>SOLLEFTEÅ</t>
        </is>
      </c>
      <c r="F936" t="inlineStr">
        <is>
          <t>SCA</t>
        </is>
      </c>
      <c r="G936" t="n">
        <v>13.9</v>
      </c>
      <c r="H936" t="n">
        <v>0</v>
      </c>
      <c r="I936" t="n">
        <v>0</v>
      </c>
      <c r="J936" t="n">
        <v>0</v>
      </c>
      <c r="K936" t="n">
        <v>0</v>
      </c>
      <c r="L936" t="n">
        <v>0</v>
      </c>
      <c r="M936" t="n">
        <v>0</v>
      </c>
      <c r="N936" t="n">
        <v>0</v>
      </c>
      <c r="O936" t="n">
        <v>0</v>
      </c>
      <c r="P936" t="n">
        <v>0</v>
      </c>
      <c r="Q936" t="n">
        <v>0</v>
      </c>
      <c r="R936" s="2" t="inlineStr"/>
    </row>
    <row r="937" ht="15" customHeight="1">
      <c r="A937" t="inlineStr">
        <is>
          <t>A 33895-2021</t>
        </is>
      </c>
      <c r="B937" s="1" t="n">
        <v>44378</v>
      </c>
      <c r="C937" s="1" t="n">
        <v>45670</v>
      </c>
      <c r="D937" t="inlineStr">
        <is>
          <t>VÄSTERNORRLANDS LÄN</t>
        </is>
      </c>
      <c r="E937" t="inlineStr">
        <is>
          <t>SOLLEFTEÅ</t>
        </is>
      </c>
      <c r="F937" t="inlineStr">
        <is>
          <t>Kyrkan</t>
        </is>
      </c>
      <c r="G937" t="n">
        <v>3.6</v>
      </c>
      <c r="H937" t="n">
        <v>0</v>
      </c>
      <c r="I937" t="n">
        <v>0</v>
      </c>
      <c r="J937" t="n">
        <v>0</v>
      </c>
      <c r="K937" t="n">
        <v>0</v>
      </c>
      <c r="L937" t="n">
        <v>0</v>
      </c>
      <c r="M937" t="n">
        <v>0</v>
      </c>
      <c r="N937" t="n">
        <v>0</v>
      </c>
      <c r="O937" t="n">
        <v>0</v>
      </c>
      <c r="P937" t="n">
        <v>0</v>
      </c>
      <c r="Q937" t="n">
        <v>0</v>
      </c>
      <c r="R937" s="2" t="inlineStr"/>
    </row>
    <row r="938" ht="15" customHeight="1">
      <c r="A938" t="inlineStr">
        <is>
          <t>A 34396-2021</t>
        </is>
      </c>
      <c r="B938" s="1" t="n">
        <v>44379</v>
      </c>
      <c r="C938" s="1" t="n">
        <v>45670</v>
      </c>
      <c r="D938" t="inlineStr">
        <is>
          <t>VÄSTERNORRLANDS LÄN</t>
        </is>
      </c>
      <c r="E938" t="inlineStr">
        <is>
          <t>SOLLEFTEÅ</t>
        </is>
      </c>
      <c r="F938" t="inlineStr">
        <is>
          <t>SCA</t>
        </is>
      </c>
      <c r="G938" t="n">
        <v>7.2</v>
      </c>
      <c r="H938" t="n">
        <v>0</v>
      </c>
      <c r="I938" t="n">
        <v>0</v>
      </c>
      <c r="J938" t="n">
        <v>0</v>
      </c>
      <c r="K938" t="n">
        <v>0</v>
      </c>
      <c r="L938" t="n">
        <v>0</v>
      </c>
      <c r="M938" t="n">
        <v>0</v>
      </c>
      <c r="N938" t="n">
        <v>0</v>
      </c>
      <c r="O938" t="n">
        <v>0</v>
      </c>
      <c r="P938" t="n">
        <v>0</v>
      </c>
      <c r="Q938" t="n">
        <v>0</v>
      </c>
      <c r="R938" s="2" t="inlineStr"/>
    </row>
    <row r="939" ht="15" customHeight="1">
      <c r="A939" t="inlineStr">
        <is>
          <t>A 34395-2021</t>
        </is>
      </c>
      <c r="B939" s="1" t="n">
        <v>44379</v>
      </c>
      <c r="C939" s="1" t="n">
        <v>45670</v>
      </c>
      <c r="D939" t="inlineStr">
        <is>
          <t>VÄSTERNORRLANDS LÄN</t>
        </is>
      </c>
      <c r="E939" t="inlineStr">
        <is>
          <t>SOLLEFTEÅ</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34397-2021</t>
        </is>
      </c>
      <c r="B940" s="1" t="n">
        <v>44379</v>
      </c>
      <c r="C940" s="1" t="n">
        <v>45670</v>
      </c>
      <c r="D940" t="inlineStr">
        <is>
          <t>VÄSTERNORRLANDS LÄN</t>
        </is>
      </c>
      <c r="E940" t="inlineStr">
        <is>
          <t>SOLLEFTEÅ</t>
        </is>
      </c>
      <c r="F940" t="inlineStr">
        <is>
          <t>SCA</t>
        </is>
      </c>
      <c r="G940" t="n">
        <v>3.6</v>
      </c>
      <c r="H940" t="n">
        <v>0</v>
      </c>
      <c r="I940" t="n">
        <v>0</v>
      </c>
      <c r="J940" t="n">
        <v>0</v>
      </c>
      <c r="K940" t="n">
        <v>0</v>
      </c>
      <c r="L940" t="n">
        <v>0</v>
      </c>
      <c r="M940" t="n">
        <v>0</v>
      </c>
      <c r="N940" t="n">
        <v>0</v>
      </c>
      <c r="O940" t="n">
        <v>0</v>
      </c>
      <c r="P940" t="n">
        <v>0</v>
      </c>
      <c r="Q940" t="n">
        <v>0</v>
      </c>
      <c r="R940" s="2" t="inlineStr"/>
    </row>
    <row r="941" ht="15" customHeight="1">
      <c r="A941" t="inlineStr">
        <is>
          <t>A 34475-2021</t>
        </is>
      </c>
      <c r="B941" s="1" t="n">
        <v>44381</v>
      </c>
      <c r="C941" s="1" t="n">
        <v>45670</v>
      </c>
      <c r="D941" t="inlineStr">
        <is>
          <t>VÄSTERNORRLANDS LÄN</t>
        </is>
      </c>
      <c r="E941" t="inlineStr">
        <is>
          <t>SOLLEFTEÅ</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34473-2021</t>
        </is>
      </c>
      <c r="B942" s="1" t="n">
        <v>44382</v>
      </c>
      <c r="C942" s="1" t="n">
        <v>45670</v>
      </c>
      <c r="D942" t="inlineStr">
        <is>
          <t>VÄSTERNORRLANDS LÄN</t>
        </is>
      </c>
      <c r="E942" t="inlineStr">
        <is>
          <t>SOLLEFTEÅ</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35333-2021</t>
        </is>
      </c>
      <c r="B943" s="1" t="n">
        <v>44384</v>
      </c>
      <c r="C943" s="1" t="n">
        <v>45670</v>
      </c>
      <c r="D943" t="inlineStr">
        <is>
          <t>VÄSTERNORRLANDS LÄN</t>
        </is>
      </c>
      <c r="E943" t="inlineStr">
        <is>
          <t>SOLLEFTEÅ</t>
        </is>
      </c>
      <c r="G943" t="n">
        <v>0.5</v>
      </c>
      <c r="H943" t="n">
        <v>0</v>
      </c>
      <c r="I943" t="n">
        <v>0</v>
      </c>
      <c r="J943" t="n">
        <v>0</v>
      </c>
      <c r="K943" t="n">
        <v>0</v>
      </c>
      <c r="L943" t="n">
        <v>0</v>
      </c>
      <c r="M943" t="n">
        <v>0</v>
      </c>
      <c r="N943" t="n">
        <v>0</v>
      </c>
      <c r="O943" t="n">
        <v>0</v>
      </c>
      <c r="P943" t="n">
        <v>0</v>
      </c>
      <c r="Q943" t="n">
        <v>0</v>
      </c>
      <c r="R943" s="2" t="inlineStr"/>
    </row>
    <row r="944" ht="15" customHeight="1">
      <c r="A944" t="inlineStr">
        <is>
          <t>A 35358-2021</t>
        </is>
      </c>
      <c r="B944" s="1" t="n">
        <v>44385</v>
      </c>
      <c r="C944" s="1" t="n">
        <v>45670</v>
      </c>
      <c r="D944" t="inlineStr">
        <is>
          <t>VÄSTERNORRLANDS LÄN</t>
        </is>
      </c>
      <c r="E944" t="inlineStr">
        <is>
          <t>SOLLEFTEÅ</t>
        </is>
      </c>
      <c r="F944" t="inlineStr">
        <is>
          <t>SCA</t>
        </is>
      </c>
      <c r="G944" t="n">
        <v>5.2</v>
      </c>
      <c r="H944" t="n">
        <v>0</v>
      </c>
      <c r="I944" t="n">
        <v>0</v>
      </c>
      <c r="J944" t="n">
        <v>0</v>
      </c>
      <c r="K944" t="n">
        <v>0</v>
      </c>
      <c r="L944" t="n">
        <v>0</v>
      </c>
      <c r="M944" t="n">
        <v>0</v>
      </c>
      <c r="N944" t="n">
        <v>0</v>
      </c>
      <c r="O944" t="n">
        <v>0</v>
      </c>
      <c r="P944" t="n">
        <v>0</v>
      </c>
      <c r="Q944" t="n">
        <v>0</v>
      </c>
      <c r="R944" s="2" t="inlineStr"/>
    </row>
    <row r="945" ht="15" customHeight="1">
      <c r="A945" t="inlineStr">
        <is>
          <t>A 35574-2021</t>
        </is>
      </c>
      <c r="B945" s="1" t="n">
        <v>44386</v>
      </c>
      <c r="C945" s="1" t="n">
        <v>45670</v>
      </c>
      <c r="D945" t="inlineStr">
        <is>
          <t>VÄSTERNORRLANDS LÄN</t>
        </is>
      </c>
      <c r="E945" t="inlineStr">
        <is>
          <t>SOLLEFTEÅ</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35862-2021</t>
        </is>
      </c>
      <c r="B946" s="1" t="n">
        <v>44386</v>
      </c>
      <c r="C946" s="1" t="n">
        <v>45670</v>
      </c>
      <c r="D946" t="inlineStr">
        <is>
          <t>VÄSTERNORRLANDS LÄN</t>
        </is>
      </c>
      <c r="E946" t="inlineStr">
        <is>
          <t>SOLLEFTEÅ</t>
        </is>
      </c>
      <c r="G946" t="n">
        <v>5.5</v>
      </c>
      <c r="H946" t="n">
        <v>0</v>
      </c>
      <c r="I946" t="n">
        <v>0</v>
      </c>
      <c r="J946" t="n">
        <v>0</v>
      </c>
      <c r="K946" t="n">
        <v>0</v>
      </c>
      <c r="L946" t="n">
        <v>0</v>
      </c>
      <c r="M946" t="n">
        <v>0</v>
      </c>
      <c r="N946" t="n">
        <v>0</v>
      </c>
      <c r="O946" t="n">
        <v>0</v>
      </c>
      <c r="P946" t="n">
        <v>0</v>
      </c>
      <c r="Q946" t="n">
        <v>0</v>
      </c>
      <c r="R946" s="2" t="inlineStr"/>
    </row>
    <row r="947" ht="15" customHeight="1">
      <c r="A947" t="inlineStr">
        <is>
          <t>A 36447-2021</t>
        </is>
      </c>
      <c r="B947" s="1" t="n">
        <v>44390</v>
      </c>
      <c r="C947" s="1" t="n">
        <v>45670</v>
      </c>
      <c r="D947" t="inlineStr">
        <is>
          <t>VÄSTERNORRLANDS LÄN</t>
        </is>
      </c>
      <c r="E947" t="inlineStr">
        <is>
          <t>SOLLEFTEÅ</t>
        </is>
      </c>
      <c r="F947" t="inlineStr">
        <is>
          <t>SCA</t>
        </is>
      </c>
      <c r="G947" t="n">
        <v>10.2</v>
      </c>
      <c r="H947" t="n">
        <v>0</v>
      </c>
      <c r="I947" t="n">
        <v>0</v>
      </c>
      <c r="J947" t="n">
        <v>0</v>
      </c>
      <c r="K947" t="n">
        <v>0</v>
      </c>
      <c r="L947" t="n">
        <v>0</v>
      </c>
      <c r="M947" t="n">
        <v>0</v>
      </c>
      <c r="N947" t="n">
        <v>0</v>
      </c>
      <c r="O947" t="n">
        <v>0</v>
      </c>
      <c r="P947" t="n">
        <v>0</v>
      </c>
      <c r="Q947" t="n">
        <v>0</v>
      </c>
      <c r="R947" s="2" t="inlineStr"/>
    </row>
    <row r="948" ht="15" customHeight="1">
      <c r="A948" t="inlineStr">
        <is>
          <t>A 36448-2021</t>
        </is>
      </c>
      <c r="B948" s="1" t="n">
        <v>44390</v>
      </c>
      <c r="C948" s="1" t="n">
        <v>45670</v>
      </c>
      <c r="D948" t="inlineStr">
        <is>
          <t>VÄSTERNORRLANDS LÄN</t>
        </is>
      </c>
      <c r="E948" t="inlineStr">
        <is>
          <t>SOLLEFTEÅ</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36579-2021</t>
        </is>
      </c>
      <c r="B949" s="1" t="n">
        <v>44391</v>
      </c>
      <c r="C949" s="1" t="n">
        <v>45670</v>
      </c>
      <c r="D949" t="inlineStr">
        <is>
          <t>VÄSTERNORRLANDS LÄN</t>
        </is>
      </c>
      <c r="E949" t="inlineStr">
        <is>
          <t>SOLLEFTEÅ</t>
        </is>
      </c>
      <c r="G949" t="n">
        <v>6.9</v>
      </c>
      <c r="H949" t="n">
        <v>0</v>
      </c>
      <c r="I949" t="n">
        <v>0</v>
      </c>
      <c r="J949" t="n">
        <v>0</v>
      </c>
      <c r="K949" t="n">
        <v>0</v>
      </c>
      <c r="L949" t="n">
        <v>0</v>
      </c>
      <c r="M949" t="n">
        <v>0</v>
      </c>
      <c r="N949" t="n">
        <v>0</v>
      </c>
      <c r="O949" t="n">
        <v>0</v>
      </c>
      <c r="P949" t="n">
        <v>0</v>
      </c>
      <c r="Q949" t="n">
        <v>0</v>
      </c>
      <c r="R949" s="2" t="inlineStr"/>
    </row>
    <row r="950" ht="15" customHeight="1">
      <c r="A950" t="inlineStr">
        <is>
          <t>A 36816-2021</t>
        </is>
      </c>
      <c r="B950" s="1" t="n">
        <v>44393</v>
      </c>
      <c r="C950" s="1" t="n">
        <v>45670</v>
      </c>
      <c r="D950" t="inlineStr">
        <is>
          <t>VÄSTERNORRLANDS LÄN</t>
        </is>
      </c>
      <c r="E950" t="inlineStr">
        <is>
          <t>SOLLEFTEÅ</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36815-2021</t>
        </is>
      </c>
      <c r="B951" s="1" t="n">
        <v>44393</v>
      </c>
      <c r="C951" s="1" t="n">
        <v>45670</v>
      </c>
      <c r="D951" t="inlineStr">
        <is>
          <t>VÄSTERNORRLANDS LÄN</t>
        </is>
      </c>
      <c r="E951" t="inlineStr">
        <is>
          <t>SOLLEFTEÅ</t>
        </is>
      </c>
      <c r="F951" t="inlineStr">
        <is>
          <t>SCA</t>
        </is>
      </c>
      <c r="G951" t="n">
        <v>4.2</v>
      </c>
      <c r="H951" t="n">
        <v>0</v>
      </c>
      <c r="I951" t="n">
        <v>0</v>
      </c>
      <c r="J951" t="n">
        <v>0</v>
      </c>
      <c r="K951" t="n">
        <v>0</v>
      </c>
      <c r="L951" t="n">
        <v>0</v>
      </c>
      <c r="M951" t="n">
        <v>0</v>
      </c>
      <c r="N951" t="n">
        <v>0</v>
      </c>
      <c r="O951" t="n">
        <v>0</v>
      </c>
      <c r="P951" t="n">
        <v>0</v>
      </c>
      <c r="Q951" t="n">
        <v>0</v>
      </c>
      <c r="R951" s="2" t="inlineStr"/>
    </row>
    <row r="952" ht="15" customHeight="1">
      <c r="A952" t="inlineStr">
        <is>
          <t>A 37041-2021</t>
        </is>
      </c>
      <c r="B952" s="1" t="n">
        <v>44394</v>
      </c>
      <c r="C952" s="1" t="n">
        <v>45670</v>
      </c>
      <c r="D952" t="inlineStr">
        <is>
          <t>VÄSTERNORRLANDS LÄN</t>
        </is>
      </c>
      <c r="E952" t="inlineStr">
        <is>
          <t>SOLLEFTEÅ</t>
        </is>
      </c>
      <c r="F952" t="inlineStr">
        <is>
          <t>SCA</t>
        </is>
      </c>
      <c r="G952" t="n">
        <v>2.2</v>
      </c>
      <c r="H952" t="n">
        <v>0</v>
      </c>
      <c r="I952" t="n">
        <v>0</v>
      </c>
      <c r="J952" t="n">
        <v>0</v>
      </c>
      <c r="K952" t="n">
        <v>0</v>
      </c>
      <c r="L952" t="n">
        <v>0</v>
      </c>
      <c r="M952" t="n">
        <v>0</v>
      </c>
      <c r="N952" t="n">
        <v>0</v>
      </c>
      <c r="O952" t="n">
        <v>0</v>
      </c>
      <c r="P952" t="n">
        <v>0</v>
      </c>
      <c r="Q952" t="n">
        <v>0</v>
      </c>
      <c r="R952" s="2" t="inlineStr"/>
    </row>
    <row r="953" ht="15" customHeight="1">
      <c r="A953" t="inlineStr">
        <is>
          <t>A 37042-2021</t>
        </is>
      </c>
      <c r="B953" s="1" t="n">
        <v>44394</v>
      </c>
      <c r="C953" s="1" t="n">
        <v>45670</v>
      </c>
      <c r="D953" t="inlineStr">
        <is>
          <t>VÄSTERNORRLANDS LÄN</t>
        </is>
      </c>
      <c r="E953" t="inlineStr">
        <is>
          <t>SOLLEFTEÅ</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37369-2021</t>
        </is>
      </c>
      <c r="B954" s="1" t="n">
        <v>44397</v>
      </c>
      <c r="C954" s="1" t="n">
        <v>45670</v>
      </c>
      <c r="D954" t="inlineStr">
        <is>
          <t>VÄSTERNORRLANDS LÄN</t>
        </is>
      </c>
      <c r="E954" t="inlineStr">
        <is>
          <t>SOLLEFTEÅ</t>
        </is>
      </c>
      <c r="F954" t="inlineStr">
        <is>
          <t>SCA</t>
        </is>
      </c>
      <c r="G954" t="n">
        <v>20.3</v>
      </c>
      <c r="H954" t="n">
        <v>0</v>
      </c>
      <c r="I954" t="n">
        <v>0</v>
      </c>
      <c r="J954" t="n">
        <v>0</v>
      </c>
      <c r="K954" t="n">
        <v>0</v>
      </c>
      <c r="L954" t="n">
        <v>0</v>
      </c>
      <c r="M954" t="n">
        <v>0</v>
      </c>
      <c r="N954" t="n">
        <v>0</v>
      </c>
      <c r="O954" t="n">
        <v>0</v>
      </c>
      <c r="P954" t="n">
        <v>0</v>
      </c>
      <c r="Q954" t="n">
        <v>0</v>
      </c>
      <c r="R954" s="2" t="inlineStr"/>
    </row>
    <row r="955" ht="15" customHeight="1">
      <c r="A955" t="inlineStr">
        <is>
          <t>A 37639-2021</t>
        </is>
      </c>
      <c r="B955" s="1" t="n">
        <v>44400</v>
      </c>
      <c r="C955" s="1" t="n">
        <v>45670</v>
      </c>
      <c r="D955" t="inlineStr">
        <is>
          <t>VÄSTERNORRLANDS LÄN</t>
        </is>
      </c>
      <c r="E955" t="inlineStr">
        <is>
          <t>SOLLEFTEÅ</t>
        </is>
      </c>
      <c r="G955" t="n">
        <v>10.7</v>
      </c>
      <c r="H955" t="n">
        <v>0</v>
      </c>
      <c r="I955" t="n">
        <v>0</v>
      </c>
      <c r="J955" t="n">
        <v>0</v>
      </c>
      <c r="K955" t="n">
        <v>0</v>
      </c>
      <c r="L955" t="n">
        <v>0</v>
      </c>
      <c r="M955" t="n">
        <v>0</v>
      </c>
      <c r="N955" t="n">
        <v>0</v>
      </c>
      <c r="O955" t="n">
        <v>0</v>
      </c>
      <c r="P955" t="n">
        <v>0</v>
      </c>
      <c r="Q955" t="n">
        <v>0</v>
      </c>
      <c r="R955" s="2" t="inlineStr"/>
    </row>
    <row r="956" ht="15" customHeight="1">
      <c r="A956" t="inlineStr">
        <is>
          <t>A 37648-2021</t>
        </is>
      </c>
      <c r="B956" s="1" t="n">
        <v>44400</v>
      </c>
      <c r="C956" s="1" t="n">
        <v>45670</v>
      </c>
      <c r="D956" t="inlineStr">
        <is>
          <t>VÄSTERNORRLANDS LÄN</t>
        </is>
      </c>
      <c r="E956" t="inlineStr">
        <is>
          <t>SOLLEFTEÅ</t>
        </is>
      </c>
      <c r="G956" t="n">
        <v>33.6</v>
      </c>
      <c r="H956" t="n">
        <v>0</v>
      </c>
      <c r="I956" t="n">
        <v>0</v>
      </c>
      <c r="J956" t="n">
        <v>0</v>
      </c>
      <c r="K956" t="n">
        <v>0</v>
      </c>
      <c r="L956" t="n">
        <v>0</v>
      </c>
      <c r="M956" t="n">
        <v>0</v>
      </c>
      <c r="N956" t="n">
        <v>0</v>
      </c>
      <c r="O956" t="n">
        <v>0</v>
      </c>
      <c r="P956" t="n">
        <v>0</v>
      </c>
      <c r="Q956" t="n">
        <v>0</v>
      </c>
      <c r="R956" s="2" t="inlineStr"/>
    </row>
    <row r="957" ht="15" customHeight="1">
      <c r="A957" t="inlineStr">
        <is>
          <t>A 37634-2021</t>
        </is>
      </c>
      <c r="B957" s="1" t="n">
        <v>44400</v>
      </c>
      <c r="C957" s="1" t="n">
        <v>45670</v>
      </c>
      <c r="D957" t="inlineStr">
        <is>
          <t>VÄSTERNORRLANDS LÄN</t>
        </is>
      </c>
      <c r="E957" t="inlineStr">
        <is>
          <t>SOLLEFTEÅ</t>
        </is>
      </c>
      <c r="G957" t="n">
        <v>5.1</v>
      </c>
      <c r="H957" t="n">
        <v>0</v>
      </c>
      <c r="I957" t="n">
        <v>0</v>
      </c>
      <c r="J957" t="n">
        <v>0</v>
      </c>
      <c r="K957" t="n">
        <v>0</v>
      </c>
      <c r="L957" t="n">
        <v>0</v>
      </c>
      <c r="M957" t="n">
        <v>0</v>
      </c>
      <c r="N957" t="n">
        <v>0</v>
      </c>
      <c r="O957" t="n">
        <v>0</v>
      </c>
      <c r="P957" t="n">
        <v>0</v>
      </c>
      <c r="Q957" t="n">
        <v>0</v>
      </c>
      <c r="R957" s="2" t="inlineStr"/>
    </row>
    <row r="958" ht="15" customHeight="1">
      <c r="A958" t="inlineStr">
        <is>
          <t>A 38283-2021</t>
        </is>
      </c>
      <c r="B958" s="1" t="n">
        <v>44405</v>
      </c>
      <c r="C958" s="1" t="n">
        <v>45670</v>
      </c>
      <c r="D958" t="inlineStr">
        <is>
          <t>VÄSTERNORRLANDS LÄN</t>
        </is>
      </c>
      <c r="E958" t="inlineStr">
        <is>
          <t>SOLLEFTEÅ</t>
        </is>
      </c>
      <c r="F958" t="inlineStr">
        <is>
          <t>SCA</t>
        </is>
      </c>
      <c r="G958" t="n">
        <v>2.7</v>
      </c>
      <c r="H958" t="n">
        <v>0</v>
      </c>
      <c r="I958" t="n">
        <v>0</v>
      </c>
      <c r="J958" t="n">
        <v>0</v>
      </c>
      <c r="K958" t="n">
        <v>0</v>
      </c>
      <c r="L958" t="n">
        <v>0</v>
      </c>
      <c r="M958" t="n">
        <v>0</v>
      </c>
      <c r="N958" t="n">
        <v>0</v>
      </c>
      <c r="O958" t="n">
        <v>0</v>
      </c>
      <c r="P958" t="n">
        <v>0</v>
      </c>
      <c r="Q958" t="n">
        <v>0</v>
      </c>
      <c r="R958" s="2" t="inlineStr"/>
    </row>
    <row r="959" ht="15" customHeight="1">
      <c r="A959" t="inlineStr">
        <is>
          <t>A 39334-2021</t>
        </is>
      </c>
      <c r="B959" s="1" t="n">
        <v>44414</v>
      </c>
      <c r="C959" s="1" t="n">
        <v>45670</v>
      </c>
      <c r="D959" t="inlineStr">
        <is>
          <t>VÄSTERNORRLANDS LÄN</t>
        </is>
      </c>
      <c r="E959" t="inlineStr">
        <is>
          <t>SOLLEFTEÅ</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39594-2021</t>
        </is>
      </c>
      <c r="B960" s="1" t="n">
        <v>44413</v>
      </c>
      <c r="C960" s="1" t="n">
        <v>45670</v>
      </c>
      <c r="D960" t="inlineStr">
        <is>
          <t>VÄSTERNORRLANDS LÄN</t>
        </is>
      </c>
      <c r="E960" t="inlineStr">
        <is>
          <t>SOLLEFTEÅ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39230-2021</t>
        </is>
      </c>
      <c r="B961" s="1" t="n">
        <v>44413</v>
      </c>
      <c r="C961" s="1" t="n">
        <v>45670</v>
      </c>
      <c r="D961" t="inlineStr">
        <is>
          <t>VÄSTERNORRLANDS LÄN</t>
        </is>
      </c>
      <c r="E961" t="inlineStr">
        <is>
          <t>SOLLEFTEÅ</t>
        </is>
      </c>
      <c r="G961" t="n">
        <v>13.6</v>
      </c>
      <c r="H961" t="n">
        <v>0</v>
      </c>
      <c r="I961" t="n">
        <v>0</v>
      </c>
      <c r="J961" t="n">
        <v>0</v>
      </c>
      <c r="K961" t="n">
        <v>0</v>
      </c>
      <c r="L961" t="n">
        <v>0</v>
      </c>
      <c r="M961" t="n">
        <v>0</v>
      </c>
      <c r="N961" t="n">
        <v>0</v>
      </c>
      <c r="O961" t="n">
        <v>0</v>
      </c>
      <c r="P961" t="n">
        <v>0</v>
      </c>
      <c r="Q961" t="n">
        <v>0</v>
      </c>
      <c r="R961" s="2" t="inlineStr"/>
    </row>
    <row r="962" ht="15" customHeight="1">
      <c r="A962" t="inlineStr">
        <is>
          <t>A 39504-2021</t>
        </is>
      </c>
      <c r="B962" s="1" t="n">
        <v>44415</v>
      </c>
      <c r="C962" s="1" t="n">
        <v>45670</v>
      </c>
      <c r="D962" t="inlineStr">
        <is>
          <t>VÄSTERNORRLANDS LÄN</t>
        </is>
      </c>
      <c r="E962" t="inlineStr">
        <is>
          <t>SOLLEFTEÅ</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40539-2021</t>
        </is>
      </c>
      <c r="B963" s="1" t="n">
        <v>44420</v>
      </c>
      <c r="C963" s="1" t="n">
        <v>45670</v>
      </c>
      <c r="D963" t="inlineStr">
        <is>
          <t>VÄSTERNORRLANDS LÄN</t>
        </is>
      </c>
      <c r="E963" t="inlineStr">
        <is>
          <t>SOLLEFTEÅ</t>
        </is>
      </c>
      <c r="G963" t="n">
        <v>1.9</v>
      </c>
      <c r="H963" t="n">
        <v>0</v>
      </c>
      <c r="I963" t="n">
        <v>0</v>
      </c>
      <c r="J963" t="n">
        <v>0</v>
      </c>
      <c r="K963" t="n">
        <v>0</v>
      </c>
      <c r="L963" t="n">
        <v>0</v>
      </c>
      <c r="M963" t="n">
        <v>0</v>
      </c>
      <c r="N963" t="n">
        <v>0</v>
      </c>
      <c r="O963" t="n">
        <v>0</v>
      </c>
      <c r="P963" t="n">
        <v>0</v>
      </c>
      <c r="Q963" t="n">
        <v>0</v>
      </c>
      <c r="R963" s="2" t="inlineStr"/>
    </row>
    <row r="964" ht="15" customHeight="1">
      <c r="A964" t="inlineStr">
        <is>
          <t>A 41334-2021</t>
        </is>
      </c>
      <c r="B964" s="1" t="n">
        <v>44424</v>
      </c>
      <c r="C964" s="1" t="n">
        <v>45670</v>
      </c>
      <c r="D964" t="inlineStr">
        <is>
          <t>VÄSTERNORRLANDS LÄN</t>
        </is>
      </c>
      <c r="E964" t="inlineStr">
        <is>
          <t>SOLLEFTEÅ</t>
        </is>
      </c>
      <c r="G964" t="n">
        <v>1</v>
      </c>
      <c r="H964" t="n">
        <v>0</v>
      </c>
      <c r="I964" t="n">
        <v>0</v>
      </c>
      <c r="J964" t="n">
        <v>0</v>
      </c>
      <c r="K964" t="n">
        <v>0</v>
      </c>
      <c r="L964" t="n">
        <v>0</v>
      </c>
      <c r="M964" t="n">
        <v>0</v>
      </c>
      <c r="N964" t="n">
        <v>0</v>
      </c>
      <c r="O964" t="n">
        <v>0</v>
      </c>
      <c r="P964" t="n">
        <v>0</v>
      </c>
      <c r="Q964" t="n">
        <v>0</v>
      </c>
      <c r="R964" s="2" t="inlineStr"/>
    </row>
    <row r="965" ht="15" customHeight="1">
      <c r="A965" t="inlineStr">
        <is>
          <t>A 42219-2021</t>
        </is>
      </c>
      <c r="B965" s="1" t="n">
        <v>44426</v>
      </c>
      <c r="C965" s="1" t="n">
        <v>45670</v>
      </c>
      <c r="D965" t="inlineStr">
        <is>
          <t>VÄSTERNORRLANDS LÄN</t>
        </is>
      </c>
      <c r="E965" t="inlineStr">
        <is>
          <t>SOLLEFTEÅ</t>
        </is>
      </c>
      <c r="G965" t="n">
        <v>0.6</v>
      </c>
      <c r="H965" t="n">
        <v>0</v>
      </c>
      <c r="I965" t="n">
        <v>0</v>
      </c>
      <c r="J965" t="n">
        <v>0</v>
      </c>
      <c r="K965" t="n">
        <v>0</v>
      </c>
      <c r="L965" t="n">
        <v>0</v>
      </c>
      <c r="M965" t="n">
        <v>0</v>
      </c>
      <c r="N965" t="n">
        <v>0</v>
      </c>
      <c r="O965" t="n">
        <v>0</v>
      </c>
      <c r="P965" t="n">
        <v>0</v>
      </c>
      <c r="Q965" t="n">
        <v>0</v>
      </c>
      <c r="R965" s="2" t="inlineStr"/>
    </row>
    <row r="966" ht="15" customHeight="1">
      <c r="A966" t="inlineStr">
        <is>
          <t>A 42231-2021</t>
        </is>
      </c>
      <c r="B966" s="1" t="n">
        <v>44426</v>
      </c>
      <c r="C966" s="1" t="n">
        <v>45670</v>
      </c>
      <c r="D966" t="inlineStr">
        <is>
          <t>VÄSTERNORRLANDS LÄN</t>
        </is>
      </c>
      <c r="E966" t="inlineStr">
        <is>
          <t>SOLLEFTEÅ</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42228-2021</t>
        </is>
      </c>
      <c r="B967" s="1" t="n">
        <v>44426</v>
      </c>
      <c r="C967" s="1" t="n">
        <v>45670</v>
      </c>
      <c r="D967" t="inlineStr">
        <is>
          <t>VÄSTERNORRLANDS LÄN</t>
        </is>
      </c>
      <c r="E967" t="inlineStr">
        <is>
          <t>SOLLEFTEÅ</t>
        </is>
      </c>
      <c r="G967" t="n">
        <v>0.5</v>
      </c>
      <c r="H967" t="n">
        <v>0</v>
      </c>
      <c r="I967" t="n">
        <v>0</v>
      </c>
      <c r="J967" t="n">
        <v>0</v>
      </c>
      <c r="K967" t="n">
        <v>0</v>
      </c>
      <c r="L967" t="n">
        <v>0</v>
      </c>
      <c r="M967" t="n">
        <v>0</v>
      </c>
      <c r="N967" t="n">
        <v>0</v>
      </c>
      <c r="O967" t="n">
        <v>0</v>
      </c>
      <c r="P967" t="n">
        <v>0</v>
      </c>
      <c r="Q967" t="n">
        <v>0</v>
      </c>
      <c r="R967" s="2" t="inlineStr"/>
    </row>
    <row r="968" ht="15" customHeight="1">
      <c r="A968" t="inlineStr">
        <is>
          <t>A 42229-2021</t>
        </is>
      </c>
      <c r="B968" s="1" t="n">
        <v>44427</v>
      </c>
      <c r="C968" s="1" t="n">
        <v>45670</v>
      </c>
      <c r="D968" t="inlineStr">
        <is>
          <t>VÄSTERNORRLANDS LÄN</t>
        </is>
      </c>
      <c r="E968" t="inlineStr">
        <is>
          <t>SOLLEFTEÅ</t>
        </is>
      </c>
      <c r="F968" t="inlineStr">
        <is>
          <t>SCA</t>
        </is>
      </c>
      <c r="G968" t="n">
        <v>2.8</v>
      </c>
      <c r="H968" t="n">
        <v>0</v>
      </c>
      <c r="I968" t="n">
        <v>0</v>
      </c>
      <c r="J968" t="n">
        <v>0</v>
      </c>
      <c r="K968" t="n">
        <v>0</v>
      </c>
      <c r="L968" t="n">
        <v>0</v>
      </c>
      <c r="M968" t="n">
        <v>0</v>
      </c>
      <c r="N968" t="n">
        <v>0</v>
      </c>
      <c r="O968" t="n">
        <v>0</v>
      </c>
      <c r="P968" t="n">
        <v>0</v>
      </c>
      <c r="Q968" t="n">
        <v>0</v>
      </c>
      <c r="R968" s="2" t="inlineStr"/>
    </row>
    <row r="969" ht="15" customHeight="1">
      <c r="A969" t="inlineStr">
        <is>
          <t>A 42531-2021</t>
        </is>
      </c>
      <c r="B969" s="1" t="n">
        <v>44428</v>
      </c>
      <c r="C969" s="1" t="n">
        <v>45670</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43220-2021</t>
        </is>
      </c>
      <c r="B970" s="1" t="n">
        <v>44432</v>
      </c>
      <c r="C970" s="1" t="n">
        <v>45670</v>
      </c>
      <c r="D970" t="inlineStr">
        <is>
          <t>VÄSTERNORRLANDS LÄN</t>
        </is>
      </c>
      <c r="E970" t="inlineStr">
        <is>
          <t>SOLLEFTEÅ</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43525-2021</t>
        </is>
      </c>
      <c r="B971" s="1" t="n">
        <v>44433</v>
      </c>
      <c r="C971" s="1" t="n">
        <v>45670</v>
      </c>
      <c r="D971" t="inlineStr">
        <is>
          <t>VÄSTERNORRLANDS LÄN</t>
        </is>
      </c>
      <c r="E971" t="inlineStr">
        <is>
          <t>SOLLEFTEÅ</t>
        </is>
      </c>
      <c r="G971" t="n">
        <v>2</v>
      </c>
      <c r="H971" t="n">
        <v>0</v>
      </c>
      <c r="I971" t="n">
        <v>0</v>
      </c>
      <c r="J971" t="n">
        <v>0</v>
      </c>
      <c r="K971" t="n">
        <v>0</v>
      </c>
      <c r="L971" t="n">
        <v>0</v>
      </c>
      <c r="M971" t="n">
        <v>0</v>
      </c>
      <c r="N971" t="n">
        <v>0</v>
      </c>
      <c r="O971" t="n">
        <v>0</v>
      </c>
      <c r="P971" t="n">
        <v>0</v>
      </c>
      <c r="Q971" t="n">
        <v>0</v>
      </c>
      <c r="R971" s="2" t="inlineStr"/>
    </row>
    <row r="972" ht="15" customHeight="1">
      <c r="A972" t="inlineStr">
        <is>
          <t>A 44592-2021</t>
        </is>
      </c>
      <c r="B972" s="1" t="n">
        <v>44435</v>
      </c>
      <c r="C972" s="1" t="n">
        <v>45670</v>
      </c>
      <c r="D972" t="inlineStr">
        <is>
          <t>VÄSTERNORRLANDS LÄN</t>
        </is>
      </c>
      <c r="E972" t="inlineStr">
        <is>
          <t>SOLLEFTEÅ</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44587-2021</t>
        </is>
      </c>
      <c r="B973" s="1" t="n">
        <v>44435</v>
      </c>
      <c r="C973" s="1" t="n">
        <v>45670</v>
      </c>
      <c r="D973" t="inlineStr">
        <is>
          <t>VÄSTERNORRLANDS LÄN</t>
        </is>
      </c>
      <c r="E973" t="inlineStr">
        <is>
          <t>SOLLEFTEÅ</t>
        </is>
      </c>
      <c r="G973" t="n">
        <v>1.8</v>
      </c>
      <c r="H973" t="n">
        <v>0</v>
      </c>
      <c r="I973" t="n">
        <v>0</v>
      </c>
      <c r="J973" t="n">
        <v>0</v>
      </c>
      <c r="K973" t="n">
        <v>0</v>
      </c>
      <c r="L973" t="n">
        <v>0</v>
      </c>
      <c r="M973" t="n">
        <v>0</v>
      </c>
      <c r="N973" t="n">
        <v>0</v>
      </c>
      <c r="O973" t="n">
        <v>0</v>
      </c>
      <c r="P973" t="n">
        <v>0</v>
      </c>
      <c r="Q973" t="n">
        <v>0</v>
      </c>
      <c r="R973" s="2" t="inlineStr"/>
    </row>
    <row r="974" ht="15" customHeight="1">
      <c r="A974" t="inlineStr">
        <is>
          <t>A 45187-2021</t>
        </is>
      </c>
      <c r="B974" s="1" t="n">
        <v>44439</v>
      </c>
      <c r="C974" s="1" t="n">
        <v>45670</v>
      </c>
      <c r="D974" t="inlineStr">
        <is>
          <t>VÄSTERNORRLANDS LÄN</t>
        </is>
      </c>
      <c r="E974" t="inlineStr">
        <is>
          <t>SOLLEFTEÅ</t>
        </is>
      </c>
      <c r="G974" t="n">
        <v>3.2</v>
      </c>
      <c r="H974" t="n">
        <v>0</v>
      </c>
      <c r="I974" t="n">
        <v>0</v>
      </c>
      <c r="J974" t="n">
        <v>0</v>
      </c>
      <c r="K974" t="n">
        <v>0</v>
      </c>
      <c r="L974" t="n">
        <v>0</v>
      </c>
      <c r="M974" t="n">
        <v>0</v>
      </c>
      <c r="N974" t="n">
        <v>0</v>
      </c>
      <c r="O974" t="n">
        <v>0</v>
      </c>
      <c r="P974" t="n">
        <v>0</v>
      </c>
      <c r="Q974" t="n">
        <v>0</v>
      </c>
      <c r="R974" s="2" t="inlineStr"/>
    </row>
    <row r="975" ht="15" customHeight="1">
      <c r="A975" t="inlineStr">
        <is>
          <t>A 45105-2021</t>
        </is>
      </c>
      <c r="B975" s="1" t="n">
        <v>44439</v>
      </c>
      <c r="C975" s="1" t="n">
        <v>45670</v>
      </c>
      <c r="D975" t="inlineStr">
        <is>
          <t>VÄSTERNORRLANDS LÄN</t>
        </is>
      </c>
      <c r="E975" t="inlineStr">
        <is>
          <t>SOLLEFTEÅ</t>
        </is>
      </c>
      <c r="F975" t="inlineStr">
        <is>
          <t>Kommuner</t>
        </is>
      </c>
      <c r="G975" t="n">
        <v>1.2</v>
      </c>
      <c r="H975" t="n">
        <v>0</v>
      </c>
      <c r="I975" t="n">
        <v>0</v>
      </c>
      <c r="J975" t="n">
        <v>0</v>
      </c>
      <c r="K975" t="n">
        <v>0</v>
      </c>
      <c r="L975" t="n">
        <v>0</v>
      </c>
      <c r="M975" t="n">
        <v>0</v>
      </c>
      <c r="N975" t="n">
        <v>0</v>
      </c>
      <c r="O975" t="n">
        <v>0</v>
      </c>
      <c r="P975" t="n">
        <v>0</v>
      </c>
      <c r="Q975" t="n">
        <v>0</v>
      </c>
      <c r="R975" s="2" t="inlineStr"/>
    </row>
    <row r="976" ht="15" customHeight="1">
      <c r="A976" t="inlineStr">
        <is>
          <t>A 46049-2021</t>
        </is>
      </c>
      <c r="B976" s="1" t="n">
        <v>44442</v>
      </c>
      <c r="C976" s="1" t="n">
        <v>45670</v>
      </c>
      <c r="D976" t="inlineStr">
        <is>
          <t>VÄSTERNORRLANDS LÄN</t>
        </is>
      </c>
      <c r="E976" t="inlineStr">
        <is>
          <t>SOLLEFTEÅ</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46058-2021</t>
        </is>
      </c>
      <c r="B977" s="1" t="n">
        <v>44442</v>
      </c>
      <c r="C977" s="1" t="n">
        <v>45670</v>
      </c>
      <c r="D977" t="inlineStr">
        <is>
          <t>VÄSTERNORRLANDS LÄN</t>
        </is>
      </c>
      <c r="E977" t="inlineStr">
        <is>
          <t>SOLLEFTEÅ</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47643-2021</t>
        </is>
      </c>
      <c r="B978" s="1" t="n">
        <v>44448</v>
      </c>
      <c r="C978" s="1" t="n">
        <v>45670</v>
      </c>
      <c r="D978" t="inlineStr">
        <is>
          <t>VÄSTERNORRLANDS LÄN</t>
        </is>
      </c>
      <c r="E978" t="inlineStr">
        <is>
          <t>SOLLEFTEÅ</t>
        </is>
      </c>
      <c r="G978" t="n">
        <v>1.8</v>
      </c>
      <c r="H978" t="n">
        <v>0</v>
      </c>
      <c r="I978" t="n">
        <v>0</v>
      </c>
      <c r="J978" t="n">
        <v>0</v>
      </c>
      <c r="K978" t="n">
        <v>0</v>
      </c>
      <c r="L978" t="n">
        <v>0</v>
      </c>
      <c r="M978" t="n">
        <v>0</v>
      </c>
      <c r="N978" t="n">
        <v>0</v>
      </c>
      <c r="O978" t="n">
        <v>0</v>
      </c>
      <c r="P978" t="n">
        <v>0</v>
      </c>
      <c r="Q978" t="n">
        <v>0</v>
      </c>
      <c r="R978" s="2" t="inlineStr"/>
    </row>
    <row r="979" ht="15" customHeight="1">
      <c r="A979" t="inlineStr">
        <is>
          <t>A 47675-2021</t>
        </is>
      </c>
      <c r="B979" s="1" t="n">
        <v>44448</v>
      </c>
      <c r="C979" s="1" t="n">
        <v>45670</v>
      </c>
      <c r="D979" t="inlineStr">
        <is>
          <t>VÄSTERNORRLANDS LÄN</t>
        </is>
      </c>
      <c r="E979" t="inlineStr">
        <is>
          <t>SOLLEFTEÅ</t>
        </is>
      </c>
      <c r="F979" t="inlineStr">
        <is>
          <t>Holmen skog AB</t>
        </is>
      </c>
      <c r="G979" t="n">
        <v>2.4</v>
      </c>
      <c r="H979" t="n">
        <v>0</v>
      </c>
      <c r="I979" t="n">
        <v>0</v>
      </c>
      <c r="J979" t="n">
        <v>0</v>
      </c>
      <c r="K979" t="n">
        <v>0</v>
      </c>
      <c r="L979" t="n">
        <v>0</v>
      </c>
      <c r="M979" t="n">
        <v>0</v>
      </c>
      <c r="N979" t="n">
        <v>0</v>
      </c>
      <c r="O979" t="n">
        <v>0</v>
      </c>
      <c r="P979" t="n">
        <v>0</v>
      </c>
      <c r="Q979" t="n">
        <v>0</v>
      </c>
      <c r="R979" s="2" t="inlineStr"/>
    </row>
    <row r="980" ht="15" customHeight="1">
      <c r="A980" t="inlineStr">
        <is>
          <t>A 47626-2021</t>
        </is>
      </c>
      <c r="B980" s="1" t="n">
        <v>44448</v>
      </c>
      <c r="C980" s="1" t="n">
        <v>45670</v>
      </c>
      <c r="D980" t="inlineStr">
        <is>
          <t>VÄSTERNORRLANDS LÄN</t>
        </is>
      </c>
      <c r="E980" t="inlineStr">
        <is>
          <t>SOLLEFTEÅ</t>
        </is>
      </c>
      <c r="F980" t="inlineStr">
        <is>
          <t>Holmen skog AB</t>
        </is>
      </c>
      <c r="G980" t="n">
        <v>3.1</v>
      </c>
      <c r="H980" t="n">
        <v>0</v>
      </c>
      <c r="I980" t="n">
        <v>0</v>
      </c>
      <c r="J980" t="n">
        <v>0</v>
      </c>
      <c r="K980" t="n">
        <v>0</v>
      </c>
      <c r="L980" t="n">
        <v>0</v>
      </c>
      <c r="M980" t="n">
        <v>0</v>
      </c>
      <c r="N980" t="n">
        <v>0</v>
      </c>
      <c r="O980" t="n">
        <v>0</v>
      </c>
      <c r="P980" t="n">
        <v>0</v>
      </c>
      <c r="Q980" t="n">
        <v>0</v>
      </c>
      <c r="R980" s="2" t="inlineStr"/>
    </row>
    <row r="981" ht="15" customHeight="1">
      <c r="A981" t="inlineStr">
        <is>
          <t>A 47696-2021</t>
        </is>
      </c>
      <c r="B981" s="1" t="n">
        <v>44448</v>
      </c>
      <c r="C981" s="1" t="n">
        <v>45670</v>
      </c>
      <c r="D981" t="inlineStr">
        <is>
          <t>VÄSTERNORRLANDS LÄN</t>
        </is>
      </c>
      <c r="E981" t="inlineStr">
        <is>
          <t>SOLLEFTEÅ</t>
        </is>
      </c>
      <c r="F981" t="inlineStr">
        <is>
          <t>Holmen skog AB</t>
        </is>
      </c>
      <c r="G981" t="n">
        <v>0.7</v>
      </c>
      <c r="H981" t="n">
        <v>0</v>
      </c>
      <c r="I981" t="n">
        <v>0</v>
      </c>
      <c r="J981" t="n">
        <v>0</v>
      </c>
      <c r="K981" t="n">
        <v>0</v>
      </c>
      <c r="L981" t="n">
        <v>0</v>
      </c>
      <c r="M981" t="n">
        <v>0</v>
      </c>
      <c r="N981" t="n">
        <v>0</v>
      </c>
      <c r="O981" t="n">
        <v>0</v>
      </c>
      <c r="P981" t="n">
        <v>0</v>
      </c>
      <c r="Q981" t="n">
        <v>0</v>
      </c>
      <c r="R981" s="2" t="inlineStr"/>
    </row>
    <row r="982" ht="15" customHeight="1">
      <c r="A982" t="inlineStr">
        <is>
          <t>A 47681-2021</t>
        </is>
      </c>
      <c r="B982" s="1" t="n">
        <v>44448</v>
      </c>
      <c r="C982" s="1" t="n">
        <v>45670</v>
      </c>
      <c r="D982" t="inlineStr">
        <is>
          <t>VÄSTERNORRLANDS LÄN</t>
        </is>
      </c>
      <c r="E982" t="inlineStr">
        <is>
          <t>SOLLEFTEÅ</t>
        </is>
      </c>
      <c r="F982" t="inlineStr">
        <is>
          <t>Holmen skog AB</t>
        </is>
      </c>
      <c r="G982" t="n">
        <v>1.7</v>
      </c>
      <c r="H982" t="n">
        <v>0</v>
      </c>
      <c r="I982" t="n">
        <v>0</v>
      </c>
      <c r="J982" t="n">
        <v>0</v>
      </c>
      <c r="K982" t="n">
        <v>0</v>
      </c>
      <c r="L982" t="n">
        <v>0</v>
      </c>
      <c r="M982" t="n">
        <v>0</v>
      </c>
      <c r="N982" t="n">
        <v>0</v>
      </c>
      <c r="O982" t="n">
        <v>0</v>
      </c>
      <c r="P982" t="n">
        <v>0</v>
      </c>
      <c r="Q982" t="n">
        <v>0</v>
      </c>
      <c r="R982" s="2" t="inlineStr"/>
    </row>
    <row r="983" ht="15" customHeight="1">
      <c r="A983" t="inlineStr">
        <is>
          <t>A 48555-2021</t>
        </is>
      </c>
      <c r="B983" s="1" t="n">
        <v>44452</v>
      </c>
      <c r="C983" s="1" t="n">
        <v>45670</v>
      </c>
      <c r="D983" t="inlineStr">
        <is>
          <t>VÄSTERNORRLANDS LÄN</t>
        </is>
      </c>
      <c r="E983" t="inlineStr">
        <is>
          <t>SOLLEFTEÅ</t>
        </is>
      </c>
      <c r="G983" t="n">
        <v>9.300000000000001</v>
      </c>
      <c r="H983" t="n">
        <v>0</v>
      </c>
      <c r="I983" t="n">
        <v>0</v>
      </c>
      <c r="J983" t="n">
        <v>0</v>
      </c>
      <c r="K983" t="n">
        <v>0</v>
      </c>
      <c r="L983" t="n">
        <v>0</v>
      </c>
      <c r="M983" t="n">
        <v>0</v>
      </c>
      <c r="N983" t="n">
        <v>0</v>
      </c>
      <c r="O983" t="n">
        <v>0</v>
      </c>
      <c r="P983" t="n">
        <v>0</v>
      </c>
      <c r="Q983" t="n">
        <v>0</v>
      </c>
      <c r="R983" s="2" t="inlineStr"/>
    </row>
    <row r="984" ht="15" customHeight="1">
      <c r="A984" t="inlineStr">
        <is>
          <t>A 48578-2021</t>
        </is>
      </c>
      <c r="B984" s="1" t="n">
        <v>44452</v>
      </c>
      <c r="C984" s="1" t="n">
        <v>45670</v>
      </c>
      <c r="D984" t="inlineStr">
        <is>
          <t>VÄSTERNORRLANDS LÄN</t>
        </is>
      </c>
      <c r="E984" t="inlineStr">
        <is>
          <t>SOLLEFTEÅ</t>
        </is>
      </c>
      <c r="G984" t="n">
        <v>26</v>
      </c>
      <c r="H984" t="n">
        <v>0</v>
      </c>
      <c r="I984" t="n">
        <v>0</v>
      </c>
      <c r="J984" t="n">
        <v>0</v>
      </c>
      <c r="K984" t="n">
        <v>0</v>
      </c>
      <c r="L984" t="n">
        <v>0</v>
      </c>
      <c r="M984" t="n">
        <v>0</v>
      </c>
      <c r="N984" t="n">
        <v>0</v>
      </c>
      <c r="O984" t="n">
        <v>0</v>
      </c>
      <c r="P984" t="n">
        <v>0</v>
      </c>
      <c r="Q984" t="n">
        <v>0</v>
      </c>
      <c r="R984" s="2" t="inlineStr"/>
    </row>
    <row r="985" ht="15" customHeight="1">
      <c r="A985" t="inlineStr">
        <is>
          <t>A 49160-2021</t>
        </is>
      </c>
      <c r="B985" s="1" t="n">
        <v>44454</v>
      </c>
      <c r="C985" s="1" t="n">
        <v>45670</v>
      </c>
      <c r="D985" t="inlineStr">
        <is>
          <t>VÄSTERNORRLANDS LÄN</t>
        </is>
      </c>
      <c r="E985" t="inlineStr">
        <is>
          <t>SOLLEFTEÅ</t>
        </is>
      </c>
      <c r="F985" t="inlineStr">
        <is>
          <t>SCA</t>
        </is>
      </c>
      <c r="G985" t="n">
        <v>3.4</v>
      </c>
      <c r="H985" t="n">
        <v>0</v>
      </c>
      <c r="I985" t="n">
        <v>0</v>
      </c>
      <c r="J985" t="n">
        <v>0</v>
      </c>
      <c r="K985" t="n">
        <v>0</v>
      </c>
      <c r="L985" t="n">
        <v>0</v>
      </c>
      <c r="M985" t="n">
        <v>0</v>
      </c>
      <c r="N985" t="n">
        <v>0</v>
      </c>
      <c r="O985" t="n">
        <v>0</v>
      </c>
      <c r="P985" t="n">
        <v>0</v>
      </c>
      <c r="Q985" t="n">
        <v>0</v>
      </c>
      <c r="R985" s="2" t="inlineStr"/>
    </row>
    <row r="986" ht="15" customHeight="1">
      <c r="A986" t="inlineStr">
        <is>
          <t>A 49492-2021</t>
        </is>
      </c>
      <c r="B986" s="1" t="n">
        <v>44455</v>
      </c>
      <c r="C986" s="1" t="n">
        <v>45670</v>
      </c>
      <c r="D986" t="inlineStr">
        <is>
          <t>VÄSTERNORRLANDS LÄN</t>
        </is>
      </c>
      <c r="E986" t="inlineStr">
        <is>
          <t>SOLLEFTEÅ</t>
        </is>
      </c>
      <c r="F986" t="inlineStr">
        <is>
          <t>SCA</t>
        </is>
      </c>
      <c r="G986" t="n">
        <v>4.3</v>
      </c>
      <c r="H986" t="n">
        <v>0</v>
      </c>
      <c r="I986" t="n">
        <v>0</v>
      </c>
      <c r="J986" t="n">
        <v>0</v>
      </c>
      <c r="K986" t="n">
        <v>0</v>
      </c>
      <c r="L986" t="n">
        <v>0</v>
      </c>
      <c r="M986" t="n">
        <v>0</v>
      </c>
      <c r="N986" t="n">
        <v>0</v>
      </c>
      <c r="O986" t="n">
        <v>0</v>
      </c>
      <c r="P986" t="n">
        <v>0</v>
      </c>
      <c r="Q986" t="n">
        <v>0</v>
      </c>
      <c r="R986" s="2" t="inlineStr"/>
    </row>
    <row r="987" ht="15" customHeight="1">
      <c r="A987" t="inlineStr">
        <is>
          <t>A 49518-2021</t>
        </is>
      </c>
      <c r="B987" s="1" t="n">
        <v>44455</v>
      </c>
      <c r="C987" s="1" t="n">
        <v>45670</v>
      </c>
      <c r="D987" t="inlineStr">
        <is>
          <t>VÄSTERNORRLANDS LÄN</t>
        </is>
      </c>
      <c r="E987" t="inlineStr">
        <is>
          <t>SOLLEFTEÅ</t>
        </is>
      </c>
      <c r="G987" t="n">
        <v>12.9</v>
      </c>
      <c r="H987" t="n">
        <v>0</v>
      </c>
      <c r="I987" t="n">
        <v>0</v>
      </c>
      <c r="J987" t="n">
        <v>0</v>
      </c>
      <c r="K987" t="n">
        <v>0</v>
      </c>
      <c r="L987" t="n">
        <v>0</v>
      </c>
      <c r="M987" t="n">
        <v>0</v>
      </c>
      <c r="N987" t="n">
        <v>0</v>
      </c>
      <c r="O987" t="n">
        <v>0</v>
      </c>
      <c r="P987" t="n">
        <v>0</v>
      </c>
      <c r="Q987" t="n">
        <v>0</v>
      </c>
      <c r="R987" s="2" t="inlineStr"/>
    </row>
    <row r="988" ht="15" customHeight="1">
      <c r="A988" t="inlineStr">
        <is>
          <t>A 49711-2021</t>
        </is>
      </c>
      <c r="B988" s="1" t="n">
        <v>44455</v>
      </c>
      <c r="C988" s="1" t="n">
        <v>45670</v>
      </c>
      <c r="D988" t="inlineStr">
        <is>
          <t>VÄSTERNORRLANDS LÄN</t>
        </is>
      </c>
      <c r="E988" t="inlineStr">
        <is>
          <t>SOLLEFTEÅ</t>
        </is>
      </c>
      <c r="G988" t="n">
        <v>3.7</v>
      </c>
      <c r="H988" t="n">
        <v>0</v>
      </c>
      <c r="I988" t="n">
        <v>0</v>
      </c>
      <c r="J988" t="n">
        <v>0</v>
      </c>
      <c r="K988" t="n">
        <v>0</v>
      </c>
      <c r="L988" t="n">
        <v>0</v>
      </c>
      <c r="M988" t="n">
        <v>0</v>
      </c>
      <c r="N988" t="n">
        <v>0</v>
      </c>
      <c r="O988" t="n">
        <v>0</v>
      </c>
      <c r="P988" t="n">
        <v>0</v>
      </c>
      <c r="Q988" t="n">
        <v>0</v>
      </c>
      <c r="R988" s="2" t="inlineStr"/>
    </row>
    <row r="989" ht="15" customHeight="1">
      <c r="A989" t="inlineStr">
        <is>
          <t>A 50360-2021</t>
        </is>
      </c>
      <c r="B989" s="1" t="n">
        <v>44459</v>
      </c>
      <c r="C989" s="1" t="n">
        <v>45670</v>
      </c>
      <c r="D989" t="inlineStr">
        <is>
          <t>VÄSTERNORRLANDS LÄN</t>
        </is>
      </c>
      <c r="E989" t="inlineStr">
        <is>
          <t>SOLLEFTEÅ</t>
        </is>
      </c>
      <c r="G989" t="n">
        <v>4.4</v>
      </c>
      <c r="H989" t="n">
        <v>0</v>
      </c>
      <c r="I989" t="n">
        <v>0</v>
      </c>
      <c r="J989" t="n">
        <v>0</v>
      </c>
      <c r="K989" t="n">
        <v>0</v>
      </c>
      <c r="L989" t="n">
        <v>0</v>
      </c>
      <c r="M989" t="n">
        <v>0</v>
      </c>
      <c r="N989" t="n">
        <v>0</v>
      </c>
      <c r="O989" t="n">
        <v>0</v>
      </c>
      <c r="P989" t="n">
        <v>0</v>
      </c>
      <c r="Q989" t="n">
        <v>0</v>
      </c>
      <c r="R989" s="2" t="inlineStr"/>
    </row>
    <row r="990" ht="15" customHeight="1">
      <c r="A990" t="inlineStr">
        <is>
          <t>A 51104-2021</t>
        </is>
      </c>
      <c r="B990" s="1" t="n">
        <v>44459</v>
      </c>
      <c r="C990" s="1" t="n">
        <v>45670</v>
      </c>
      <c r="D990" t="inlineStr">
        <is>
          <t>VÄSTERNORRLANDS LÄN</t>
        </is>
      </c>
      <c r="E990" t="inlineStr">
        <is>
          <t>SOLLEFTEÅ</t>
        </is>
      </c>
      <c r="G990" t="n">
        <v>1.6</v>
      </c>
      <c r="H990" t="n">
        <v>0</v>
      </c>
      <c r="I990" t="n">
        <v>0</v>
      </c>
      <c r="J990" t="n">
        <v>0</v>
      </c>
      <c r="K990" t="n">
        <v>0</v>
      </c>
      <c r="L990" t="n">
        <v>0</v>
      </c>
      <c r="M990" t="n">
        <v>0</v>
      </c>
      <c r="N990" t="n">
        <v>0</v>
      </c>
      <c r="O990" t="n">
        <v>0</v>
      </c>
      <c r="P990" t="n">
        <v>0</v>
      </c>
      <c r="Q990" t="n">
        <v>0</v>
      </c>
      <c r="R990" s="2" t="inlineStr"/>
    </row>
    <row r="991" ht="15" customHeight="1">
      <c r="A991" t="inlineStr">
        <is>
          <t>A 51020-2021</t>
        </is>
      </c>
      <c r="B991" s="1" t="n">
        <v>44460</v>
      </c>
      <c r="C991" s="1" t="n">
        <v>45670</v>
      </c>
      <c r="D991" t="inlineStr">
        <is>
          <t>VÄSTERNORRLANDS LÄN</t>
        </is>
      </c>
      <c r="E991" t="inlineStr">
        <is>
          <t>SOLLEFTEÅ</t>
        </is>
      </c>
      <c r="F991" t="inlineStr">
        <is>
          <t>SCA</t>
        </is>
      </c>
      <c r="G991" t="n">
        <v>3.9</v>
      </c>
      <c r="H991" t="n">
        <v>0</v>
      </c>
      <c r="I991" t="n">
        <v>0</v>
      </c>
      <c r="J991" t="n">
        <v>0</v>
      </c>
      <c r="K991" t="n">
        <v>0</v>
      </c>
      <c r="L991" t="n">
        <v>0</v>
      </c>
      <c r="M991" t="n">
        <v>0</v>
      </c>
      <c r="N991" t="n">
        <v>0</v>
      </c>
      <c r="O991" t="n">
        <v>0</v>
      </c>
      <c r="P991" t="n">
        <v>0</v>
      </c>
      <c r="Q991" t="n">
        <v>0</v>
      </c>
      <c r="R991" s="2" t="inlineStr"/>
    </row>
    <row r="992" ht="15" customHeight="1">
      <c r="A992" t="inlineStr">
        <is>
          <t>A 51029-2021</t>
        </is>
      </c>
      <c r="B992" s="1" t="n">
        <v>44461</v>
      </c>
      <c r="C992" s="1" t="n">
        <v>45670</v>
      </c>
      <c r="D992" t="inlineStr">
        <is>
          <t>VÄSTERNORRLANDS LÄN</t>
        </is>
      </c>
      <c r="E992" t="inlineStr">
        <is>
          <t>SOLLEFTEÅ</t>
        </is>
      </c>
      <c r="F992" t="inlineStr">
        <is>
          <t>SCA</t>
        </is>
      </c>
      <c r="G992" t="n">
        <v>6.9</v>
      </c>
      <c r="H992" t="n">
        <v>0</v>
      </c>
      <c r="I992" t="n">
        <v>0</v>
      </c>
      <c r="J992" t="n">
        <v>0</v>
      </c>
      <c r="K992" t="n">
        <v>0</v>
      </c>
      <c r="L992" t="n">
        <v>0</v>
      </c>
      <c r="M992" t="n">
        <v>0</v>
      </c>
      <c r="N992" t="n">
        <v>0</v>
      </c>
      <c r="O992" t="n">
        <v>0</v>
      </c>
      <c r="P992" t="n">
        <v>0</v>
      </c>
      <c r="Q992" t="n">
        <v>0</v>
      </c>
      <c r="R992" s="2" t="inlineStr"/>
    </row>
    <row r="993" ht="15" customHeight="1">
      <c r="A993" t="inlineStr">
        <is>
          <t>A 51440-2021</t>
        </is>
      </c>
      <c r="B993" s="1" t="n">
        <v>44461</v>
      </c>
      <c r="C993" s="1" t="n">
        <v>45670</v>
      </c>
      <c r="D993" t="inlineStr">
        <is>
          <t>VÄSTERNORRLANDS LÄN</t>
        </is>
      </c>
      <c r="E993" t="inlineStr">
        <is>
          <t>SOLLEFTEÅ</t>
        </is>
      </c>
      <c r="G993" t="n">
        <v>2</v>
      </c>
      <c r="H993" t="n">
        <v>0</v>
      </c>
      <c r="I993" t="n">
        <v>0</v>
      </c>
      <c r="J993" t="n">
        <v>0</v>
      </c>
      <c r="K993" t="n">
        <v>0</v>
      </c>
      <c r="L993" t="n">
        <v>0</v>
      </c>
      <c r="M993" t="n">
        <v>0</v>
      </c>
      <c r="N993" t="n">
        <v>0</v>
      </c>
      <c r="O993" t="n">
        <v>0</v>
      </c>
      <c r="P993" t="n">
        <v>0</v>
      </c>
      <c r="Q993" t="n">
        <v>0</v>
      </c>
      <c r="R993" s="2" t="inlineStr"/>
    </row>
    <row r="994" ht="15" customHeight="1">
      <c r="A994" t="inlineStr">
        <is>
          <t>A 51443-2021</t>
        </is>
      </c>
      <c r="B994" s="1" t="n">
        <v>44461</v>
      </c>
      <c r="C994" s="1" t="n">
        <v>45670</v>
      </c>
      <c r="D994" t="inlineStr">
        <is>
          <t>VÄSTERNORRLANDS LÄN</t>
        </is>
      </c>
      <c r="E994" t="inlineStr">
        <is>
          <t>SOLLEFTEÅ</t>
        </is>
      </c>
      <c r="F994" t="inlineStr">
        <is>
          <t>SCA</t>
        </is>
      </c>
      <c r="G994" t="n">
        <v>6.7</v>
      </c>
      <c r="H994" t="n">
        <v>0</v>
      </c>
      <c r="I994" t="n">
        <v>0</v>
      </c>
      <c r="J994" t="n">
        <v>0</v>
      </c>
      <c r="K994" t="n">
        <v>0</v>
      </c>
      <c r="L994" t="n">
        <v>0</v>
      </c>
      <c r="M994" t="n">
        <v>0</v>
      </c>
      <c r="N994" t="n">
        <v>0</v>
      </c>
      <c r="O994" t="n">
        <v>0</v>
      </c>
      <c r="P994" t="n">
        <v>0</v>
      </c>
      <c r="Q994" t="n">
        <v>0</v>
      </c>
      <c r="R994" s="2" t="inlineStr"/>
    </row>
    <row r="995" ht="15" customHeight="1">
      <c r="A995" t="inlineStr">
        <is>
          <t>A 51442-2021</t>
        </is>
      </c>
      <c r="B995" s="1" t="n">
        <v>44462</v>
      </c>
      <c r="C995" s="1" t="n">
        <v>45670</v>
      </c>
      <c r="D995" t="inlineStr">
        <is>
          <t>VÄSTERNORRLANDS LÄN</t>
        </is>
      </c>
      <c r="E995" t="inlineStr">
        <is>
          <t>SOLLEFTEÅ</t>
        </is>
      </c>
      <c r="F995" t="inlineStr">
        <is>
          <t>SCA</t>
        </is>
      </c>
      <c r="G995" t="n">
        <v>2.5</v>
      </c>
      <c r="H995" t="n">
        <v>0</v>
      </c>
      <c r="I995" t="n">
        <v>0</v>
      </c>
      <c r="J995" t="n">
        <v>0</v>
      </c>
      <c r="K995" t="n">
        <v>0</v>
      </c>
      <c r="L995" t="n">
        <v>0</v>
      </c>
      <c r="M995" t="n">
        <v>0</v>
      </c>
      <c r="N995" t="n">
        <v>0</v>
      </c>
      <c r="O995" t="n">
        <v>0</v>
      </c>
      <c r="P995" t="n">
        <v>0</v>
      </c>
      <c r="Q995" t="n">
        <v>0</v>
      </c>
      <c r="R995" s="2" t="inlineStr"/>
    </row>
    <row r="996" ht="15" customHeight="1">
      <c r="A996" t="inlineStr">
        <is>
          <t>A 51491-2021</t>
        </is>
      </c>
      <c r="B996" s="1" t="n">
        <v>44462</v>
      </c>
      <c r="C996" s="1" t="n">
        <v>45670</v>
      </c>
      <c r="D996" t="inlineStr">
        <is>
          <t>VÄSTERNORRLANDS LÄN</t>
        </is>
      </c>
      <c r="E996" t="inlineStr">
        <is>
          <t>SOLLEFTEÅ</t>
        </is>
      </c>
      <c r="F996" t="inlineStr">
        <is>
          <t>Kyrkan</t>
        </is>
      </c>
      <c r="G996" t="n">
        <v>18</v>
      </c>
      <c r="H996" t="n">
        <v>0</v>
      </c>
      <c r="I996" t="n">
        <v>0</v>
      </c>
      <c r="J996" t="n">
        <v>0</v>
      </c>
      <c r="K996" t="n">
        <v>0</v>
      </c>
      <c r="L996" t="n">
        <v>0</v>
      </c>
      <c r="M996" t="n">
        <v>0</v>
      </c>
      <c r="N996" t="n">
        <v>0</v>
      </c>
      <c r="O996" t="n">
        <v>0</v>
      </c>
      <c r="P996" t="n">
        <v>0</v>
      </c>
      <c r="Q996" t="n">
        <v>0</v>
      </c>
      <c r="R996" s="2" t="inlineStr"/>
    </row>
    <row r="997" ht="15" customHeight="1">
      <c r="A997" t="inlineStr">
        <is>
          <t>A 51847-2021</t>
        </is>
      </c>
      <c r="B997" s="1" t="n">
        <v>44462</v>
      </c>
      <c r="C997" s="1" t="n">
        <v>45670</v>
      </c>
      <c r="D997" t="inlineStr">
        <is>
          <t>VÄSTERNORRLANDS LÄN</t>
        </is>
      </c>
      <c r="E997" t="inlineStr">
        <is>
          <t>SOLLEFTEÅ</t>
        </is>
      </c>
      <c r="F997" t="inlineStr">
        <is>
          <t>Holmen skog AB</t>
        </is>
      </c>
      <c r="G997" t="n">
        <v>1.6</v>
      </c>
      <c r="H997" t="n">
        <v>0</v>
      </c>
      <c r="I997" t="n">
        <v>0</v>
      </c>
      <c r="J997" t="n">
        <v>0</v>
      </c>
      <c r="K997" t="n">
        <v>0</v>
      </c>
      <c r="L997" t="n">
        <v>0</v>
      </c>
      <c r="M997" t="n">
        <v>0</v>
      </c>
      <c r="N997" t="n">
        <v>0</v>
      </c>
      <c r="O997" t="n">
        <v>0</v>
      </c>
      <c r="P997" t="n">
        <v>0</v>
      </c>
      <c r="Q997" t="n">
        <v>0</v>
      </c>
      <c r="R997" s="2" t="inlineStr"/>
    </row>
    <row r="998" ht="15" customHeight="1">
      <c r="A998" t="inlineStr">
        <is>
          <t>A 51952-2021</t>
        </is>
      </c>
      <c r="B998" s="1" t="n">
        <v>44463</v>
      </c>
      <c r="C998" s="1" t="n">
        <v>45670</v>
      </c>
      <c r="D998" t="inlineStr">
        <is>
          <t>VÄSTERNORRLANDS LÄN</t>
        </is>
      </c>
      <c r="E998" t="inlineStr">
        <is>
          <t>SOLLEFTEÅ</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52447-2021</t>
        </is>
      </c>
      <c r="B999" s="1" t="n">
        <v>44466</v>
      </c>
      <c r="C999" s="1" t="n">
        <v>45670</v>
      </c>
      <c r="D999" t="inlineStr">
        <is>
          <t>VÄSTERNORRLANDS LÄN</t>
        </is>
      </c>
      <c r="E999" t="inlineStr">
        <is>
          <t>SOLLEFTEÅ</t>
        </is>
      </c>
      <c r="F999" t="inlineStr">
        <is>
          <t>Holmen skog AB</t>
        </is>
      </c>
      <c r="G999" t="n">
        <v>8.9</v>
      </c>
      <c r="H999" t="n">
        <v>0</v>
      </c>
      <c r="I999" t="n">
        <v>0</v>
      </c>
      <c r="J999" t="n">
        <v>0</v>
      </c>
      <c r="K999" t="n">
        <v>0</v>
      </c>
      <c r="L999" t="n">
        <v>0</v>
      </c>
      <c r="M999" t="n">
        <v>0</v>
      </c>
      <c r="N999" t="n">
        <v>0</v>
      </c>
      <c r="O999" t="n">
        <v>0</v>
      </c>
      <c r="P999" t="n">
        <v>0</v>
      </c>
      <c r="Q999" t="n">
        <v>0</v>
      </c>
      <c r="R999" s="2" t="inlineStr"/>
    </row>
    <row r="1000" ht="15" customHeight="1">
      <c r="A1000" t="inlineStr">
        <is>
          <t>A 53289-2021</t>
        </is>
      </c>
      <c r="B1000" s="1" t="n">
        <v>44467</v>
      </c>
      <c r="C1000" s="1" t="n">
        <v>45670</v>
      </c>
      <c r="D1000" t="inlineStr">
        <is>
          <t>VÄSTERNORRLANDS LÄN</t>
        </is>
      </c>
      <c r="E1000" t="inlineStr">
        <is>
          <t>SOLLEFTEÅ</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53278-2021</t>
        </is>
      </c>
      <c r="B1001" s="1" t="n">
        <v>44467</v>
      </c>
      <c r="C1001" s="1" t="n">
        <v>45670</v>
      </c>
      <c r="D1001" t="inlineStr">
        <is>
          <t>VÄSTERNORRLANDS LÄN</t>
        </is>
      </c>
      <c r="E1001" t="inlineStr">
        <is>
          <t>SOLLEFTEÅ</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53524-2021</t>
        </is>
      </c>
      <c r="B1002" s="1" t="n">
        <v>44468</v>
      </c>
      <c r="C1002" s="1" t="n">
        <v>45670</v>
      </c>
      <c r="D1002" t="inlineStr">
        <is>
          <t>VÄSTERNORRLANDS LÄN</t>
        </is>
      </c>
      <c r="E1002" t="inlineStr">
        <is>
          <t>SOLLEFTEÅ</t>
        </is>
      </c>
      <c r="F1002" t="inlineStr">
        <is>
          <t>SCA</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53955-2021</t>
        </is>
      </c>
      <c r="B1003" s="1" t="n">
        <v>44469</v>
      </c>
      <c r="C1003" s="1" t="n">
        <v>45670</v>
      </c>
      <c r="D1003" t="inlineStr">
        <is>
          <t>VÄSTERNORRLANDS LÄN</t>
        </is>
      </c>
      <c r="E1003" t="inlineStr">
        <is>
          <t>SOLLEFTEÅ</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54146-2021</t>
        </is>
      </c>
      <c r="B1004" s="1" t="n">
        <v>44469</v>
      </c>
      <c r="C1004" s="1" t="n">
        <v>45670</v>
      </c>
      <c r="D1004" t="inlineStr">
        <is>
          <t>VÄSTERNORRLANDS LÄN</t>
        </is>
      </c>
      <c r="E1004" t="inlineStr">
        <is>
          <t>SOLLEFTEÅ</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54728-2021</t>
        </is>
      </c>
      <c r="B1005" s="1" t="n">
        <v>44473</v>
      </c>
      <c r="C1005" s="1" t="n">
        <v>45670</v>
      </c>
      <c r="D1005" t="inlineStr">
        <is>
          <t>VÄSTERNORRLANDS LÄN</t>
        </is>
      </c>
      <c r="E1005" t="inlineStr">
        <is>
          <t>SOLLEFTEÅ</t>
        </is>
      </c>
      <c r="F1005" t="inlineStr">
        <is>
          <t>Holmen skog AB</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55016-2021</t>
        </is>
      </c>
      <c r="B1006" s="1" t="n">
        <v>44474</v>
      </c>
      <c r="C1006" s="1" t="n">
        <v>45670</v>
      </c>
      <c r="D1006" t="inlineStr">
        <is>
          <t>VÄSTERNORRLANDS LÄN</t>
        </is>
      </c>
      <c r="E1006" t="inlineStr">
        <is>
          <t>SOLLEFTEÅ</t>
        </is>
      </c>
      <c r="F1006" t="inlineStr">
        <is>
          <t>Övriga Aktiebolag</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55018-2021</t>
        </is>
      </c>
      <c r="B1007" s="1" t="n">
        <v>44474</v>
      </c>
      <c r="C1007" s="1" t="n">
        <v>45670</v>
      </c>
      <c r="D1007" t="inlineStr">
        <is>
          <t>VÄSTERNORRLANDS LÄN</t>
        </is>
      </c>
      <c r="E1007" t="inlineStr">
        <is>
          <t>SOLLEFTEÅ</t>
        </is>
      </c>
      <c r="F1007" t="inlineStr">
        <is>
          <t>Övriga Aktiebolag</t>
        </is>
      </c>
      <c r="G1007" t="n">
        <v>11.2</v>
      </c>
      <c r="H1007" t="n">
        <v>0</v>
      </c>
      <c r="I1007" t="n">
        <v>0</v>
      </c>
      <c r="J1007" t="n">
        <v>0</v>
      </c>
      <c r="K1007" t="n">
        <v>0</v>
      </c>
      <c r="L1007" t="n">
        <v>0</v>
      </c>
      <c r="M1007" t="n">
        <v>0</v>
      </c>
      <c r="N1007" t="n">
        <v>0</v>
      </c>
      <c r="O1007" t="n">
        <v>0</v>
      </c>
      <c r="P1007" t="n">
        <v>0</v>
      </c>
      <c r="Q1007" t="n">
        <v>0</v>
      </c>
      <c r="R1007" s="2" t="inlineStr"/>
    </row>
    <row r="1008" ht="15" customHeight="1">
      <c r="A1008" t="inlineStr">
        <is>
          <t>A 55610-2021</t>
        </is>
      </c>
      <c r="B1008" s="1" t="n">
        <v>44476</v>
      </c>
      <c r="C1008" s="1" t="n">
        <v>45670</v>
      </c>
      <c r="D1008" t="inlineStr">
        <is>
          <t>VÄSTERNORRLANDS LÄN</t>
        </is>
      </c>
      <c r="E1008" t="inlineStr">
        <is>
          <t>SOLLEFTEÅ</t>
        </is>
      </c>
      <c r="F1008" t="inlineStr">
        <is>
          <t>SCA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55643-2021</t>
        </is>
      </c>
      <c r="B1009" s="1" t="n">
        <v>44475</v>
      </c>
      <c r="C1009" s="1" t="n">
        <v>45670</v>
      </c>
      <c r="D1009" t="inlineStr">
        <is>
          <t>VÄSTERNORRLANDS LÄN</t>
        </is>
      </c>
      <c r="E1009" t="inlineStr">
        <is>
          <t>SOLLEFTEÅ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55904-2021</t>
        </is>
      </c>
      <c r="B1010" s="1" t="n">
        <v>44476</v>
      </c>
      <c r="C1010" s="1" t="n">
        <v>45670</v>
      </c>
      <c r="D1010" t="inlineStr">
        <is>
          <t>VÄSTERNORRLANDS LÄN</t>
        </is>
      </c>
      <c r="E1010" t="inlineStr">
        <is>
          <t>SOLLEFTEÅ</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56211-2021</t>
        </is>
      </c>
      <c r="B1011" s="1" t="n">
        <v>44478</v>
      </c>
      <c r="C1011" s="1" t="n">
        <v>45670</v>
      </c>
      <c r="D1011" t="inlineStr">
        <is>
          <t>VÄSTERNORRLANDS LÄN</t>
        </is>
      </c>
      <c r="E1011" t="inlineStr">
        <is>
          <t>SOLLEFTEÅ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56918-2021</t>
        </is>
      </c>
      <c r="B1012" s="1" t="n">
        <v>44482</v>
      </c>
      <c r="C1012" s="1" t="n">
        <v>45670</v>
      </c>
      <c r="D1012" t="inlineStr">
        <is>
          <t>VÄSTERNORRLANDS LÄN</t>
        </is>
      </c>
      <c r="E1012" t="inlineStr">
        <is>
          <t>SOLLEFTEÅ</t>
        </is>
      </c>
      <c r="F1012" t="inlineStr">
        <is>
          <t>SCA</t>
        </is>
      </c>
      <c r="G1012" t="n">
        <v>13.9</v>
      </c>
      <c r="H1012" t="n">
        <v>0</v>
      </c>
      <c r="I1012" t="n">
        <v>0</v>
      </c>
      <c r="J1012" t="n">
        <v>0</v>
      </c>
      <c r="K1012" t="n">
        <v>0</v>
      </c>
      <c r="L1012" t="n">
        <v>0</v>
      </c>
      <c r="M1012" t="n">
        <v>0</v>
      </c>
      <c r="N1012" t="n">
        <v>0</v>
      </c>
      <c r="O1012" t="n">
        <v>0</v>
      </c>
      <c r="P1012" t="n">
        <v>0</v>
      </c>
      <c r="Q1012" t="n">
        <v>0</v>
      </c>
      <c r="R1012" s="2" t="inlineStr"/>
    </row>
    <row r="1013" ht="15" customHeight="1">
      <c r="A1013" t="inlineStr">
        <is>
          <t>A 57007-2021</t>
        </is>
      </c>
      <c r="B1013" s="1" t="n">
        <v>44482</v>
      </c>
      <c r="C1013" s="1" t="n">
        <v>45670</v>
      </c>
      <c r="D1013" t="inlineStr">
        <is>
          <t>VÄSTERNORRLANDS LÄN</t>
        </is>
      </c>
      <c r="E1013" t="inlineStr">
        <is>
          <t>SOLLEFTEÅ</t>
        </is>
      </c>
      <c r="G1013" t="n">
        <v>7.4</v>
      </c>
      <c r="H1013" t="n">
        <v>0</v>
      </c>
      <c r="I1013" t="n">
        <v>0</v>
      </c>
      <c r="J1013" t="n">
        <v>0</v>
      </c>
      <c r="K1013" t="n">
        <v>0</v>
      </c>
      <c r="L1013" t="n">
        <v>0</v>
      </c>
      <c r="M1013" t="n">
        <v>0</v>
      </c>
      <c r="N1013" t="n">
        <v>0</v>
      </c>
      <c r="O1013" t="n">
        <v>0</v>
      </c>
      <c r="P1013" t="n">
        <v>0</v>
      </c>
      <c r="Q1013" t="n">
        <v>0</v>
      </c>
      <c r="R1013" s="2" t="inlineStr"/>
    </row>
    <row r="1014" ht="15" customHeight="1">
      <c r="A1014" t="inlineStr">
        <is>
          <t>A 57550-2021</t>
        </is>
      </c>
      <c r="B1014" s="1" t="n">
        <v>44484</v>
      </c>
      <c r="C1014" s="1" t="n">
        <v>45670</v>
      </c>
      <c r="D1014" t="inlineStr">
        <is>
          <t>VÄSTERNORRLANDS LÄN</t>
        </is>
      </c>
      <c r="E1014" t="inlineStr">
        <is>
          <t>SOLLEFTEÅ</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57552-2021</t>
        </is>
      </c>
      <c r="B1015" s="1" t="n">
        <v>44483</v>
      </c>
      <c r="C1015" s="1" t="n">
        <v>45670</v>
      </c>
      <c r="D1015" t="inlineStr">
        <is>
          <t>VÄSTERNORRLANDS LÄN</t>
        </is>
      </c>
      <c r="E1015" t="inlineStr">
        <is>
          <t>SOLLEFTEÅ</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57856-2021</t>
        </is>
      </c>
      <c r="B1016" s="1" t="n">
        <v>44485</v>
      </c>
      <c r="C1016" s="1" t="n">
        <v>45670</v>
      </c>
      <c r="D1016" t="inlineStr">
        <is>
          <t>VÄSTERNORRLANDS LÄN</t>
        </is>
      </c>
      <c r="E1016" t="inlineStr">
        <is>
          <t>SOLLEFTEÅ</t>
        </is>
      </c>
      <c r="F1016" t="inlineStr">
        <is>
          <t>SCA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57911-2021</t>
        </is>
      </c>
      <c r="B1017" s="1" t="n">
        <v>44486</v>
      </c>
      <c r="C1017" s="1" t="n">
        <v>45670</v>
      </c>
      <c r="D1017" t="inlineStr">
        <is>
          <t>VÄSTERNORRLANDS LÄN</t>
        </is>
      </c>
      <c r="E1017" t="inlineStr">
        <is>
          <t>SOLLEFTEÅ</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58268-2021</t>
        </is>
      </c>
      <c r="B1018" s="1" t="n">
        <v>44487</v>
      </c>
      <c r="C1018" s="1" t="n">
        <v>45670</v>
      </c>
      <c r="D1018" t="inlineStr">
        <is>
          <t>VÄSTERNORRLANDS LÄN</t>
        </is>
      </c>
      <c r="E1018" t="inlineStr">
        <is>
          <t>SOLLEFTEÅ</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58276-2021</t>
        </is>
      </c>
      <c r="B1019" s="1" t="n">
        <v>44488</v>
      </c>
      <c r="C1019" s="1" t="n">
        <v>45670</v>
      </c>
      <c r="D1019" t="inlineStr">
        <is>
          <t>VÄSTERNORRLANDS LÄN</t>
        </is>
      </c>
      <c r="E1019" t="inlineStr">
        <is>
          <t>SOLLEFTEÅ</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58179-2021</t>
        </is>
      </c>
      <c r="B1020" s="1" t="n">
        <v>44487</v>
      </c>
      <c r="C1020" s="1" t="n">
        <v>45670</v>
      </c>
      <c r="D1020" t="inlineStr">
        <is>
          <t>VÄSTERNORRLANDS LÄN</t>
        </is>
      </c>
      <c r="E1020" t="inlineStr">
        <is>
          <t>SOLLEFTEÅ</t>
        </is>
      </c>
      <c r="G1020" t="n">
        <v>8.300000000000001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58478-2021</t>
        </is>
      </c>
      <c r="B1021" s="1" t="n">
        <v>44488</v>
      </c>
      <c r="C1021" s="1" t="n">
        <v>45670</v>
      </c>
      <c r="D1021" t="inlineStr">
        <is>
          <t>VÄSTERNORRLANDS LÄN</t>
        </is>
      </c>
      <c r="E1021" t="inlineStr">
        <is>
          <t>SOLLEFTEÅ</t>
        </is>
      </c>
      <c r="G1021" t="n">
        <v>9.5</v>
      </c>
      <c r="H1021" t="n">
        <v>0</v>
      </c>
      <c r="I1021" t="n">
        <v>0</v>
      </c>
      <c r="J1021" t="n">
        <v>0</v>
      </c>
      <c r="K1021" t="n">
        <v>0</v>
      </c>
      <c r="L1021" t="n">
        <v>0</v>
      </c>
      <c r="M1021" t="n">
        <v>0</v>
      </c>
      <c r="N1021" t="n">
        <v>0</v>
      </c>
      <c r="O1021" t="n">
        <v>0</v>
      </c>
      <c r="P1021" t="n">
        <v>0</v>
      </c>
      <c r="Q1021" t="n">
        <v>0</v>
      </c>
      <c r="R1021" s="2" t="inlineStr"/>
    </row>
    <row r="1022" ht="15" customHeight="1">
      <c r="A1022" t="inlineStr">
        <is>
          <t>A 58486-2021</t>
        </is>
      </c>
      <c r="B1022" s="1" t="n">
        <v>44488</v>
      </c>
      <c r="C1022" s="1" t="n">
        <v>45670</v>
      </c>
      <c r="D1022" t="inlineStr">
        <is>
          <t>VÄSTERNORRLANDS LÄN</t>
        </is>
      </c>
      <c r="E1022" t="inlineStr">
        <is>
          <t>SOLLEFTEÅ</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58571-2021</t>
        </is>
      </c>
      <c r="B1023" s="1" t="n">
        <v>44488</v>
      </c>
      <c r="C1023" s="1" t="n">
        <v>45670</v>
      </c>
      <c r="D1023" t="inlineStr">
        <is>
          <t>VÄSTERNORRLANDS LÄN</t>
        </is>
      </c>
      <c r="E1023" t="inlineStr">
        <is>
          <t>SOLLEFTEÅ</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58573-2021</t>
        </is>
      </c>
      <c r="B1024" s="1" t="n">
        <v>44488</v>
      </c>
      <c r="C1024" s="1" t="n">
        <v>45670</v>
      </c>
      <c r="D1024" t="inlineStr">
        <is>
          <t>VÄSTERNORRLANDS LÄN</t>
        </is>
      </c>
      <c r="E1024" t="inlineStr">
        <is>
          <t>SOLLEFTEÅ</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58726-2021</t>
        </is>
      </c>
      <c r="B1025" s="1" t="n">
        <v>44489</v>
      </c>
      <c r="C1025" s="1" t="n">
        <v>45670</v>
      </c>
      <c r="D1025" t="inlineStr">
        <is>
          <t>VÄSTERNORRLANDS LÄN</t>
        </is>
      </c>
      <c r="E1025" t="inlineStr">
        <is>
          <t>SOLLEFTEÅ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58742-2021</t>
        </is>
      </c>
      <c r="B1026" s="1" t="n">
        <v>44489</v>
      </c>
      <c r="C1026" s="1" t="n">
        <v>45670</v>
      </c>
      <c r="D1026" t="inlineStr">
        <is>
          <t>VÄSTERNORRLANDS LÄN</t>
        </is>
      </c>
      <c r="E1026" t="inlineStr">
        <is>
          <t>SOLLEFTEÅ</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58755-2021</t>
        </is>
      </c>
      <c r="B1027" s="1" t="n">
        <v>44489</v>
      </c>
      <c r="C1027" s="1" t="n">
        <v>45670</v>
      </c>
      <c r="D1027" t="inlineStr">
        <is>
          <t>VÄSTERNORRLANDS LÄN</t>
        </is>
      </c>
      <c r="E1027" t="inlineStr">
        <is>
          <t>SOLLEFTEÅ</t>
        </is>
      </c>
      <c r="G1027" t="n">
        <v>12.2</v>
      </c>
      <c r="H1027" t="n">
        <v>0</v>
      </c>
      <c r="I1027" t="n">
        <v>0</v>
      </c>
      <c r="J1027" t="n">
        <v>0</v>
      </c>
      <c r="K1027" t="n">
        <v>0</v>
      </c>
      <c r="L1027" t="n">
        <v>0</v>
      </c>
      <c r="M1027" t="n">
        <v>0</v>
      </c>
      <c r="N1027" t="n">
        <v>0</v>
      </c>
      <c r="O1027" t="n">
        <v>0</v>
      </c>
      <c r="P1027" t="n">
        <v>0</v>
      </c>
      <c r="Q1027" t="n">
        <v>0</v>
      </c>
      <c r="R1027" s="2" t="inlineStr"/>
    </row>
    <row r="1028" ht="15" customHeight="1">
      <c r="A1028" t="inlineStr">
        <is>
          <t>A 58688-2021</t>
        </is>
      </c>
      <c r="B1028" s="1" t="n">
        <v>44489</v>
      </c>
      <c r="C1028" s="1" t="n">
        <v>45670</v>
      </c>
      <c r="D1028" t="inlineStr">
        <is>
          <t>VÄSTERNORRLANDS LÄN</t>
        </is>
      </c>
      <c r="E1028" t="inlineStr">
        <is>
          <t>SOLLEFTEÅ</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58715-2021</t>
        </is>
      </c>
      <c r="B1029" s="1" t="n">
        <v>44489</v>
      </c>
      <c r="C1029" s="1" t="n">
        <v>45670</v>
      </c>
      <c r="D1029" t="inlineStr">
        <is>
          <t>VÄSTERNORRLANDS LÄN</t>
        </is>
      </c>
      <c r="E1029" t="inlineStr">
        <is>
          <t>SOLLEFTEÅ</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59344-2021</t>
        </is>
      </c>
      <c r="B1030" s="1" t="n">
        <v>44490</v>
      </c>
      <c r="C1030" s="1" t="n">
        <v>45670</v>
      </c>
      <c r="D1030" t="inlineStr">
        <is>
          <t>VÄSTERNORRLANDS LÄN</t>
        </is>
      </c>
      <c r="E1030" t="inlineStr">
        <is>
          <t>SOLLEFTEÅ</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59309-2021</t>
        </is>
      </c>
      <c r="B1031" s="1" t="n">
        <v>44491</v>
      </c>
      <c r="C1031" s="1" t="n">
        <v>45670</v>
      </c>
      <c r="D1031" t="inlineStr">
        <is>
          <t>VÄSTERNORRLANDS LÄN</t>
        </is>
      </c>
      <c r="E1031" t="inlineStr">
        <is>
          <t>SOLLEFTEÅ</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59343-2021</t>
        </is>
      </c>
      <c r="B1032" s="1" t="n">
        <v>44490</v>
      </c>
      <c r="C1032" s="1" t="n">
        <v>45670</v>
      </c>
      <c r="D1032" t="inlineStr">
        <is>
          <t>VÄSTERNORRLANDS LÄN</t>
        </is>
      </c>
      <c r="E1032" t="inlineStr">
        <is>
          <t>SOLLEFTEÅ</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60324-2021</t>
        </is>
      </c>
      <c r="B1033" s="1" t="n">
        <v>44496</v>
      </c>
      <c r="C1033" s="1" t="n">
        <v>45670</v>
      </c>
      <c r="D1033" t="inlineStr">
        <is>
          <t>VÄSTERNORRLANDS LÄN</t>
        </is>
      </c>
      <c r="E1033" t="inlineStr">
        <is>
          <t>SOLLEFTEÅ</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60757-2021</t>
        </is>
      </c>
      <c r="B1034" s="1" t="n">
        <v>44497</v>
      </c>
      <c r="C1034" s="1" t="n">
        <v>45670</v>
      </c>
      <c r="D1034" t="inlineStr">
        <is>
          <t>VÄSTERNORRLANDS LÄN</t>
        </is>
      </c>
      <c r="E1034" t="inlineStr">
        <is>
          <t>SOLLEFTEÅ</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60756-2021</t>
        </is>
      </c>
      <c r="B1035" s="1" t="n">
        <v>44496</v>
      </c>
      <c r="C1035" s="1" t="n">
        <v>45670</v>
      </c>
      <c r="D1035" t="inlineStr">
        <is>
          <t>VÄSTERNORRLANDS LÄN</t>
        </is>
      </c>
      <c r="E1035" t="inlineStr">
        <is>
          <t>SOLLEFTEÅ</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61739-2021</t>
        </is>
      </c>
      <c r="B1036" s="1" t="n">
        <v>44498</v>
      </c>
      <c r="C1036" s="1" t="n">
        <v>45670</v>
      </c>
      <c r="D1036" t="inlineStr">
        <is>
          <t>VÄSTERNORRLANDS LÄN</t>
        </is>
      </c>
      <c r="E1036" t="inlineStr">
        <is>
          <t>SOLLEFTEÅ</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61424-2021</t>
        </is>
      </c>
      <c r="B1037" s="1" t="n">
        <v>44500</v>
      </c>
      <c r="C1037" s="1" t="n">
        <v>45670</v>
      </c>
      <c r="D1037" t="inlineStr">
        <is>
          <t>VÄSTERNORRLANDS LÄN</t>
        </is>
      </c>
      <c r="E1037" t="inlineStr">
        <is>
          <t>SOLLEFTEÅ</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61470-2021</t>
        </is>
      </c>
      <c r="B1038" s="1" t="n">
        <v>44500</v>
      </c>
      <c r="C1038" s="1" t="n">
        <v>45670</v>
      </c>
      <c r="D1038" t="inlineStr">
        <is>
          <t>VÄSTERNORRLANDS LÄN</t>
        </is>
      </c>
      <c r="E1038" t="inlineStr">
        <is>
          <t>SOLLEFTEÅ</t>
        </is>
      </c>
      <c r="F1038" t="inlineStr">
        <is>
          <t>SCA</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61480-2021</t>
        </is>
      </c>
      <c r="B1039" s="1" t="n">
        <v>44500</v>
      </c>
      <c r="C1039" s="1" t="n">
        <v>45670</v>
      </c>
      <c r="D1039" t="inlineStr">
        <is>
          <t>VÄSTERNORRLANDS LÄN</t>
        </is>
      </c>
      <c r="E1039" t="inlineStr">
        <is>
          <t>SOLLEFTEÅ</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61426-2021</t>
        </is>
      </c>
      <c r="B1040" s="1" t="n">
        <v>44500</v>
      </c>
      <c r="C1040" s="1" t="n">
        <v>45670</v>
      </c>
      <c r="D1040" t="inlineStr">
        <is>
          <t>VÄSTERNORRLANDS LÄN</t>
        </is>
      </c>
      <c r="E1040" t="inlineStr">
        <is>
          <t>SOLLEFTEÅ</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61469-2021</t>
        </is>
      </c>
      <c r="B1041" s="1" t="n">
        <v>44500</v>
      </c>
      <c r="C1041" s="1" t="n">
        <v>45670</v>
      </c>
      <c r="D1041" t="inlineStr">
        <is>
          <t>VÄSTERNORRLANDS LÄN</t>
        </is>
      </c>
      <c r="E1041" t="inlineStr">
        <is>
          <t>SOLLEFTEÅ</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61496-2021</t>
        </is>
      </c>
      <c r="B1042" s="1" t="n">
        <v>44501</v>
      </c>
      <c r="C1042" s="1" t="n">
        <v>45670</v>
      </c>
      <c r="D1042" t="inlineStr">
        <is>
          <t>VÄSTERNORRLANDS LÄN</t>
        </is>
      </c>
      <c r="E1042" t="inlineStr">
        <is>
          <t>SOLLEFTEÅ</t>
        </is>
      </c>
      <c r="F1042" t="inlineStr">
        <is>
          <t>Holmen skog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62214-2021</t>
        </is>
      </c>
      <c r="B1043" s="1" t="n">
        <v>44502</v>
      </c>
      <c r="C1043" s="1" t="n">
        <v>45670</v>
      </c>
      <c r="D1043" t="inlineStr">
        <is>
          <t>VÄSTERNORRLANDS LÄN</t>
        </is>
      </c>
      <c r="E1043" t="inlineStr">
        <is>
          <t>SOLLEFTEÅ</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62210-2021</t>
        </is>
      </c>
      <c r="B1044" s="1" t="n">
        <v>44502</v>
      </c>
      <c r="C1044" s="1" t="n">
        <v>45670</v>
      </c>
      <c r="D1044" t="inlineStr">
        <is>
          <t>VÄSTERNORRLANDS LÄN</t>
        </is>
      </c>
      <c r="E1044" t="inlineStr">
        <is>
          <t>SOLLEFTEÅ</t>
        </is>
      </c>
      <c r="F1044" t="inlineStr">
        <is>
          <t>SCA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62418-2021</t>
        </is>
      </c>
      <c r="B1045" s="1" t="n">
        <v>44503</v>
      </c>
      <c r="C1045" s="1" t="n">
        <v>45670</v>
      </c>
      <c r="D1045" t="inlineStr">
        <is>
          <t>VÄSTERNORRLANDS LÄN</t>
        </is>
      </c>
      <c r="E1045" t="inlineStr">
        <is>
          <t>SOLLEFTEÅ</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62790-2021</t>
        </is>
      </c>
      <c r="B1046" s="1" t="n">
        <v>44503</v>
      </c>
      <c r="C1046" s="1" t="n">
        <v>45670</v>
      </c>
      <c r="D1046" t="inlineStr">
        <is>
          <t>VÄSTERNORRLANDS LÄN</t>
        </is>
      </c>
      <c r="E1046" t="inlineStr">
        <is>
          <t>SOLLEFTEÅ</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62697-2021</t>
        </is>
      </c>
      <c r="B1047" s="1" t="n">
        <v>44504</v>
      </c>
      <c r="C1047" s="1" t="n">
        <v>45670</v>
      </c>
      <c r="D1047" t="inlineStr">
        <is>
          <t>VÄSTERNORRLANDS LÄN</t>
        </is>
      </c>
      <c r="E1047" t="inlineStr">
        <is>
          <t>SOLLEFTEÅ</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62692-2021</t>
        </is>
      </c>
      <c r="B1048" s="1" t="n">
        <v>44504</v>
      </c>
      <c r="C1048" s="1" t="n">
        <v>45670</v>
      </c>
      <c r="D1048" t="inlineStr">
        <is>
          <t>VÄSTERNORRLANDS LÄN</t>
        </is>
      </c>
      <c r="E1048" t="inlineStr">
        <is>
          <t>SOLLEFTEÅ</t>
        </is>
      </c>
      <c r="F1048" t="inlineStr">
        <is>
          <t>Holmen skog AB</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63710-2021</t>
        </is>
      </c>
      <c r="B1049" s="1" t="n">
        <v>44504</v>
      </c>
      <c r="C1049" s="1" t="n">
        <v>45670</v>
      </c>
      <c r="D1049" t="inlineStr">
        <is>
          <t>VÄSTERNORRLANDS LÄN</t>
        </is>
      </c>
      <c r="E1049" t="inlineStr">
        <is>
          <t>SOLLEFTEÅ</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64638-2021</t>
        </is>
      </c>
      <c r="B1050" s="1" t="n">
        <v>44511</v>
      </c>
      <c r="C1050" s="1" t="n">
        <v>45670</v>
      </c>
      <c r="D1050" t="inlineStr">
        <is>
          <t>VÄSTERNORRLANDS LÄN</t>
        </is>
      </c>
      <c r="E1050" t="inlineStr">
        <is>
          <t>SOLLEFTEÅ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64651-2021</t>
        </is>
      </c>
      <c r="B1051" s="1" t="n">
        <v>44511</v>
      </c>
      <c r="C1051" s="1" t="n">
        <v>45670</v>
      </c>
      <c r="D1051" t="inlineStr">
        <is>
          <t>VÄSTERNORRLANDS LÄN</t>
        </is>
      </c>
      <c r="E1051" t="inlineStr">
        <is>
          <t>SOLLEFTEÅ</t>
        </is>
      </c>
      <c r="F1051" t="inlineStr">
        <is>
          <t>SCA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64653-2021</t>
        </is>
      </c>
      <c r="B1052" s="1" t="n">
        <v>44511</v>
      </c>
      <c r="C1052" s="1" t="n">
        <v>45670</v>
      </c>
      <c r="D1052" t="inlineStr">
        <is>
          <t>VÄSTERNORRLANDS LÄN</t>
        </is>
      </c>
      <c r="E1052" t="inlineStr">
        <is>
          <t>SOLLEFTEÅ</t>
        </is>
      </c>
      <c r="F1052" t="inlineStr">
        <is>
          <t>SCA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64939-2021</t>
        </is>
      </c>
      <c r="B1053" s="1" t="n">
        <v>44512</v>
      </c>
      <c r="C1053" s="1" t="n">
        <v>45670</v>
      </c>
      <c r="D1053" t="inlineStr">
        <is>
          <t>VÄSTERNORRLANDS LÄN</t>
        </is>
      </c>
      <c r="E1053" t="inlineStr">
        <is>
          <t>SOLLEFTEÅ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64947-2021</t>
        </is>
      </c>
      <c r="B1054" s="1" t="n">
        <v>44512</v>
      </c>
      <c r="C1054" s="1" t="n">
        <v>45670</v>
      </c>
      <c r="D1054" t="inlineStr">
        <is>
          <t>VÄSTERNORRLANDS LÄN</t>
        </is>
      </c>
      <c r="E1054" t="inlineStr">
        <is>
          <t>SOLLEFTEÅ</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64944-2021</t>
        </is>
      </c>
      <c r="B1055" s="1" t="n">
        <v>44512</v>
      </c>
      <c r="C1055" s="1" t="n">
        <v>45670</v>
      </c>
      <c r="D1055" t="inlineStr">
        <is>
          <t>VÄSTERNORRLANDS LÄN</t>
        </is>
      </c>
      <c r="E1055" t="inlineStr">
        <is>
          <t>SOLLEFTEÅ</t>
        </is>
      </c>
      <c r="F1055" t="inlineStr">
        <is>
          <t>SCA</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65009-2021</t>
        </is>
      </c>
      <c r="B1056" s="1" t="n">
        <v>44514</v>
      </c>
      <c r="C1056" s="1" t="n">
        <v>45670</v>
      </c>
      <c r="D1056" t="inlineStr">
        <is>
          <t>VÄSTERNORRLANDS LÄN</t>
        </is>
      </c>
      <c r="E1056" t="inlineStr">
        <is>
          <t>SOLLEFTEÅ</t>
        </is>
      </c>
      <c r="G1056" t="n">
        <v>17.3</v>
      </c>
      <c r="H1056" t="n">
        <v>0</v>
      </c>
      <c r="I1056" t="n">
        <v>0</v>
      </c>
      <c r="J1056" t="n">
        <v>0</v>
      </c>
      <c r="K1056" t="n">
        <v>0</v>
      </c>
      <c r="L1056" t="n">
        <v>0</v>
      </c>
      <c r="M1056" t="n">
        <v>0</v>
      </c>
      <c r="N1056" t="n">
        <v>0</v>
      </c>
      <c r="O1056" t="n">
        <v>0</v>
      </c>
      <c r="P1056" t="n">
        <v>0</v>
      </c>
      <c r="Q1056" t="n">
        <v>0</v>
      </c>
      <c r="R1056" s="2" t="inlineStr"/>
    </row>
    <row r="1057" ht="15" customHeight="1">
      <c r="A1057" t="inlineStr">
        <is>
          <t>A 66178-2021</t>
        </is>
      </c>
      <c r="B1057" s="1" t="n">
        <v>44517</v>
      </c>
      <c r="C1057" s="1" t="n">
        <v>45670</v>
      </c>
      <c r="D1057" t="inlineStr">
        <is>
          <t>VÄSTERNORRLANDS LÄN</t>
        </is>
      </c>
      <c r="E1057" t="inlineStr">
        <is>
          <t>SOLLEFTEÅ</t>
        </is>
      </c>
      <c r="F1057" t="inlineStr">
        <is>
          <t>SCA</t>
        </is>
      </c>
      <c r="G1057" t="n">
        <v>31.7</v>
      </c>
      <c r="H1057" t="n">
        <v>0</v>
      </c>
      <c r="I1057" t="n">
        <v>0</v>
      </c>
      <c r="J1057" t="n">
        <v>0</v>
      </c>
      <c r="K1057" t="n">
        <v>0</v>
      </c>
      <c r="L1057" t="n">
        <v>0</v>
      </c>
      <c r="M1057" t="n">
        <v>0</v>
      </c>
      <c r="N1057" t="n">
        <v>0</v>
      </c>
      <c r="O1057" t="n">
        <v>0</v>
      </c>
      <c r="P1057" t="n">
        <v>0</v>
      </c>
      <c r="Q1057" t="n">
        <v>0</v>
      </c>
      <c r="R1057" s="2" t="inlineStr"/>
    </row>
    <row r="1058" ht="15" customHeight="1">
      <c r="A1058" t="inlineStr">
        <is>
          <t>A 66856-2021</t>
        </is>
      </c>
      <c r="B1058" s="1" t="n">
        <v>44522</v>
      </c>
      <c r="C1058" s="1" t="n">
        <v>45670</v>
      </c>
      <c r="D1058" t="inlineStr">
        <is>
          <t>VÄSTERNORRLANDS LÄN</t>
        </is>
      </c>
      <c r="E1058" t="inlineStr">
        <is>
          <t>SOLLEFTEÅ</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67085-2021</t>
        </is>
      </c>
      <c r="B1059" s="1" t="n">
        <v>44522</v>
      </c>
      <c r="C1059" s="1" t="n">
        <v>45670</v>
      </c>
      <c r="D1059" t="inlineStr">
        <is>
          <t>VÄSTERNORRLANDS LÄN</t>
        </is>
      </c>
      <c r="E1059" t="inlineStr">
        <is>
          <t>SOLLEFTEÅ</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67143-2021</t>
        </is>
      </c>
      <c r="B1060" s="1" t="n">
        <v>44523</v>
      </c>
      <c r="C1060" s="1" t="n">
        <v>45670</v>
      </c>
      <c r="D1060" t="inlineStr">
        <is>
          <t>VÄSTERNORRLANDS LÄN</t>
        </is>
      </c>
      <c r="E1060" t="inlineStr">
        <is>
          <t>SOLLEFTEÅ</t>
        </is>
      </c>
      <c r="G1060" t="n">
        <v>19.7</v>
      </c>
      <c r="H1060" t="n">
        <v>0</v>
      </c>
      <c r="I1060" t="n">
        <v>0</v>
      </c>
      <c r="J1060" t="n">
        <v>0</v>
      </c>
      <c r="K1060" t="n">
        <v>0</v>
      </c>
      <c r="L1060" t="n">
        <v>0</v>
      </c>
      <c r="M1060" t="n">
        <v>0</v>
      </c>
      <c r="N1060" t="n">
        <v>0</v>
      </c>
      <c r="O1060" t="n">
        <v>0</v>
      </c>
      <c r="P1060" t="n">
        <v>0</v>
      </c>
      <c r="Q1060" t="n">
        <v>0</v>
      </c>
      <c r="R1060" s="2" t="inlineStr"/>
    </row>
    <row r="1061" ht="15" customHeight="1">
      <c r="A1061" t="inlineStr">
        <is>
          <t>A 67136-2021</t>
        </is>
      </c>
      <c r="B1061" s="1" t="n">
        <v>44523</v>
      </c>
      <c r="C1061" s="1" t="n">
        <v>45670</v>
      </c>
      <c r="D1061" t="inlineStr">
        <is>
          <t>VÄSTERNORRLANDS LÄN</t>
        </is>
      </c>
      <c r="E1061" t="inlineStr">
        <is>
          <t>SOLLEFTEÅ</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67390-2021</t>
        </is>
      </c>
      <c r="B1062" s="1" t="n">
        <v>44523</v>
      </c>
      <c r="C1062" s="1" t="n">
        <v>45670</v>
      </c>
      <c r="D1062" t="inlineStr">
        <is>
          <t>VÄSTERNORRLANDS LÄN</t>
        </is>
      </c>
      <c r="E1062" t="inlineStr">
        <is>
          <t>SOLLEFTEÅ</t>
        </is>
      </c>
      <c r="F1062" t="inlineStr">
        <is>
          <t>SCA</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67401-2021</t>
        </is>
      </c>
      <c r="B1063" s="1" t="n">
        <v>44523</v>
      </c>
      <c r="C1063" s="1" t="n">
        <v>45670</v>
      </c>
      <c r="D1063" t="inlineStr">
        <is>
          <t>VÄSTERNORRLANDS LÄN</t>
        </is>
      </c>
      <c r="E1063" t="inlineStr">
        <is>
          <t>SOLLEFTEÅ</t>
        </is>
      </c>
      <c r="F1063" t="inlineStr">
        <is>
          <t>SCA</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67689-2021</t>
        </is>
      </c>
      <c r="B1064" s="1" t="n">
        <v>44524</v>
      </c>
      <c r="C1064" s="1" t="n">
        <v>45670</v>
      </c>
      <c r="D1064" t="inlineStr">
        <is>
          <t>VÄSTERNORRLANDS LÄN</t>
        </is>
      </c>
      <c r="E1064" t="inlineStr">
        <is>
          <t>SOLLEFTEÅ</t>
        </is>
      </c>
      <c r="F1064" t="inlineStr">
        <is>
          <t>SCA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67702-2021</t>
        </is>
      </c>
      <c r="B1065" s="1" t="n">
        <v>44524</v>
      </c>
      <c r="C1065" s="1" t="n">
        <v>45670</v>
      </c>
      <c r="D1065" t="inlineStr">
        <is>
          <t>VÄSTERNORRLANDS LÄN</t>
        </is>
      </c>
      <c r="E1065" t="inlineStr">
        <is>
          <t>SOLLEFTEÅ</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67822-2021</t>
        </is>
      </c>
      <c r="B1066" s="1" t="n">
        <v>44525</v>
      </c>
      <c r="C1066" s="1" t="n">
        <v>45670</v>
      </c>
      <c r="D1066" t="inlineStr">
        <is>
          <t>VÄSTERNORRLANDS LÄN</t>
        </is>
      </c>
      <c r="E1066" t="inlineStr">
        <is>
          <t>SOLLEFTEÅ</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68317-2021</t>
        </is>
      </c>
      <c r="B1067" s="1" t="n">
        <v>44526</v>
      </c>
      <c r="C1067" s="1" t="n">
        <v>45670</v>
      </c>
      <c r="D1067" t="inlineStr">
        <is>
          <t>VÄSTERNORRLANDS LÄN</t>
        </is>
      </c>
      <c r="E1067" t="inlineStr">
        <is>
          <t>SOLLEFTEÅ</t>
        </is>
      </c>
      <c r="F1067" t="inlineStr">
        <is>
          <t>SCA</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68792-2021</t>
        </is>
      </c>
      <c r="B1068" s="1" t="n">
        <v>44529</v>
      </c>
      <c r="C1068" s="1" t="n">
        <v>45670</v>
      </c>
      <c r="D1068" t="inlineStr">
        <is>
          <t>VÄSTERNORRLANDS LÄN</t>
        </is>
      </c>
      <c r="E1068" t="inlineStr">
        <is>
          <t>SOLLEFTEÅ</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68843-2021</t>
        </is>
      </c>
      <c r="B1069" s="1" t="n">
        <v>44530</v>
      </c>
      <c r="C1069" s="1" t="n">
        <v>45670</v>
      </c>
      <c r="D1069" t="inlineStr">
        <is>
          <t>VÄSTERNORRLANDS LÄN</t>
        </is>
      </c>
      <c r="E1069" t="inlineStr">
        <is>
          <t>SOLLEFTEÅ</t>
        </is>
      </c>
      <c r="F1069" t="inlineStr">
        <is>
          <t>Holmen skog AB</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68863-2021</t>
        </is>
      </c>
      <c r="B1070" s="1" t="n">
        <v>44530</v>
      </c>
      <c r="C1070" s="1" t="n">
        <v>45670</v>
      </c>
      <c r="D1070" t="inlineStr">
        <is>
          <t>VÄSTERNORRLANDS LÄN</t>
        </is>
      </c>
      <c r="E1070" t="inlineStr">
        <is>
          <t>SOLLEFTEÅ</t>
        </is>
      </c>
      <c r="F1070" t="inlineStr">
        <is>
          <t>Holmen skog AB</t>
        </is>
      </c>
      <c r="G1070" t="n">
        <v>16.8</v>
      </c>
      <c r="H1070" t="n">
        <v>0</v>
      </c>
      <c r="I1070" t="n">
        <v>0</v>
      </c>
      <c r="J1070" t="n">
        <v>0</v>
      </c>
      <c r="K1070" t="n">
        <v>0</v>
      </c>
      <c r="L1070" t="n">
        <v>0</v>
      </c>
      <c r="M1070" t="n">
        <v>0</v>
      </c>
      <c r="N1070" t="n">
        <v>0</v>
      </c>
      <c r="O1070" t="n">
        <v>0</v>
      </c>
      <c r="P1070" t="n">
        <v>0</v>
      </c>
      <c r="Q1070" t="n">
        <v>0</v>
      </c>
      <c r="R1070" s="2" t="inlineStr"/>
    </row>
    <row r="1071" ht="15" customHeight="1">
      <c r="A1071" t="inlineStr">
        <is>
          <t>A 69121-2021</t>
        </is>
      </c>
      <c r="B1071" s="1" t="n">
        <v>44530</v>
      </c>
      <c r="C1071" s="1" t="n">
        <v>45670</v>
      </c>
      <c r="D1071" t="inlineStr">
        <is>
          <t>VÄSTERNORRLANDS LÄN</t>
        </is>
      </c>
      <c r="E1071" t="inlineStr">
        <is>
          <t>SOLLEFTEÅ</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69543-2021</t>
        </is>
      </c>
      <c r="B1072" s="1" t="n">
        <v>44531</v>
      </c>
      <c r="C1072" s="1" t="n">
        <v>45670</v>
      </c>
      <c r="D1072" t="inlineStr">
        <is>
          <t>VÄSTERNORRLANDS LÄN</t>
        </is>
      </c>
      <c r="E1072" t="inlineStr">
        <is>
          <t>SOLLEFTEÅ</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69542-2021</t>
        </is>
      </c>
      <c r="B1073" s="1" t="n">
        <v>44531</v>
      </c>
      <c r="C1073" s="1" t="n">
        <v>45670</v>
      </c>
      <c r="D1073" t="inlineStr">
        <is>
          <t>VÄSTERNORRLANDS LÄN</t>
        </is>
      </c>
      <c r="E1073" t="inlineStr">
        <is>
          <t>SOLLEFTEÅ</t>
        </is>
      </c>
      <c r="F1073" t="inlineStr">
        <is>
          <t>SCA</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69919-2021</t>
        </is>
      </c>
      <c r="B1074" s="1" t="n">
        <v>44532</v>
      </c>
      <c r="C1074" s="1" t="n">
        <v>45670</v>
      </c>
      <c r="D1074" t="inlineStr">
        <is>
          <t>VÄSTERNORRLANDS LÄN</t>
        </is>
      </c>
      <c r="E1074" t="inlineStr">
        <is>
          <t>SOLLEFTEÅ</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69916-2021</t>
        </is>
      </c>
      <c r="B1075" s="1" t="n">
        <v>44532</v>
      </c>
      <c r="C1075" s="1" t="n">
        <v>45670</v>
      </c>
      <c r="D1075" t="inlineStr">
        <is>
          <t>VÄSTERNORRLANDS LÄN</t>
        </is>
      </c>
      <c r="E1075" t="inlineStr">
        <is>
          <t>SOLLEFTEÅ</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70180-2021</t>
        </is>
      </c>
      <c r="B1076" s="1" t="n">
        <v>44533</v>
      </c>
      <c r="C1076" s="1" t="n">
        <v>45670</v>
      </c>
      <c r="D1076" t="inlineStr">
        <is>
          <t>VÄSTERNORRLANDS LÄN</t>
        </is>
      </c>
      <c r="E1076" t="inlineStr">
        <is>
          <t>SOLLEFTEÅ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70821-2021</t>
        </is>
      </c>
      <c r="B1077" s="1" t="n">
        <v>44537</v>
      </c>
      <c r="C1077" s="1" t="n">
        <v>45670</v>
      </c>
      <c r="D1077" t="inlineStr">
        <is>
          <t>VÄSTERNORRLANDS LÄN</t>
        </is>
      </c>
      <c r="E1077" t="inlineStr">
        <is>
          <t>SOLLEFTEÅ</t>
        </is>
      </c>
      <c r="F1077" t="inlineStr">
        <is>
          <t>SCA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71080-2021</t>
        </is>
      </c>
      <c r="B1078" s="1" t="n">
        <v>44538</v>
      </c>
      <c r="C1078" s="1" t="n">
        <v>45670</v>
      </c>
      <c r="D1078" t="inlineStr">
        <is>
          <t>VÄSTERNORRLANDS LÄN</t>
        </is>
      </c>
      <c r="E1078" t="inlineStr">
        <is>
          <t>SOLLEFTEÅ</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71079-2021</t>
        </is>
      </c>
      <c r="B1079" s="1" t="n">
        <v>44538</v>
      </c>
      <c r="C1079" s="1" t="n">
        <v>45670</v>
      </c>
      <c r="D1079" t="inlineStr">
        <is>
          <t>VÄSTERNORRLANDS LÄN</t>
        </is>
      </c>
      <c r="E1079" t="inlineStr">
        <is>
          <t>SOLLEFTEÅ</t>
        </is>
      </c>
      <c r="F1079" t="inlineStr">
        <is>
          <t>SCA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71348-2021</t>
        </is>
      </c>
      <c r="B1080" s="1" t="n">
        <v>44539</v>
      </c>
      <c r="C1080" s="1" t="n">
        <v>45670</v>
      </c>
      <c r="D1080" t="inlineStr">
        <is>
          <t>VÄSTERNORRLANDS LÄN</t>
        </is>
      </c>
      <c r="E1080" t="inlineStr">
        <is>
          <t>SOLLEFTEÅ</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71351-2021</t>
        </is>
      </c>
      <c r="B1081" s="1" t="n">
        <v>44539</v>
      </c>
      <c r="C1081" s="1" t="n">
        <v>45670</v>
      </c>
      <c r="D1081" t="inlineStr">
        <is>
          <t>VÄSTERNORRLANDS LÄN</t>
        </is>
      </c>
      <c r="E1081" t="inlineStr">
        <is>
          <t>SOLLEFTEÅ</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71350-2021</t>
        </is>
      </c>
      <c r="B1082" s="1" t="n">
        <v>44539</v>
      </c>
      <c r="C1082" s="1" t="n">
        <v>45670</v>
      </c>
      <c r="D1082" t="inlineStr">
        <is>
          <t>VÄSTERNORRLANDS LÄN</t>
        </is>
      </c>
      <c r="E1082" t="inlineStr">
        <is>
          <t>SOLLEFTEÅ</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71580-2021</t>
        </is>
      </c>
      <c r="B1083" s="1" t="n">
        <v>44540</v>
      </c>
      <c r="C1083" s="1" t="n">
        <v>45670</v>
      </c>
      <c r="D1083" t="inlineStr">
        <is>
          <t>VÄSTERNORRLANDS LÄN</t>
        </is>
      </c>
      <c r="E1083" t="inlineStr">
        <is>
          <t>SOLLEFTEÅ</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72244-2021</t>
        </is>
      </c>
      <c r="B1084" s="1" t="n">
        <v>44544</v>
      </c>
      <c r="C1084" s="1" t="n">
        <v>45670</v>
      </c>
      <c r="D1084" t="inlineStr">
        <is>
          <t>VÄSTERNORRLANDS LÄN</t>
        </is>
      </c>
      <c r="E1084" t="inlineStr">
        <is>
          <t>SOLLEFTEÅ</t>
        </is>
      </c>
      <c r="F1084" t="inlineStr">
        <is>
          <t>SCA</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72249-2021</t>
        </is>
      </c>
      <c r="B1085" s="1" t="n">
        <v>44544</v>
      </c>
      <c r="C1085" s="1" t="n">
        <v>45670</v>
      </c>
      <c r="D1085" t="inlineStr">
        <is>
          <t>VÄSTERNORRLANDS LÄN</t>
        </is>
      </c>
      <c r="E1085" t="inlineStr">
        <is>
          <t>SOLLEFTEÅ</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72315-2021</t>
        </is>
      </c>
      <c r="B1086" s="1" t="n">
        <v>44545</v>
      </c>
      <c r="C1086" s="1" t="n">
        <v>45670</v>
      </c>
      <c r="D1086" t="inlineStr">
        <is>
          <t>VÄSTERNORRLANDS LÄN</t>
        </is>
      </c>
      <c r="E1086" t="inlineStr">
        <is>
          <t>SOLLEFTEÅ</t>
        </is>
      </c>
      <c r="F1086" t="inlineStr">
        <is>
          <t>SCA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72485-2021</t>
        </is>
      </c>
      <c r="B1087" s="1" t="n">
        <v>44545</v>
      </c>
      <c r="C1087" s="1" t="n">
        <v>45670</v>
      </c>
      <c r="D1087" t="inlineStr">
        <is>
          <t>VÄSTERNORRLANDS LÄN</t>
        </is>
      </c>
      <c r="E1087" t="inlineStr">
        <is>
          <t>SOLLEFTEÅ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72496-2021</t>
        </is>
      </c>
      <c r="B1088" s="1" t="n">
        <v>44545</v>
      </c>
      <c r="C1088" s="1" t="n">
        <v>45670</v>
      </c>
      <c r="D1088" t="inlineStr">
        <is>
          <t>VÄSTERNORRLANDS LÄN</t>
        </is>
      </c>
      <c r="E1088" t="inlineStr">
        <is>
          <t>SOLLEFTEÅ</t>
        </is>
      </c>
      <c r="G1088" t="n">
        <v>20</v>
      </c>
      <c r="H1088" t="n">
        <v>0</v>
      </c>
      <c r="I1088" t="n">
        <v>0</v>
      </c>
      <c r="J1088" t="n">
        <v>0</v>
      </c>
      <c r="K1088" t="n">
        <v>0</v>
      </c>
      <c r="L1088" t="n">
        <v>0</v>
      </c>
      <c r="M1088" t="n">
        <v>0</v>
      </c>
      <c r="N1088" t="n">
        <v>0</v>
      </c>
      <c r="O1088" t="n">
        <v>0</v>
      </c>
      <c r="P1088" t="n">
        <v>0</v>
      </c>
      <c r="Q1088" t="n">
        <v>0</v>
      </c>
      <c r="R1088" s="2" t="inlineStr"/>
    </row>
    <row r="1089" ht="15" customHeight="1">
      <c r="A1089" t="inlineStr">
        <is>
          <t>A 72949-2021</t>
        </is>
      </c>
      <c r="B1089" s="1" t="n">
        <v>44547</v>
      </c>
      <c r="C1089" s="1" t="n">
        <v>45670</v>
      </c>
      <c r="D1089" t="inlineStr">
        <is>
          <t>VÄSTERNORRLANDS LÄN</t>
        </is>
      </c>
      <c r="E1089" t="inlineStr">
        <is>
          <t>SOLLEFTEÅ</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72958-2021</t>
        </is>
      </c>
      <c r="B1090" s="1" t="n">
        <v>44547</v>
      </c>
      <c r="C1090" s="1" t="n">
        <v>45670</v>
      </c>
      <c r="D1090" t="inlineStr">
        <is>
          <t>VÄSTERNORRLANDS LÄN</t>
        </is>
      </c>
      <c r="E1090" t="inlineStr">
        <is>
          <t>SOLLEFTEÅ</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72977-2021</t>
        </is>
      </c>
      <c r="B1091" s="1" t="n">
        <v>44548</v>
      </c>
      <c r="C1091" s="1" t="n">
        <v>45670</v>
      </c>
      <c r="D1091" t="inlineStr">
        <is>
          <t>VÄSTERNORRLANDS LÄN</t>
        </is>
      </c>
      <c r="E1091" t="inlineStr">
        <is>
          <t>SOLLEFTEÅ</t>
        </is>
      </c>
      <c r="F1091" t="inlineStr">
        <is>
          <t>SCA</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73285-2021</t>
        </is>
      </c>
      <c r="B1092" s="1" t="n">
        <v>44550</v>
      </c>
      <c r="C1092" s="1" t="n">
        <v>45670</v>
      </c>
      <c r="D1092" t="inlineStr">
        <is>
          <t>VÄSTERNORRLANDS LÄN</t>
        </is>
      </c>
      <c r="E1092" t="inlineStr">
        <is>
          <t>SOLLEFTEÅ</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73367-2021</t>
        </is>
      </c>
      <c r="B1093" s="1" t="n">
        <v>44550</v>
      </c>
      <c r="C1093" s="1" t="n">
        <v>45670</v>
      </c>
      <c r="D1093" t="inlineStr">
        <is>
          <t>VÄSTERNORRLANDS LÄN</t>
        </is>
      </c>
      <c r="E1093" t="inlineStr">
        <is>
          <t>SOLLEFTEÅ</t>
        </is>
      </c>
      <c r="G1093" t="n">
        <v>10.8</v>
      </c>
      <c r="H1093" t="n">
        <v>0</v>
      </c>
      <c r="I1093" t="n">
        <v>0</v>
      </c>
      <c r="J1093" t="n">
        <v>0</v>
      </c>
      <c r="K1093" t="n">
        <v>0</v>
      </c>
      <c r="L1093" t="n">
        <v>0</v>
      </c>
      <c r="M1093" t="n">
        <v>0</v>
      </c>
      <c r="N1093" t="n">
        <v>0</v>
      </c>
      <c r="O1093" t="n">
        <v>0</v>
      </c>
      <c r="P1093" t="n">
        <v>0</v>
      </c>
      <c r="Q1093" t="n">
        <v>0</v>
      </c>
      <c r="R1093" s="2" t="inlineStr"/>
    </row>
    <row r="1094" ht="15" customHeight="1">
      <c r="A1094" t="inlineStr">
        <is>
          <t>A 73566-2021</t>
        </is>
      </c>
      <c r="B1094" s="1" t="n">
        <v>44551</v>
      </c>
      <c r="C1094" s="1" t="n">
        <v>45670</v>
      </c>
      <c r="D1094" t="inlineStr">
        <is>
          <t>VÄSTERNORRLANDS LÄN</t>
        </is>
      </c>
      <c r="E1094" t="inlineStr">
        <is>
          <t>SOLLEFTEÅ</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73564-2021</t>
        </is>
      </c>
      <c r="B1095" s="1" t="n">
        <v>44551</v>
      </c>
      <c r="C1095" s="1" t="n">
        <v>45670</v>
      </c>
      <c r="D1095" t="inlineStr">
        <is>
          <t>VÄSTERNORRLANDS LÄN</t>
        </is>
      </c>
      <c r="E1095" t="inlineStr">
        <is>
          <t>SOLLEFTEÅ</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73567-2021</t>
        </is>
      </c>
      <c r="B1096" s="1" t="n">
        <v>44551</v>
      </c>
      <c r="C1096" s="1" t="n">
        <v>45670</v>
      </c>
      <c r="D1096" t="inlineStr">
        <is>
          <t>VÄSTERNORRLANDS LÄN</t>
        </is>
      </c>
      <c r="E1096" t="inlineStr">
        <is>
          <t>SOLLEFTEÅ</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73886-2021</t>
        </is>
      </c>
      <c r="B1097" s="1" t="n">
        <v>44553</v>
      </c>
      <c r="C1097" s="1" t="n">
        <v>45670</v>
      </c>
      <c r="D1097" t="inlineStr">
        <is>
          <t>VÄSTERNORRLANDS LÄN</t>
        </is>
      </c>
      <c r="E1097" t="inlineStr">
        <is>
          <t>SOLLEFTEÅ</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73847-2021</t>
        </is>
      </c>
      <c r="B1098" s="1" t="n">
        <v>44553</v>
      </c>
      <c r="C1098" s="1" t="n">
        <v>45670</v>
      </c>
      <c r="D1098" t="inlineStr">
        <is>
          <t>VÄSTERNORRLANDS LÄN</t>
        </is>
      </c>
      <c r="E1098" t="inlineStr">
        <is>
          <t>SOLLEFTEÅ</t>
        </is>
      </c>
      <c r="F1098" t="inlineStr">
        <is>
          <t>Övriga Aktiebolag</t>
        </is>
      </c>
      <c r="G1098" t="n">
        <v>20.1</v>
      </c>
      <c r="H1098" t="n">
        <v>0</v>
      </c>
      <c r="I1098" t="n">
        <v>0</v>
      </c>
      <c r="J1098" t="n">
        <v>0</v>
      </c>
      <c r="K1098" t="n">
        <v>0</v>
      </c>
      <c r="L1098" t="n">
        <v>0</v>
      </c>
      <c r="M1098" t="n">
        <v>0</v>
      </c>
      <c r="N1098" t="n">
        <v>0</v>
      </c>
      <c r="O1098" t="n">
        <v>0</v>
      </c>
      <c r="P1098" t="n">
        <v>0</v>
      </c>
      <c r="Q1098" t="n">
        <v>0</v>
      </c>
      <c r="R1098" s="2" t="inlineStr"/>
    </row>
    <row r="1099" ht="15" customHeight="1">
      <c r="A1099" t="inlineStr">
        <is>
          <t>A 2-2022</t>
        </is>
      </c>
      <c r="B1099" s="1" t="n">
        <v>44562</v>
      </c>
      <c r="C1099" s="1" t="n">
        <v>45670</v>
      </c>
      <c r="D1099" t="inlineStr">
        <is>
          <t>VÄSTERNORRLANDS LÄN</t>
        </is>
      </c>
      <c r="E1099" t="inlineStr">
        <is>
          <t>SOLLEFTEÅ</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19-2022</t>
        </is>
      </c>
      <c r="B1100" s="1" t="n">
        <v>44564</v>
      </c>
      <c r="C1100" s="1" t="n">
        <v>45670</v>
      </c>
      <c r="D1100" t="inlineStr">
        <is>
          <t>VÄSTERNORRLANDS LÄN</t>
        </is>
      </c>
      <c r="E1100" t="inlineStr">
        <is>
          <t>SOLLEFTEÅ</t>
        </is>
      </c>
      <c r="G1100" t="n">
        <v>14.9</v>
      </c>
      <c r="H1100" t="n">
        <v>0</v>
      </c>
      <c r="I1100" t="n">
        <v>0</v>
      </c>
      <c r="J1100" t="n">
        <v>0</v>
      </c>
      <c r="K1100" t="n">
        <v>0</v>
      </c>
      <c r="L1100" t="n">
        <v>0</v>
      </c>
      <c r="M1100" t="n">
        <v>0</v>
      </c>
      <c r="N1100" t="n">
        <v>0</v>
      </c>
      <c r="O1100" t="n">
        <v>0</v>
      </c>
      <c r="P1100" t="n">
        <v>0</v>
      </c>
      <c r="Q1100" t="n">
        <v>0</v>
      </c>
      <c r="R1100" s="2" t="inlineStr"/>
    </row>
    <row r="1101" ht="15" customHeight="1">
      <c r="A1101" t="inlineStr">
        <is>
          <t>A 576-2022</t>
        </is>
      </c>
      <c r="B1101" s="1" t="n">
        <v>44566</v>
      </c>
      <c r="C1101" s="1" t="n">
        <v>45670</v>
      </c>
      <c r="D1101" t="inlineStr">
        <is>
          <t>VÄSTERNORRLANDS LÄN</t>
        </is>
      </c>
      <c r="E1101" t="inlineStr">
        <is>
          <t>SOLLEFTEÅ</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1095-2022</t>
        </is>
      </c>
      <c r="B1102" s="1" t="n">
        <v>44571</v>
      </c>
      <c r="C1102" s="1" t="n">
        <v>45670</v>
      </c>
      <c r="D1102" t="inlineStr">
        <is>
          <t>VÄSTERNORRLANDS LÄN</t>
        </is>
      </c>
      <c r="E1102" t="inlineStr">
        <is>
          <t>SOLLEFTEÅ</t>
        </is>
      </c>
      <c r="F1102" t="inlineStr">
        <is>
          <t>SCA</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1094-2022</t>
        </is>
      </c>
      <c r="B1103" s="1" t="n">
        <v>44571</v>
      </c>
      <c r="C1103" s="1" t="n">
        <v>45670</v>
      </c>
      <c r="D1103" t="inlineStr">
        <is>
          <t>VÄSTERNORRLANDS LÄN</t>
        </is>
      </c>
      <c r="E1103" t="inlineStr">
        <is>
          <t>SOLLEFTEÅ</t>
        </is>
      </c>
      <c r="F1103" t="inlineStr">
        <is>
          <t>SCA</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1402-2022</t>
        </is>
      </c>
      <c r="B1104" s="1" t="n">
        <v>44573</v>
      </c>
      <c r="C1104" s="1" t="n">
        <v>45670</v>
      </c>
      <c r="D1104" t="inlineStr">
        <is>
          <t>VÄSTERNORRLANDS LÄN</t>
        </is>
      </c>
      <c r="E1104" t="inlineStr">
        <is>
          <t>SOLLEFTEÅ</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1987-2022</t>
        </is>
      </c>
      <c r="B1105" s="1" t="n">
        <v>44575</v>
      </c>
      <c r="C1105" s="1" t="n">
        <v>45670</v>
      </c>
      <c r="D1105" t="inlineStr">
        <is>
          <t>VÄSTERNORRLANDS LÄN</t>
        </is>
      </c>
      <c r="E1105" t="inlineStr">
        <is>
          <t>SOLLEFTEÅ</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1997-2022</t>
        </is>
      </c>
      <c r="B1106" s="1" t="n">
        <v>44575</v>
      </c>
      <c r="C1106" s="1" t="n">
        <v>45670</v>
      </c>
      <c r="D1106" t="inlineStr">
        <is>
          <t>VÄSTERNORRLANDS LÄN</t>
        </is>
      </c>
      <c r="E1106" t="inlineStr">
        <is>
          <t>SOLLEFTEÅ</t>
        </is>
      </c>
      <c r="G1106" t="n">
        <v>8.800000000000001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2536-2022</t>
        </is>
      </c>
      <c r="B1107" s="1" t="n">
        <v>44579</v>
      </c>
      <c r="C1107" s="1" t="n">
        <v>45670</v>
      </c>
      <c r="D1107" t="inlineStr">
        <is>
          <t>VÄSTERNORRLANDS LÄN</t>
        </is>
      </c>
      <c r="E1107" t="inlineStr">
        <is>
          <t>SOLLEFTEÅ</t>
        </is>
      </c>
      <c r="F1107" t="inlineStr">
        <is>
          <t>Övriga Aktiebolag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2543-2022</t>
        </is>
      </c>
      <c r="B1108" s="1" t="n">
        <v>44580</v>
      </c>
      <c r="C1108" s="1" t="n">
        <v>45670</v>
      </c>
      <c r="D1108" t="inlineStr">
        <is>
          <t>VÄSTERNORRLANDS LÄN</t>
        </is>
      </c>
      <c r="E1108" t="inlineStr">
        <is>
          <t>SOLLEFTEÅ</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2542-2022</t>
        </is>
      </c>
      <c r="B1109" s="1" t="n">
        <v>44580</v>
      </c>
      <c r="C1109" s="1" t="n">
        <v>45670</v>
      </c>
      <c r="D1109" t="inlineStr">
        <is>
          <t>VÄSTERNORRLANDS LÄN</t>
        </is>
      </c>
      <c r="E1109" t="inlineStr">
        <is>
          <t>SOLLEFTEÅ</t>
        </is>
      </c>
      <c r="F1109" t="inlineStr">
        <is>
          <t>SCA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2541-2022</t>
        </is>
      </c>
      <c r="B1110" s="1" t="n">
        <v>44580</v>
      </c>
      <c r="C1110" s="1" t="n">
        <v>45670</v>
      </c>
      <c r="D1110" t="inlineStr">
        <is>
          <t>VÄSTERNORRLANDS LÄN</t>
        </is>
      </c>
      <c r="E1110" t="inlineStr">
        <is>
          <t>SOLLEFTEÅ</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2747-2022</t>
        </is>
      </c>
      <c r="B1111" s="1" t="n">
        <v>44580</v>
      </c>
      <c r="C1111" s="1" t="n">
        <v>45670</v>
      </c>
      <c r="D1111" t="inlineStr">
        <is>
          <t>VÄSTERNORRLANDS LÄN</t>
        </is>
      </c>
      <c r="E1111" t="inlineStr">
        <is>
          <t>SOLLEFTEÅ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3001-2022</t>
        </is>
      </c>
      <c r="B1112" s="1" t="n">
        <v>44581</v>
      </c>
      <c r="C1112" s="1" t="n">
        <v>45670</v>
      </c>
      <c r="D1112" t="inlineStr">
        <is>
          <t>VÄSTERNORRLANDS LÄN</t>
        </is>
      </c>
      <c r="E1112" t="inlineStr">
        <is>
          <t>SOLLEFTEÅ</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3541-2022</t>
        </is>
      </c>
      <c r="B1113" s="1" t="n">
        <v>44585</v>
      </c>
      <c r="C1113" s="1" t="n">
        <v>45670</v>
      </c>
      <c r="D1113" t="inlineStr">
        <is>
          <t>VÄSTERNORRLANDS LÄN</t>
        </is>
      </c>
      <c r="E1113" t="inlineStr">
        <is>
          <t>SOLLEFTEÅ</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3548-2022</t>
        </is>
      </c>
      <c r="B1114" s="1" t="n">
        <v>44585</v>
      </c>
      <c r="C1114" s="1" t="n">
        <v>45670</v>
      </c>
      <c r="D1114" t="inlineStr">
        <is>
          <t>VÄSTERNORRLANDS LÄN</t>
        </is>
      </c>
      <c r="E1114" t="inlineStr">
        <is>
          <t>SOLLEFTEÅ</t>
        </is>
      </c>
      <c r="F1114" t="inlineStr">
        <is>
          <t>SCA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3554-2022</t>
        </is>
      </c>
      <c r="B1115" s="1" t="n">
        <v>44585</v>
      </c>
      <c r="C1115" s="1" t="n">
        <v>45670</v>
      </c>
      <c r="D1115" t="inlineStr">
        <is>
          <t>VÄSTERNORRLANDS LÄN</t>
        </is>
      </c>
      <c r="E1115" t="inlineStr">
        <is>
          <t>SOLLEFTEÅ</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3560-2022</t>
        </is>
      </c>
      <c r="B1116" s="1" t="n">
        <v>44585</v>
      </c>
      <c r="C1116" s="1" t="n">
        <v>45670</v>
      </c>
      <c r="D1116" t="inlineStr">
        <is>
          <t>VÄSTERNORRLANDS LÄN</t>
        </is>
      </c>
      <c r="E1116" t="inlineStr">
        <is>
          <t>SOLLEFTEÅ</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3549-2022</t>
        </is>
      </c>
      <c r="B1117" s="1" t="n">
        <v>44585</v>
      </c>
      <c r="C1117" s="1" t="n">
        <v>45670</v>
      </c>
      <c r="D1117" t="inlineStr">
        <is>
          <t>VÄSTERNORRLANDS LÄN</t>
        </is>
      </c>
      <c r="E1117" t="inlineStr">
        <is>
          <t>SOLLEFTEÅ</t>
        </is>
      </c>
      <c r="F1117" t="inlineStr">
        <is>
          <t>SCA</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3551-2022</t>
        </is>
      </c>
      <c r="B1118" s="1" t="n">
        <v>44585</v>
      </c>
      <c r="C1118" s="1" t="n">
        <v>45670</v>
      </c>
      <c r="D1118" t="inlineStr">
        <is>
          <t>VÄSTERNORRLANDS LÄN</t>
        </is>
      </c>
      <c r="E1118" t="inlineStr">
        <is>
          <t>SOLLEFTEÅ</t>
        </is>
      </c>
      <c r="F1118" t="inlineStr">
        <is>
          <t>SCA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3556-2022</t>
        </is>
      </c>
      <c r="B1119" s="1" t="n">
        <v>44585</v>
      </c>
      <c r="C1119" s="1" t="n">
        <v>45670</v>
      </c>
      <c r="D1119" t="inlineStr">
        <is>
          <t>VÄSTERNORRLANDS LÄN</t>
        </is>
      </c>
      <c r="E1119" t="inlineStr">
        <is>
          <t>SOLLEFTEÅ</t>
        </is>
      </c>
      <c r="F1119" t="inlineStr">
        <is>
          <t>SCA</t>
        </is>
      </c>
      <c r="G1119" t="n">
        <v>18.2</v>
      </c>
      <c r="H1119" t="n">
        <v>0</v>
      </c>
      <c r="I1119" t="n">
        <v>0</v>
      </c>
      <c r="J1119" t="n">
        <v>0</v>
      </c>
      <c r="K1119" t="n">
        <v>0</v>
      </c>
      <c r="L1119" t="n">
        <v>0</v>
      </c>
      <c r="M1119" t="n">
        <v>0</v>
      </c>
      <c r="N1119" t="n">
        <v>0</v>
      </c>
      <c r="O1119" t="n">
        <v>0</v>
      </c>
      <c r="P1119" t="n">
        <v>0</v>
      </c>
      <c r="Q1119" t="n">
        <v>0</v>
      </c>
      <c r="R1119" s="2" t="inlineStr"/>
    </row>
    <row r="1120" ht="15" customHeight="1">
      <c r="A1120" t="inlineStr">
        <is>
          <t>A 3555-2022</t>
        </is>
      </c>
      <c r="B1120" s="1" t="n">
        <v>44585</v>
      </c>
      <c r="C1120" s="1" t="n">
        <v>45670</v>
      </c>
      <c r="D1120" t="inlineStr">
        <is>
          <t>VÄSTERNORRLANDS LÄN</t>
        </is>
      </c>
      <c r="E1120" t="inlineStr">
        <is>
          <t>SOLLEFTEÅ</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3552-2022</t>
        </is>
      </c>
      <c r="B1121" s="1" t="n">
        <v>44585</v>
      </c>
      <c r="C1121" s="1" t="n">
        <v>45670</v>
      </c>
      <c r="D1121" t="inlineStr">
        <is>
          <t>VÄSTERNORRLANDS LÄN</t>
        </is>
      </c>
      <c r="E1121" t="inlineStr">
        <is>
          <t>SOLLEFTEÅ</t>
        </is>
      </c>
      <c r="F1121" t="inlineStr">
        <is>
          <t>SCA</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3557-2022</t>
        </is>
      </c>
      <c r="B1122" s="1" t="n">
        <v>44585</v>
      </c>
      <c r="C1122" s="1" t="n">
        <v>45670</v>
      </c>
      <c r="D1122" t="inlineStr">
        <is>
          <t>VÄSTERNORRLANDS LÄN</t>
        </is>
      </c>
      <c r="E1122" t="inlineStr">
        <is>
          <t>SOLLEFTEÅ</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3699-2022</t>
        </is>
      </c>
      <c r="B1123" s="1" t="n">
        <v>44586</v>
      </c>
      <c r="C1123" s="1" t="n">
        <v>45670</v>
      </c>
      <c r="D1123" t="inlineStr">
        <is>
          <t>VÄSTERNORRLANDS LÄN</t>
        </is>
      </c>
      <c r="E1123" t="inlineStr">
        <is>
          <t>SOLLEFTEÅ</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3793-2022</t>
        </is>
      </c>
      <c r="B1124" s="1" t="n">
        <v>44586</v>
      </c>
      <c r="C1124" s="1" t="n">
        <v>45670</v>
      </c>
      <c r="D1124" t="inlineStr">
        <is>
          <t>VÄSTERNORRLANDS LÄN</t>
        </is>
      </c>
      <c r="E1124" t="inlineStr">
        <is>
          <t>SOLLEFTEÅ</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3795-2022</t>
        </is>
      </c>
      <c r="B1125" s="1" t="n">
        <v>44586</v>
      </c>
      <c r="C1125" s="1" t="n">
        <v>45670</v>
      </c>
      <c r="D1125" t="inlineStr">
        <is>
          <t>VÄSTERNORRLANDS LÄN</t>
        </is>
      </c>
      <c r="E1125" t="inlineStr">
        <is>
          <t>SOLLEFTEÅ</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4018-2022</t>
        </is>
      </c>
      <c r="B1126" s="1" t="n">
        <v>44587</v>
      </c>
      <c r="C1126" s="1" t="n">
        <v>45670</v>
      </c>
      <c r="D1126" t="inlineStr">
        <is>
          <t>VÄSTERNORRLANDS LÄN</t>
        </is>
      </c>
      <c r="E1126" t="inlineStr">
        <is>
          <t>SOLLEFTEÅ</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4343-2022</t>
        </is>
      </c>
      <c r="B1127" s="1" t="n">
        <v>44588</v>
      </c>
      <c r="C1127" s="1" t="n">
        <v>45670</v>
      </c>
      <c r="D1127" t="inlineStr">
        <is>
          <t>VÄSTERNORRLANDS LÄN</t>
        </is>
      </c>
      <c r="E1127" t="inlineStr">
        <is>
          <t>SOLLEFTEÅ</t>
        </is>
      </c>
      <c r="F1127" t="inlineStr">
        <is>
          <t>SCA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4555-2022</t>
        </is>
      </c>
      <c r="B1128" s="1" t="n">
        <v>44590</v>
      </c>
      <c r="C1128" s="1" t="n">
        <v>45670</v>
      </c>
      <c r="D1128" t="inlineStr">
        <is>
          <t>VÄSTERNORRLANDS LÄN</t>
        </is>
      </c>
      <c r="E1128" t="inlineStr">
        <is>
          <t>SOLLEFTEÅ</t>
        </is>
      </c>
      <c r="F1128" t="inlineStr">
        <is>
          <t>SCA</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5108-2022</t>
        </is>
      </c>
      <c r="B1129" s="1" t="n">
        <v>44593</v>
      </c>
      <c r="C1129" s="1" t="n">
        <v>45670</v>
      </c>
      <c r="D1129" t="inlineStr">
        <is>
          <t>VÄSTERNORRLANDS LÄN</t>
        </is>
      </c>
      <c r="E1129" t="inlineStr">
        <is>
          <t>SOLLEFTEÅ</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5110-2022</t>
        </is>
      </c>
      <c r="B1130" s="1" t="n">
        <v>44593</v>
      </c>
      <c r="C1130" s="1" t="n">
        <v>45670</v>
      </c>
      <c r="D1130" t="inlineStr">
        <is>
          <t>VÄSTERNORRLANDS LÄN</t>
        </is>
      </c>
      <c r="E1130" t="inlineStr">
        <is>
          <t>SOLLEFTEÅ</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5111-2022</t>
        </is>
      </c>
      <c r="B1131" s="1" t="n">
        <v>44593</v>
      </c>
      <c r="C1131" s="1" t="n">
        <v>45670</v>
      </c>
      <c r="D1131" t="inlineStr">
        <is>
          <t>VÄSTERNORRLANDS LÄN</t>
        </is>
      </c>
      <c r="E1131" t="inlineStr">
        <is>
          <t>SOLLEFTEÅ</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5134-2022</t>
        </is>
      </c>
      <c r="B1132" s="1" t="n">
        <v>44594</v>
      </c>
      <c r="C1132" s="1" t="n">
        <v>45670</v>
      </c>
      <c r="D1132" t="inlineStr">
        <is>
          <t>VÄSTERNORRLANDS LÄN</t>
        </is>
      </c>
      <c r="E1132" t="inlineStr">
        <is>
          <t>SOLLEFTEÅ</t>
        </is>
      </c>
      <c r="G1132" t="n">
        <v>20.4</v>
      </c>
      <c r="H1132" t="n">
        <v>0</v>
      </c>
      <c r="I1132" t="n">
        <v>0</v>
      </c>
      <c r="J1132" t="n">
        <v>0</v>
      </c>
      <c r="K1132" t="n">
        <v>0</v>
      </c>
      <c r="L1132" t="n">
        <v>0</v>
      </c>
      <c r="M1132" t="n">
        <v>0</v>
      </c>
      <c r="N1132" t="n">
        <v>0</v>
      </c>
      <c r="O1132" t="n">
        <v>0</v>
      </c>
      <c r="P1132" t="n">
        <v>0</v>
      </c>
      <c r="Q1132" t="n">
        <v>0</v>
      </c>
      <c r="R1132" s="2" t="inlineStr"/>
    </row>
    <row r="1133" ht="15" customHeight="1">
      <c r="A1133" t="inlineStr">
        <is>
          <t>A 5657-2022</t>
        </is>
      </c>
      <c r="B1133" s="1" t="n">
        <v>44595</v>
      </c>
      <c r="C1133" s="1" t="n">
        <v>45670</v>
      </c>
      <c r="D1133" t="inlineStr">
        <is>
          <t>VÄSTERNORRLANDS LÄN</t>
        </is>
      </c>
      <c r="E1133" t="inlineStr">
        <is>
          <t>SOLLEFTEÅ</t>
        </is>
      </c>
      <c r="F1133" t="inlineStr">
        <is>
          <t>SCA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5909-2022</t>
        </is>
      </c>
      <c r="B1134" s="1" t="n">
        <v>44596</v>
      </c>
      <c r="C1134" s="1" t="n">
        <v>45670</v>
      </c>
      <c r="D1134" t="inlineStr">
        <is>
          <t>VÄSTERNORRLANDS LÄN</t>
        </is>
      </c>
      <c r="E1134" t="inlineStr">
        <is>
          <t>SOLLEFTEÅ</t>
        </is>
      </c>
      <c r="F1134" t="inlineStr">
        <is>
          <t>SCA</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6121-2022</t>
        </is>
      </c>
      <c r="B1135" s="1" t="n">
        <v>44599</v>
      </c>
      <c r="C1135" s="1" t="n">
        <v>45670</v>
      </c>
      <c r="D1135" t="inlineStr">
        <is>
          <t>VÄSTERNORRLANDS LÄN</t>
        </is>
      </c>
      <c r="E1135" t="inlineStr">
        <is>
          <t>SOLLEFTEÅ</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6172-2022</t>
        </is>
      </c>
      <c r="B1136" s="1" t="n">
        <v>44599</v>
      </c>
      <c r="C1136" s="1" t="n">
        <v>45670</v>
      </c>
      <c r="D1136" t="inlineStr">
        <is>
          <t>VÄSTERNORRLANDS LÄN</t>
        </is>
      </c>
      <c r="E1136" t="inlineStr">
        <is>
          <t>SOLLEFTEÅ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6170-2022</t>
        </is>
      </c>
      <c r="B1137" s="1" t="n">
        <v>44599</v>
      </c>
      <c r="C1137" s="1" t="n">
        <v>45670</v>
      </c>
      <c r="D1137" t="inlineStr">
        <is>
          <t>VÄSTERNORRLANDS LÄN</t>
        </is>
      </c>
      <c r="E1137" t="inlineStr">
        <is>
          <t>SOLLEFTEÅ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7667-2022</t>
        </is>
      </c>
      <c r="B1138" s="1" t="n">
        <v>44607</v>
      </c>
      <c r="C1138" s="1" t="n">
        <v>45670</v>
      </c>
      <c r="D1138" t="inlineStr">
        <is>
          <t>VÄSTERNORRLANDS LÄN</t>
        </is>
      </c>
      <c r="E1138" t="inlineStr">
        <is>
          <t>SOLLEFTEÅ</t>
        </is>
      </c>
      <c r="F1138" t="inlineStr">
        <is>
          <t>SCA</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7965-2022</t>
        </is>
      </c>
      <c r="B1139" s="1" t="n">
        <v>44608</v>
      </c>
      <c r="C1139" s="1" t="n">
        <v>45670</v>
      </c>
      <c r="D1139" t="inlineStr">
        <is>
          <t>VÄSTERNORRLANDS LÄN</t>
        </is>
      </c>
      <c r="E1139" t="inlineStr">
        <is>
          <t>SOLLEFTEÅ</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7963-2022</t>
        </is>
      </c>
      <c r="B1140" s="1" t="n">
        <v>44608</v>
      </c>
      <c r="C1140" s="1" t="n">
        <v>45670</v>
      </c>
      <c r="D1140" t="inlineStr">
        <is>
          <t>VÄSTERNORRLANDS LÄN</t>
        </is>
      </c>
      <c r="E1140" t="inlineStr">
        <is>
          <t>SOLLEFTEÅ</t>
        </is>
      </c>
      <c r="F1140" t="inlineStr">
        <is>
          <t>SCA</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7935-2022</t>
        </is>
      </c>
      <c r="B1141" s="1" t="n">
        <v>44608</v>
      </c>
      <c r="C1141" s="1" t="n">
        <v>45670</v>
      </c>
      <c r="D1141" t="inlineStr">
        <is>
          <t>VÄSTERNORRLANDS LÄN</t>
        </is>
      </c>
      <c r="E1141" t="inlineStr">
        <is>
          <t>SOLLEFTEÅ</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7964-2022</t>
        </is>
      </c>
      <c r="B1142" s="1" t="n">
        <v>44608</v>
      </c>
      <c r="C1142" s="1" t="n">
        <v>45670</v>
      </c>
      <c r="D1142" t="inlineStr">
        <is>
          <t>VÄSTERNORRLANDS LÄN</t>
        </is>
      </c>
      <c r="E1142" t="inlineStr">
        <is>
          <t>SOLLEFTEÅ</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8221-2022</t>
        </is>
      </c>
      <c r="B1143" s="1" t="n">
        <v>44609</v>
      </c>
      <c r="C1143" s="1" t="n">
        <v>45670</v>
      </c>
      <c r="D1143" t="inlineStr">
        <is>
          <t>VÄSTERNORRLANDS LÄN</t>
        </is>
      </c>
      <c r="E1143" t="inlineStr">
        <is>
          <t>SOLLEFTEÅ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8222-2022</t>
        </is>
      </c>
      <c r="B1144" s="1" t="n">
        <v>44609</v>
      </c>
      <c r="C1144" s="1" t="n">
        <v>45670</v>
      </c>
      <c r="D1144" t="inlineStr">
        <is>
          <t>VÄSTERNORRLANDS LÄN</t>
        </is>
      </c>
      <c r="E1144" t="inlineStr">
        <is>
          <t>SOLLEFTEÅ</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8728-2022</t>
        </is>
      </c>
      <c r="B1145" s="1" t="n">
        <v>44613</v>
      </c>
      <c r="C1145" s="1" t="n">
        <v>45670</v>
      </c>
      <c r="D1145" t="inlineStr">
        <is>
          <t>VÄSTERNORRLANDS LÄN</t>
        </is>
      </c>
      <c r="E1145" t="inlineStr">
        <is>
          <t>SOLLEFTEÅ</t>
        </is>
      </c>
      <c r="F1145" t="inlineStr">
        <is>
          <t>SCA</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8729-2022</t>
        </is>
      </c>
      <c r="B1146" s="1" t="n">
        <v>44613</v>
      </c>
      <c r="C1146" s="1" t="n">
        <v>45670</v>
      </c>
      <c r="D1146" t="inlineStr">
        <is>
          <t>VÄSTERNORRLANDS LÄN</t>
        </is>
      </c>
      <c r="E1146" t="inlineStr">
        <is>
          <t>SOLLEFTEÅ</t>
        </is>
      </c>
      <c r="F1146" t="inlineStr">
        <is>
          <t>SCA</t>
        </is>
      </c>
      <c r="G1146" t="n">
        <v>16.5</v>
      </c>
      <c r="H1146" t="n">
        <v>0</v>
      </c>
      <c r="I1146" t="n">
        <v>0</v>
      </c>
      <c r="J1146" t="n">
        <v>0</v>
      </c>
      <c r="K1146" t="n">
        <v>0</v>
      </c>
      <c r="L1146" t="n">
        <v>0</v>
      </c>
      <c r="M1146" t="n">
        <v>0</v>
      </c>
      <c r="N1146" t="n">
        <v>0</v>
      </c>
      <c r="O1146" t="n">
        <v>0</v>
      </c>
      <c r="P1146" t="n">
        <v>0</v>
      </c>
      <c r="Q1146" t="n">
        <v>0</v>
      </c>
      <c r="R1146" s="2" t="inlineStr"/>
    </row>
    <row r="1147" ht="15" customHeight="1">
      <c r="A1147" t="inlineStr">
        <is>
          <t>A 8734-2022</t>
        </is>
      </c>
      <c r="B1147" s="1" t="n">
        <v>44613</v>
      </c>
      <c r="C1147" s="1" t="n">
        <v>45670</v>
      </c>
      <c r="D1147" t="inlineStr">
        <is>
          <t>VÄSTERNORRLANDS LÄN</t>
        </is>
      </c>
      <c r="E1147" t="inlineStr">
        <is>
          <t>SOLLEFTEÅ</t>
        </is>
      </c>
      <c r="F1147" t="inlineStr">
        <is>
          <t>SCA</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9124-2022</t>
        </is>
      </c>
      <c r="B1148" s="1" t="n">
        <v>44615</v>
      </c>
      <c r="C1148" s="1" t="n">
        <v>45670</v>
      </c>
      <c r="D1148" t="inlineStr">
        <is>
          <t>VÄSTERNORRLANDS LÄN</t>
        </is>
      </c>
      <c r="E1148" t="inlineStr">
        <is>
          <t>SOLLEFTEÅ</t>
        </is>
      </c>
      <c r="G1148" t="n">
        <v>20.2</v>
      </c>
      <c r="H1148" t="n">
        <v>0</v>
      </c>
      <c r="I1148" t="n">
        <v>0</v>
      </c>
      <c r="J1148" t="n">
        <v>0</v>
      </c>
      <c r="K1148" t="n">
        <v>0</v>
      </c>
      <c r="L1148" t="n">
        <v>0</v>
      </c>
      <c r="M1148" t="n">
        <v>0</v>
      </c>
      <c r="N1148" t="n">
        <v>0</v>
      </c>
      <c r="O1148" t="n">
        <v>0</v>
      </c>
      <c r="P1148" t="n">
        <v>0</v>
      </c>
      <c r="Q1148" t="n">
        <v>0</v>
      </c>
      <c r="R1148" s="2" t="inlineStr"/>
    </row>
    <row r="1149" ht="15" customHeight="1">
      <c r="A1149" t="inlineStr">
        <is>
          <t>A 9487-2022</t>
        </is>
      </c>
      <c r="B1149" s="1" t="n">
        <v>44616</v>
      </c>
      <c r="C1149" s="1" t="n">
        <v>45670</v>
      </c>
      <c r="D1149" t="inlineStr">
        <is>
          <t>VÄSTERNORRLANDS LÄN</t>
        </is>
      </c>
      <c r="E1149" t="inlineStr">
        <is>
          <t>SOLLEFTEÅ</t>
        </is>
      </c>
      <c r="F1149" t="inlineStr">
        <is>
          <t>SCA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9586-2022</t>
        </is>
      </c>
      <c r="B1150" s="1" t="n">
        <v>44617</v>
      </c>
      <c r="C1150" s="1" t="n">
        <v>45670</v>
      </c>
      <c r="D1150" t="inlineStr">
        <is>
          <t>VÄSTERNORRLANDS LÄN</t>
        </is>
      </c>
      <c r="E1150" t="inlineStr">
        <is>
          <t>SOLLEFTEÅ</t>
        </is>
      </c>
      <c r="F1150" t="inlineStr">
        <is>
          <t>Övriga Aktiebolag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10138-2022</t>
        </is>
      </c>
      <c r="B1151" s="1" t="n">
        <v>44621</v>
      </c>
      <c r="C1151" s="1" t="n">
        <v>45670</v>
      </c>
      <c r="D1151" t="inlineStr">
        <is>
          <t>VÄSTERNORRLANDS LÄN</t>
        </is>
      </c>
      <c r="E1151" t="inlineStr">
        <is>
          <t>SOLLEFTEÅ</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10139-2022</t>
        </is>
      </c>
      <c r="B1152" s="1" t="n">
        <v>44621</v>
      </c>
      <c r="C1152" s="1" t="n">
        <v>45670</v>
      </c>
      <c r="D1152" t="inlineStr">
        <is>
          <t>VÄSTERNORRLANDS LÄN</t>
        </is>
      </c>
      <c r="E1152" t="inlineStr">
        <is>
          <t>SOLLEFTEÅ</t>
        </is>
      </c>
      <c r="F1152" t="inlineStr">
        <is>
          <t>SCA</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10140-2022</t>
        </is>
      </c>
      <c r="B1153" s="1" t="n">
        <v>44621</v>
      </c>
      <c r="C1153" s="1" t="n">
        <v>45670</v>
      </c>
      <c r="D1153" t="inlineStr">
        <is>
          <t>VÄSTERNORRLANDS LÄN</t>
        </is>
      </c>
      <c r="E1153" t="inlineStr">
        <is>
          <t>SOLLEFTEÅ</t>
        </is>
      </c>
      <c r="F1153" t="inlineStr">
        <is>
          <t>SCA</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10141-2022</t>
        </is>
      </c>
      <c r="B1154" s="1" t="n">
        <v>44621</v>
      </c>
      <c r="C1154" s="1" t="n">
        <v>45670</v>
      </c>
      <c r="D1154" t="inlineStr">
        <is>
          <t>VÄSTERNORRLANDS LÄN</t>
        </is>
      </c>
      <c r="E1154" t="inlineStr">
        <is>
          <t>SOLLEFTEÅ</t>
        </is>
      </c>
      <c r="F1154" t="inlineStr">
        <is>
          <t>SCA</t>
        </is>
      </c>
      <c r="G1154" t="n">
        <v>15.5</v>
      </c>
      <c r="H1154" t="n">
        <v>0</v>
      </c>
      <c r="I1154" t="n">
        <v>0</v>
      </c>
      <c r="J1154" t="n">
        <v>0</v>
      </c>
      <c r="K1154" t="n">
        <v>0</v>
      </c>
      <c r="L1154" t="n">
        <v>0</v>
      </c>
      <c r="M1154" t="n">
        <v>0</v>
      </c>
      <c r="N1154" t="n">
        <v>0</v>
      </c>
      <c r="O1154" t="n">
        <v>0</v>
      </c>
      <c r="P1154" t="n">
        <v>0</v>
      </c>
      <c r="Q1154" t="n">
        <v>0</v>
      </c>
      <c r="R1154" s="2" t="inlineStr"/>
    </row>
    <row r="1155" ht="15" customHeight="1">
      <c r="A1155" t="inlineStr">
        <is>
          <t>A 10198-2022</t>
        </is>
      </c>
      <c r="B1155" s="1" t="n">
        <v>44622</v>
      </c>
      <c r="C1155" s="1" t="n">
        <v>45670</v>
      </c>
      <c r="D1155" t="inlineStr">
        <is>
          <t>VÄSTERNORRLANDS LÄN</t>
        </is>
      </c>
      <c r="E1155" t="inlineStr">
        <is>
          <t>SOLLEFTEÅ</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10242-2022</t>
        </is>
      </c>
      <c r="B1156" s="1" t="n">
        <v>44622</v>
      </c>
      <c r="C1156" s="1" t="n">
        <v>45670</v>
      </c>
      <c r="D1156" t="inlineStr">
        <is>
          <t>VÄSTERNORRLANDS LÄN</t>
        </is>
      </c>
      <c r="E1156" t="inlineStr">
        <is>
          <t>SOLLEFTEÅ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10308-2022</t>
        </is>
      </c>
      <c r="B1157" s="1" t="n">
        <v>44622</v>
      </c>
      <c r="C1157" s="1" t="n">
        <v>45670</v>
      </c>
      <c r="D1157" t="inlineStr">
        <is>
          <t>VÄSTERNORRLANDS LÄN</t>
        </is>
      </c>
      <c r="E1157" t="inlineStr">
        <is>
          <t>SOLLEFTEÅ</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10250-2022</t>
        </is>
      </c>
      <c r="B1158" s="1" t="n">
        <v>44622</v>
      </c>
      <c r="C1158" s="1" t="n">
        <v>45670</v>
      </c>
      <c r="D1158" t="inlineStr">
        <is>
          <t>VÄSTERNORRLANDS LÄN</t>
        </is>
      </c>
      <c r="E1158" t="inlineStr">
        <is>
          <t>SOLLEFTEÅ</t>
        </is>
      </c>
      <c r="G1158" t="n">
        <v>17.6</v>
      </c>
      <c r="H1158" t="n">
        <v>0</v>
      </c>
      <c r="I1158" t="n">
        <v>0</v>
      </c>
      <c r="J1158" t="n">
        <v>0</v>
      </c>
      <c r="K1158" t="n">
        <v>0</v>
      </c>
      <c r="L1158" t="n">
        <v>0</v>
      </c>
      <c r="M1158" t="n">
        <v>0</v>
      </c>
      <c r="N1158" t="n">
        <v>0</v>
      </c>
      <c r="O1158" t="n">
        <v>0</v>
      </c>
      <c r="P1158" t="n">
        <v>0</v>
      </c>
      <c r="Q1158" t="n">
        <v>0</v>
      </c>
      <c r="R1158" s="2" t="inlineStr"/>
    </row>
    <row r="1159" ht="15" customHeight="1">
      <c r="A1159" t="inlineStr">
        <is>
          <t>A 10310-2022</t>
        </is>
      </c>
      <c r="B1159" s="1" t="n">
        <v>44622</v>
      </c>
      <c r="C1159" s="1" t="n">
        <v>45670</v>
      </c>
      <c r="D1159" t="inlineStr">
        <is>
          <t>VÄSTERNORRLANDS LÄN</t>
        </is>
      </c>
      <c r="E1159" t="inlineStr">
        <is>
          <t>SOLLEFTEÅ</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10307-2022</t>
        </is>
      </c>
      <c r="B1160" s="1" t="n">
        <v>44622</v>
      </c>
      <c r="C1160" s="1" t="n">
        <v>45670</v>
      </c>
      <c r="D1160" t="inlineStr">
        <is>
          <t>VÄSTERNORRLANDS LÄN</t>
        </is>
      </c>
      <c r="E1160" t="inlineStr">
        <is>
          <t>SOLLEFTEÅ</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10311-2022</t>
        </is>
      </c>
      <c r="B1161" s="1" t="n">
        <v>44622</v>
      </c>
      <c r="C1161" s="1" t="n">
        <v>45670</v>
      </c>
      <c r="D1161" t="inlineStr">
        <is>
          <t>VÄSTERNORRLANDS LÄN</t>
        </is>
      </c>
      <c r="E1161" t="inlineStr">
        <is>
          <t>SOLLEFTEÅ</t>
        </is>
      </c>
      <c r="F1161" t="inlineStr">
        <is>
          <t>SCA</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10309-2022</t>
        </is>
      </c>
      <c r="B1162" s="1" t="n">
        <v>44622</v>
      </c>
      <c r="C1162" s="1" t="n">
        <v>45670</v>
      </c>
      <c r="D1162" t="inlineStr">
        <is>
          <t>VÄSTERNORRLANDS LÄN</t>
        </is>
      </c>
      <c r="E1162" t="inlineStr">
        <is>
          <t>SOLLEFTEÅ</t>
        </is>
      </c>
      <c r="F1162" t="inlineStr">
        <is>
          <t>SCA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10314-2022</t>
        </is>
      </c>
      <c r="B1163" s="1" t="n">
        <v>44622</v>
      </c>
      <c r="C1163" s="1" t="n">
        <v>45670</v>
      </c>
      <c r="D1163" t="inlineStr">
        <is>
          <t>VÄSTERNORRLANDS LÄN</t>
        </is>
      </c>
      <c r="E1163" t="inlineStr">
        <is>
          <t>SOLLEFTEÅ</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10417-2022</t>
        </is>
      </c>
      <c r="B1164" s="1" t="n">
        <v>44623</v>
      </c>
      <c r="C1164" s="1" t="n">
        <v>45670</v>
      </c>
      <c r="D1164" t="inlineStr">
        <is>
          <t>VÄSTERNORRLANDS LÄN</t>
        </is>
      </c>
      <c r="E1164" t="inlineStr">
        <is>
          <t>SOLLEFTEÅ</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10924-2022</t>
        </is>
      </c>
      <c r="B1165" s="1" t="n">
        <v>44627</v>
      </c>
      <c r="C1165" s="1" t="n">
        <v>45670</v>
      </c>
      <c r="D1165" t="inlineStr">
        <is>
          <t>VÄSTERNORRLANDS LÄN</t>
        </is>
      </c>
      <c r="E1165" t="inlineStr">
        <is>
          <t>SOLLEFTEÅ</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10926-2022</t>
        </is>
      </c>
      <c r="B1166" s="1" t="n">
        <v>44627</v>
      </c>
      <c r="C1166" s="1" t="n">
        <v>45670</v>
      </c>
      <c r="D1166" t="inlineStr">
        <is>
          <t>VÄSTERNORRLANDS LÄN</t>
        </is>
      </c>
      <c r="E1166" t="inlineStr">
        <is>
          <t>SOLLEFTEÅ</t>
        </is>
      </c>
      <c r="F1166" t="inlineStr">
        <is>
          <t>SCA</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10925-2022</t>
        </is>
      </c>
      <c r="B1167" s="1" t="n">
        <v>44627</v>
      </c>
      <c r="C1167" s="1" t="n">
        <v>45670</v>
      </c>
      <c r="D1167" t="inlineStr">
        <is>
          <t>VÄSTERNORRLANDS LÄN</t>
        </is>
      </c>
      <c r="E1167" t="inlineStr">
        <is>
          <t>SOLLEFTEÅ</t>
        </is>
      </c>
      <c r="F1167" t="inlineStr">
        <is>
          <t>SCA</t>
        </is>
      </c>
      <c r="G1167" t="n">
        <v>10.2</v>
      </c>
      <c r="H1167" t="n">
        <v>0</v>
      </c>
      <c r="I1167" t="n">
        <v>0</v>
      </c>
      <c r="J1167" t="n">
        <v>0</v>
      </c>
      <c r="K1167" t="n">
        <v>0</v>
      </c>
      <c r="L1167" t="n">
        <v>0</v>
      </c>
      <c r="M1167" t="n">
        <v>0</v>
      </c>
      <c r="N1167" t="n">
        <v>0</v>
      </c>
      <c r="O1167" t="n">
        <v>0</v>
      </c>
      <c r="P1167" t="n">
        <v>0</v>
      </c>
      <c r="Q1167" t="n">
        <v>0</v>
      </c>
      <c r="R1167" s="2" t="inlineStr"/>
    </row>
    <row r="1168" ht="15" customHeight="1">
      <c r="A1168" t="inlineStr">
        <is>
          <t>A 10927-2022</t>
        </is>
      </c>
      <c r="B1168" s="1" t="n">
        <v>44627</v>
      </c>
      <c r="C1168" s="1" t="n">
        <v>45670</v>
      </c>
      <c r="D1168" t="inlineStr">
        <is>
          <t>VÄSTERNORRLANDS LÄN</t>
        </is>
      </c>
      <c r="E1168" t="inlineStr">
        <is>
          <t>SOLLEFTEÅ</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11117-2022</t>
        </is>
      </c>
      <c r="B1169" s="1" t="n">
        <v>44628</v>
      </c>
      <c r="C1169" s="1" t="n">
        <v>45670</v>
      </c>
      <c r="D1169" t="inlineStr">
        <is>
          <t>VÄSTERNORRLANDS LÄN</t>
        </is>
      </c>
      <c r="E1169" t="inlineStr">
        <is>
          <t>SOLLEFTEÅ</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11131-2022</t>
        </is>
      </c>
      <c r="B1170" s="1" t="n">
        <v>44628</v>
      </c>
      <c r="C1170" s="1" t="n">
        <v>45670</v>
      </c>
      <c r="D1170" t="inlineStr">
        <is>
          <t>VÄSTERNORRLANDS LÄN</t>
        </is>
      </c>
      <c r="E1170" t="inlineStr">
        <is>
          <t>SOLLEFTEÅ</t>
        </is>
      </c>
      <c r="F1170" t="inlineStr">
        <is>
          <t>SCA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11133-2022</t>
        </is>
      </c>
      <c r="B1171" s="1" t="n">
        <v>44628</v>
      </c>
      <c r="C1171" s="1" t="n">
        <v>45670</v>
      </c>
      <c r="D1171" t="inlineStr">
        <is>
          <t>VÄSTERNORRLANDS LÄN</t>
        </is>
      </c>
      <c r="E1171" t="inlineStr">
        <is>
          <t>SOLLEFTEÅ</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11125-2022</t>
        </is>
      </c>
      <c r="B1172" s="1" t="n">
        <v>44628</v>
      </c>
      <c r="C1172" s="1" t="n">
        <v>45670</v>
      </c>
      <c r="D1172" t="inlineStr">
        <is>
          <t>VÄSTERNORRLANDS LÄN</t>
        </is>
      </c>
      <c r="E1172" t="inlineStr">
        <is>
          <t>SOLLEFTEÅ</t>
        </is>
      </c>
      <c r="F1172" t="inlineStr">
        <is>
          <t>SCA</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11241-2022</t>
        </is>
      </c>
      <c r="B1173" s="1" t="n">
        <v>44629</v>
      </c>
      <c r="C1173" s="1" t="n">
        <v>45670</v>
      </c>
      <c r="D1173" t="inlineStr">
        <is>
          <t>VÄSTERNORRLANDS LÄN</t>
        </is>
      </c>
      <c r="E1173" t="inlineStr">
        <is>
          <t>SOLLEFTEÅ</t>
        </is>
      </c>
      <c r="F1173" t="inlineStr">
        <is>
          <t>Kommuner</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11318-2022</t>
        </is>
      </c>
      <c r="B1174" s="1" t="n">
        <v>44629</v>
      </c>
      <c r="C1174" s="1" t="n">
        <v>45670</v>
      </c>
      <c r="D1174" t="inlineStr">
        <is>
          <t>VÄSTERNORRLANDS LÄN</t>
        </is>
      </c>
      <c r="E1174" t="inlineStr">
        <is>
          <t>SOLLEFTEÅ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11475-2022</t>
        </is>
      </c>
      <c r="B1175" s="1" t="n">
        <v>44630</v>
      </c>
      <c r="C1175" s="1" t="n">
        <v>45670</v>
      </c>
      <c r="D1175" t="inlineStr">
        <is>
          <t>VÄSTERNORRLANDS LÄN</t>
        </is>
      </c>
      <c r="E1175" t="inlineStr">
        <is>
          <t>SOLLEFTEÅ</t>
        </is>
      </c>
      <c r="G1175" t="n">
        <v>18.7</v>
      </c>
      <c r="H1175" t="n">
        <v>0</v>
      </c>
      <c r="I1175" t="n">
        <v>0</v>
      </c>
      <c r="J1175" t="n">
        <v>0</v>
      </c>
      <c r="K1175" t="n">
        <v>0</v>
      </c>
      <c r="L1175" t="n">
        <v>0</v>
      </c>
      <c r="M1175" t="n">
        <v>0</v>
      </c>
      <c r="N1175" t="n">
        <v>0</v>
      </c>
      <c r="O1175" t="n">
        <v>0</v>
      </c>
      <c r="P1175" t="n">
        <v>0</v>
      </c>
      <c r="Q1175" t="n">
        <v>0</v>
      </c>
      <c r="R1175" s="2" t="inlineStr"/>
    </row>
    <row r="1176" ht="15" customHeight="1">
      <c r="A1176" t="inlineStr">
        <is>
          <t>A 11484-2022</t>
        </is>
      </c>
      <c r="B1176" s="1" t="n">
        <v>44630</v>
      </c>
      <c r="C1176" s="1" t="n">
        <v>45670</v>
      </c>
      <c r="D1176" t="inlineStr">
        <is>
          <t>VÄSTERNORRLANDS LÄN</t>
        </is>
      </c>
      <c r="E1176" t="inlineStr">
        <is>
          <t>SOLLEFTEÅ</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11474-2022</t>
        </is>
      </c>
      <c r="B1177" s="1" t="n">
        <v>44630</v>
      </c>
      <c r="C1177" s="1" t="n">
        <v>45670</v>
      </c>
      <c r="D1177" t="inlineStr">
        <is>
          <t>VÄSTERNORRLANDS LÄN</t>
        </is>
      </c>
      <c r="E1177" t="inlineStr">
        <is>
          <t>SOLLEFTEÅ</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11483-2022</t>
        </is>
      </c>
      <c r="B1178" s="1" t="n">
        <v>44630</v>
      </c>
      <c r="C1178" s="1" t="n">
        <v>45670</v>
      </c>
      <c r="D1178" t="inlineStr">
        <is>
          <t>VÄSTERNORRLANDS LÄN</t>
        </is>
      </c>
      <c r="E1178" t="inlineStr">
        <is>
          <t>SOLLEFTEÅ</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11652-2022</t>
        </is>
      </c>
      <c r="B1179" s="1" t="n">
        <v>44631</v>
      </c>
      <c r="C1179" s="1" t="n">
        <v>45670</v>
      </c>
      <c r="D1179" t="inlineStr">
        <is>
          <t>VÄSTERNORRLANDS LÄN</t>
        </is>
      </c>
      <c r="E1179" t="inlineStr">
        <is>
          <t>SOLLEFTEÅ</t>
        </is>
      </c>
      <c r="F1179" t="inlineStr">
        <is>
          <t>SCA</t>
        </is>
      </c>
      <c r="G1179" t="n">
        <v>11.8</v>
      </c>
      <c r="H1179" t="n">
        <v>0</v>
      </c>
      <c r="I1179" t="n">
        <v>0</v>
      </c>
      <c r="J1179" t="n">
        <v>0</v>
      </c>
      <c r="K1179" t="n">
        <v>0</v>
      </c>
      <c r="L1179" t="n">
        <v>0</v>
      </c>
      <c r="M1179" t="n">
        <v>0</v>
      </c>
      <c r="N1179" t="n">
        <v>0</v>
      </c>
      <c r="O1179" t="n">
        <v>0</v>
      </c>
      <c r="P1179" t="n">
        <v>0</v>
      </c>
      <c r="Q1179" t="n">
        <v>0</v>
      </c>
      <c r="R1179" s="2" t="inlineStr"/>
    </row>
    <row r="1180" ht="15" customHeight="1">
      <c r="A1180" t="inlineStr">
        <is>
          <t>A 11656-2022</t>
        </is>
      </c>
      <c r="B1180" s="1" t="n">
        <v>44631</v>
      </c>
      <c r="C1180" s="1" t="n">
        <v>45670</v>
      </c>
      <c r="D1180" t="inlineStr">
        <is>
          <t>VÄSTERNORRLANDS LÄN</t>
        </is>
      </c>
      <c r="E1180" t="inlineStr">
        <is>
          <t>SOLLEFTEÅ</t>
        </is>
      </c>
      <c r="F1180" t="inlineStr">
        <is>
          <t>SCA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11653-2022</t>
        </is>
      </c>
      <c r="B1181" s="1" t="n">
        <v>44631</v>
      </c>
      <c r="C1181" s="1" t="n">
        <v>45670</v>
      </c>
      <c r="D1181" t="inlineStr">
        <is>
          <t>VÄSTERNORRLANDS LÄN</t>
        </is>
      </c>
      <c r="E1181" t="inlineStr">
        <is>
          <t>SOLLEFTEÅ</t>
        </is>
      </c>
      <c r="F1181" t="inlineStr">
        <is>
          <t>SCA</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11677-2022</t>
        </is>
      </c>
      <c r="B1182" s="1" t="n">
        <v>44633</v>
      </c>
      <c r="C1182" s="1" t="n">
        <v>45670</v>
      </c>
      <c r="D1182" t="inlineStr">
        <is>
          <t>VÄSTERNORRLANDS LÄN</t>
        </is>
      </c>
      <c r="E1182" t="inlineStr">
        <is>
          <t>SOLLEFTEÅ</t>
        </is>
      </c>
      <c r="F1182" t="inlineStr">
        <is>
          <t>SCA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11842-2022</t>
        </is>
      </c>
      <c r="B1183" s="1" t="n">
        <v>44634</v>
      </c>
      <c r="C1183" s="1" t="n">
        <v>45670</v>
      </c>
      <c r="D1183" t="inlineStr">
        <is>
          <t>VÄSTERNORRLANDS LÄN</t>
        </is>
      </c>
      <c r="E1183" t="inlineStr">
        <is>
          <t>SOLLEFTEÅ</t>
        </is>
      </c>
      <c r="F1183" t="inlineStr">
        <is>
          <t>SCA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11845-2022</t>
        </is>
      </c>
      <c r="B1184" s="1" t="n">
        <v>44634</v>
      </c>
      <c r="C1184" s="1" t="n">
        <v>45670</v>
      </c>
      <c r="D1184" t="inlineStr">
        <is>
          <t>VÄSTERNORRLANDS LÄN</t>
        </is>
      </c>
      <c r="E1184" t="inlineStr">
        <is>
          <t>SOLLEFTEÅ</t>
        </is>
      </c>
      <c r="F1184" t="inlineStr">
        <is>
          <t>SCA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11846-2022</t>
        </is>
      </c>
      <c r="B1185" s="1" t="n">
        <v>44634</v>
      </c>
      <c r="C1185" s="1" t="n">
        <v>45670</v>
      </c>
      <c r="D1185" t="inlineStr">
        <is>
          <t>VÄSTERNORRLANDS LÄN</t>
        </is>
      </c>
      <c r="E1185" t="inlineStr">
        <is>
          <t>SOLLEFTEÅ</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11870-2022</t>
        </is>
      </c>
      <c r="B1186" s="1" t="n">
        <v>44635</v>
      </c>
      <c r="C1186" s="1" t="n">
        <v>45670</v>
      </c>
      <c r="D1186" t="inlineStr">
        <is>
          <t>VÄSTERNORRLANDS LÄN</t>
        </is>
      </c>
      <c r="E1186" t="inlineStr">
        <is>
          <t>SOLLEFTEÅ</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11874-2022</t>
        </is>
      </c>
      <c r="B1187" s="1" t="n">
        <v>44635</v>
      </c>
      <c r="C1187" s="1" t="n">
        <v>45670</v>
      </c>
      <c r="D1187" t="inlineStr">
        <is>
          <t>VÄSTERNORRLANDS LÄN</t>
        </is>
      </c>
      <c r="E1187" t="inlineStr">
        <is>
          <t>SOLLEFTEÅ</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12007-2022</t>
        </is>
      </c>
      <c r="B1188" s="1" t="n">
        <v>44635</v>
      </c>
      <c r="C1188" s="1" t="n">
        <v>45670</v>
      </c>
      <c r="D1188" t="inlineStr">
        <is>
          <t>VÄSTERNORRLANDS LÄN</t>
        </is>
      </c>
      <c r="E1188" t="inlineStr">
        <is>
          <t>SOLLEFTEÅ</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12001-2022</t>
        </is>
      </c>
      <c r="B1189" s="1" t="n">
        <v>44635</v>
      </c>
      <c r="C1189" s="1" t="n">
        <v>45670</v>
      </c>
      <c r="D1189" t="inlineStr">
        <is>
          <t>VÄSTERNORRLANDS LÄN</t>
        </is>
      </c>
      <c r="E1189" t="inlineStr">
        <is>
          <t>SOLLEFTEÅ</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12006-2022</t>
        </is>
      </c>
      <c r="B1190" s="1" t="n">
        <v>44635</v>
      </c>
      <c r="C1190" s="1" t="n">
        <v>45670</v>
      </c>
      <c r="D1190" t="inlineStr">
        <is>
          <t>VÄSTERNORRLANDS LÄN</t>
        </is>
      </c>
      <c r="E1190" t="inlineStr">
        <is>
          <t>SOLLEFTEÅ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12022-2022</t>
        </is>
      </c>
      <c r="B1191" s="1" t="n">
        <v>44635</v>
      </c>
      <c r="C1191" s="1" t="n">
        <v>45670</v>
      </c>
      <c r="D1191" t="inlineStr">
        <is>
          <t>VÄSTERNORRLANDS LÄN</t>
        </is>
      </c>
      <c r="E1191" t="inlineStr">
        <is>
          <t>SOLLEFTEÅ</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12191-2022</t>
        </is>
      </c>
      <c r="B1192" s="1" t="n">
        <v>44636</v>
      </c>
      <c r="C1192" s="1" t="n">
        <v>45670</v>
      </c>
      <c r="D1192" t="inlineStr">
        <is>
          <t>VÄSTERNORRLANDS LÄN</t>
        </is>
      </c>
      <c r="E1192" t="inlineStr">
        <is>
          <t>SOLLEFTEÅ</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12201-2022</t>
        </is>
      </c>
      <c r="B1193" s="1" t="n">
        <v>44636</v>
      </c>
      <c r="C1193" s="1" t="n">
        <v>45670</v>
      </c>
      <c r="D1193" t="inlineStr">
        <is>
          <t>VÄSTERNORRLANDS LÄN</t>
        </is>
      </c>
      <c r="E1193" t="inlineStr">
        <is>
          <t>SOLLEFTEÅ</t>
        </is>
      </c>
      <c r="F1193" t="inlineStr">
        <is>
          <t>SCA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12395-2022</t>
        </is>
      </c>
      <c r="B1194" s="1" t="n">
        <v>44637</v>
      </c>
      <c r="C1194" s="1" t="n">
        <v>45670</v>
      </c>
      <c r="D1194" t="inlineStr">
        <is>
          <t>VÄSTERNORRLANDS LÄN</t>
        </is>
      </c>
      <c r="E1194" t="inlineStr">
        <is>
          <t>SOLLEFTEÅ</t>
        </is>
      </c>
      <c r="F1194" t="inlineStr">
        <is>
          <t>SCA</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12561-2022</t>
        </is>
      </c>
      <c r="B1195" s="1" t="n">
        <v>44638</v>
      </c>
      <c r="C1195" s="1" t="n">
        <v>45670</v>
      </c>
      <c r="D1195" t="inlineStr">
        <is>
          <t>VÄSTERNORRLANDS LÄN</t>
        </is>
      </c>
      <c r="E1195" t="inlineStr">
        <is>
          <t>SOLLEFTEÅ</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12565-2022</t>
        </is>
      </c>
      <c r="B1196" s="1" t="n">
        <v>44638</v>
      </c>
      <c r="C1196" s="1" t="n">
        <v>45670</v>
      </c>
      <c r="D1196" t="inlineStr">
        <is>
          <t>VÄSTERNORRLANDS LÄN</t>
        </is>
      </c>
      <c r="E1196" t="inlineStr">
        <is>
          <t>SOLLEFTEÅ</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12572-2022</t>
        </is>
      </c>
      <c r="B1197" s="1" t="n">
        <v>44638</v>
      </c>
      <c r="C1197" s="1" t="n">
        <v>45670</v>
      </c>
      <c r="D1197" t="inlineStr">
        <is>
          <t>VÄSTERNORRLANDS LÄN</t>
        </is>
      </c>
      <c r="E1197" t="inlineStr">
        <is>
          <t>SOLLEFTEÅ</t>
        </is>
      </c>
      <c r="F1197" t="inlineStr">
        <is>
          <t>SCA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12564-2022</t>
        </is>
      </c>
      <c r="B1198" s="1" t="n">
        <v>44638</v>
      </c>
      <c r="C1198" s="1" t="n">
        <v>45670</v>
      </c>
      <c r="D1198" t="inlineStr">
        <is>
          <t>VÄSTERNORRLANDS LÄN</t>
        </is>
      </c>
      <c r="E1198" t="inlineStr">
        <is>
          <t>SOLLEFTEÅ</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12568-2022</t>
        </is>
      </c>
      <c r="B1199" s="1" t="n">
        <v>44638</v>
      </c>
      <c r="C1199" s="1" t="n">
        <v>45670</v>
      </c>
      <c r="D1199" t="inlineStr">
        <is>
          <t>VÄSTERNORRLANDS LÄN</t>
        </is>
      </c>
      <c r="E1199" t="inlineStr">
        <is>
          <t>SOLLEFTEÅ</t>
        </is>
      </c>
      <c r="F1199" t="inlineStr">
        <is>
          <t>SCA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12557-2022</t>
        </is>
      </c>
      <c r="B1200" s="1" t="n">
        <v>44638</v>
      </c>
      <c r="C1200" s="1" t="n">
        <v>45670</v>
      </c>
      <c r="D1200" t="inlineStr">
        <is>
          <t>VÄSTERNORRLANDS LÄN</t>
        </is>
      </c>
      <c r="E1200" t="inlineStr">
        <is>
          <t>SOLLEFTEÅ</t>
        </is>
      </c>
      <c r="F1200" t="inlineStr">
        <is>
          <t>SCA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12563-2022</t>
        </is>
      </c>
      <c r="B1201" s="1" t="n">
        <v>44638</v>
      </c>
      <c r="C1201" s="1" t="n">
        <v>45670</v>
      </c>
      <c r="D1201" t="inlineStr">
        <is>
          <t>VÄSTERNORRLANDS LÄN</t>
        </is>
      </c>
      <c r="E1201" t="inlineStr">
        <is>
          <t>SOLLEFTEÅ</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12567-2022</t>
        </is>
      </c>
      <c r="B1202" s="1" t="n">
        <v>44638</v>
      </c>
      <c r="C1202" s="1" t="n">
        <v>45670</v>
      </c>
      <c r="D1202" t="inlineStr">
        <is>
          <t>VÄSTERNORRLANDS LÄN</t>
        </is>
      </c>
      <c r="E1202" t="inlineStr">
        <is>
          <t>SOLLEFTEÅ</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12562-2022</t>
        </is>
      </c>
      <c r="B1203" s="1" t="n">
        <v>44638</v>
      </c>
      <c r="C1203" s="1" t="n">
        <v>45670</v>
      </c>
      <c r="D1203" t="inlineStr">
        <is>
          <t>VÄSTERNORRLANDS LÄN</t>
        </is>
      </c>
      <c r="E1203" t="inlineStr">
        <is>
          <t>SOLLEFTEÅ</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12566-2022</t>
        </is>
      </c>
      <c r="B1204" s="1" t="n">
        <v>44638</v>
      </c>
      <c r="C1204" s="1" t="n">
        <v>45670</v>
      </c>
      <c r="D1204" t="inlineStr">
        <is>
          <t>VÄSTERNORRLANDS LÄN</t>
        </is>
      </c>
      <c r="E1204" t="inlineStr">
        <is>
          <t>SOLLEFTEÅ</t>
        </is>
      </c>
      <c r="F1204" t="inlineStr">
        <is>
          <t>SCA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12758-2022</t>
        </is>
      </c>
      <c r="B1205" s="1" t="n">
        <v>44641</v>
      </c>
      <c r="C1205" s="1" t="n">
        <v>45670</v>
      </c>
      <c r="D1205" t="inlineStr">
        <is>
          <t>VÄSTERNORRLANDS LÄN</t>
        </is>
      </c>
      <c r="E1205" t="inlineStr">
        <is>
          <t>SOLLEFTEÅ</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12764-2022</t>
        </is>
      </c>
      <c r="B1206" s="1" t="n">
        <v>44641</v>
      </c>
      <c r="C1206" s="1" t="n">
        <v>45670</v>
      </c>
      <c r="D1206" t="inlineStr">
        <is>
          <t>VÄSTERNORRLANDS LÄN</t>
        </is>
      </c>
      <c r="E1206" t="inlineStr">
        <is>
          <t>SOLLEFTEÅ</t>
        </is>
      </c>
      <c r="F1206" t="inlineStr">
        <is>
          <t>SCA</t>
        </is>
      </c>
      <c r="G1206" t="n">
        <v>13.7</v>
      </c>
      <c r="H1206" t="n">
        <v>0</v>
      </c>
      <c r="I1206" t="n">
        <v>0</v>
      </c>
      <c r="J1206" t="n">
        <v>0</v>
      </c>
      <c r="K1206" t="n">
        <v>0</v>
      </c>
      <c r="L1206" t="n">
        <v>0</v>
      </c>
      <c r="M1206" t="n">
        <v>0</v>
      </c>
      <c r="N1206" t="n">
        <v>0</v>
      </c>
      <c r="O1206" t="n">
        <v>0</v>
      </c>
      <c r="P1206" t="n">
        <v>0</v>
      </c>
      <c r="Q1206" t="n">
        <v>0</v>
      </c>
      <c r="R1206" s="2" t="inlineStr"/>
    </row>
    <row r="1207" ht="15" customHeight="1">
      <c r="A1207" t="inlineStr">
        <is>
          <t>A 12774-2022</t>
        </is>
      </c>
      <c r="B1207" s="1" t="n">
        <v>44641</v>
      </c>
      <c r="C1207" s="1" t="n">
        <v>45670</v>
      </c>
      <c r="D1207" t="inlineStr">
        <is>
          <t>VÄSTERNORRLANDS LÄN</t>
        </is>
      </c>
      <c r="E1207" t="inlineStr">
        <is>
          <t>SOLLEFTEÅ</t>
        </is>
      </c>
      <c r="F1207" t="inlineStr">
        <is>
          <t>SCA</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13300-2022</t>
        </is>
      </c>
      <c r="B1208" s="1" t="n">
        <v>44644</v>
      </c>
      <c r="C1208" s="1" t="n">
        <v>45670</v>
      </c>
      <c r="D1208" t="inlineStr">
        <is>
          <t>VÄSTERNORRLANDS LÄN</t>
        </is>
      </c>
      <c r="E1208" t="inlineStr">
        <is>
          <t>SOLLEFTEÅ</t>
        </is>
      </c>
      <c r="F1208" t="inlineStr">
        <is>
          <t>SCA</t>
        </is>
      </c>
      <c r="G1208" t="n">
        <v>9.9</v>
      </c>
      <c r="H1208" t="n">
        <v>0</v>
      </c>
      <c r="I1208" t="n">
        <v>0</v>
      </c>
      <c r="J1208" t="n">
        <v>0</v>
      </c>
      <c r="K1208" t="n">
        <v>0</v>
      </c>
      <c r="L1208" t="n">
        <v>0</v>
      </c>
      <c r="M1208" t="n">
        <v>0</v>
      </c>
      <c r="N1208" t="n">
        <v>0</v>
      </c>
      <c r="O1208" t="n">
        <v>0</v>
      </c>
      <c r="P1208" t="n">
        <v>0</v>
      </c>
      <c r="Q1208" t="n">
        <v>0</v>
      </c>
      <c r="R1208" s="2" t="inlineStr"/>
    </row>
    <row r="1209" ht="15" customHeight="1">
      <c r="A1209" t="inlineStr">
        <is>
          <t>A 13311-2022</t>
        </is>
      </c>
      <c r="B1209" s="1" t="n">
        <v>44644</v>
      </c>
      <c r="C1209" s="1" t="n">
        <v>45670</v>
      </c>
      <c r="D1209" t="inlineStr">
        <is>
          <t>VÄSTERNORRLANDS LÄN</t>
        </is>
      </c>
      <c r="E1209" t="inlineStr">
        <is>
          <t>SOLLEFTEÅ</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13309-2022</t>
        </is>
      </c>
      <c r="B1210" s="1" t="n">
        <v>44644</v>
      </c>
      <c r="C1210" s="1" t="n">
        <v>45670</v>
      </c>
      <c r="D1210" t="inlineStr">
        <is>
          <t>VÄSTERNORRLANDS LÄN</t>
        </is>
      </c>
      <c r="E1210" t="inlineStr">
        <is>
          <t>SOLLEFTEÅ</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13492-2022</t>
        </is>
      </c>
      <c r="B1211" s="1" t="n">
        <v>44646</v>
      </c>
      <c r="C1211" s="1" t="n">
        <v>45670</v>
      </c>
      <c r="D1211" t="inlineStr">
        <is>
          <t>VÄSTERNORRLANDS LÄN</t>
        </is>
      </c>
      <c r="E1211" t="inlineStr">
        <is>
          <t>SOLLEFTEÅ</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13598-2022</t>
        </is>
      </c>
      <c r="B1212" s="1" t="n">
        <v>44648</v>
      </c>
      <c r="C1212" s="1" t="n">
        <v>45670</v>
      </c>
      <c r="D1212" t="inlineStr">
        <is>
          <t>VÄSTERNORRLANDS LÄN</t>
        </is>
      </c>
      <c r="E1212" t="inlineStr">
        <is>
          <t>SOLLEFTEÅ</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13710-2022</t>
        </is>
      </c>
      <c r="B1213" s="1" t="n">
        <v>44649</v>
      </c>
      <c r="C1213" s="1" t="n">
        <v>45670</v>
      </c>
      <c r="D1213" t="inlineStr">
        <is>
          <t>VÄSTERNORRLANDS LÄN</t>
        </is>
      </c>
      <c r="E1213" t="inlineStr">
        <is>
          <t>SOLLEFTEÅ</t>
        </is>
      </c>
      <c r="F1213" t="inlineStr">
        <is>
          <t>SCA</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14061-2022</t>
        </is>
      </c>
      <c r="B1214" s="1" t="n">
        <v>44651</v>
      </c>
      <c r="C1214" s="1" t="n">
        <v>45670</v>
      </c>
      <c r="D1214" t="inlineStr">
        <is>
          <t>VÄSTERNORRLANDS LÄN</t>
        </is>
      </c>
      <c r="E1214" t="inlineStr">
        <is>
          <t>SOLLEFTEÅ</t>
        </is>
      </c>
      <c r="F1214" t="inlineStr">
        <is>
          <t>SCA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14066-2022</t>
        </is>
      </c>
      <c r="B1215" s="1" t="n">
        <v>44650</v>
      </c>
      <c r="C1215" s="1" t="n">
        <v>45670</v>
      </c>
      <c r="D1215" t="inlineStr">
        <is>
          <t>VÄSTERNORRLANDS LÄN</t>
        </is>
      </c>
      <c r="E1215" t="inlineStr">
        <is>
          <t>SOLLEFTEÅ</t>
        </is>
      </c>
      <c r="F1215" t="inlineStr">
        <is>
          <t>SCA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14058-2022</t>
        </is>
      </c>
      <c r="B1216" s="1" t="n">
        <v>44651</v>
      </c>
      <c r="C1216" s="1" t="n">
        <v>45670</v>
      </c>
      <c r="D1216" t="inlineStr">
        <is>
          <t>VÄSTERNORRLANDS LÄN</t>
        </is>
      </c>
      <c r="E1216" t="inlineStr">
        <is>
          <t>SOLLEFTEÅ</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14063-2022</t>
        </is>
      </c>
      <c r="B1217" s="1" t="n">
        <v>44651</v>
      </c>
      <c r="C1217" s="1" t="n">
        <v>45670</v>
      </c>
      <c r="D1217" t="inlineStr">
        <is>
          <t>VÄSTERNORRLANDS LÄN</t>
        </is>
      </c>
      <c r="E1217" t="inlineStr">
        <is>
          <t>SOLLEFTEÅ</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14055-2022</t>
        </is>
      </c>
      <c r="B1218" s="1" t="n">
        <v>44651</v>
      </c>
      <c r="C1218" s="1" t="n">
        <v>45670</v>
      </c>
      <c r="D1218" t="inlineStr">
        <is>
          <t>VÄSTERNORRLANDS LÄN</t>
        </is>
      </c>
      <c r="E1218" t="inlineStr">
        <is>
          <t>SOLLEFTEÅ</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14060-2022</t>
        </is>
      </c>
      <c r="B1219" s="1" t="n">
        <v>44651</v>
      </c>
      <c r="C1219" s="1" t="n">
        <v>45670</v>
      </c>
      <c r="D1219" t="inlineStr">
        <is>
          <t>VÄSTERNORRLANDS LÄN</t>
        </is>
      </c>
      <c r="E1219" t="inlineStr">
        <is>
          <t>SOLLEFTEÅ</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14065-2022</t>
        </is>
      </c>
      <c r="B1220" s="1" t="n">
        <v>44650</v>
      </c>
      <c r="C1220" s="1" t="n">
        <v>45670</v>
      </c>
      <c r="D1220" t="inlineStr">
        <is>
          <t>VÄSTERNORRLANDS LÄN</t>
        </is>
      </c>
      <c r="E1220" t="inlineStr">
        <is>
          <t>SOLLEFTEÅ</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14059-2022</t>
        </is>
      </c>
      <c r="B1221" s="1" t="n">
        <v>44651</v>
      </c>
      <c r="C1221" s="1" t="n">
        <v>45670</v>
      </c>
      <c r="D1221" t="inlineStr">
        <is>
          <t>VÄSTERNORRLANDS LÄN</t>
        </is>
      </c>
      <c r="E1221" t="inlineStr">
        <is>
          <t>SOLLEFTEÅ</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14064-2022</t>
        </is>
      </c>
      <c r="B1222" s="1" t="n">
        <v>44651</v>
      </c>
      <c r="C1222" s="1" t="n">
        <v>45670</v>
      </c>
      <c r="D1222" t="inlineStr">
        <is>
          <t>VÄSTERNORRLANDS LÄN</t>
        </is>
      </c>
      <c r="E1222" t="inlineStr">
        <is>
          <t>SOLLEFTEÅ</t>
        </is>
      </c>
      <c r="F1222" t="inlineStr">
        <is>
          <t>SCA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14276-2022</t>
        </is>
      </c>
      <c r="B1223" s="1" t="n">
        <v>44652</v>
      </c>
      <c r="C1223" s="1" t="n">
        <v>45670</v>
      </c>
      <c r="D1223" t="inlineStr">
        <is>
          <t>VÄSTERNORRLANDS LÄN</t>
        </is>
      </c>
      <c r="E1223" t="inlineStr">
        <is>
          <t>SOLLEFTEÅ</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14297-2022</t>
        </is>
      </c>
      <c r="B1224" s="1" t="n">
        <v>44651</v>
      </c>
      <c r="C1224" s="1" t="n">
        <v>45670</v>
      </c>
      <c r="D1224" t="inlineStr">
        <is>
          <t>VÄSTERNORRLANDS LÄN</t>
        </is>
      </c>
      <c r="E1224" t="inlineStr">
        <is>
          <t>SOLLEFTEÅ</t>
        </is>
      </c>
      <c r="F1224" t="inlineStr">
        <is>
          <t>SCA</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14300-2022</t>
        </is>
      </c>
      <c r="B1225" s="1" t="n">
        <v>44652</v>
      </c>
      <c r="C1225" s="1" t="n">
        <v>45670</v>
      </c>
      <c r="D1225" t="inlineStr">
        <is>
          <t>VÄSTERNORRLANDS LÄN</t>
        </is>
      </c>
      <c r="E1225" t="inlineStr">
        <is>
          <t>SOLLEFTEÅ</t>
        </is>
      </c>
      <c r="F1225" t="inlineStr">
        <is>
          <t>SCA</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14308-2022</t>
        </is>
      </c>
      <c r="B1226" s="1" t="n">
        <v>44652</v>
      </c>
      <c r="C1226" s="1" t="n">
        <v>45670</v>
      </c>
      <c r="D1226" t="inlineStr">
        <is>
          <t>VÄSTERNORRLANDS LÄN</t>
        </is>
      </c>
      <c r="E1226" t="inlineStr">
        <is>
          <t>SOLLEFTEÅ</t>
        </is>
      </c>
      <c r="F1226" t="inlineStr">
        <is>
          <t>SCA</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14275-2022</t>
        </is>
      </c>
      <c r="B1227" s="1" t="n">
        <v>44651</v>
      </c>
      <c r="C1227" s="1" t="n">
        <v>45670</v>
      </c>
      <c r="D1227" t="inlineStr">
        <is>
          <t>VÄSTERNORRLANDS LÄN</t>
        </is>
      </c>
      <c r="E1227" t="inlineStr">
        <is>
          <t>SOLLEFTEÅ</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14299-2022</t>
        </is>
      </c>
      <c r="B1228" s="1" t="n">
        <v>44652</v>
      </c>
      <c r="C1228" s="1" t="n">
        <v>45670</v>
      </c>
      <c r="D1228" t="inlineStr">
        <is>
          <t>VÄSTERNORRLANDS LÄN</t>
        </is>
      </c>
      <c r="E1228" t="inlineStr">
        <is>
          <t>SOLLEFTEÅ</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14296-2022</t>
        </is>
      </c>
      <c r="B1229" s="1" t="n">
        <v>44652</v>
      </c>
      <c r="C1229" s="1" t="n">
        <v>45670</v>
      </c>
      <c r="D1229" t="inlineStr">
        <is>
          <t>VÄSTERNORRLANDS LÄN</t>
        </is>
      </c>
      <c r="E1229" t="inlineStr">
        <is>
          <t>SOLLEFTEÅ</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14302-2022</t>
        </is>
      </c>
      <c r="B1230" s="1" t="n">
        <v>44651</v>
      </c>
      <c r="C1230" s="1" t="n">
        <v>45670</v>
      </c>
      <c r="D1230" t="inlineStr">
        <is>
          <t>VÄSTERNORRLANDS LÄN</t>
        </is>
      </c>
      <c r="E1230" t="inlineStr">
        <is>
          <t>SOLLEFTEÅ</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14448-2022</t>
        </is>
      </c>
      <c r="B1231" s="1" t="n">
        <v>44652</v>
      </c>
      <c r="C1231" s="1" t="n">
        <v>45670</v>
      </c>
      <c r="D1231" t="inlineStr">
        <is>
          <t>VÄSTERNORRLANDS LÄN</t>
        </is>
      </c>
      <c r="E1231" t="inlineStr">
        <is>
          <t>SOLLEFTEÅ</t>
        </is>
      </c>
      <c r="F1231" t="inlineStr">
        <is>
          <t>SCA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14449-2022</t>
        </is>
      </c>
      <c r="B1232" s="1" t="n">
        <v>44652</v>
      </c>
      <c r="C1232" s="1" t="n">
        <v>45670</v>
      </c>
      <c r="D1232" t="inlineStr">
        <is>
          <t>VÄSTERNORRLANDS LÄN</t>
        </is>
      </c>
      <c r="E1232" t="inlineStr">
        <is>
          <t>SOLLEFTEÅ</t>
        </is>
      </c>
      <c r="F1232" t="inlineStr">
        <is>
          <t>SCA</t>
        </is>
      </c>
      <c r="G1232" t="n">
        <v>31.8</v>
      </c>
      <c r="H1232" t="n">
        <v>0</v>
      </c>
      <c r="I1232" t="n">
        <v>0</v>
      </c>
      <c r="J1232" t="n">
        <v>0</v>
      </c>
      <c r="K1232" t="n">
        <v>0</v>
      </c>
      <c r="L1232" t="n">
        <v>0</v>
      </c>
      <c r="M1232" t="n">
        <v>0</v>
      </c>
      <c r="N1232" t="n">
        <v>0</v>
      </c>
      <c r="O1232" t="n">
        <v>0</v>
      </c>
      <c r="P1232" t="n">
        <v>0</v>
      </c>
      <c r="Q1232" t="n">
        <v>0</v>
      </c>
      <c r="R1232" s="2" t="inlineStr"/>
    </row>
    <row r="1233" ht="15" customHeight="1">
      <c r="A1233" t="inlineStr">
        <is>
          <t>A 14450-2022</t>
        </is>
      </c>
      <c r="B1233" s="1" t="n">
        <v>44653</v>
      </c>
      <c r="C1233" s="1" t="n">
        <v>45670</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14447-2022</t>
        </is>
      </c>
      <c r="B1234" s="1" t="n">
        <v>44653</v>
      </c>
      <c r="C1234" s="1" t="n">
        <v>45670</v>
      </c>
      <c r="D1234" t="inlineStr">
        <is>
          <t>VÄSTERNORRLANDS LÄN</t>
        </is>
      </c>
      <c r="E1234" t="inlineStr">
        <is>
          <t>SOLLEFTEÅ</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14477-2022</t>
        </is>
      </c>
      <c r="B1235" s="1" t="n">
        <v>44655</v>
      </c>
      <c r="C1235" s="1" t="n">
        <v>45670</v>
      </c>
      <c r="D1235" t="inlineStr">
        <is>
          <t>VÄSTERNORRLANDS LÄN</t>
        </is>
      </c>
      <c r="E1235" t="inlineStr">
        <is>
          <t>SOLLEFTEÅ</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14910-2022</t>
        </is>
      </c>
      <c r="B1236" s="1" t="n">
        <v>44657</v>
      </c>
      <c r="C1236" s="1" t="n">
        <v>45670</v>
      </c>
      <c r="D1236" t="inlineStr">
        <is>
          <t>VÄSTERNORRLANDS LÄN</t>
        </is>
      </c>
      <c r="E1236" t="inlineStr">
        <is>
          <t>SOLLEFTEÅ</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15090-2022</t>
        </is>
      </c>
      <c r="B1237" s="1" t="n">
        <v>44658</v>
      </c>
      <c r="C1237" s="1" t="n">
        <v>45670</v>
      </c>
      <c r="D1237" t="inlineStr">
        <is>
          <t>VÄSTERNORRLANDS LÄN</t>
        </is>
      </c>
      <c r="E1237" t="inlineStr">
        <is>
          <t>SOLLEFTEÅ</t>
        </is>
      </c>
      <c r="F1237" t="inlineStr">
        <is>
          <t>SCA</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15241-2022</t>
        </is>
      </c>
      <c r="B1238" s="1" t="n">
        <v>44659</v>
      </c>
      <c r="C1238" s="1" t="n">
        <v>45670</v>
      </c>
      <c r="D1238" t="inlineStr">
        <is>
          <t>VÄSTERNORRLANDS LÄN</t>
        </is>
      </c>
      <c r="E1238" t="inlineStr">
        <is>
          <t>SOLLEFTEÅ</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15234-2022</t>
        </is>
      </c>
      <c r="B1239" s="1" t="n">
        <v>44659</v>
      </c>
      <c r="C1239" s="1" t="n">
        <v>45670</v>
      </c>
      <c r="D1239" t="inlineStr">
        <is>
          <t>VÄSTERNORRLANDS LÄN</t>
        </is>
      </c>
      <c r="E1239" t="inlineStr">
        <is>
          <t>SOLLEFTEÅ</t>
        </is>
      </c>
      <c r="F1239" t="inlineStr">
        <is>
          <t>SCA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15658-2022</t>
        </is>
      </c>
      <c r="B1240" s="1" t="n">
        <v>44663</v>
      </c>
      <c r="C1240" s="1" t="n">
        <v>45670</v>
      </c>
      <c r="D1240" t="inlineStr">
        <is>
          <t>VÄSTERNORRLANDS LÄN</t>
        </is>
      </c>
      <c r="E1240" t="inlineStr">
        <is>
          <t>SOLLEFTEÅ</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15809-2022</t>
        </is>
      </c>
      <c r="B1241" s="1" t="n">
        <v>44663</v>
      </c>
      <c r="C1241" s="1" t="n">
        <v>45670</v>
      </c>
      <c r="D1241" t="inlineStr">
        <is>
          <t>VÄSTERNORRLANDS LÄN</t>
        </is>
      </c>
      <c r="E1241" t="inlineStr">
        <is>
          <t>SOLLEFTEÅ</t>
        </is>
      </c>
      <c r="F1241" t="inlineStr">
        <is>
          <t>SCA</t>
        </is>
      </c>
      <c r="G1241" t="n">
        <v>16.3</v>
      </c>
      <c r="H1241" t="n">
        <v>0</v>
      </c>
      <c r="I1241" t="n">
        <v>0</v>
      </c>
      <c r="J1241" t="n">
        <v>0</v>
      </c>
      <c r="K1241" t="n">
        <v>0</v>
      </c>
      <c r="L1241" t="n">
        <v>0</v>
      </c>
      <c r="M1241" t="n">
        <v>0</v>
      </c>
      <c r="N1241" t="n">
        <v>0</v>
      </c>
      <c r="O1241" t="n">
        <v>0</v>
      </c>
      <c r="P1241" t="n">
        <v>0</v>
      </c>
      <c r="Q1241" t="n">
        <v>0</v>
      </c>
      <c r="R1241" s="2" t="inlineStr"/>
    </row>
    <row r="1242" ht="15" customHeight="1">
      <c r="A1242" t="inlineStr">
        <is>
          <t>A 15964-2022</t>
        </is>
      </c>
      <c r="B1242" s="1" t="n">
        <v>44665</v>
      </c>
      <c r="C1242" s="1" t="n">
        <v>45670</v>
      </c>
      <c r="D1242" t="inlineStr">
        <is>
          <t>VÄSTERNORRLANDS LÄN</t>
        </is>
      </c>
      <c r="E1242" t="inlineStr">
        <is>
          <t>SOLLEFTEÅ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15974-2022</t>
        </is>
      </c>
      <c r="B1243" s="1" t="n">
        <v>44665</v>
      </c>
      <c r="C1243" s="1" t="n">
        <v>45670</v>
      </c>
      <c r="D1243" t="inlineStr">
        <is>
          <t>VÄSTERNORRLANDS LÄN</t>
        </is>
      </c>
      <c r="E1243" t="inlineStr">
        <is>
          <t>SOLLEFTEÅ</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16088-2022</t>
        </is>
      </c>
      <c r="B1244" s="1" t="n">
        <v>44665</v>
      </c>
      <c r="C1244" s="1" t="n">
        <v>45670</v>
      </c>
      <c r="D1244" t="inlineStr">
        <is>
          <t>VÄSTERNORRLANDS LÄN</t>
        </is>
      </c>
      <c r="E1244" t="inlineStr">
        <is>
          <t>SOLLEFTEÅ</t>
        </is>
      </c>
      <c r="F1244" t="inlineStr">
        <is>
          <t>Holmen skog AB</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16000-2022</t>
        </is>
      </c>
      <c r="B1245" s="1" t="n">
        <v>44665</v>
      </c>
      <c r="C1245" s="1" t="n">
        <v>45670</v>
      </c>
      <c r="D1245" t="inlineStr">
        <is>
          <t>VÄSTERNORRLANDS LÄN</t>
        </is>
      </c>
      <c r="E1245" t="inlineStr">
        <is>
          <t>SOLLEFTEÅ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16083-2022</t>
        </is>
      </c>
      <c r="B1246" s="1" t="n">
        <v>44665</v>
      </c>
      <c r="C1246" s="1" t="n">
        <v>45670</v>
      </c>
      <c r="D1246" t="inlineStr">
        <is>
          <t>VÄSTERNORRLANDS LÄN</t>
        </is>
      </c>
      <c r="E1246" t="inlineStr">
        <is>
          <t>SOLLEFTEÅ</t>
        </is>
      </c>
      <c r="F1246" t="inlineStr">
        <is>
          <t>Holmen skog AB</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16093-2022</t>
        </is>
      </c>
      <c r="B1247" s="1" t="n">
        <v>44665</v>
      </c>
      <c r="C1247" s="1" t="n">
        <v>45670</v>
      </c>
      <c r="D1247" t="inlineStr">
        <is>
          <t>VÄSTERNORRLANDS LÄN</t>
        </is>
      </c>
      <c r="E1247" t="inlineStr">
        <is>
          <t>SOLLEFTEÅ</t>
        </is>
      </c>
      <c r="F1247" t="inlineStr">
        <is>
          <t>Holmen skog AB</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16365-2022</t>
        </is>
      </c>
      <c r="B1248" s="1" t="n">
        <v>44671</v>
      </c>
      <c r="C1248" s="1" t="n">
        <v>45670</v>
      </c>
      <c r="D1248" t="inlineStr">
        <is>
          <t>VÄSTERNORRLANDS LÄN</t>
        </is>
      </c>
      <c r="E1248" t="inlineStr">
        <is>
          <t>SOLLEFTEÅ</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16419-2022</t>
        </is>
      </c>
      <c r="B1249" s="1" t="n">
        <v>44671</v>
      </c>
      <c r="C1249" s="1" t="n">
        <v>45670</v>
      </c>
      <c r="D1249" t="inlineStr">
        <is>
          <t>VÄSTERNORRLANDS LÄN</t>
        </is>
      </c>
      <c r="E1249" t="inlineStr">
        <is>
          <t>SOLLEFTEÅ</t>
        </is>
      </c>
      <c r="F1249" t="inlineStr">
        <is>
          <t>Kommuner</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16521-2022</t>
        </is>
      </c>
      <c r="B1250" s="1" t="n">
        <v>44671</v>
      </c>
      <c r="C1250" s="1" t="n">
        <v>45670</v>
      </c>
      <c r="D1250" t="inlineStr">
        <is>
          <t>VÄSTERNORRLANDS LÄN</t>
        </is>
      </c>
      <c r="E1250" t="inlineStr">
        <is>
          <t>SOLLEFTEÅ</t>
        </is>
      </c>
      <c r="F1250" t="inlineStr">
        <is>
          <t>SCA</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16675-2022</t>
        </is>
      </c>
      <c r="B1251" s="1" t="n">
        <v>44672</v>
      </c>
      <c r="C1251" s="1" t="n">
        <v>45670</v>
      </c>
      <c r="D1251" t="inlineStr">
        <is>
          <t>VÄSTERNORRLANDS LÄN</t>
        </is>
      </c>
      <c r="E1251" t="inlineStr">
        <is>
          <t>SOLLEFTEÅ</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16611-2022</t>
        </is>
      </c>
      <c r="B1252" s="1" t="n">
        <v>44672</v>
      </c>
      <c r="C1252" s="1" t="n">
        <v>45670</v>
      </c>
      <c r="D1252" t="inlineStr">
        <is>
          <t>VÄSTERNORRLANDS LÄN</t>
        </is>
      </c>
      <c r="E1252" t="inlineStr">
        <is>
          <t>SOLLEFTEÅ</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16670-2022</t>
        </is>
      </c>
      <c r="B1253" s="1" t="n">
        <v>44673</v>
      </c>
      <c r="C1253" s="1" t="n">
        <v>45670</v>
      </c>
      <c r="D1253" t="inlineStr">
        <is>
          <t>VÄSTERNORRLANDS LÄN</t>
        </is>
      </c>
      <c r="E1253" t="inlineStr">
        <is>
          <t>SOLLEFTEÅ</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17045-2022</t>
        </is>
      </c>
      <c r="B1254" s="1" t="n">
        <v>44676</v>
      </c>
      <c r="C1254" s="1" t="n">
        <v>45670</v>
      </c>
      <c r="D1254" t="inlineStr">
        <is>
          <t>VÄSTERNORRLANDS LÄN</t>
        </is>
      </c>
      <c r="E1254" t="inlineStr">
        <is>
          <t>SOLLEFTEÅ</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17049-2022</t>
        </is>
      </c>
      <c r="B1255" s="1" t="n">
        <v>44676</v>
      </c>
      <c r="C1255" s="1" t="n">
        <v>45670</v>
      </c>
      <c r="D1255" t="inlineStr">
        <is>
          <t>VÄSTERNORRLANDS LÄN</t>
        </is>
      </c>
      <c r="E1255" t="inlineStr">
        <is>
          <t>SOLLEFTEÅ</t>
        </is>
      </c>
      <c r="F1255" t="inlineStr">
        <is>
          <t>SCA</t>
        </is>
      </c>
      <c r="G1255" t="n">
        <v>2.6</v>
      </c>
      <c r="H1255" t="n">
        <v>0</v>
      </c>
      <c r="I1255" t="n">
        <v>0</v>
      </c>
      <c r="J1255" t="n">
        <v>0</v>
      </c>
      <c r="K1255" t="n">
        <v>0</v>
      </c>
      <c r="L1255" t="n">
        <v>0</v>
      </c>
      <c r="M1255" t="n">
        <v>0</v>
      </c>
      <c r="N1255" t="n">
        <v>0</v>
      </c>
      <c r="O1255" t="n">
        <v>0</v>
      </c>
      <c r="P1255" t="n">
        <v>0</v>
      </c>
      <c r="Q1255" t="n">
        <v>0</v>
      </c>
      <c r="R1255" s="2" t="inlineStr"/>
      <c r="U1255">
        <f>HYPERLINK("https://klasma.github.io/Logging_2283/knärot/A 17049-2022 karta knärot.png", "A 17049-2022")</f>
        <v/>
      </c>
      <c r="V1255">
        <f>HYPERLINK("https://klasma.github.io/Logging_2283/klagomål/A 17049-2022 FSC-klagomål.docx", "A 17049-2022")</f>
        <v/>
      </c>
      <c r="W1255">
        <f>HYPERLINK("https://klasma.github.io/Logging_2283/klagomålsmail/A 17049-2022 FSC-klagomål mail.docx", "A 17049-2022")</f>
        <v/>
      </c>
      <c r="X1255">
        <f>HYPERLINK("https://klasma.github.io/Logging_2283/tillsyn/A 17049-2022 tillsynsbegäran.docx", "A 17049-2022")</f>
        <v/>
      </c>
      <c r="Y1255">
        <f>HYPERLINK("https://klasma.github.io/Logging_2283/tillsynsmail/A 17049-2022 tillsynsbegäran mail.docx", "A 17049-2022")</f>
        <v/>
      </c>
    </row>
    <row r="1256" ht="15" customHeight="1">
      <c r="A1256" t="inlineStr">
        <is>
          <t>A 17344-2022</t>
        </is>
      </c>
      <c r="B1256" s="1" t="n">
        <v>44678</v>
      </c>
      <c r="C1256" s="1" t="n">
        <v>45670</v>
      </c>
      <c r="D1256" t="inlineStr">
        <is>
          <t>VÄSTERNORRLANDS LÄN</t>
        </is>
      </c>
      <c r="E1256" t="inlineStr">
        <is>
          <t>SOLLEFTEÅ</t>
        </is>
      </c>
      <c r="G1256" t="n">
        <v>34.2</v>
      </c>
      <c r="H1256" t="n">
        <v>0</v>
      </c>
      <c r="I1256" t="n">
        <v>0</v>
      </c>
      <c r="J1256" t="n">
        <v>0</v>
      </c>
      <c r="K1256" t="n">
        <v>0</v>
      </c>
      <c r="L1256" t="n">
        <v>0</v>
      </c>
      <c r="M1256" t="n">
        <v>0</v>
      </c>
      <c r="N1256" t="n">
        <v>0</v>
      </c>
      <c r="O1256" t="n">
        <v>0</v>
      </c>
      <c r="P1256" t="n">
        <v>0</v>
      </c>
      <c r="Q1256" t="n">
        <v>0</v>
      </c>
      <c r="R1256" s="2" t="inlineStr"/>
    </row>
    <row r="1257" ht="15" customHeight="1">
      <c r="A1257" t="inlineStr">
        <is>
          <t>A 17995-2022</t>
        </is>
      </c>
      <c r="B1257" s="1" t="n">
        <v>44684</v>
      </c>
      <c r="C1257" s="1" t="n">
        <v>45670</v>
      </c>
      <c r="D1257" t="inlineStr">
        <is>
          <t>VÄSTERNORRLANDS LÄN</t>
        </is>
      </c>
      <c r="E1257" t="inlineStr">
        <is>
          <t>SOLLEFTEÅ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18000-2022</t>
        </is>
      </c>
      <c r="B1258" s="1" t="n">
        <v>44684</v>
      </c>
      <c r="C1258" s="1" t="n">
        <v>45670</v>
      </c>
      <c r="D1258" t="inlineStr">
        <is>
          <t>VÄSTERNORRLANDS LÄN</t>
        </is>
      </c>
      <c r="E1258" t="inlineStr">
        <is>
          <t>SOLLEFTEÅ</t>
        </is>
      </c>
      <c r="F1258" t="inlineStr">
        <is>
          <t>SCA</t>
        </is>
      </c>
      <c r="G1258" t="n">
        <v>14.4</v>
      </c>
      <c r="H1258" t="n">
        <v>0</v>
      </c>
      <c r="I1258" t="n">
        <v>0</v>
      </c>
      <c r="J1258" t="n">
        <v>0</v>
      </c>
      <c r="K1258" t="n">
        <v>0</v>
      </c>
      <c r="L1258" t="n">
        <v>0</v>
      </c>
      <c r="M1258" t="n">
        <v>0</v>
      </c>
      <c r="N1258" t="n">
        <v>0</v>
      </c>
      <c r="O1258" t="n">
        <v>0</v>
      </c>
      <c r="P1258" t="n">
        <v>0</v>
      </c>
      <c r="Q1258" t="n">
        <v>0</v>
      </c>
      <c r="R1258" s="2" t="inlineStr"/>
    </row>
    <row r="1259" ht="15" customHeight="1">
      <c r="A1259" t="inlineStr">
        <is>
          <t>A 18011-2022</t>
        </is>
      </c>
      <c r="B1259" s="1" t="n">
        <v>44683</v>
      </c>
      <c r="C1259" s="1" t="n">
        <v>45670</v>
      </c>
      <c r="D1259" t="inlineStr">
        <is>
          <t>VÄSTERNORRLANDS LÄN</t>
        </is>
      </c>
      <c r="E1259" t="inlineStr">
        <is>
          <t>SOLLEFTEÅ</t>
        </is>
      </c>
      <c r="F1259" t="inlineStr">
        <is>
          <t>SCA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18015-2022</t>
        </is>
      </c>
      <c r="B1260" s="1" t="n">
        <v>44684</v>
      </c>
      <c r="C1260" s="1" t="n">
        <v>45670</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18016-2022</t>
        </is>
      </c>
      <c r="B1261" s="1" t="n">
        <v>44684</v>
      </c>
      <c r="C1261" s="1" t="n">
        <v>45670</v>
      </c>
      <c r="D1261" t="inlineStr">
        <is>
          <t>VÄSTERNORRLANDS LÄN</t>
        </is>
      </c>
      <c r="E1261" t="inlineStr">
        <is>
          <t>SOLLEFTEÅ</t>
        </is>
      </c>
      <c r="F1261" t="inlineStr">
        <is>
          <t>SCA</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17999-2022</t>
        </is>
      </c>
      <c r="B1262" s="1" t="n">
        <v>44683</v>
      </c>
      <c r="C1262" s="1" t="n">
        <v>45670</v>
      </c>
      <c r="D1262" t="inlineStr">
        <is>
          <t>VÄSTERNORRLANDS LÄN</t>
        </is>
      </c>
      <c r="E1262" t="inlineStr">
        <is>
          <t>SOLLEFTEÅ</t>
        </is>
      </c>
      <c r="F1262" t="inlineStr">
        <is>
          <t>SCA</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18013-2022</t>
        </is>
      </c>
      <c r="B1263" s="1" t="n">
        <v>44684</v>
      </c>
      <c r="C1263" s="1" t="n">
        <v>45670</v>
      </c>
      <c r="D1263" t="inlineStr">
        <is>
          <t>VÄSTERNORRLANDS LÄN</t>
        </is>
      </c>
      <c r="E1263" t="inlineStr">
        <is>
          <t>SOLLEFTEÅ</t>
        </is>
      </c>
      <c r="F1263" t="inlineStr">
        <is>
          <t>SCA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18017-2022</t>
        </is>
      </c>
      <c r="B1264" s="1" t="n">
        <v>44683</v>
      </c>
      <c r="C1264" s="1" t="n">
        <v>45670</v>
      </c>
      <c r="D1264" t="inlineStr">
        <is>
          <t>VÄSTERNORRLANDS LÄN</t>
        </is>
      </c>
      <c r="E1264" t="inlineStr">
        <is>
          <t>SOLLEFTEÅ</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18187-2022</t>
        </is>
      </c>
      <c r="B1265" s="1" t="n">
        <v>44684</v>
      </c>
      <c r="C1265" s="1" t="n">
        <v>45670</v>
      </c>
      <c r="D1265" t="inlineStr">
        <is>
          <t>VÄSTERNORRLANDS LÄN</t>
        </is>
      </c>
      <c r="E1265" t="inlineStr">
        <is>
          <t>SOLLEFTEÅ</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18190-2022</t>
        </is>
      </c>
      <c r="B1266" s="1" t="n">
        <v>44685</v>
      </c>
      <c r="C1266" s="1" t="n">
        <v>45670</v>
      </c>
      <c r="D1266" t="inlineStr">
        <is>
          <t>VÄSTERNORRLANDS LÄN</t>
        </is>
      </c>
      <c r="E1266" t="inlineStr">
        <is>
          <t>SOLLEFTEÅ</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18197-2022</t>
        </is>
      </c>
      <c r="B1267" s="1" t="n">
        <v>44684</v>
      </c>
      <c r="C1267" s="1" t="n">
        <v>45670</v>
      </c>
      <c r="D1267" t="inlineStr">
        <is>
          <t>VÄSTERNORRLANDS LÄN</t>
        </is>
      </c>
      <c r="E1267" t="inlineStr">
        <is>
          <t>SOLLEFTEÅ</t>
        </is>
      </c>
      <c r="F1267" t="inlineStr">
        <is>
          <t>SCA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18188-2022</t>
        </is>
      </c>
      <c r="B1268" s="1" t="n">
        <v>44685</v>
      </c>
      <c r="C1268" s="1" t="n">
        <v>45670</v>
      </c>
      <c r="D1268" t="inlineStr">
        <is>
          <t>VÄSTERNORRLANDS LÄN</t>
        </is>
      </c>
      <c r="E1268" t="inlineStr">
        <is>
          <t>SOLLEFTEÅ</t>
        </is>
      </c>
      <c r="F1268" t="inlineStr">
        <is>
          <t>SCA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18196-2022</t>
        </is>
      </c>
      <c r="B1269" s="1" t="n">
        <v>44685</v>
      </c>
      <c r="C1269" s="1" t="n">
        <v>45670</v>
      </c>
      <c r="D1269" t="inlineStr">
        <is>
          <t>VÄSTERNORRLANDS LÄN</t>
        </is>
      </c>
      <c r="E1269" t="inlineStr">
        <is>
          <t>SOLLEFTEÅ</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18202-2022</t>
        </is>
      </c>
      <c r="B1270" s="1" t="n">
        <v>44684</v>
      </c>
      <c r="C1270" s="1" t="n">
        <v>45670</v>
      </c>
      <c r="D1270" t="inlineStr">
        <is>
          <t>VÄSTERNORRLANDS LÄN</t>
        </is>
      </c>
      <c r="E1270" t="inlineStr">
        <is>
          <t>SOLLEFTEÅ</t>
        </is>
      </c>
      <c r="F1270" t="inlineStr">
        <is>
          <t>SCA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18304-2022</t>
        </is>
      </c>
      <c r="B1271" s="1" t="n">
        <v>44685</v>
      </c>
      <c r="C1271" s="1" t="n">
        <v>45670</v>
      </c>
      <c r="D1271" t="inlineStr">
        <is>
          <t>VÄSTERNORRLANDS LÄN</t>
        </is>
      </c>
      <c r="E1271" t="inlineStr">
        <is>
          <t>SOLLEFTEÅ</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18372-2022</t>
        </is>
      </c>
      <c r="B1272" s="1" t="n">
        <v>44685</v>
      </c>
      <c r="C1272" s="1" t="n">
        <v>45670</v>
      </c>
      <c r="D1272" t="inlineStr">
        <is>
          <t>VÄSTERNORRLANDS LÄN</t>
        </is>
      </c>
      <c r="E1272" t="inlineStr">
        <is>
          <t>SOLLEFTEÅ</t>
        </is>
      </c>
      <c r="F1272" t="inlineStr">
        <is>
          <t>SCA</t>
        </is>
      </c>
      <c r="G1272" t="n">
        <v>11.9</v>
      </c>
      <c r="H1272" t="n">
        <v>0</v>
      </c>
      <c r="I1272" t="n">
        <v>0</v>
      </c>
      <c r="J1272" t="n">
        <v>0</v>
      </c>
      <c r="K1272" t="n">
        <v>0</v>
      </c>
      <c r="L1272" t="n">
        <v>0</v>
      </c>
      <c r="M1272" t="n">
        <v>0</v>
      </c>
      <c r="N1272" t="n">
        <v>0</v>
      </c>
      <c r="O1272" t="n">
        <v>0</v>
      </c>
      <c r="P1272" t="n">
        <v>0</v>
      </c>
      <c r="Q1272" t="n">
        <v>0</v>
      </c>
      <c r="R1272" s="2" t="inlineStr"/>
    </row>
    <row r="1273" ht="15" customHeight="1">
      <c r="A1273" t="inlineStr">
        <is>
          <t>A 18570-2022</t>
        </is>
      </c>
      <c r="B1273" s="1" t="n">
        <v>44687</v>
      </c>
      <c r="C1273" s="1" t="n">
        <v>45670</v>
      </c>
      <c r="D1273" t="inlineStr">
        <is>
          <t>VÄSTERNORRLANDS LÄN</t>
        </is>
      </c>
      <c r="E1273" t="inlineStr">
        <is>
          <t>SOLLEFTEÅ</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18852-2022</t>
        </is>
      </c>
      <c r="B1274" s="1" t="n">
        <v>44690</v>
      </c>
      <c r="C1274" s="1" t="n">
        <v>45670</v>
      </c>
      <c r="D1274" t="inlineStr">
        <is>
          <t>VÄSTERNORRLANDS LÄN</t>
        </is>
      </c>
      <c r="E1274" t="inlineStr">
        <is>
          <t>SOLLEFTEÅ</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19055-2022</t>
        </is>
      </c>
      <c r="B1275" s="1" t="n">
        <v>44691</v>
      </c>
      <c r="C1275" s="1" t="n">
        <v>45670</v>
      </c>
      <c r="D1275" t="inlineStr">
        <is>
          <t>VÄSTERNORRLANDS LÄN</t>
        </is>
      </c>
      <c r="E1275" t="inlineStr">
        <is>
          <t>SOLLEFTEÅ</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19051-2022</t>
        </is>
      </c>
      <c r="B1276" s="1" t="n">
        <v>44691</v>
      </c>
      <c r="C1276" s="1" t="n">
        <v>45670</v>
      </c>
      <c r="D1276" t="inlineStr">
        <is>
          <t>VÄSTERNORRLANDS LÄN</t>
        </is>
      </c>
      <c r="E1276" t="inlineStr">
        <is>
          <t>SOLLEFTEÅ</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19053-2022</t>
        </is>
      </c>
      <c r="B1277" s="1" t="n">
        <v>44691</v>
      </c>
      <c r="C1277" s="1" t="n">
        <v>45670</v>
      </c>
      <c r="D1277" t="inlineStr">
        <is>
          <t>VÄSTERNORRLANDS LÄN</t>
        </is>
      </c>
      <c r="E1277" t="inlineStr">
        <is>
          <t>SOLLEFTEÅ</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19203-2022</t>
        </is>
      </c>
      <c r="B1278" s="1" t="n">
        <v>44692</v>
      </c>
      <c r="C1278" s="1" t="n">
        <v>45670</v>
      </c>
      <c r="D1278" t="inlineStr">
        <is>
          <t>VÄSTERNORRLANDS LÄN</t>
        </is>
      </c>
      <c r="E1278" t="inlineStr">
        <is>
          <t>SOLLEFTEÅ</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19208-2022</t>
        </is>
      </c>
      <c r="B1279" s="1" t="n">
        <v>44691</v>
      </c>
      <c r="C1279" s="1" t="n">
        <v>45670</v>
      </c>
      <c r="D1279" t="inlineStr">
        <is>
          <t>VÄSTERNORRLANDS LÄN</t>
        </is>
      </c>
      <c r="E1279" t="inlineStr">
        <is>
          <t>SOLLEFTEÅ</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19295-2022</t>
        </is>
      </c>
      <c r="B1280" s="1" t="n">
        <v>44692</v>
      </c>
      <c r="C1280" s="1" t="n">
        <v>45670</v>
      </c>
      <c r="D1280" t="inlineStr">
        <is>
          <t>VÄSTERNORRLANDS LÄN</t>
        </is>
      </c>
      <c r="E1280" t="inlineStr">
        <is>
          <t>SOLLEFTEÅ</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19414-2022</t>
        </is>
      </c>
      <c r="B1281" s="1" t="n">
        <v>44693</v>
      </c>
      <c r="C1281" s="1" t="n">
        <v>45670</v>
      </c>
      <c r="D1281" t="inlineStr">
        <is>
          <t>VÄSTERNORRLANDS LÄN</t>
        </is>
      </c>
      <c r="E1281" t="inlineStr">
        <is>
          <t>SOLLEFTEÅ</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19416-2022</t>
        </is>
      </c>
      <c r="B1282" s="1" t="n">
        <v>44693</v>
      </c>
      <c r="C1282" s="1" t="n">
        <v>45670</v>
      </c>
      <c r="D1282" t="inlineStr">
        <is>
          <t>VÄSTERNORRLANDS LÄN</t>
        </is>
      </c>
      <c r="E1282" t="inlineStr">
        <is>
          <t>SOLLEFTEÅ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19508-2022</t>
        </is>
      </c>
      <c r="B1283" s="1" t="n">
        <v>44693</v>
      </c>
      <c r="C1283" s="1" t="n">
        <v>45670</v>
      </c>
      <c r="D1283" t="inlineStr">
        <is>
          <t>VÄSTERNORRLANDS LÄN</t>
        </is>
      </c>
      <c r="E1283" t="inlineStr">
        <is>
          <t>SOLLEFTEÅ</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19585-2022</t>
        </is>
      </c>
      <c r="B1284" s="1" t="n">
        <v>44693</v>
      </c>
      <c r="C1284" s="1" t="n">
        <v>45670</v>
      </c>
      <c r="D1284" t="inlineStr">
        <is>
          <t>VÄSTERNORRLANDS LÄN</t>
        </is>
      </c>
      <c r="E1284" t="inlineStr">
        <is>
          <t>SOLLEFTEÅ</t>
        </is>
      </c>
      <c r="F1284" t="inlineStr">
        <is>
          <t>SCA</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19583-2022</t>
        </is>
      </c>
      <c r="B1285" s="1" t="n">
        <v>44693</v>
      </c>
      <c r="C1285" s="1" t="n">
        <v>45670</v>
      </c>
      <c r="D1285" t="inlineStr">
        <is>
          <t>VÄSTERNORRLANDS LÄN</t>
        </is>
      </c>
      <c r="E1285" t="inlineStr">
        <is>
          <t>SOLLEFTEÅ</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19593-2022</t>
        </is>
      </c>
      <c r="B1286" s="1" t="n">
        <v>44694</v>
      </c>
      <c r="C1286" s="1" t="n">
        <v>45670</v>
      </c>
      <c r="D1286" t="inlineStr">
        <is>
          <t>VÄSTERNORRLANDS LÄN</t>
        </is>
      </c>
      <c r="E1286" t="inlineStr">
        <is>
          <t>SOLLEFTEÅ</t>
        </is>
      </c>
      <c r="F1286" t="inlineStr">
        <is>
          <t>SCA</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19588-2022</t>
        </is>
      </c>
      <c r="B1287" s="1" t="n">
        <v>44694</v>
      </c>
      <c r="C1287" s="1" t="n">
        <v>45670</v>
      </c>
      <c r="D1287" t="inlineStr">
        <is>
          <t>VÄSTERNORRLANDS LÄN</t>
        </is>
      </c>
      <c r="E1287" t="inlineStr">
        <is>
          <t>SOLLEFTEÅ</t>
        </is>
      </c>
      <c r="F1287" t="inlineStr">
        <is>
          <t>SCA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19595-2022</t>
        </is>
      </c>
      <c r="B1288" s="1" t="n">
        <v>44693</v>
      </c>
      <c r="C1288" s="1" t="n">
        <v>45670</v>
      </c>
      <c r="D1288" t="inlineStr">
        <is>
          <t>VÄSTERNORRLANDS LÄN</t>
        </is>
      </c>
      <c r="E1288" t="inlineStr">
        <is>
          <t>SOLLEFTEÅ</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19594-2022</t>
        </is>
      </c>
      <c r="B1289" s="1" t="n">
        <v>44694</v>
      </c>
      <c r="C1289" s="1" t="n">
        <v>45670</v>
      </c>
      <c r="D1289" t="inlineStr">
        <is>
          <t>VÄSTERNORRLANDS LÄN</t>
        </is>
      </c>
      <c r="E1289" t="inlineStr">
        <is>
          <t>SOLLEFTEÅ</t>
        </is>
      </c>
      <c r="F1289" t="inlineStr">
        <is>
          <t>SCA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19825-2022</t>
        </is>
      </c>
      <c r="B1290" s="1" t="n">
        <v>44695</v>
      </c>
      <c r="C1290" s="1" t="n">
        <v>45670</v>
      </c>
      <c r="D1290" t="inlineStr">
        <is>
          <t>VÄSTERNORRLANDS LÄN</t>
        </is>
      </c>
      <c r="E1290" t="inlineStr">
        <is>
          <t>SOLLEFTEÅ</t>
        </is>
      </c>
      <c r="F1290" t="inlineStr">
        <is>
          <t>SCA</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19813-2022</t>
        </is>
      </c>
      <c r="B1291" s="1" t="n">
        <v>44695</v>
      </c>
      <c r="C1291" s="1" t="n">
        <v>45670</v>
      </c>
      <c r="D1291" t="inlineStr">
        <is>
          <t>VÄSTERNORRLANDS LÄN</t>
        </is>
      </c>
      <c r="E1291" t="inlineStr">
        <is>
          <t>SOLLEFTEÅ</t>
        </is>
      </c>
      <c r="F1291" t="inlineStr">
        <is>
          <t>SCA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19814-2022</t>
        </is>
      </c>
      <c r="B1292" s="1" t="n">
        <v>44695</v>
      </c>
      <c r="C1292" s="1" t="n">
        <v>45670</v>
      </c>
      <c r="D1292" t="inlineStr">
        <is>
          <t>VÄSTERNORRLANDS LÄN</t>
        </is>
      </c>
      <c r="E1292" t="inlineStr">
        <is>
          <t>SOLLEFTEÅ</t>
        </is>
      </c>
      <c r="F1292" t="inlineStr">
        <is>
          <t>SCA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20061-2022</t>
        </is>
      </c>
      <c r="B1293" s="1" t="n">
        <v>44698</v>
      </c>
      <c r="C1293" s="1" t="n">
        <v>45670</v>
      </c>
      <c r="D1293" t="inlineStr">
        <is>
          <t>VÄSTERNORRLANDS LÄN</t>
        </is>
      </c>
      <c r="E1293" t="inlineStr">
        <is>
          <t>SOLLEFTEÅ</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20062-2022</t>
        </is>
      </c>
      <c r="B1294" s="1" t="n">
        <v>44697</v>
      </c>
      <c r="C1294" s="1" t="n">
        <v>45670</v>
      </c>
      <c r="D1294" t="inlineStr">
        <is>
          <t>VÄSTERNORRLANDS LÄN</t>
        </is>
      </c>
      <c r="E1294" t="inlineStr">
        <is>
          <t>SOLLEFTEÅ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20296-2022</t>
        </is>
      </c>
      <c r="B1295" s="1" t="n">
        <v>44698</v>
      </c>
      <c r="C1295" s="1" t="n">
        <v>45670</v>
      </c>
      <c r="D1295" t="inlineStr">
        <is>
          <t>VÄSTERNORRLANDS LÄN</t>
        </is>
      </c>
      <c r="E1295" t="inlineStr">
        <is>
          <t>SOLLEFTEÅ</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20551-2022</t>
        </is>
      </c>
      <c r="B1296" s="1" t="n">
        <v>44699</v>
      </c>
      <c r="C1296" s="1" t="n">
        <v>45670</v>
      </c>
      <c r="D1296" t="inlineStr">
        <is>
          <t>VÄSTERNORRLANDS LÄN</t>
        </is>
      </c>
      <c r="E1296" t="inlineStr">
        <is>
          <t>SOLLEFTEÅ</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20699-2022</t>
        </is>
      </c>
      <c r="B1297" s="1" t="n">
        <v>44701</v>
      </c>
      <c r="C1297" s="1" t="n">
        <v>45670</v>
      </c>
      <c r="D1297" t="inlineStr">
        <is>
          <t>VÄSTERNORRLANDS LÄN</t>
        </is>
      </c>
      <c r="E1297" t="inlineStr">
        <is>
          <t>SOLLEFTEÅ</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20704-2022</t>
        </is>
      </c>
      <c r="B1298" s="1" t="n">
        <v>44700</v>
      </c>
      <c r="C1298" s="1" t="n">
        <v>45670</v>
      </c>
      <c r="D1298" t="inlineStr">
        <is>
          <t>VÄSTERNORRLANDS LÄN</t>
        </is>
      </c>
      <c r="E1298" t="inlineStr">
        <is>
          <t>SOLLEFTEÅ</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20702-2022</t>
        </is>
      </c>
      <c r="B1299" s="1" t="n">
        <v>44701</v>
      </c>
      <c r="C1299" s="1" t="n">
        <v>45670</v>
      </c>
      <c r="D1299" t="inlineStr">
        <is>
          <t>VÄSTERNORRLANDS LÄN</t>
        </is>
      </c>
      <c r="E1299" t="inlineStr">
        <is>
          <t>SOLLEFTEÅ</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20703-2022</t>
        </is>
      </c>
      <c r="B1300" s="1" t="n">
        <v>44701</v>
      </c>
      <c r="C1300" s="1" t="n">
        <v>45670</v>
      </c>
      <c r="D1300" t="inlineStr">
        <is>
          <t>VÄSTERNORRLANDS LÄN</t>
        </is>
      </c>
      <c r="E1300" t="inlineStr">
        <is>
          <t>SOLLEFTEÅ</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20724-2022</t>
        </is>
      </c>
      <c r="B1301" s="1" t="n">
        <v>44700</v>
      </c>
      <c r="C1301" s="1" t="n">
        <v>45670</v>
      </c>
      <c r="D1301" t="inlineStr">
        <is>
          <t>VÄSTERNORRLANDS LÄN</t>
        </is>
      </c>
      <c r="E1301" t="inlineStr">
        <is>
          <t>SOLLEFTEÅ</t>
        </is>
      </c>
      <c r="F1301" t="inlineStr">
        <is>
          <t>SCA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20738-2022</t>
        </is>
      </c>
      <c r="B1302" s="1" t="n">
        <v>44700</v>
      </c>
      <c r="C1302" s="1" t="n">
        <v>45670</v>
      </c>
      <c r="D1302" t="inlineStr">
        <is>
          <t>VÄSTERNORRLANDS LÄN</t>
        </is>
      </c>
      <c r="E1302" t="inlineStr">
        <is>
          <t>SOLLEFTEÅ</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20955-2022</t>
        </is>
      </c>
      <c r="B1303" s="1" t="n">
        <v>44702</v>
      </c>
      <c r="C1303" s="1" t="n">
        <v>45670</v>
      </c>
      <c r="D1303" t="inlineStr">
        <is>
          <t>VÄSTERNORRLANDS LÄN</t>
        </is>
      </c>
      <c r="E1303" t="inlineStr">
        <is>
          <t>SOLLEFTEÅ</t>
        </is>
      </c>
      <c r="F1303" t="inlineStr">
        <is>
          <t>SCA</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20950-2022</t>
        </is>
      </c>
      <c r="B1304" s="1" t="n">
        <v>44701</v>
      </c>
      <c r="C1304" s="1" t="n">
        <v>45670</v>
      </c>
      <c r="D1304" t="inlineStr">
        <is>
          <t>VÄSTERNORRLANDS LÄN</t>
        </is>
      </c>
      <c r="E1304" t="inlineStr">
        <is>
          <t>SOLLEFTEÅ</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20954-2022</t>
        </is>
      </c>
      <c r="B1305" s="1" t="n">
        <v>44702</v>
      </c>
      <c r="C1305" s="1" t="n">
        <v>45670</v>
      </c>
      <c r="D1305" t="inlineStr">
        <is>
          <t>VÄSTERNORRLANDS LÄN</t>
        </is>
      </c>
      <c r="E1305" t="inlineStr">
        <is>
          <t>SOLLEFTEÅ</t>
        </is>
      </c>
      <c r="F1305" t="inlineStr">
        <is>
          <t>SCA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20951-2022</t>
        </is>
      </c>
      <c r="B1306" s="1" t="n">
        <v>44701</v>
      </c>
      <c r="C1306" s="1" t="n">
        <v>45670</v>
      </c>
      <c r="D1306" t="inlineStr">
        <is>
          <t>VÄSTERNORRLANDS LÄN</t>
        </is>
      </c>
      <c r="E1306" t="inlineStr">
        <is>
          <t>SOLLEFTEÅ</t>
        </is>
      </c>
      <c r="F1306" t="inlineStr">
        <is>
          <t>SCA</t>
        </is>
      </c>
      <c r="G1306" t="n">
        <v>11.2</v>
      </c>
      <c r="H1306" t="n">
        <v>0</v>
      </c>
      <c r="I1306" t="n">
        <v>0</v>
      </c>
      <c r="J1306" t="n">
        <v>0</v>
      </c>
      <c r="K1306" t="n">
        <v>0</v>
      </c>
      <c r="L1306" t="n">
        <v>0</v>
      </c>
      <c r="M1306" t="n">
        <v>0</v>
      </c>
      <c r="N1306" t="n">
        <v>0</v>
      </c>
      <c r="O1306" t="n">
        <v>0</v>
      </c>
      <c r="P1306" t="n">
        <v>0</v>
      </c>
      <c r="Q1306" t="n">
        <v>0</v>
      </c>
      <c r="R1306" s="2" t="inlineStr"/>
    </row>
    <row r="1307" ht="15" customHeight="1">
      <c r="A1307" t="inlineStr">
        <is>
          <t>A 20942-2022</t>
        </is>
      </c>
      <c r="B1307" s="1" t="n">
        <v>44701</v>
      </c>
      <c r="C1307" s="1" t="n">
        <v>45670</v>
      </c>
      <c r="D1307" t="inlineStr">
        <is>
          <t>VÄSTERNORRLANDS LÄN</t>
        </is>
      </c>
      <c r="E1307" t="inlineStr">
        <is>
          <t>SOLLEFTEÅ</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20996-2022</t>
        </is>
      </c>
      <c r="B1308" s="1" t="n">
        <v>44703</v>
      </c>
      <c r="C1308" s="1" t="n">
        <v>45670</v>
      </c>
      <c r="D1308" t="inlineStr">
        <is>
          <t>VÄSTERNORRLANDS LÄN</t>
        </is>
      </c>
      <c r="E1308" t="inlineStr">
        <is>
          <t>SOLLEFTEÅ</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20994-2022</t>
        </is>
      </c>
      <c r="B1309" s="1" t="n">
        <v>44703</v>
      </c>
      <c r="C1309" s="1" t="n">
        <v>45670</v>
      </c>
      <c r="D1309" t="inlineStr">
        <is>
          <t>VÄSTERNORRLANDS LÄN</t>
        </is>
      </c>
      <c r="E1309" t="inlineStr">
        <is>
          <t>SOLLEFTEÅ</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21050-2022</t>
        </is>
      </c>
      <c r="B1310" s="1" t="n">
        <v>44704</v>
      </c>
      <c r="C1310" s="1" t="n">
        <v>45670</v>
      </c>
      <c r="D1310" t="inlineStr">
        <is>
          <t>VÄSTERNORRLANDS LÄN</t>
        </is>
      </c>
      <c r="E1310" t="inlineStr">
        <is>
          <t>SOLLEFTEÅ</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21191-2022</t>
        </is>
      </c>
      <c r="B1311" s="1" t="n">
        <v>44705</v>
      </c>
      <c r="C1311" s="1" t="n">
        <v>45670</v>
      </c>
      <c r="D1311" t="inlineStr">
        <is>
          <t>VÄSTERNORRLANDS LÄN</t>
        </is>
      </c>
      <c r="E1311" t="inlineStr">
        <is>
          <t>SOLLEFTEÅ</t>
        </is>
      </c>
      <c r="F1311" t="inlineStr">
        <is>
          <t>SCA</t>
        </is>
      </c>
      <c r="G1311" t="n">
        <v>26.5</v>
      </c>
      <c r="H1311" t="n">
        <v>0</v>
      </c>
      <c r="I1311" t="n">
        <v>0</v>
      </c>
      <c r="J1311" t="n">
        <v>0</v>
      </c>
      <c r="K1311" t="n">
        <v>0</v>
      </c>
      <c r="L1311" t="n">
        <v>0</v>
      </c>
      <c r="M1311" t="n">
        <v>0</v>
      </c>
      <c r="N1311" t="n">
        <v>0</v>
      </c>
      <c r="O1311" t="n">
        <v>0</v>
      </c>
      <c r="P1311" t="n">
        <v>0</v>
      </c>
      <c r="Q1311" t="n">
        <v>0</v>
      </c>
      <c r="R1311" s="2" t="inlineStr"/>
    </row>
    <row r="1312" ht="15" customHeight="1">
      <c r="A1312" t="inlineStr">
        <is>
          <t>A 21210-2022</t>
        </is>
      </c>
      <c r="B1312" s="1" t="n">
        <v>44705</v>
      </c>
      <c r="C1312" s="1" t="n">
        <v>45670</v>
      </c>
      <c r="D1312" t="inlineStr">
        <is>
          <t>VÄSTERNORRLANDS LÄN</t>
        </is>
      </c>
      <c r="E1312" t="inlineStr">
        <is>
          <t>SOLLEFTEÅ</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21404-2022</t>
        </is>
      </c>
      <c r="B1313" s="1" t="n">
        <v>44706</v>
      </c>
      <c r="C1313" s="1" t="n">
        <v>45670</v>
      </c>
      <c r="D1313" t="inlineStr">
        <is>
          <t>VÄSTERNORRLANDS LÄN</t>
        </is>
      </c>
      <c r="E1313" t="inlineStr">
        <is>
          <t>SOLLEFTEÅ</t>
        </is>
      </c>
      <c r="F1313" t="inlineStr">
        <is>
          <t>SCA</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21582-2022</t>
        </is>
      </c>
      <c r="B1314" s="1" t="n">
        <v>44706</v>
      </c>
      <c r="C1314" s="1" t="n">
        <v>45670</v>
      </c>
      <c r="D1314" t="inlineStr">
        <is>
          <t>VÄSTERNORRLANDS LÄN</t>
        </is>
      </c>
      <c r="E1314" t="inlineStr">
        <is>
          <t>SOLLEFTEÅ</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21637-2022</t>
        </is>
      </c>
      <c r="B1315" s="1" t="n">
        <v>44707</v>
      </c>
      <c r="C1315" s="1" t="n">
        <v>45670</v>
      </c>
      <c r="D1315" t="inlineStr">
        <is>
          <t>VÄSTERNORRLANDS LÄN</t>
        </is>
      </c>
      <c r="E1315" t="inlineStr">
        <is>
          <t>SOLLEFTEÅ</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21636-2022</t>
        </is>
      </c>
      <c r="B1316" s="1" t="n">
        <v>44707</v>
      </c>
      <c r="C1316" s="1" t="n">
        <v>45670</v>
      </c>
      <c r="D1316" t="inlineStr">
        <is>
          <t>VÄSTERNORRLANDS LÄN</t>
        </is>
      </c>
      <c r="E1316" t="inlineStr">
        <is>
          <t>SOLLEFTEÅ</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21635-2022</t>
        </is>
      </c>
      <c r="B1317" s="1" t="n">
        <v>44707</v>
      </c>
      <c r="C1317" s="1" t="n">
        <v>45670</v>
      </c>
      <c r="D1317" t="inlineStr">
        <is>
          <t>VÄSTERNORRLANDS LÄN</t>
        </is>
      </c>
      <c r="E1317" t="inlineStr">
        <is>
          <t>SOLLEFTEÅ</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21713-2022</t>
        </is>
      </c>
      <c r="B1318" s="1" t="n">
        <v>44708</v>
      </c>
      <c r="C1318" s="1" t="n">
        <v>45670</v>
      </c>
      <c r="D1318" t="inlineStr">
        <is>
          <t>VÄSTERNORRLANDS LÄN</t>
        </is>
      </c>
      <c r="E1318" t="inlineStr">
        <is>
          <t>SOLLEFTEÅ</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21714-2022</t>
        </is>
      </c>
      <c r="B1319" s="1" t="n">
        <v>44708</v>
      </c>
      <c r="C1319" s="1" t="n">
        <v>45670</v>
      </c>
      <c r="D1319" t="inlineStr">
        <is>
          <t>VÄSTERNORRLANDS LÄN</t>
        </is>
      </c>
      <c r="E1319" t="inlineStr">
        <is>
          <t>SOLLEFTEÅ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21715-2022</t>
        </is>
      </c>
      <c r="B1320" s="1" t="n">
        <v>44708</v>
      </c>
      <c r="C1320" s="1" t="n">
        <v>45670</v>
      </c>
      <c r="D1320" t="inlineStr">
        <is>
          <t>VÄSTERNORRLANDS LÄN</t>
        </is>
      </c>
      <c r="E1320" t="inlineStr">
        <is>
          <t>SOLLEFTEÅ</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21711-2022</t>
        </is>
      </c>
      <c r="B1321" s="1" t="n">
        <v>44707</v>
      </c>
      <c r="C1321" s="1" t="n">
        <v>45670</v>
      </c>
      <c r="D1321" t="inlineStr">
        <is>
          <t>VÄSTERNORRLANDS LÄN</t>
        </is>
      </c>
      <c r="E1321" t="inlineStr">
        <is>
          <t>SOLLEFTEÅ</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21807-2022</t>
        </is>
      </c>
      <c r="B1322" s="1" t="n">
        <v>44708</v>
      </c>
      <c r="C1322" s="1" t="n">
        <v>45670</v>
      </c>
      <c r="D1322" t="inlineStr">
        <is>
          <t>VÄSTERNORRLANDS LÄN</t>
        </is>
      </c>
      <c r="E1322" t="inlineStr">
        <is>
          <t>SOLLEFTEÅ</t>
        </is>
      </c>
      <c r="F1322" t="inlineStr">
        <is>
          <t>SCA</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22101-2022</t>
        </is>
      </c>
      <c r="B1323" s="1" t="n">
        <v>44712</v>
      </c>
      <c r="C1323" s="1" t="n">
        <v>45670</v>
      </c>
      <c r="D1323" t="inlineStr">
        <is>
          <t>VÄSTERNORRLANDS LÄN</t>
        </is>
      </c>
      <c r="E1323" t="inlineStr">
        <is>
          <t>SOLLEFTEÅ</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22087-2022</t>
        </is>
      </c>
      <c r="B1324" s="1" t="n">
        <v>44712</v>
      </c>
      <c r="C1324" s="1" t="n">
        <v>45670</v>
      </c>
      <c r="D1324" t="inlineStr">
        <is>
          <t>VÄSTERNORRLANDS LÄN</t>
        </is>
      </c>
      <c r="E1324" t="inlineStr">
        <is>
          <t>SOLLEFTEÅ</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22103-2022</t>
        </is>
      </c>
      <c r="B1325" s="1" t="n">
        <v>44712</v>
      </c>
      <c r="C1325" s="1" t="n">
        <v>45670</v>
      </c>
      <c r="D1325" t="inlineStr">
        <is>
          <t>VÄSTERNORRLANDS LÄN</t>
        </is>
      </c>
      <c r="E1325" t="inlineStr">
        <is>
          <t>SOLLEFTEÅ</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22330-2022</t>
        </is>
      </c>
      <c r="B1326" s="1" t="n">
        <v>44712</v>
      </c>
      <c r="C1326" s="1" t="n">
        <v>45670</v>
      </c>
      <c r="D1326" t="inlineStr">
        <is>
          <t>VÄSTERNORRLANDS LÄN</t>
        </is>
      </c>
      <c r="E1326" t="inlineStr">
        <is>
          <t>SOLLEFTEÅ</t>
        </is>
      </c>
      <c r="F1326" t="inlineStr">
        <is>
          <t>SCA</t>
        </is>
      </c>
      <c r="G1326" t="n">
        <v>21.9</v>
      </c>
      <c r="H1326" t="n">
        <v>0</v>
      </c>
      <c r="I1326" t="n">
        <v>0</v>
      </c>
      <c r="J1326" t="n">
        <v>0</v>
      </c>
      <c r="K1326" t="n">
        <v>0</v>
      </c>
      <c r="L1326" t="n">
        <v>0</v>
      </c>
      <c r="M1326" t="n">
        <v>0</v>
      </c>
      <c r="N1326" t="n">
        <v>0</v>
      </c>
      <c r="O1326" t="n">
        <v>0</v>
      </c>
      <c r="P1326" t="n">
        <v>0</v>
      </c>
      <c r="Q1326" t="n">
        <v>0</v>
      </c>
      <c r="R1326" s="2" t="inlineStr"/>
    </row>
    <row r="1327" ht="15" customHeight="1">
      <c r="A1327" t="inlineStr">
        <is>
          <t>A 22341-2022</t>
        </is>
      </c>
      <c r="B1327" s="1" t="n">
        <v>44713</v>
      </c>
      <c r="C1327" s="1" t="n">
        <v>45670</v>
      </c>
      <c r="D1327" t="inlineStr">
        <is>
          <t>VÄSTERNORRLANDS LÄN</t>
        </is>
      </c>
      <c r="E1327" t="inlineStr">
        <is>
          <t>SOLLEFTEÅ</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22342-2022</t>
        </is>
      </c>
      <c r="B1328" s="1" t="n">
        <v>44713</v>
      </c>
      <c r="C1328" s="1" t="n">
        <v>45670</v>
      </c>
      <c r="D1328" t="inlineStr">
        <is>
          <t>VÄSTERNORRLANDS LÄN</t>
        </is>
      </c>
      <c r="E1328" t="inlineStr">
        <is>
          <t>SOLLEFTEÅ</t>
        </is>
      </c>
      <c r="F1328" t="inlineStr">
        <is>
          <t>SCA</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22343-2022</t>
        </is>
      </c>
      <c r="B1329" s="1" t="n">
        <v>44713</v>
      </c>
      <c r="C1329" s="1" t="n">
        <v>45670</v>
      </c>
      <c r="D1329" t="inlineStr">
        <is>
          <t>VÄSTERNORRLANDS LÄN</t>
        </is>
      </c>
      <c r="E1329" t="inlineStr">
        <is>
          <t>SOLLEFTEÅ</t>
        </is>
      </c>
      <c r="F1329" t="inlineStr">
        <is>
          <t>SCA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22664-2022</t>
        </is>
      </c>
      <c r="B1330" s="1" t="n">
        <v>44714</v>
      </c>
      <c r="C1330" s="1" t="n">
        <v>45670</v>
      </c>
      <c r="D1330" t="inlineStr">
        <is>
          <t>VÄSTERNORRLANDS LÄN</t>
        </is>
      </c>
      <c r="E1330" t="inlineStr">
        <is>
          <t>SOLLEFTEÅ</t>
        </is>
      </c>
      <c r="G1330" t="n">
        <v>9.9</v>
      </c>
      <c r="H1330" t="n">
        <v>0</v>
      </c>
      <c r="I1330" t="n">
        <v>0</v>
      </c>
      <c r="J1330" t="n">
        <v>0</v>
      </c>
      <c r="K1330" t="n">
        <v>0</v>
      </c>
      <c r="L1330" t="n">
        <v>0</v>
      </c>
      <c r="M1330" t="n">
        <v>0</v>
      </c>
      <c r="N1330" t="n">
        <v>0</v>
      </c>
      <c r="O1330" t="n">
        <v>0</v>
      </c>
      <c r="P1330" t="n">
        <v>0</v>
      </c>
      <c r="Q1330" t="n">
        <v>0</v>
      </c>
      <c r="R1330" s="2" t="inlineStr"/>
    </row>
    <row r="1331" ht="15" customHeight="1">
      <c r="A1331" t="inlineStr">
        <is>
          <t>A 22762-2022</t>
        </is>
      </c>
      <c r="B1331" s="1" t="n">
        <v>44715</v>
      </c>
      <c r="C1331" s="1" t="n">
        <v>45670</v>
      </c>
      <c r="D1331" t="inlineStr">
        <is>
          <t>VÄSTERNORRLANDS LÄN</t>
        </is>
      </c>
      <c r="E1331" t="inlineStr">
        <is>
          <t>SOLLEFTEÅ</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22956-2022</t>
        </is>
      </c>
      <c r="B1332" s="1" t="n">
        <v>44716</v>
      </c>
      <c r="C1332" s="1" t="n">
        <v>45670</v>
      </c>
      <c r="D1332" t="inlineStr">
        <is>
          <t>VÄSTERNORRLANDS LÄN</t>
        </is>
      </c>
      <c r="E1332" t="inlineStr">
        <is>
          <t>SOLLEFTEÅ</t>
        </is>
      </c>
      <c r="F1332" t="inlineStr">
        <is>
          <t>SCA</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22952-2022</t>
        </is>
      </c>
      <c r="B1333" s="1" t="n">
        <v>44716</v>
      </c>
      <c r="C1333" s="1" t="n">
        <v>45670</v>
      </c>
      <c r="D1333" t="inlineStr">
        <is>
          <t>VÄSTERNORRLANDS LÄN</t>
        </is>
      </c>
      <c r="E1333" t="inlineStr">
        <is>
          <t>SOLLEFTEÅ</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22962-2022</t>
        </is>
      </c>
      <c r="B1334" s="1" t="n">
        <v>44715</v>
      </c>
      <c r="C1334" s="1" t="n">
        <v>45670</v>
      </c>
      <c r="D1334" t="inlineStr">
        <is>
          <t>VÄSTERNORRLANDS LÄN</t>
        </is>
      </c>
      <c r="E1334" t="inlineStr">
        <is>
          <t>SOLLEFTEÅ</t>
        </is>
      </c>
      <c r="F1334" t="inlineStr">
        <is>
          <t>SCA</t>
        </is>
      </c>
      <c r="G1334" t="n">
        <v>12.1</v>
      </c>
      <c r="H1334" t="n">
        <v>0</v>
      </c>
      <c r="I1334" t="n">
        <v>0</v>
      </c>
      <c r="J1334" t="n">
        <v>0</v>
      </c>
      <c r="K1334" t="n">
        <v>0</v>
      </c>
      <c r="L1334" t="n">
        <v>0</v>
      </c>
      <c r="M1334" t="n">
        <v>0</v>
      </c>
      <c r="N1334" t="n">
        <v>0</v>
      </c>
      <c r="O1334" t="n">
        <v>0</v>
      </c>
      <c r="P1334" t="n">
        <v>0</v>
      </c>
      <c r="Q1334" t="n">
        <v>0</v>
      </c>
      <c r="R1334" s="2" t="inlineStr"/>
    </row>
    <row r="1335" ht="15" customHeight="1">
      <c r="A1335" t="inlineStr">
        <is>
          <t>A 23111-2022</t>
        </is>
      </c>
      <c r="B1335" s="1" t="n">
        <v>44720</v>
      </c>
      <c r="C1335" s="1" t="n">
        <v>45670</v>
      </c>
      <c r="D1335" t="inlineStr">
        <is>
          <t>VÄSTERNORRLANDS LÄN</t>
        </is>
      </c>
      <c r="E1335" t="inlineStr">
        <is>
          <t>SOLLEFTEÅ</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23230-2022</t>
        </is>
      </c>
      <c r="B1336" s="1" t="n">
        <v>44720</v>
      </c>
      <c r="C1336" s="1" t="n">
        <v>45670</v>
      </c>
      <c r="D1336" t="inlineStr">
        <is>
          <t>VÄSTERNORRLANDS LÄN</t>
        </is>
      </c>
      <c r="E1336" t="inlineStr">
        <is>
          <t>SOLLEFTEÅ</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23282-2022</t>
        </is>
      </c>
      <c r="B1337" s="1" t="n">
        <v>44720</v>
      </c>
      <c r="C1337" s="1" t="n">
        <v>45670</v>
      </c>
      <c r="D1337" t="inlineStr">
        <is>
          <t>VÄSTERNORRLANDS LÄN</t>
        </is>
      </c>
      <c r="E1337" t="inlineStr">
        <is>
          <t>SOLLEFTEÅ</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23436-2022</t>
        </is>
      </c>
      <c r="B1338" s="1" t="n">
        <v>44720</v>
      </c>
      <c r="C1338" s="1" t="n">
        <v>45670</v>
      </c>
      <c r="D1338" t="inlineStr">
        <is>
          <t>VÄSTERNORRLANDS LÄN</t>
        </is>
      </c>
      <c r="E1338" t="inlineStr">
        <is>
          <t>SOLLEFTEÅ</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23445-2022</t>
        </is>
      </c>
      <c r="B1339" s="1" t="n">
        <v>44721</v>
      </c>
      <c r="C1339" s="1" t="n">
        <v>45670</v>
      </c>
      <c r="D1339" t="inlineStr">
        <is>
          <t>VÄSTERNORRLANDS LÄN</t>
        </is>
      </c>
      <c r="E1339" t="inlineStr">
        <is>
          <t>SOLLEFTEÅ</t>
        </is>
      </c>
      <c r="F1339" t="inlineStr">
        <is>
          <t>SCA</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23447-2022</t>
        </is>
      </c>
      <c r="B1340" s="1" t="n">
        <v>44721</v>
      </c>
      <c r="C1340" s="1" t="n">
        <v>45670</v>
      </c>
      <c r="D1340" t="inlineStr">
        <is>
          <t>VÄSTERNORRLANDS LÄN</t>
        </is>
      </c>
      <c r="E1340" t="inlineStr">
        <is>
          <t>SOLLEFTEÅ</t>
        </is>
      </c>
      <c r="F1340" t="inlineStr">
        <is>
          <t>SCA</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23450-2022</t>
        </is>
      </c>
      <c r="B1341" s="1" t="n">
        <v>44720</v>
      </c>
      <c r="C1341" s="1" t="n">
        <v>45670</v>
      </c>
      <c r="D1341" t="inlineStr">
        <is>
          <t>VÄSTERNORRLANDS LÄN</t>
        </is>
      </c>
      <c r="E1341" t="inlineStr">
        <is>
          <t>SOLLEFTEÅ</t>
        </is>
      </c>
      <c r="F1341" t="inlineStr">
        <is>
          <t>SCA</t>
        </is>
      </c>
      <c r="G1341" t="n">
        <v>9</v>
      </c>
      <c r="H1341" t="n">
        <v>0</v>
      </c>
      <c r="I1341" t="n">
        <v>0</v>
      </c>
      <c r="J1341" t="n">
        <v>0</v>
      </c>
      <c r="K1341" t="n">
        <v>0</v>
      </c>
      <c r="L1341" t="n">
        <v>0</v>
      </c>
      <c r="M1341" t="n">
        <v>0</v>
      </c>
      <c r="N1341" t="n">
        <v>0</v>
      </c>
      <c r="O1341" t="n">
        <v>0</v>
      </c>
      <c r="P1341" t="n">
        <v>0</v>
      </c>
      <c r="Q1341" t="n">
        <v>0</v>
      </c>
      <c r="R1341" s="2" t="inlineStr"/>
    </row>
    <row r="1342" ht="15" customHeight="1">
      <c r="A1342" t="inlineStr">
        <is>
          <t>A 24008-2022</t>
        </is>
      </c>
      <c r="B1342" s="1" t="n">
        <v>44723</v>
      </c>
      <c r="C1342" s="1" t="n">
        <v>45670</v>
      </c>
      <c r="D1342" t="inlineStr">
        <is>
          <t>VÄSTERNORRLANDS LÄN</t>
        </is>
      </c>
      <c r="E1342" t="inlineStr">
        <is>
          <t>SOLLEFTEÅ</t>
        </is>
      </c>
      <c r="F1342" t="inlineStr">
        <is>
          <t>SCA</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24024-2022</t>
        </is>
      </c>
      <c r="B1343" s="1" t="n">
        <v>44723</v>
      </c>
      <c r="C1343" s="1" t="n">
        <v>45670</v>
      </c>
      <c r="D1343" t="inlineStr">
        <is>
          <t>VÄSTERNORRLANDS LÄN</t>
        </is>
      </c>
      <c r="E1343" t="inlineStr">
        <is>
          <t>SOLLEFTEÅ</t>
        </is>
      </c>
      <c r="F1343" t="inlineStr">
        <is>
          <t>SCA</t>
        </is>
      </c>
      <c r="G1343" t="n">
        <v>8.6</v>
      </c>
      <c r="H1343" t="n">
        <v>0</v>
      </c>
      <c r="I1343" t="n">
        <v>0</v>
      </c>
      <c r="J1343" t="n">
        <v>0</v>
      </c>
      <c r="K1343" t="n">
        <v>0</v>
      </c>
      <c r="L1343" t="n">
        <v>0</v>
      </c>
      <c r="M1343" t="n">
        <v>0</v>
      </c>
      <c r="N1343" t="n">
        <v>0</v>
      </c>
      <c r="O1343" t="n">
        <v>0</v>
      </c>
      <c r="P1343" t="n">
        <v>0</v>
      </c>
      <c r="Q1343" t="n">
        <v>0</v>
      </c>
      <c r="R1343" s="2" t="inlineStr"/>
    </row>
    <row r="1344" ht="15" customHeight="1">
      <c r="A1344" t="inlineStr">
        <is>
          <t>A 24322-2022</t>
        </is>
      </c>
      <c r="B1344" s="1" t="n">
        <v>44726</v>
      </c>
      <c r="C1344" s="1" t="n">
        <v>45670</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24723-2022</t>
        </is>
      </c>
      <c r="B1345" s="1" t="n">
        <v>44728</v>
      </c>
      <c r="C1345" s="1" t="n">
        <v>45670</v>
      </c>
      <c r="D1345" t="inlineStr">
        <is>
          <t>VÄSTERNORRLANDS LÄN</t>
        </is>
      </c>
      <c r="E1345" t="inlineStr">
        <is>
          <t>SOLLEFTEÅ</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24739-2022</t>
        </is>
      </c>
      <c r="B1346" s="1" t="n">
        <v>44728</v>
      </c>
      <c r="C1346" s="1" t="n">
        <v>45670</v>
      </c>
      <c r="D1346" t="inlineStr">
        <is>
          <t>VÄSTERNORRLANDS LÄN</t>
        </is>
      </c>
      <c r="E1346" t="inlineStr">
        <is>
          <t>SOLLEFTEÅ</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24734-2022</t>
        </is>
      </c>
      <c r="B1347" s="1" t="n">
        <v>44728</v>
      </c>
      <c r="C1347" s="1" t="n">
        <v>45670</v>
      </c>
      <c r="D1347" t="inlineStr">
        <is>
          <t>VÄSTERNORRLANDS LÄN</t>
        </is>
      </c>
      <c r="E1347" t="inlineStr">
        <is>
          <t>SOLLEFTEÅ</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24735-2022</t>
        </is>
      </c>
      <c r="B1348" s="1" t="n">
        <v>44728</v>
      </c>
      <c r="C1348" s="1" t="n">
        <v>45670</v>
      </c>
      <c r="D1348" t="inlineStr">
        <is>
          <t>VÄSTERNORRLANDS LÄN</t>
        </is>
      </c>
      <c r="E1348" t="inlineStr">
        <is>
          <t>SOLLEFTEÅ</t>
        </is>
      </c>
      <c r="F1348" t="inlineStr">
        <is>
          <t>SCA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24721-2022</t>
        </is>
      </c>
      <c r="B1349" s="1" t="n">
        <v>44728</v>
      </c>
      <c r="C1349" s="1" t="n">
        <v>45670</v>
      </c>
      <c r="D1349" t="inlineStr">
        <is>
          <t>VÄSTERNORRLANDS LÄN</t>
        </is>
      </c>
      <c r="E1349" t="inlineStr">
        <is>
          <t>SOLLEFTEÅ</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24737-2022</t>
        </is>
      </c>
      <c r="B1350" s="1" t="n">
        <v>44728</v>
      </c>
      <c r="C1350" s="1" t="n">
        <v>45670</v>
      </c>
      <c r="D1350" t="inlineStr">
        <is>
          <t>VÄSTERNORRLANDS LÄN</t>
        </is>
      </c>
      <c r="E1350" t="inlineStr">
        <is>
          <t>SOLLEFTEÅ</t>
        </is>
      </c>
      <c r="F1350" t="inlineStr">
        <is>
          <t>SCA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25019-2022</t>
        </is>
      </c>
      <c r="B1351" s="1" t="n">
        <v>44728</v>
      </c>
      <c r="C1351" s="1" t="n">
        <v>45670</v>
      </c>
      <c r="D1351" t="inlineStr">
        <is>
          <t>VÄSTERNORRLANDS LÄN</t>
        </is>
      </c>
      <c r="E1351" t="inlineStr">
        <is>
          <t>SOLLEFTEÅ</t>
        </is>
      </c>
      <c r="F1351" t="inlineStr">
        <is>
          <t>SCA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25024-2022</t>
        </is>
      </c>
      <c r="B1352" s="1" t="n">
        <v>44729</v>
      </c>
      <c r="C1352" s="1" t="n">
        <v>45670</v>
      </c>
      <c r="D1352" t="inlineStr">
        <is>
          <t>VÄSTERNORRLANDS LÄN</t>
        </is>
      </c>
      <c r="E1352" t="inlineStr">
        <is>
          <t>SOLLEFTEÅ</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25026-2022</t>
        </is>
      </c>
      <c r="B1353" s="1" t="n">
        <v>44729</v>
      </c>
      <c r="C1353" s="1" t="n">
        <v>45670</v>
      </c>
      <c r="D1353" t="inlineStr">
        <is>
          <t>VÄSTERNORRLANDS LÄN</t>
        </is>
      </c>
      <c r="E1353" t="inlineStr">
        <is>
          <t>SOLLEFTEÅ</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25017-2022</t>
        </is>
      </c>
      <c r="B1354" s="1" t="n">
        <v>44729</v>
      </c>
      <c r="C1354" s="1" t="n">
        <v>45670</v>
      </c>
      <c r="D1354" t="inlineStr">
        <is>
          <t>VÄSTERNORRLANDS LÄN</t>
        </is>
      </c>
      <c r="E1354" t="inlineStr">
        <is>
          <t>SOLLEFTEÅ</t>
        </is>
      </c>
      <c r="F1354" t="inlineStr">
        <is>
          <t>SCA</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25295-2022</t>
        </is>
      </c>
      <c r="B1355" s="1" t="n">
        <v>44731</v>
      </c>
      <c r="C1355" s="1" t="n">
        <v>45670</v>
      </c>
      <c r="D1355" t="inlineStr">
        <is>
          <t>VÄSTERNORRLANDS LÄN</t>
        </is>
      </c>
      <c r="E1355" t="inlineStr">
        <is>
          <t>SOLLEFTEÅ</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25339-2022</t>
        </is>
      </c>
      <c r="B1356" s="1" t="n">
        <v>44732</v>
      </c>
      <c r="C1356" s="1" t="n">
        <v>45670</v>
      </c>
      <c r="D1356" t="inlineStr">
        <is>
          <t>VÄSTERNORRLANDS LÄN</t>
        </is>
      </c>
      <c r="E1356" t="inlineStr">
        <is>
          <t>SOLLEFTEÅ</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25338-2022</t>
        </is>
      </c>
      <c r="B1357" s="1" t="n">
        <v>44731</v>
      </c>
      <c r="C1357" s="1" t="n">
        <v>45670</v>
      </c>
      <c r="D1357" t="inlineStr">
        <is>
          <t>VÄSTERNORRLANDS LÄN</t>
        </is>
      </c>
      <c r="E1357" t="inlineStr">
        <is>
          <t>SOLLEFTEÅ</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25341-2022</t>
        </is>
      </c>
      <c r="B1358" s="1" t="n">
        <v>44731</v>
      </c>
      <c r="C1358" s="1" t="n">
        <v>45670</v>
      </c>
      <c r="D1358" t="inlineStr">
        <is>
          <t>VÄSTERNORRLANDS LÄN</t>
        </is>
      </c>
      <c r="E1358" t="inlineStr">
        <is>
          <t>SOLLEFTEÅ</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26407-2022</t>
        </is>
      </c>
      <c r="B1359" s="1" t="n">
        <v>44735</v>
      </c>
      <c r="C1359" s="1" t="n">
        <v>45670</v>
      </c>
      <c r="D1359" t="inlineStr">
        <is>
          <t>VÄSTERNORRLANDS LÄN</t>
        </is>
      </c>
      <c r="E1359" t="inlineStr">
        <is>
          <t>SOLLEFTEÅ</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26416-2022</t>
        </is>
      </c>
      <c r="B1360" s="1" t="n">
        <v>44736</v>
      </c>
      <c r="C1360" s="1" t="n">
        <v>45670</v>
      </c>
      <c r="D1360" t="inlineStr">
        <is>
          <t>VÄSTERNORRLANDS LÄN</t>
        </is>
      </c>
      <c r="E1360" t="inlineStr">
        <is>
          <t>SOLLEFTEÅ</t>
        </is>
      </c>
      <c r="F1360" t="inlineStr">
        <is>
          <t>SCA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26415-2022</t>
        </is>
      </c>
      <c r="B1361" s="1" t="n">
        <v>44735</v>
      </c>
      <c r="C1361" s="1" t="n">
        <v>45670</v>
      </c>
      <c r="D1361" t="inlineStr">
        <is>
          <t>VÄSTERNORRLANDS LÄN</t>
        </is>
      </c>
      <c r="E1361" t="inlineStr">
        <is>
          <t>SOLLEFTEÅ</t>
        </is>
      </c>
      <c r="F1361" t="inlineStr">
        <is>
          <t>SCA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26435-2022</t>
        </is>
      </c>
      <c r="B1362" s="1" t="n">
        <v>44737</v>
      </c>
      <c r="C1362" s="1" t="n">
        <v>45670</v>
      </c>
      <c r="D1362" t="inlineStr">
        <is>
          <t>VÄSTERNORRLANDS LÄN</t>
        </is>
      </c>
      <c r="E1362" t="inlineStr">
        <is>
          <t>SOLLEFTEÅ</t>
        </is>
      </c>
      <c r="F1362" t="inlineStr">
        <is>
          <t>SCA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26732-2022</t>
        </is>
      </c>
      <c r="B1363" s="1" t="n">
        <v>44740</v>
      </c>
      <c r="C1363" s="1" t="n">
        <v>45670</v>
      </c>
      <c r="D1363" t="inlineStr">
        <is>
          <t>VÄSTERNORRLANDS LÄN</t>
        </is>
      </c>
      <c r="E1363" t="inlineStr">
        <is>
          <t>SOLLEFTEÅ</t>
        </is>
      </c>
      <c r="F1363" t="inlineStr">
        <is>
          <t>SCA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26744-2022</t>
        </is>
      </c>
      <c r="B1364" s="1" t="n">
        <v>44739</v>
      </c>
      <c r="C1364" s="1" t="n">
        <v>45670</v>
      </c>
      <c r="D1364" t="inlineStr">
        <is>
          <t>VÄSTERNORRLANDS LÄN</t>
        </is>
      </c>
      <c r="E1364" t="inlineStr">
        <is>
          <t>SOLLEFTEÅ</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26736-2022</t>
        </is>
      </c>
      <c r="B1365" s="1" t="n">
        <v>44740</v>
      </c>
      <c r="C1365" s="1" t="n">
        <v>45670</v>
      </c>
      <c r="D1365" t="inlineStr">
        <is>
          <t>VÄSTERNORRLANDS LÄN</t>
        </is>
      </c>
      <c r="E1365" t="inlineStr">
        <is>
          <t>SOLLEFTEÅ</t>
        </is>
      </c>
      <c r="F1365" t="inlineStr">
        <is>
          <t>SCA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27016-2022</t>
        </is>
      </c>
      <c r="B1366" s="1" t="n">
        <v>44741</v>
      </c>
      <c r="C1366" s="1" t="n">
        <v>45670</v>
      </c>
      <c r="D1366" t="inlineStr">
        <is>
          <t>VÄSTERNORRLANDS LÄN</t>
        </is>
      </c>
      <c r="E1366" t="inlineStr">
        <is>
          <t>SOLLEFTEÅ</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27019-2022</t>
        </is>
      </c>
      <c r="B1367" s="1" t="n">
        <v>44741</v>
      </c>
      <c r="C1367" s="1" t="n">
        <v>45670</v>
      </c>
      <c r="D1367" t="inlineStr">
        <is>
          <t>VÄSTERNORRLANDS LÄN</t>
        </is>
      </c>
      <c r="E1367" t="inlineStr">
        <is>
          <t>SOLLEFTEÅ</t>
        </is>
      </c>
      <c r="F1367" t="inlineStr">
        <is>
          <t>SCA</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27012-2022</t>
        </is>
      </c>
      <c r="B1368" s="1" t="n">
        <v>44740</v>
      </c>
      <c r="C1368" s="1" t="n">
        <v>45670</v>
      </c>
      <c r="D1368" t="inlineStr">
        <is>
          <t>VÄSTERNORRLANDS LÄN</t>
        </is>
      </c>
      <c r="E1368" t="inlineStr">
        <is>
          <t>SOLLEFTEÅ</t>
        </is>
      </c>
      <c r="F1368" t="inlineStr">
        <is>
          <t>SCA</t>
        </is>
      </c>
      <c r="G1368" t="n">
        <v>19.8</v>
      </c>
      <c r="H1368" t="n">
        <v>0</v>
      </c>
      <c r="I1368" t="n">
        <v>0</v>
      </c>
      <c r="J1368" t="n">
        <v>0</v>
      </c>
      <c r="K1368" t="n">
        <v>0</v>
      </c>
      <c r="L1368" t="n">
        <v>0</v>
      </c>
      <c r="M1368" t="n">
        <v>0</v>
      </c>
      <c r="N1368" t="n">
        <v>0</v>
      </c>
      <c r="O1368" t="n">
        <v>0</v>
      </c>
      <c r="P1368" t="n">
        <v>0</v>
      </c>
      <c r="Q1368" t="n">
        <v>0</v>
      </c>
      <c r="R1368" s="2" t="inlineStr"/>
    </row>
    <row r="1369" ht="15" customHeight="1">
      <c r="A1369" t="inlineStr">
        <is>
          <t>A 27020-2022</t>
        </is>
      </c>
      <c r="B1369" s="1" t="n">
        <v>44741</v>
      </c>
      <c r="C1369" s="1" t="n">
        <v>45670</v>
      </c>
      <c r="D1369" t="inlineStr">
        <is>
          <t>VÄSTERNORRLANDS LÄN</t>
        </is>
      </c>
      <c r="E1369" t="inlineStr">
        <is>
          <t>SOLLEFTEÅ</t>
        </is>
      </c>
      <c r="F1369" t="inlineStr">
        <is>
          <t>SCA</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27024-2022</t>
        </is>
      </c>
      <c r="B1370" s="1" t="n">
        <v>44741</v>
      </c>
      <c r="C1370" s="1" t="n">
        <v>45670</v>
      </c>
      <c r="D1370" t="inlineStr">
        <is>
          <t>VÄSTERNORRLANDS LÄN</t>
        </is>
      </c>
      <c r="E1370" t="inlineStr">
        <is>
          <t>SOLLEFTEÅ</t>
        </is>
      </c>
      <c r="F1370" t="inlineStr">
        <is>
          <t>SCA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27023-2022</t>
        </is>
      </c>
      <c r="B1371" s="1" t="n">
        <v>44741</v>
      </c>
      <c r="C1371" s="1" t="n">
        <v>45670</v>
      </c>
      <c r="D1371" t="inlineStr">
        <is>
          <t>VÄSTERNORRLANDS LÄN</t>
        </is>
      </c>
      <c r="E1371" t="inlineStr">
        <is>
          <t>SOLLEFTEÅ</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27018-2022</t>
        </is>
      </c>
      <c r="B1372" s="1" t="n">
        <v>44740</v>
      </c>
      <c r="C1372" s="1" t="n">
        <v>45670</v>
      </c>
      <c r="D1372" t="inlineStr">
        <is>
          <t>VÄSTERNORRLANDS LÄN</t>
        </is>
      </c>
      <c r="E1372" t="inlineStr">
        <is>
          <t>SOLLEFTEÅ</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27022-2022</t>
        </is>
      </c>
      <c r="B1373" s="1" t="n">
        <v>44741</v>
      </c>
      <c r="C1373" s="1" t="n">
        <v>45670</v>
      </c>
      <c r="D1373" t="inlineStr">
        <is>
          <t>VÄSTERNORRLANDS LÄN</t>
        </is>
      </c>
      <c r="E1373" t="inlineStr">
        <is>
          <t>SOLLEFTEÅ</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27082-2022</t>
        </is>
      </c>
      <c r="B1374" s="1" t="n">
        <v>44741</v>
      </c>
      <c r="C1374" s="1" t="n">
        <v>45670</v>
      </c>
      <c r="D1374" t="inlineStr">
        <is>
          <t>VÄSTERNORRLANDS LÄN</t>
        </is>
      </c>
      <c r="E1374" t="inlineStr">
        <is>
          <t>SOLLEFTEÅ</t>
        </is>
      </c>
      <c r="G1374" t="n">
        <v>8.199999999999999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27283-2022</t>
        </is>
      </c>
      <c r="B1375" s="1" t="n">
        <v>44742</v>
      </c>
      <c r="C1375" s="1" t="n">
        <v>45670</v>
      </c>
      <c r="D1375" t="inlineStr">
        <is>
          <t>VÄSTERNORRLANDS LÄN</t>
        </is>
      </c>
      <c r="E1375" t="inlineStr">
        <is>
          <t>SOLLEFTEÅ</t>
        </is>
      </c>
      <c r="F1375" t="inlineStr">
        <is>
          <t>SCA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27282-2022</t>
        </is>
      </c>
      <c r="B1376" s="1" t="n">
        <v>44741</v>
      </c>
      <c r="C1376" s="1" t="n">
        <v>45670</v>
      </c>
      <c r="D1376" t="inlineStr">
        <is>
          <t>VÄSTERNORRLANDS LÄN</t>
        </is>
      </c>
      <c r="E1376" t="inlineStr">
        <is>
          <t>SOLLEFTEÅ</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27573-2022</t>
        </is>
      </c>
      <c r="B1377" s="1" t="n">
        <v>44743</v>
      </c>
      <c r="C1377" s="1" t="n">
        <v>45670</v>
      </c>
      <c r="D1377" t="inlineStr">
        <is>
          <t>VÄSTERNORRLANDS LÄN</t>
        </is>
      </c>
      <c r="E1377" t="inlineStr">
        <is>
          <t>SOLLEFTEÅ</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27572-2022</t>
        </is>
      </c>
      <c r="B1378" s="1" t="n">
        <v>44743</v>
      </c>
      <c r="C1378" s="1" t="n">
        <v>45670</v>
      </c>
      <c r="D1378" t="inlineStr">
        <is>
          <t>VÄSTERNORRLANDS LÄN</t>
        </is>
      </c>
      <c r="E1378" t="inlineStr">
        <is>
          <t>SOLLEFTEÅ</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27603-2022</t>
        </is>
      </c>
      <c r="B1379" s="1" t="n">
        <v>44743</v>
      </c>
      <c r="C1379" s="1" t="n">
        <v>45670</v>
      </c>
      <c r="D1379" t="inlineStr">
        <is>
          <t>VÄSTERNORRLANDS LÄN</t>
        </is>
      </c>
      <c r="E1379" t="inlineStr">
        <is>
          <t>SOLLEFTEÅ</t>
        </is>
      </c>
      <c r="F1379" t="inlineStr">
        <is>
          <t>SCA</t>
        </is>
      </c>
      <c r="G1379" t="n">
        <v>9.6</v>
      </c>
      <c r="H1379" t="n">
        <v>0</v>
      </c>
      <c r="I1379" t="n">
        <v>0</v>
      </c>
      <c r="J1379" t="n">
        <v>0</v>
      </c>
      <c r="K1379" t="n">
        <v>0</v>
      </c>
      <c r="L1379" t="n">
        <v>0</v>
      </c>
      <c r="M1379" t="n">
        <v>0</v>
      </c>
      <c r="N1379" t="n">
        <v>0</v>
      </c>
      <c r="O1379" t="n">
        <v>0</v>
      </c>
      <c r="P1379" t="n">
        <v>0</v>
      </c>
      <c r="Q1379" t="n">
        <v>0</v>
      </c>
      <c r="R1379" s="2" t="inlineStr"/>
    </row>
    <row r="1380" ht="15" customHeight="1">
      <c r="A1380" t="inlineStr">
        <is>
          <t>A 27593-2022</t>
        </is>
      </c>
      <c r="B1380" s="1" t="n">
        <v>44742</v>
      </c>
      <c r="C1380" s="1" t="n">
        <v>45670</v>
      </c>
      <c r="D1380" t="inlineStr">
        <is>
          <t>VÄSTERNORRLANDS LÄN</t>
        </is>
      </c>
      <c r="E1380" t="inlineStr">
        <is>
          <t>SOLLEFTEÅ</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27926-2022</t>
        </is>
      </c>
      <c r="B1381" s="1" t="n">
        <v>44743</v>
      </c>
      <c r="C1381" s="1" t="n">
        <v>45670</v>
      </c>
      <c r="D1381" t="inlineStr">
        <is>
          <t>VÄSTERNORRLANDS LÄN</t>
        </is>
      </c>
      <c r="E1381" t="inlineStr">
        <is>
          <t>SOLLEFTEÅ</t>
        </is>
      </c>
      <c r="F1381" t="inlineStr">
        <is>
          <t>SCA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27943-2022</t>
        </is>
      </c>
      <c r="B1382" s="1" t="n">
        <v>44743</v>
      </c>
      <c r="C1382" s="1" t="n">
        <v>45670</v>
      </c>
      <c r="D1382" t="inlineStr">
        <is>
          <t>VÄSTERNORRLANDS LÄN</t>
        </is>
      </c>
      <c r="E1382" t="inlineStr">
        <is>
          <t>SOLLEFTEÅ</t>
        </is>
      </c>
      <c r="F1382" t="inlineStr">
        <is>
          <t>SCA</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28293-2022</t>
        </is>
      </c>
      <c r="B1383" s="1" t="n">
        <v>44747</v>
      </c>
      <c r="C1383" s="1" t="n">
        <v>45670</v>
      </c>
      <c r="D1383" t="inlineStr">
        <is>
          <t>VÄSTERNORRLANDS LÄN</t>
        </is>
      </c>
      <c r="E1383" t="inlineStr">
        <is>
          <t>SOLLEFTEÅ</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28700-2022</t>
        </is>
      </c>
      <c r="B1384" s="1" t="n">
        <v>44748</v>
      </c>
      <c r="C1384" s="1" t="n">
        <v>45670</v>
      </c>
      <c r="D1384" t="inlineStr">
        <is>
          <t>VÄSTERNORRLANDS LÄN</t>
        </is>
      </c>
      <c r="E1384" t="inlineStr">
        <is>
          <t>SOLLEFTEÅ</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28729-2022</t>
        </is>
      </c>
      <c r="B1385" s="1" t="n">
        <v>44748</v>
      </c>
      <c r="C1385" s="1" t="n">
        <v>45670</v>
      </c>
      <c r="D1385" t="inlineStr">
        <is>
          <t>VÄSTERNORRLANDS LÄN</t>
        </is>
      </c>
      <c r="E1385" t="inlineStr">
        <is>
          <t>SOLLEFTEÅ</t>
        </is>
      </c>
      <c r="F1385" t="inlineStr">
        <is>
          <t>SCA</t>
        </is>
      </c>
      <c r="G1385" t="n">
        <v>11.5</v>
      </c>
      <c r="H1385" t="n">
        <v>0</v>
      </c>
      <c r="I1385" t="n">
        <v>0</v>
      </c>
      <c r="J1385" t="n">
        <v>0</v>
      </c>
      <c r="K1385" t="n">
        <v>0</v>
      </c>
      <c r="L1385" t="n">
        <v>0</v>
      </c>
      <c r="M1385" t="n">
        <v>0</v>
      </c>
      <c r="N1385" t="n">
        <v>0</v>
      </c>
      <c r="O1385" t="n">
        <v>0</v>
      </c>
      <c r="P1385" t="n">
        <v>0</v>
      </c>
      <c r="Q1385" t="n">
        <v>0</v>
      </c>
      <c r="R1385" s="2" t="inlineStr"/>
    </row>
    <row r="1386" ht="15" customHeight="1">
      <c r="A1386" t="inlineStr">
        <is>
          <t>A 28730-2022</t>
        </is>
      </c>
      <c r="B1386" s="1" t="n">
        <v>44748</v>
      </c>
      <c r="C1386" s="1" t="n">
        <v>45670</v>
      </c>
      <c r="D1386" t="inlineStr">
        <is>
          <t>VÄSTERNORRLANDS LÄN</t>
        </is>
      </c>
      <c r="E1386" t="inlineStr">
        <is>
          <t>SOLLEFTEÅ</t>
        </is>
      </c>
      <c r="F1386" t="inlineStr">
        <is>
          <t>SCA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28828-2022</t>
        </is>
      </c>
      <c r="B1387" s="1" t="n">
        <v>44749</v>
      </c>
      <c r="C1387" s="1" t="n">
        <v>45670</v>
      </c>
      <c r="D1387" t="inlineStr">
        <is>
          <t>VÄSTERNORRLANDS LÄN</t>
        </is>
      </c>
      <c r="E1387" t="inlineStr">
        <is>
          <t>SOLLEFTEÅ</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28893-2022</t>
        </is>
      </c>
      <c r="B1388" s="1" t="n">
        <v>44749</v>
      </c>
      <c r="C1388" s="1" t="n">
        <v>45670</v>
      </c>
      <c r="D1388" t="inlineStr">
        <is>
          <t>VÄSTERNORRLANDS LÄN</t>
        </is>
      </c>
      <c r="E1388" t="inlineStr">
        <is>
          <t>SOLLEFTEÅ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28909-2022</t>
        </is>
      </c>
      <c r="B1389" s="1" t="n">
        <v>44749</v>
      </c>
      <c r="C1389" s="1" t="n">
        <v>45670</v>
      </c>
      <c r="D1389" t="inlineStr">
        <is>
          <t>VÄSTERNORRLANDS LÄN</t>
        </is>
      </c>
      <c r="E1389" t="inlineStr">
        <is>
          <t>SOLLEFTEÅ</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28896-2022</t>
        </is>
      </c>
      <c r="B1390" s="1" t="n">
        <v>44749</v>
      </c>
      <c r="C1390" s="1" t="n">
        <v>45670</v>
      </c>
      <c r="D1390" t="inlineStr">
        <is>
          <t>VÄSTERNORRLANDS LÄN</t>
        </is>
      </c>
      <c r="E1390" t="inlineStr">
        <is>
          <t>SOLLEFTEÅ</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28903-2022</t>
        </is>
      </c>
      <c r="B1391" s="1" t="n">
        <v>44749</v>
      </c>
      <c r="C1391" s="1" t="n">
        <v>45670</v>
      </c>
      <c r="D1391" t="inlineStr">
        <is>
          <t>VÄSTERNORRLANDS LÄN</t>
        </is>
      </c>
      <c r="E1391" t="inlineStr">
        <is>
          <t>SOLLEFTEÅ</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28973-2022</t>
        </is>
      </c>
      <c r="B1392" s="1" t="n">
        <v>44749</v>
      </c>
      <c r="C1392" s="1" t="n">
        <v>45670</v>
      </c>
      <c r="D1392" t="inlineStr">
        <is>
          <t>VÄSTERNORRLANDS LÄN</t>
        </is>
      </c>
      <c r="E1392" t="inlineStr">
        <is>
          <t>SOLLEFTEÅ</t>
        </is>
      </c>
      <c r="F1392" t="inlineStr">
        <is>
          <t>Holmen skog AB</t>
        </is>
      </c>
      <c r="G1392" t="n">
        <v>11.6</v>
      </c>
      <c r="H1392" t="n">
        <v>0</v>
      </c>
      <c r="I1392" t="n">
        <v>0</v>
      </c>
      <c r="J1392" t="n">
        <v>0</v>
      </c>
      <c r="K1392" t="n">
        <v>0</v>
      </c>
      <c r="L1392" t="n">
        <v>0</v>
      </c>
      <c r="M1392" t="n">
        <v>0</v>
      </c>
      <c r="N1392" t="n">
        <v>0</v>
      </c>
      <c r="O1392" t="n">
        <v>0</v>
      </c>
      <c r="P1392" t="n">
        <v>0</v>
      </c>
      <c r="Q1392" t="n">
        <v>0</v>
      </c>
      <c r="R1392" s="2" t="inlineStr"/>
    </row>
    <row r="1393" ht="15" customHeight="1">
      <c r="A1393" t="inlineStr">
        <is>
          <t>A 29290-2022</t>
        </is>
      </c>
      <c r="B1393" s="1" t="n">
        <v>44750</v>
      </c>
      <c r="C1393" s="1" t="n">
        <v>45670</v>
      </c>
      <c r="D1393" t="inlineStr">
        <is>
          <t>VÄSTERNORRLANDS LÄN</t>
        </is>
      </c>
      <c r="E1393" t="inlineStr">
        <is>
          <t>SOLLEFTEÅ</t>
        </is>
      </c>
      <c r="F1393" t="inlineStr">
        <is>
          <t>SCA</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29294-2022</t>
        </is>
      </c>
      <c r="B1394" s="1" t="n">
        <v>44751</v>
      </c>
      <c r="C1394" s="1" t="n">
        <v>45670</v>
      </c>
      <c r="D1394" t="inlineStr">
        <is>
          <t>VÄSTERNORRLANDS LÄN</t>
        </is>
      </c>
      <c r="E1394" t="inlineStr">
        <is>
          <t>SOLLEFTEÅ</t>
        </is>
      </c>
      <c r="F1394" t="inlineStr">
        <is>
          <t>SCA</t>
        </is>
      </c>
      <c r="G1394" t="n">
        <v>6.7</v>
      </c>
      <c r="H1394" t="n">
        <v>0</v>
      </c>
      <c r="I1394" t="n">
        <v>0</v>
      </c>
      <c r="J1394" t="n">
        <v>0</v>
      </c>
      <c r="K1394" t="n">
        <v>0</v>
      </c>
      <c r="L1394" t="n">
        <v>0</v>
      </c>
      <c r="M1394" t="n">
        <v>0</v>
      </c>
      <c r="N1394" t="n">
        <v>0</v>
      </c>
      <c r="O1394" t="n">
        <v>0</v>
      </c>
      <c r="P1394" t="n">
        <v>0</v>
      </c>
      <c r="Q1394" t="n">
        <v>0</v>
      </c>
      <c r="R1394" s="2" t="inlineStr"/>
    </row>
    <row r="1395" ht="15" customHeight="1">
      <c r="A1395" t="inlineStr">
        <is>
          <t>A 29300-2022</t>
        </is>
      </c>
      <c r="B1395" s="1" t="n">
        <v>44750</v>
      </c>
      <c r="C1395" s="1" t="n">
        <v>45670</v>
      </c>
      <c r="D1395" t="inlineStr">
        <is>
          <t>VÄSTERNORRLANDS LÄN</t>
        </is>
      </c>
      <c r="E1395" t="inlineStr">
        <is>
          <t>SOLLEFTEÅ</t>
        </is>
      </c>
      <c r="F1395" t="inlineStr">
        <is>
          <t>SCA</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29292-2022</t>
        </is>
      </c>
      <c r="B1396" s="1" t="n">
        <v>44750</v>
      </c>
      <c r="C1396" s="1" t="n">
        <v>45670</v>
      </c>
      <c r="D1396" t="inlineStr">
        <is>
          <t>VÄSTERNORRLANDS LÄN</t>
        </is>
      </c>
      <c r="E1396" t="inlineStr">
        <is>
          <t>SOLLEFTEÅ</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29538-2022</t>
        </is>
      </c>
      <c r="B1397" s="1" t="n">
        <v>44754</v>
      </c>
      <c r="C1397" s="1" t="n">
        <v>45670</v>
      </c>
      <c r="D1397" t="inlineStr">
        <is>
          <t>VÄSTERNORRLANDS LÄN</t>
        </is>
      </c>
      <c r="E1397" t="inlineStr">
        <is>
          <t>SOLLEFTEÅ</t>
        </is>
      </c>
      <c r="F1397" t="inlineStr">
        <is>
          <t>SCA</t>
        </is>
      </c>
      <c r="G1397" t="n">
        <v>20.2</v>
      </c>
      <c r="H1397" t="n">
        <v>0</v>
      </c>
      <c r="I1397" t="n">
        <v>0</v>
      </c>
      <c r="J1397" t="n">
        <v>0</v>
      </c>
      <c r="K1397" t="n">
        <v>0</v>
      </c>
      <c r="L1397" t="n">
        <v>0</v>
      </c>
      <c r="M1397" t="n">
        <v>0</v>
      </c>
      <c r="N1397" t="n">
        <v>0</v>
      </c>
      <c r="O1397" t="n">
        <v>0</v>
      </c>
      <c r="P1397" t="n">
        <v>0</v>
      </c>
      <c r="Q1397" t="n">
        <v>0</v>
      </c>
      <c r="R1397" s="2" t="inlineStr"/>
    </row>
    <row r="1398" ht="15" customHeight="1">
      <c r="A1398" t="inlineStr">
        <is>
          <t>A 29842-2022</t>
        </is>
      </c>
      <c r="B1398" s="1" t="n">
        <v>44756</v>
      </c>
      <c r="C1398" s="1" t="n">
        <v>45670</v>
      </c>
      <c r="D1398" t="inlineStr">
        <is>
          <t>VÄSTERNORRLANDS LÄN</t>
        </is>
      </c>
      <c r="E1398" t="inlineStr">
        <is>
          <t>SOLLEFTEÅ</t>
        </is>
      </c>
      <c r="F1398" t="inlineStr">
        <is>
          <t>Holmen skog AB</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30032-2022</t>
        </is>
      </c>
      <c r="B1399" s="1" t="n">
        <v>44756</v>
      </c>
      <c r="C1399" s="1" t="n">
        <v>45670</v>
      </c>
      <c r="D1399" t="inlineStr">
        <is>
          <t>VÄSTERNORRLANDS LÄN</t>
        </is>
      </c>
      <c r="E1399" t="inlineStr">
        <is>
          <t>SOLLEFTEÅ</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30041-2022</t>
        </is>
      </c>
      <c r="B1400" s="1" t="n">
        <v>44756</v>
      </c>
      <c r="C1400" s="1" t="n">
        <v>45670</v>
      </c>
      <c r="D1400" t="inlineStr">
        <is>
          <t>VÄSTERNORRLANDS LÄN</t>
        </is>
      </c>
      <c r="E1400" t="inlineStr">
        <is>
          <t>SOLLEFTEÅ</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30045-2022</t>
        </is>
      </c>
      <c r="B1401" s="1" t="n">
        <v>44756</v>
      </c>
      <c r="C1401" s="1" t="n">
        <v>45670</v>
      </c>
      <c r="D1401" t="inlineStr">
        <is>
          <t>VÄSTERNORRLANDS LÄN</t>
        </is>
      </c>
      <c r="E1401" t="inlineStr">
        <is>
          <t>SOLLEFTEÅ</t>
        </is>
      </c>
      <c r="F1401" t="inlineStr">
        <is>
          <t>SCA</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30013-2022</t>
        </is>
      </c>
      <c r="B1402" s="1" t="n">
        <v>44756</v>
      </c>
      <c r="C1402" s="1" t="n">
        <v>45670</v>
      </c>
      <c r="D1402" t="inlineStr">
        <is>
          <t>VÄSTERNORRLANDS LÄN</t>
        </is>
      </c>
      <c r="E1402" t="inlineStr">
        <is>
          <t>SOLLEFTEÅ</t>
        </is>
      </c>
      <c r="F1402" t="inlineStr">
        <is>
          <t>SCA</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30033-2022</t>
        </is>
      </c>
      <c r="B1403" s="1" t="n">
        <v>44756</v>
      </c>
      <c r="C1403" s="1" t="n">
        <v>45670</v>
      </c>
      <c r="D1403" t="inlineStr">
        <is>
          <t>VÄSTERNORRLANDS LÄN</t>
        </is>
      </c>
      <c r="E1403" t="inlineStr">
        <is>
          <t>SOLLEFTEÅ</t>
        </is>
      </c>
      <c r="F1403" t="inlineStr">
        <is>
          <t>SCA</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30040-2022</t>
        </is>
      </c>
      <c r="B1404" s="1" t="n">
        <v>44757</v>
      </c>
      <c r="C1404" s="1" t="n">
        <v>45670</v>
      </c>
      <c r="D1404" t="inlineStr">
        <is>
          <t>VÄSTERNORRLANDS LÄN</t>
        </is>
      </c>
      <c r="E1404" t="inlineStr">
        <is>
          <t>SOLLEFTEÅ</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30034-2022</t>
        </is>
      </c>
      <c r="B1405" s="1" t="n">
        <v>44757</v>
      </c>
      <c r="C1405" s="1" t="n">
        <v>45670</v>
      </c>
      <c r="D1405" t="inlineStr">
        <is>
          <t>VÄSTERNORRLANDS LÄN</t>
        </is>
      </c>
      <c r="E1405" t="inlineStr">
        <is>
          <t>SOLLEFTEÅ</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30039-2022</t>
        </is>
      </c>
      <c r="B1406" s="1" t="n">
        <v>44757</v>
      </c>
      <c r="C1406" s="1" t="n">
        <v>45670</v>
      </c>
      <c r="D1406" t="inlineStr">
        <is>
          <t>VÄSTERNORRLANDS LÄN</t>
        </is>
      </c>
      <c r="E1406" t="inlineStr">
        <is>
          <t>SOLLEFTEÅ</t>
        </is>
      </c>
      <c r="F1406" t="inlineStr">
        <is>
          <t>SCA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30043-2022</t>
        </is>
      </c>
      <c r="B1407" s="1" t="n">
        <v>44756</v>
      </c>
      <c r="C1407" s="1" t="n">
        <v>45670</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30238-2022</t>
        </is>
      </c>
      <c r="B1408" s="1" t="n">
        <v>44757</v>
      </c>
      <c r="C1408" s="1" t="n">
        <v>45670</v>
      </c>
      <c r="D1408" t="inlineStr">
        <is>
          <t>VÄSTERNORRLANDS LÄN</t>
        </is>
      </c>
      <c r="E1408" t="inlineStr">
        <is>
          <t>SOLLEFTEÅ</t>
        </is>
      </c>
      <c r="F1408" t="inlineStr">
        <is>
          <t>SCA</t>
        </is>
      </c>
      <c r="G1408" t="n">
        <v>6.7</v>
      </c>
      <c r="H1408" t="n">
        <v>0</v>
      </c>
      <c r="I1408" t="n">
        <v>0</v>
      </c>
      <c r="J1408" t="n">
        <v>0</v>
      </c>
      <c r="K1408" t="n">
        <v>0</v>
      </c>
      <c r="L1408" t="n">
        <v>0</v>
      </c>
      <c r="M1408" t="n">
        <v>0</v>
      </c>
      <c r="N1408" t="n">
        <v>0</v>
      </c>
      <c r="O1408" t="n">
        <v>0</v>
      </c>
      <c r="P1408" t="n">
        <v>0</v>
      </c>
      <c r="Q1408" t="n">
        <v>0</v>
      </c>
      <c r="R1408" s="2" t="inlineStr"/>
    </row>
    <row r="1409" ht="15" customHeight="1">
      <c r="A1409" t="inlineStr">
        <is>
          <t>A 30239-2022</t>
        </is>
      </c>
      <c r="B1409" s="1" t="n">
        <v>44758</v>
      </c>
      <c r="C1409" s="1" t="n">
        <v>45670</v>
      </c>
      <c r="D1409" t="inlineStr">
        <is>
          <t>VÄSTERNORRLANDS LÄN</t>
        </is>
      </c>
      <c r="E1409" t="inlineStr">
        <is>
          <t>SOLLEFTEÅ</t>
        </is>
      </c>
      <c r="F1409" t="inlineStr">
        <is>
          <t>SCA</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30237-2022</t>
        </is>
      </c>
      <c r="B1410" s="1" t="n">
        <v>44758</v>
      </c>
      <c r="C1410" s="1" t="n">
        <v>45670</v>
      </c>
      <c r="D1410" t="inlineStr">
        <is>
          <t>VÄSTERNORRLANDS LÄN</t>
        </is>
      </c>
      <c r="E1410" t="inlineStr">
        <is>
          <t>SOLLEFTEÅ</t>
        </is>
      </c>
      <c r="F1410" t="inlineStr">
        <is>
          <t>SCA</t>
        </is>
      </c>
      <c r="G1410" t="n">
        <v>8.1</v>
      </c>
      <c r="H1410" t="n">
        <v>0</v>
      </c>
      <c r="I1410" t="n">
        <v>0</v>
      </c>
      <c r="J1410" t="n">
        <v>0</v>
      </c>
      <c r="K1410" t="n">
        <v>0</v>
      </c>
      <c r="L1410" t="n">
        <v>0</v>
      </c>
      <c r="M1410" t="n">
        <v>0</v>
      </c>
      <c r="N1410" t="n">
        <v>0</v>
      </c>
      <c r="O1410" t="n">
        <v>0</v>
      </c>
      <c r="P1410" t="n">
        <v>0</v>
      </c>
      <c r="Q1410" t="n">
        <v>0</v>
      </c>
      <c r="R1410" s="2" t="inlineStr"/>
    </row>
    <row r="1411" ht="15" customHeight="1">
      <c r="A1411" t="inlineStr">
        <is>
          <t>A 30236-2022</t>
        </is>
      </c>
      <c r="B1411" s="1" t="n">
        <v>44757</v>
      </c>
      <c r="C1411" s="1" t="n">
        <v>45670</v>
      </c>
      <c r="D1411" t="inlineStr">
        <is>
          <t>VÄSTERNORRLANDS LÄN</t>
        </is>
      </c>
      <c r="E1411" t="inlineStr">
        <is>
          <t>SOLLEFTEÅ</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30240-2022</t>
        </is>
      </c>
      <c r="B1412" s="1" t="n">
        <v>44757</v>
      </c>
      <c r="C1412" s="1" t="n">
        <v>45670</v>
      </c>
      <c r="D1412" t="inlineStr">
        <is>
          <t>VÄSTERNORRLANDS LÄN</t>
        </is>
      </c>
      <c r="E1412" t="inlineStr">
        <is>
          <t>SOLLEFTEÅ</t>
        </is>
      </c>
      <c r="F1412" t="inlineStr">
        <is>
          <t>SCA</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30606-2022</t>
        </is>
      </c>
      <c r="B1413" s="1" t="n">
        <v>44763</v>
      </c>
      <c r="C1413" s="1" t="n">
        <v>45670</v>
      </c>
      <c r="D1413" t="inlineStr">
        <is>
          <t>VÄSTERNORRLANDS LÄN</t>
        </is>
      </c>
      <c r="E1413" t="inlineStr">
        <is>
          <t>SOLLEFTEÅ</t>
        </is>
      </c>
      <c r="F1413" t="inlineStr">
        <is>
          <t>SCA</t>
        </is>
      </c>
      <c r="G1413" t="n">
        <v>9.699999999999999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30805-2022</t>
        </is>
      </c>
      <c r="B1414" s="1" t="n">
        <v>44765</v>
      </c>
      <c r="C1414" s="1" t="n">
        <v>45670</v>
      </c>
      <c r="D1414" t="inlineStr">
        <is>
          <t>VÄSTERNORRLANDS LÄN</t>
        </is>
      </c>
      <c r="E1414" t="inlineStr">
        <is>
          <t>SOLLEFTEÅ</t>
        </is>
      </c>
      <c r="F1414" t="inlineStr">
        <is>
          <t>SCA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30936-2022</t>
        </is>
      </c>
      <c r="B1415" s="1" t="n">
        <v>44768</v>
      </c>
      <c r="C1415" s="1" t="n">
        <v>45670</v>
      </c>
      <c r="D1415" t="inlineStr">
        <is>
          <t>VÄSTERNORRLANDS LÄN</t>
        </is>
      </c>
      <c r="E1415" t="inlineStr">
        <is>
          <t>SOLLEFTEÅ</t>
        </is>
      </c>
      <c r="F1415" t="inlineStr">
        <is>
          <t>SCA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30937-2022</t>
        </is>
      </c>
      <c r="B1416" s="1" t="n">
        <v>44768</v>
      </c>
      <c r="C1416" s="1" t="n">
        <v>45670</v>
      </c>
      <c r="D1416" t="inlineStr">
        <is>
          <t>VÄSTERNORRLANDS LÄN</t>
        </is>
      </c>
      <c r="E1416" t="inlineStr">
        <is>
          <t>SOLLEFTEÅ</t>
        </is>
      </c>
      <c r="F1416" t="inlineStr">
        <is>
          <t>SCA</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31005-2022</t>
        </is>
      </c>
      <c r="B1417" s="1" t="n">
        <v>44768</v>
      </c>
      <c r="C1417" s="1" t="n">
        <v>45670</v>
      </c>
      <c r="D1417" t="inlineStr">
        <is>
          <t>VÄSTERNORRLANDS LÄN</t>
        </is>
      </c>
      <c r="E1417" t="inlineStr">
        <is>
          <t>SOLLEFTEÅ</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31444-2022</t>
        </is>
      </c>
      <c r="B1418" s="1" t="n">
        <v>44774</v>
      </c>
      <c r="C1418" s="1" t="n">
        <v>45670</v>
      </c>
      <c r="D1418" t="inlineStr">
        <is>
          <t>VÄSTERNORRLANDS LÄN</t>
        </is>
      </c>
      <c r="E1418" t="inlineStr">
        <is>
          <t>SOLLEFTEÅ</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31453-2022</t>
        </is>
      </c>
      <c r="B1419" s="1" t="n">
        <v>44775</v>
      </c>
      <c r="C1419" s="1" t="n">
        <v>45670</v>
      </c>
      <c r="D1419" t="inlineStr">
        <is>
          <t>VÄSTERNORRLANDS LÄN</t>
        </is>
      </c>
      <c r="E1419" t="inlineStr">
        <is>
          <t>SOLLEFTEÅ</t>
        </is>
      </c>
      <c r="F1419" t="inlineStr">
        <is>
          <t>SCA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31474-2022</t>
        </is>
      </c>
      <c r="B1420" s="1" t="n">
        <v>44775</v>
      </c>
      <c r="C1420" s="1" t="n">
        <v>45670</v>
      </c>
      <c r="D1420" t="inlineStr">
        <is>
          <t>VÄSTERNORRLANDS LÄN</t>
        </is>
      </c>
      <c r="E1420" t="inlineStr">
        <is>
          <t>SOLLEFTEÅ</t>
        </is>
      </c>
      <c r="F1420" t="inlineStr">
        <is>
          <t>SCA</t>
        </is>
      </c>
      <c r="G1420" t="n">
        <v>28.3</v>
      </c>
      <c r="H1420" t="n">
        <v>0</v>
      </c>
      <c r="I1420" t="n">
        <v>0</v>
      </c>
      <c r="J1420" t="n">
        <v>0</v>
      </c>
      <c r="K1420" t="n">
        <v>0</v>
      </c>
      <c r="L1420" t="n">
        <v>0</v>
      </c>
      <c r="M1420" t="n">
        <v>0</v>
      </c>
      <c r="N1420" t="n">
        <v>0</v>
      </c>
      <c r="O1420" t="n">
        <v>0</v>
      </c>
      <c r="P1420" t="n">
        <v>0</v>
      </c>
      <c r="Q1420" t="n">
        <v>0</v>
      </c>
      <c r="R1420" s="2" t="inlineStr"/>
    </row>
    <row r="1421" ht="15" customHeight="1">
      <c r="A1421" t="inlineStr">
        <is>
          <t>A 31440-2022</t>
        </is>
      </c>
      <c r="B1421" s="1" t="n">
        <v>44775</v>
      </c>
      <c r="C1421" s="1" t="n">
        <v>45670</v>
      </c>
      <c r="D1421" t="inlineStr">
        <is>
          <t>VÄSTERNORRLANDS LÄN</t>
        </is>
      </c>
      <c r="E1421" t="inlineStr">
        <is>
          <t>SOLLEFTEÅ</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31464-2022</t>
        </is>
      </c>
      <c r="B1422" s="1" t="n">
        <v>44774</v>
      </c>
      <c r="C1422" s="1" t="n">
        <v>45670</v>
      </c>
      <c r="D1422" t="inlineStr">
        <is>
          <t>VÄSTERNORRLANDS LÄN</t>
        </is>
      </c>
      <c r="E1422" t="inlineStr">
        <is>
          <t>SOLLEFTEÅ</t>
        </is>
      </c>
      <c r="F1422" t="inlineStr">
        <is>
          <t>SCA</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31452-2022</t>
        </is>
      </c>
      <c r="B1423" s="1" t="n">
        <v>44775</v>
      </c>
      <c r="C1423" s="1" t="n">
        <v>45670</v>
      </c>
      <c r="D1423" t="inlineStr">
        <is>
          <t>VÄSTERNORRLANDS LÄN</t>
        </is>
      </c>
      <c r="E1423" t="inlineStr">
        <is>
          <t>SOLLEFTEÅ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31490-2022</t>
        </is>
      </c>
      <c r="B1424" s="1" t="n">
        <v>44775</v>
      </c>
      <c r="C1424" s="1" t="n">
        <v>45670</v>
      </c>
      <c r="D1424" t="inlineStr">
        <is>
          <t>VÄSTERNORRLANDS LÄN</t>
        </is>
      </c>
      <c r="E1424" t="inlineStr">
        <is>
          <t>SOLLEFTEÅ</t>
        </is>
      </c>
      <c r="F1424" t="inlineStr">
        <is>
          <t>SCA</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31451-2022</t>
        </is>
      </c>
      <c r="B1425" s="1" t="n">
        <v>44775</v>
      </c>
      <c r="C1425" s="1" t="n">
        <v>45670</v>
      </c>
      <c r="D1425" t="inlineStr">
        <is>
          <t>VÄSTERNORRLANDS LÄN</t>
        </is>
      </c>
      <c r="E1425" t="inlineStr">
        <is>
          <t>SOLLEFTEÅ</t>
        </is>
      </c>
      <c r="F1425" t="inlineStr">
        <is>
          <t>SCA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31482-2022</t>
        </is>
      </c>
      <c r="B1426" s="1" t="n">
        <v>44775</v>
      </c>
      <c r="C1426" s="1" t="n">
        <v>45670</v>
      </c>
      <c r="D1426" t="inlineStr">
        <is>
          <t>VÄSTERNORRLANDS LÄN</t>
        </is>
      </c>
      <c r="E1426" t="inlineStr">
        <is>
          <t>SOLLEFTEÅ</t>
        </is>
      </c>
      <c r="F1426" t="inlineStr">
        <is>
          <t>SCA</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31588-2022</t>
        </is>
      </c>
      <c r="B1427" s="1" t="n">
        <v>44775</v>
      </c>
      <c r="C1427" s="1" t="n">
        <v>45670</v>
      </c>
      <c r="D1427" t="inlineStr">
        <is>
          <t>VÄSTERNORRLANDS LÄN</t>
        </is>
      </c>
      <c r="E1427" t="inlineStr">
        <is>
          <t>SOLLEFTEÅ</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31646-2022</t>
        </is>
      </c>
      <c r="B1428" s="1" t="n">
        <v>44776</v>
      </c>
      <c r="C1428" s="1" t="n">
        <v>45670</v>
      </c>
      <c r="D1428" t="inlineStr">
        <is>
          <t>VÄSTERNORRLANDS LÄN</t>
        </is>
      </c>
      <c r="E1428" t="inlineStr">
        <is>
          <t>SOLLEFTEÅ</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31672-2022</t>
        </is>
      </c>
      <c r="B1429" s="1" t="n">
        <v>44776</v>
      </c>
      <c r="C1429" s="1" t="n">
        <v>45670</v>
      </c>
      <c r="D1429" t="inlineStr">
        <is>
          <t>VÄSTERNORRLANDS LÄN</t>
        </is>
      </c>
      <c r="E1429" t="inlineStr">
        <is>
          <t>SOLLEFTEÅ</t>
        </is>
      </c>
      <c r="G1429" t="n">
        <v>16.3</v>
      </c>
      <c r="H1429" t="n">
        <v>0</v>
      </c>
      <c r="I1429" t="n">
        <v>0</v>
      </c>
      <c r="J1429" t="n">
        <v>0</v>
      </c>
      <c r="K1429" t="n">
        <v>0</v>
      </c>
      <c r="L1429" t="n">
        <v>0</v>
      </c>
      <c r="M1429" t="n">
        <v>0</v>
      </c>
      <c r="N1429" t="n">
        <v>0</v>
      </c>
      <c r="O1429" t="n">
        <v>0</v>
      </c>
      <c r="P1429" t="n">
        <v>0</v>
      </c>
      <c r="Q1429" t="n">
        <v>0</v>
      </c>
      <c r="R1429" s="2" t="inlineStr"/>
    </row>
    <row r="1430" ht="15" customHeight="1">
      <c r="A1430" t="inlineStr">
        <is>
          <t>A 31856-2022</t>
        </is>
      </c>
      <c r="B1430" s="1" t="n">
        <v>44776</v>
      </c>
      <c r="C1430" s="1" t="n">
        <v>45670</v>
      </c>
      <c r="D1430" t="inlineStr">
        <is>
          <t>VÄSTERNORRLANDS LÄN</t>
        </is>
      </c>
      <c r="E1430" t="inlineStr">
        <is>
          <t>SOLLEFTEÅ</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31968-2022</t>
        </is>
      </c>
      <c r="B1431" s="1" t="n">
        <v>44778</v>
      </c>
      <c r="C1431" s="1" t="n">
        <v>45670</v>
      </c>
      <c r="D1431" t="inlineStr">
        <is>
          <t>VÄSTERNORRLANDS LÄN</t>
        </is>
      </c>
      <c r="E1431" t="inlineStr">
        <is>
          <t>SOLLEFTEÅ</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31967-2022</t>
        </is>
      </c>
      <c r="B1432" s="1" t="n">
        <v>44778</v>
      </c>
      <c r="C1432" s="1" t="n">
        <v>45670</v>
      </c>
      <c r="D1432" t="inlineStr">
        <is>
          <t>VÄSTERNORRLANDS LÄN</t>
        </is>
      </c>
      <c r="E1432" t="inlineStr">
        <is>
          <t>SOLLEFTEÅ</t>
        </is>
      </c>
      <c r="F1432" t="inlineStr">
        <is>
          <t>SCA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31965-2022</t>
        </is>
      </c>
      <c r="B1433" s="1" t="n">
        <v>44778</v>
      </c>
      <c r="C1433" s="1" t="n">
        <v>45670</v>
      </c>
      <c r="D1433" t="inlineStr">
        <is>
          <t>VÄSTERNORRLANDS LÄN</t>
        </is>
      </c>
      <c r="E1433" t="inlineStr">
        <is>
          <t>SOLLEFTEÅ</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31966-2022</t>
        </is>
      </c>
      <c r="B1434" s="1" t="n">
        <v>44778</v>
      </c>
      <c r="C1434" s="1" t="n">
        <v>45670</v>
      </c>
      <c r="D1434" t="inlineStr">
        <is>
          <t>VÄSTERNORRLANDS LÄN</t>
        </is>
      </c>
      <c r="E1434" t="inlineStr">
        <is>
          <t>SOLLEFTEÅ</t>
        </is>
      </c>
      <c r="F1434" t="inlineStr">
        <is>
          <t>SCA</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32127-2022</t>
        </is>
      </c>
      <c r="B1435" s="1" t="n">
        <v>44779</v>
      </c>
      <c r="C1435" s="1" t="n">
        <v>45670</v>
      </c>
      <c r="D1435" t="inlineStr">
        <is>
          <t>VÄSTERNORRLANDS LÄN</t>
        </is>
      </c>
      <c r="E1435" t="inlineStr">
        <is>
          <t>SOLLEFTEÅ</t>
        </is>
      </c>
      <c r="F1435" t="inlineStr">
        <is>
          <t>SCA</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32129-2022</t>
        </is>
      </c>
      <c r="B1436" s="1" t="n">
        <v>44779</v>
      </c>
      <c r="C1436" s="1" t="n">
        <v>45670</v>
      </c>
      <c r="D1436" t="inlineStr">
        <is>
          <t>VÄSTERNORRLANDS LÄN</t>
        </is>
      </c>
      <c r="E1436" t="inlineStr">
        <is>
          <t>SOLLEFTEÅ</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32126-2022</t>
        </is>
      </c>
      <c r="B1437" s="1" t="n">
        <v>44778</v>
      </c>
      <c r="C1437" s="1" t="n">
        <v>45670</v>
      </c>
      <c r="D1437" t="inlineStr">
        <is>
          <t>VÄSTERNORRLANDS LÄN</t>
        </is>
      </c>
      <c r="E1437" t="inlineStr">
        <is>
          <t>SOLLEFTEÅ</t>
        </is>
      </c>
      <c r="F1437" t="inlineStr">
        <is>
          <t>SCA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32130-2022</t>
        </is>
      </c>
      <c r="B1438" s="1" t="n">
        <v>44779</v>
      </c>
      <c r="C1438" s="1" t="n">
        <v>45670</v>
      </c>
      <c r="D1438" t="inlineStr">
        <is>
          <t>VÄSTERNORRLANDS LÄN</t>
        </is>
      </c>
      <c r="E1438" t="inlineStr">
        <is>
          <t>SOLLEFTEÅ</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32453-2022</t>
        </is>
      </c>
      <c r="B1439" s="1" t="n">
        <v>44782</v>
      </c>
      <c r="C1439" s="1" t="n">
        <v>45670</v>
      </c>
      <c r="D1439" t="inlineStr">
        <is>
          <t>VÄSTERNORRLANDS LÄN</t>
        </is>
      </c>
      <c r="E1439" t="inlineStr">
        <is>
          <t>SOLLEFTEÅ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32531-2022</t>
        </is>
      </c>
      <c r="B1440" s="1" t="n">
        <v>44783</v>
      </c>
      <c r="C1440" s="1" t="n">
        <v>45670</v>
      </c>
      <c r="D1440" t="inlineStr">
        <is>
          <t>VÄSTERNORRLANDS LÄN</t>
        </is>
      </c>
      <c r="E1440" t="inlineStr">
        <is>
          <t>SOLLEFTEÅ</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32779-2022</t>
        </is>
      </c>
      <c r="B1441" s="1" t="n">
        <v>44784</v>
      </c>
      <c r="C1441" s="1" t="n">
        <v>45670</v>
      </c>
      <c r="D1441" t="inlineStr">
        <is>
          <t>VÄSTERNORRLANDS LÄN</t>
        </is>
      </c>
      <c r="E1441" t="inlineStr">
        <is>
          <t>SOLLEFTEÅ</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32969-2022</t>
        </is>
      </c>
      <c r="B1442" s="1" t="n">
        <v>44785</v>
      </c>
      <c r="C1442" s="1" t="n">
        <v>45670</v>
      </c>
      <c r="D1442" t="inlineStr">
        <is>
          <t>VÄSTERNORRLANDS LÄN</t>
        </is>
      </c>
      <c r="E1442" t="inlineStr">
        <is>
          <t>SOLLEFTEÅ</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33056-2022</t>
        </is>
      </c>
      <c r="B1443" s="1" t="n">
        <v>44785</v>
      </c>
      <c r="C1443" s="1" t="n">
        <v>45670</v>
      </c>
      <c r="D1443" t="inlineStr">
        <is>
          <t>VÄSTERNORRLANDS LÄN</t>
        </is>
      </c>
      <c r="E1443" t="inlineStr">
        <is>
          <t>SOLLEFTEÅ</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33083-2022</t>
        </is>
      </c>
      <c r="B1444" s="1" t="n">
        <v>44785</v>
      </c>
      <c r="C1444" s="1" t="n">
        <v>45670</v>
      </c>
      <c r="D1444" t="inlineStr">
        <is>
          <t>VÄSTERNORRLANDS LÄN</t>
        </is>
      </c>
      <c r="E1444" t="inlineStr">
        <is>
          <t>SOLLEFTEÅ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33077-2022</t>
        </is>
      </c>
      <c r="B1445" s="1" t="n">
        <v>44785</v>
      </c>
      <c r="C1445" s="1" t="n">
        <v>45670</v>
      </c>
      <c r="D1445" t="inlineStr">
        <is>
          <t>VÄSTERNORRLANDS LÄN</t>
        </is>
      </c>
      <c r="E1445" t="inlineStr">
        <is>
          <t>SOLLEFTEÅ</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33226-2022</t>
        </is>
      </c>
      <c r="B1446" s="1" t="n">
        <v>44786</v>
      </c>
      <c r="C1446" s="1" t="n">
        <v>45670</v>
      </c>
      <c r="D1446" t="inlineStr">
        <is>
          <t>VÄSTERNORRLANDS LÄN</t>
        </is>
      </c>
      <c r="E1446" t="inlineStr">
        <is>
          <t>SOLLEFTEÅ</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33505-2022</t>
        </is>
      </c>
      <c r="B1447" s="1" t="n">
        <v>44789</v>
      </c>
      <c r="C1447" s="1" t="n">
        <v>45670</v>
      </c>
      <c r="D1447" t="inlineStr">
        <is>
          <t>VÄSTERNORRLANDS LÄN</t>
        </is>
      </c>
      <c r="E1447" t="inlineStr">
        <is>
          <t>SOLLEFTEÅ</t>
        </is>
      </c>
      <c r="F1447" t="inlineStr">
        <is>
          <t>SCA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33519-2022</t>
        </is>
      </c>
      <c r="B1448" s="1" t="n">
        <v>44789</v>
      </c>
      <c r="C1448" s="1" t="n">
        <v>45670</v>
      </c>
      <c r="D1448" t="inlineStr">
        <is>
          <t>VÄSTERNORRLANDS LÄN</t>
        </is>
      </c>
      <c r="E1448" t="inlineStr">
        <is>
          <t>SOLLEFTEÅ</t>
        </is>
      </c>
      <c r="F1448" t="inlineStr">
        <is>
          <t>SCA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33528-2022</t>
        </is>
      </c>
      <c r="B1449" s="1" t="n">
        <v>44788</v>
      </c>
      <c r="C1449" s="1" t="n">
        <v>45670</v>
      </c>
      <c r="D1449" t="inlineStr">
        <is>
          <t>VÄSTERNORRLANDS LÄN</t>
        </is>
      </c>
      <c r="E1449" t="inlineStr">
        <is>
          <t>SOLLEFTEÅ</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33734-2022</t>
        </is>
      </c>
      <c r="B1450" s="1" t="n">
        <v>44790</v>
      </c>
      <c r="C1450" s="1" t="n">
        <v>45670</v>
      </c>
      <c r="D1450" t="inlineStr">
        <is>
          <t>VÄSTERNORRLANDS LÄN</t>
        </is>
      </c>
      <c r="E1450" t="inlineStr">
        <is>
          <t>SOLLEFTEÅ</t>
        </is>
      </c>
      <c r="F1450" t="inlineStr">
        <is>
          <t>SCA</t>
        </is>
      </c>
      <c r="G1450" t="n">
        <v>8.699999999999999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33990-2022</t>
        </is>
      </c>
      <c r="B1451" s="1" t="n">
        <v>44790</v>
      </c>
      <c r="C1451" s="1" t="n">
        <v>45670</v>
      </c>
      <c r="D1451" t="inlineStr">
        <is>
          <t>VÄSTERNORRLANDS LÄN</t>
        </is>
      </c>
      <c r="E1451" t="inlineStr">
        <is>
          <t>SOLLEFTEÅ</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33995-2022</t>
        </is>
      </c>
      <c r="B1452" s="1" t="n">
        <v>44791</v>
      </c>
      <c r="C1452" s="1" t="n">
        <v>45670</v>
      </c>
      <c r="D1452" t="inlineStr">
        <is>
          <t>VÄSTERNORRLANDS LÄN</t>
        </is>
      </c>
      <c r="E1452" t="inlineStr">
        <is>
          <t>SOLLEFTEÅ</t>
        </is>
      </c>
      <c r="F1452" t="inlineStr">
        <is>
          <t>SCA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33994-2022</t>
        </is>
      </c>
      <c r="B1453" s="1" t="n">
        <v>44791</v>
      </c>
      <c r="C1453" s="1" t="n">
        <v>45670</v>
      </c>
      <c r="D1453" t="inlineStr">
        <is>
          <t>VÄSTERNORRLANDS LÄN</t>
        </is>
      </c>
      <c r="E1453" t="inlineStr">
        <is>
          <t>SOLLEFTEÅ</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34242-2022</t>
        </is>
      </c>
      <c r="B1454" s="1" t="n">
        <v>44792</v>
      </c>
      <c r="C1454" s="1" t="n">
        <v>45670</v>
      </c>
      <c r="D1454" t="inlineStr">
        <is>
          <t>VÄSTERNORRLANDS LÄN</t>
        </is>
      </c>
      <c r="E1454" t="inlineStr">
        <is>
          <t>SOLLEFTEÅ</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34252-2022</t>
        </is>
      </c>
      <c r="B1455" s="1" t="n">
        <v>44792</v>
      </c>
      <c r="C1455" s="1" t="n">
        <v>45670</v>
      </c>
      <c r="D1455" t="inlineStr">
        <is>
          <t>VÄSTERNORRLANDS LÄN</t>
        </is>
      </c>
      <c r="E1455" t="inlineStr">
        <is>
          <t>SOLLEFTEÅ</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34267-2022</t>
        </is>
      </c>
      <c r="B1456" s="1" t="n">
        <v>44792</v>
      </c>
      <c r="C1456" s="1" t="n">
        <v>45670</v>
      </c>
      <c r="D1456" t="inlineStr">
        <is>
          <t>VÄSTERNORRLANDS LÄN</t>
        </is>
      </c>
      <c r="E1456" t="inlineStr">
        <is>
          <t>SOLLEFTEÅ</t>
        </is>
      </c>
      <c r="F1456" t="inlineStr">
        <is>
          <t>SCA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34281-2022</t>
        </is>
      </c>
      <c r="B1457" s="1" t="n">
        <v>44791</v>
      </c>
      <c r="C1457" s="1" t="n">
        <v>45670</v>
      </c>
      <c r="D1457" t="inlineStr">
        <is>
          <t>VÄSTERNORRLANDS LÄN</t>
        </is>
      </c>
      <c r="E1457" t="inlineStr">
        <is>
          <t>SOLLEFTEÅ</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34518-2022</t>
        </is>
      </c>
      <c r="B1458" s="1" t="n">
        <v>44793</v>
      </c>
      <c r="C1458" s="1" t="n">
        <v>45670</v>
      </c>
      <c r="D1458" t="inlineStr">
        <is>
          <t>VÄSTERNORRLANDS LÄN</t>
        </is>
      </c>
      <c r="E1458" t="inlineStr">
        <is>
          <t>SOLLEFTEÅ</t>
        </is>
      </c>
      <c r="F1458" t="inlineStr">
        <is>
          <t>SCA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34517-2022</t>
        </is>
      </c>
      <c r="B1459" s="1" t="n">
        <v>44793</v>
      </c>
      <c r="C1459" s="1" t="n">
        <v>45670</v>
      </c>
      <c r="D1459" t="inlineStr">
        <is>
          <t>VÄSTERNORRLANDS LÄN</t>
        </is>
      </c>
      <c r="E1459" t="inlineStr">
        <is>
          <t>SOLLEFTEÅ</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34527-2022</t>
        </is>
      </c>
      <c r="B1460" s="1" t="n">
        <v>44793</v>
      </c>
      <c r="C1460" s="1" t="n">
        <v>45670</v>
      </c>
      <c r="D1460" t="inlineStr">
        <is>
          <t>VÄSTERNORRLANDS LÄN</t>
        </is>
      </c>
      <c r="E1460" t="inlineStr">
        <is>
          <t>SOLLEFTEÅ</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34534-2022</t>
        </is>
      </c>
      <c r="B1461" s="1" t="n">
        <v>44793</v>
      </c>
      <c r="C1461" s="1" t="n">
        <v>45670</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34516-2022</t>
        </is>
      </c>
      <c r="B1462" s="1" t="n">
        <v>44792</v>
      </c>
      <c r="C1462" s="1" t="n">
        <v>45670</v>
      </c>
      <c r="D1462" t="inlineStr">
        <is>
          <t>VÄSTERNORRLANDS LÄN</t>
        </is>
      </c>
      <c r="E1462" t="inlineStr">
        <is>
          <t>SOLLEFTEÅ</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34648-2022</t>
        </is>
      </c>
      <c r="B1463" s="1" t="n">
        <v>44792</v>
      </c>
      <c r="C1463" s="1" t="n">
        <v>45670</v>
      </c>
      <c r="D1463" t="inlineStr">
        <is>
          <t>VÄSTERNORRLANDS LÄN</t>
        </is>
      </c>
      <c r="E1463" t="inlineStr">
        <is>
          <t>SOLLEFTEÅ</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34549-2022</t>
        </is>
      </c>
      <c r="B1464" s="1" t="n">
        <v>44793</v>
      </c>
      <c r="C1464" s="1" t="n">
        <v>45670</v>
      </c>
      <c r="D1464" t="inlineStr">
        <is>
          <t>VÄSTERNORRLANDS LÄN</t>
        </is>
      </c>
      <c r="E1464" t="inlineStr">
        <is>
          <t>SOLLEFTEÅ</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34542-2022</t>
        </is>
      </c>
      <c r="B1465" s="1" t="n">
        <v>44793</v>
      </c>
      <c r="C1465" s="1" t="n">
        <v>45670</v>
      </c>
      <c r="D1465" t="inlineStr">
        <is>
          <t>VÄSTERNORRLANDS LÄN</t>
        </is>
      </c>
      <c r="E1465" t="inlineStr">
        <is>
          <t>SOLLEFTEÅ</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34543-2022</t>
        </is>
      </c>
      <c r="B1466" s="1" t="n">
        <v>44793</v>
      </c>
      <c r="C1466" s="1" t="n">
        <v>45670</v>
      </c>
      <c r="D1466" t="inlineStr">
        <is>
          <t>VÄSTERNORRLANDS LÄN</t>
        </is>
      </c>
      <c r="E1466" t="inlineStr">
        <is>
          <t>SOLLEFTEÅ</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34552-2022</t>
        </is>
      </c>
      <c r="B1467" s="1" t="n">
        <v>44794</v>
      </c>
      <c r="C1467" s="1" t="n">
        <v>45670</v>
      </c>
      <c r="D1467" t="inlineStr">
        <is>
          <t>VÄSTERNORRLANDS LÄN</t>
        </is>
      </c>
      <c r="E1467" t="inlineStr">
        <is>
          <t>SOLLEFTEÅ</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34804-2022</t>
        </is>
      </c>
      <c r="B1468" s="1" t="n">
        <v>44796</v>
      </c>
      <c r="C1468" s="1" t="n">
        <v>45670</v>
      </c>
      <c r="D1468" t="inlineStr">
        <is>
          <t>VÄSTERNORRLANDS LÄN</t>
        </is>
      </c>
      <c r="E1468" t="inlineStr">
        <is>
          <t>SOLLEFTEÅ</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35019-2022</t>
        </is>
      </c>
      <c r="B1469" s="1" t="n">
        <v>44797</v>
      </c>
      <c r="C1469" s="1" t="n">
        <v>45670</v>
      </c>
      <c r="D1469" t="inlineStr">
        <is>
          <t>VÄSTERNORRLANDS LÄN</t>
        </is>
      </c>
      <c r="E1469" t="inlineStr">
        <is>
          <t>SOLLEFTEÅ</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35229-2022</t>
        </is>
      </c>
      <c r="B1470" s="1" t="n">
        <v>44798</v>
      </c>
      <c r="C1470" s="1" t="n">
        <v>45670</v>
      </c>
      <c r="D1470" t="inlineStr">
        <is>
          <t>VÄSTERNORRLANDS LÄN</t>
        </is>
      </c>
      <c r="E1470" t="inlineStr">
        <is>
          <t>SOLLEFTEÅ</t>
        </is>
      </c>
      <c r="F1470" t="inlineStr">
        <is>
          <t>SCA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35747-2022</t>
        </is>
      </c>
      <c r="B1471" s="1" t="n">
        <v>44799</v>
      </c>
      <c r="C1471" s="1" t="n">
        <v>45670</v>
      </c>
      <c r="D1471" t="inlineStr">
        <is>
          <t>VÄSTERNORRLANDS LÄN</t>
        </is>
      </c>
      <c r="E1471" t="inlineStr">
        <is>
          <t>SOLLEFTEÅ</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35797-2022</t>
        </is>
      </c>
      <c r="B1472" s="1" t="n">
        <v>44802</v>
      </c>
      <c r="C1472" s="1" t="n">
        <v>45670</v>
      </c>
      <c r="D1472" t="inlineStr">
        <is>
          <t>VÄSTERNORRLANDS LÄN</t>
        </is>
      </c>
      <c r="E1472" t="inlineStr">
        <is>
          <t>SOLLEFTEÅ</t>
        </is>
      </c>
      <c r="F1472" t="inlineStr">
        <is>
          <t>SCA</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36080-2022</t>
        </is>
      </c>
      <c r="B1473" s="1" t="n">
        <v>44803</v>
      </c>
      <c r="C1473" s="1" t="n">
        <v>45670</v>
      </c>
      <c r="D1473" t="inlineStr">
        <is>
          <t>VÄSTERNORRLANDS LÄN</t>
        </is>
      </c>
      <c r="E1473" t="inlineStr">
        <is>
          <t>SOLLEFTEÅ</t>
        </is>
      </c>
      <c r="F1473" t="inlineStr">
        <is>
          <t>SCA</t>
        </is>
      </c>
      <c r="G1473" t="n">
        <v>78.2</v>
      </c>
      <c r="H1473" t="n">
        <v>0</v>
      </c>
      <c r="I1473" t="n">
        <v>0</v>
      </c>
      <c r="J1473" t="n">
        <v>0</v>
      </c>
      <c r="K1473" t="n">
        <v>0</v>
      </c>
      <c r="L1473" t="n">
        <v>0</v>
      </c>
      <c r="M1473" t="n">
        <v>0</v>
      </c>
      <c r="N1473" t="n">
        <v>0</v>
      </c>
      <c r="O1473" t="n">
        <v>0</v>
      </c>
      <c r="P1473" t="n">
        <v>0</v>
      </c>
      <c r="Q1473" t="n">
        <v>0</v>
      </c>
      <c r="R1473" s="2" t="inlineStr"/>
    </row>
    <row r="1474" ht="15" customHeight="1">
      <c r="A1474" t="inlineStr">
        <is>
          <t>A 36078-2022</t>
        </is>
      </c>
      <c r="B1474" s="1" t="n">
        <v>44803</v>
      </c>
      <c r="C1474" s="1" t="n">
        <v>45670</v>
      </c>
      <c r="D1474" t="inlineStr">
        <is>
          <t>VÄSTERNORRLANDS LÄN</t>
        </is>
      </c>
      <c r="E1474" t="inlineStr">
        <is>
          <t>SOLLEFTEÅ</t>
        </is>
      </c>
      <c r="F1474" t="inlineStr">
        <is>
          <t>SCA</t>
        </is>
      </c>
      <c r="G1474" t="n">
        <v>12.5</v>
      </c>
      <c r="H1474" t="n">
        <v>0</v>
      </c>
      <c r="I1474" t="n">
        <v>0</v>
      </c>
      <c r="J1474" t="n">
        <v>0</v>
      </c>
      <c r="K1474" t="n">
        <v>0</v>
      </c>
      <c r="L1474" t="n">
        <v>0</v>
      </c>
      <c r="M1474" t="n">
        <v>0</v>
      </c>
      <c r="N1474" t="n">
        <v>0</v>
      </c>
      <c r="O1474" t="n">
        <v>0</v>
      </c>
      <c r="P1474" t="n">
        <v>0</v>
      </c>
      <c r="Q1474" t="n">
        <v>0</v>
      </c>
      <c r="R1474" s="2" t="inlineStr"/>
    </row>
    <row r="1475" ht="15" customHeight="1">
      <c r="A1475" t="inlineStr">
        <is>
          <t>A 36368-2022</t>
        </is>
      </c>
      <c r="B1475" s="1" t="n">
        <v>44804</v>
      </c>
      <c r="C1475" s="1" t="n">
        <v>45670</v>
      </c>
      <c r="D1475" t="inlineStr">
        <is>
          <t>VÄSTERNORRLANDS LÄN</t>
        </is>
      </c>
      <c r="E1475" t="inlineStr">
        <is>
          <t>SOLLEFTEÅ</t>
        </is>
      </c>
      <c r="F1475" t="inlineStr">
        <is>
          <t>SCA</t>
        </is>
      </c>
      <c r="G1475" t="n">
        <v>10.4</v>
      </c>
      <c r="H1475" t="n">
        <v>0</v>
      </c>
      <c r="I1475" t="n">
        <v>0</v>
      </c>
      <c r="J1475" t="n">
        <v>0</v>
      </c>
      <c r="K1475" t="n">
        <v>0</v>
      </c>
      <c r="L1475" t="n">
        <v>0</v>
      </c>
      <c r="M1475" t="n">
        <v>0</v>
      </c>
      <c r="N1475" t="n">
        <v>0</v>
      </c>
      <c r="O1475" t="n">
        <v>0</v>
      </c>
      <c r="P1475" t="n">
        <v>0</v>
      </c>
      <c r="Q1475" t="n">
        <v>0</v>
      </c>
      <c r="R1475" s="2" t="inlineStr"/>
    </row>
    <row r="1476" ht="15" customHeight="1">
      <c r="A1476" t="inlineStr">
        <is>
          <t>A 36367-2022</t>
        </is>
      </c>
      <c r="B1476" s="1" t="n">
        <v>44804</v>
      </c>
      <c r="C1476" s="1" t="n">
        <v>45670</v>
      </c>
      <c r="D1476" t="inlineStr">
        <is>
          <t>VÄSTERNORRLANDS LÄN</t>
        </is>
      </c>
      <c r="E1476" t="inlineStr">
        <is>
          <t>SOLLEFTEÅ</t>
        </is>
      </c>
      <c r="F1476" t="inlineStr">
        <is>
          <t>SCA</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36688-2022</t>
        </is>
      </c>
      <c r="B1477" s="1" t="n">
        <v>44804</v>
      </c>
      <c r="C1477" s="1" t="n">
        <v>45670</v>
      </c>
      <c r="D1477" t="inlineStr">
        <is>
          <t>VÄSTERNORRLANDS LÄN</t>
        </is>
      </c>
      <c r="E1477" t="inlineStr">
        <is>
          <t>SOLLEFTEÅ</t>
        </is>
      </c>
      <c r="F1477" t="inlineStr">
        <is>
          <t>SCA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36681-2022</t>
        </is>
      </c>
      <c r="B1478" s="1" t="n">
        <v>44804</v>
      </c>
      <c r="C1478" s="1" t="n">
        <v>45670</v>
      </c>
      <c r="D1478" t="inlineStr">
        <is>
          <t>VÄSTERNORRLANDS LÄN</t>
        </is>
      </c>
      <c r="E1478" t="inlineStr">
        <is>
          <t>SOLLEFTEÅ</t>
        </is>
      </c>
      <c r="F1478" t="inlineStr">
        <is>
          <t>SCA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36926-2022</t>
        </is>
      </c>
      <c r="B1479" s="1" t="n">
        <v>44806</v>
      </c>
      <c r="C1479" s="1" t="n">
        <v>45670</v>
      </c>
      <c r="D1479" t="inlineStr">
        <is>
          <t>VÄSTERNORRLANDS LÄN</t>
        </is>
      </c>
      <c r="E1479" t="inlineStr">
        <is>
          <t>SOLLEFTEÅ</t>
        </is>
      </c>
      <c r="F1479" t="inlineStr">
        <is>
          <t>SCA</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37242-2022</t>
        </is>
      </c>
      <c r="B1480" s="1" t="n">
        <v>44807</v>
      </c>
      <c r="C1480" s="1" t="n">
        <v>45670</v>
      </c>
      <c r="D1480" t="inlineStr">
        <is>
          <t>VÄSTERNORRLANDS LÄN</t>
        </is>
      </c>
      <c r="E1480" t="inlineStr">
        <is>
          <t>SOLLEFTEÅ</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37589-2022</t>
        </is>
      </c>
      <c r="B1481" s="1" t="n">
        <v>44810</v>
      </c>
      <c r="C1481" s="1" t="n">
        <v>45670</v>
      </c>
      <c r="D1481" t="inlineStr">
        <is>
          <t>VÄSTERNORRLANDS LÄN</t>
        </is>
      </c>
      <c r="E1481" t="inlineStr">
        <is>
          <t>SOLLEFTEÅ</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37596-2022</t>
        </is>
      </c>
      <c r="B1482" s="1" t="n">
        <v>44810</v>
      </c>
      <c r="C1482" s="1" t="n">
        <v>45670</v>
      </c>
      <c r="D1482" t="inlineStr">
        <is>
          <t>VÄSTERNORRLANDS LÄN</t>
        </is>
      </c>
      <c r="E1482" t="inlineStr">
        <is>
          <t>SOLLEFTEÅ</t>
        </is>
      </c>
      <c r="F1482" t="inlineStr">
        <is>
          <t>Holmen skog AB</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37597-2022</t>
        </is>
      </c>
      <c r="B1483" s="1" t="n">
        <v>44810</v>
      </c>
      <c r="C1483" s="1" t="n">
        <v>45670</v>
      </c>
      <c r="D1483" t="inlineStr">
        <is>
          <t>VÄSTERNORRLANDS LÄN</t>
        </is>
      </c>
      <c r="E1483" t="inlineStr">
        <is>
          <t>SOLLEFTEÅ</t>
        </is>
      </c>
      <c r="F1483" t="inlineStr">
        <is>
          <t>Holmen skog AB</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37835-2022</t>
        </is>
      </c>
      <c r="B1484" s="1" t="n">
        <v>44810</v>
      </c>
      <c r="C1484" s="1" t="n">
        <v>45670</v>
      </c>
      <c r="D1484" t="inlineStr">
        <is>
          <t>VÄSTERNORRLANDS LÄN</t>
        </is>
      </c>
      <c r="E1484" t="inlineStr">
        <is>
          <t>SOLLEFTEÅ</t>
        </is>
      </c>
      <c r="F1484" t="inlineStr">
        <is>
          <t>SCA</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37826-2022</t>
        </is>
      </c>
      <c r="B1485" s="1" t="n">
        <v>44811</v>
      </c>
      <c r="C1485" s="1" t="n">
        <v>45670</v>
      </c>
      <c r="D1485" t="inlineStr">
        <is>
          <t>VÄSTERNORRLANDS LÄN</t>
        </is>
      </c>
      <c r="E1485" t="inlineStr">
        <is>
          <t>SOLLEFTEÅ</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37840-2022</t>
        </is>
      </c>
      <c r="B1486" s="1" t="n">
        <v>44810</v>
      </c>
      <c r="C1486" s="1" t="n">
        <v>45670</v>
      </c>
      <c r="D1486" t="inlineStr">
        <is>
          <t>VÄSTERNORRLANDS LÄN</t>
        </is>
      </c>
      <c r="E1486" t="inlineStr">
        <is>
          <t>SOLLEFTEÅ</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38096-2022</t>
        </is>
      </c>
      <c r="B1487" s="1" t="n">
        <v>44812</v>
      </c>
      <c r="C1487" s="1" t="n">
        <v>45670</v>
      </c>
      <c r="D1487" t="inlineStr">
        <is>
          <t>VÄSTERNORRLANDS LÄN</t>
        </is>
      </c>
      <c r="E1487" t="inlineStr">
        <is>
          <t>SOLLEFTEÅ</t>
        </is>
      </c>
      <c r="F1487" t="inlineStr">
        <is>
          <t>SCA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38095-2022</t>
        </is>
      </c>
      <c r="B1488" s="1" t="n">
        <v>44811</v>
      </c>
      <c r="C1488" s="1" t="n">
        <v>45670</v>
      </c>
      <c r="D1488" t="inlineStr">
        <is>
          <t>VÄSTERNORRLANDS LÄN</t>
        </is>
      </c>
      <c r="E1488" t="inlineStr">
        <is>
          <t>SOLLEFTEÅ</t>
        </is>
      </c>
      <c r="F1488" t="inlineStr">
        <is>
          <t>SCA</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37977-2022</t>
        </is>
      </c>
      <c r="B1489" s="1" t="n">
        <v>44811</v>
      </c>
      <c r="C1489" s="1" t="n">
        <v>45670</v>
      </c>
      <c r="D1489" t="inlineStr">
        <is>
          <t>VÄSTERNORRLANDS LÄN</t>
        </is>
      </c>
      <c r="E1489" t="inlineStr">
        <is>
          <t>SOLLEFTEÅ</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38102-2022</t>
        </is>
      </c>
      <c r="B1490" s="1" t="n">
        <v>44811</v>
      </c>
      <c r="C1490" s="1" t="n">
        <v>45670</v>
      </c>
      <c r="D1490" t="inlineStr">
        <is>
          <t>VÄSTERNORRLANDS LÄN</t>
        </is>
      </c>
      <c r="E1490" t="inlineStr">
        <is>
          <t>SOLLEFTEÅ</t>
        </is>
      </c>
      <c r="F1490" t="inlineStr">
        <is>
          <t>SCA</t>
        </is>
      </c>
      <c r="G1490" t="n">
        <v>4.9</v>
      </c>
      <c r="H1490" t="n">
        <v>0</v>
      </c>
      <c r="I1490" t="n">
        <v>0</v>
      </c>
      <c r="J1490" t="n">
        <v>0</v>
      </c>
      <c r="K1490" t="n">
        <v>0</v>
      </c>
      <c r="L1490" t="n">
        <v>0</v>
      </c>
      <c r="M1490" t="n">
        <v>0</v>
      </c>
      <c r="N1490" t="n">
        <v>0</v>
      </c>
      <c r="O1490" t="n">
        <v>0</v>
      </c>
      <c r="P1490" t="n">
        <v>0</v>
      </c>
      <c r="Q1490" t="n">
        <v>0</v>
      </c>
      <c r="R1490" s="2" t="inlineStr"/>
      <c r="U1490">
        <f>HYPERLINK("https://klasma.github.io/Logging_2283/knärot/A 38102-2022 karta knärot.png", "A 38102-2022")</f>
        <v/>
      </c>
      <c r="V1490">
        <f>HYPERLINK("https://klasma.github.io/Logging_2283/klagomål/A 38102-2022 FSC-klagomål.docx", "A 38102-2022")</f>
        <v/>
      </c>
      <c r="W1490">
        <f>HYPERLINK("https://klasma.github.io/Logging_2283/klagomålsmail/A 38102-2022 FSC-klagomål mail.docx", "A 38102-2022")</f>
        <v/>
      </c>
      <c r="X1490">
        <f>HYPERLINK("https://klasma.github.io/Logging_2283/tillsyn/A 38102-2022 tillsynsbegäran.docx", "A 38102-2022")</f>
        <v/>
      </c>
      <c r="Y1490">
        <f>HYPERLINK("https://klasma.github.io/Logging_2283/tillsynsmail/A 38102-2022 tillsynsbegäran mail.docx", "A 38102-2022")</f>
        <v/>
      </c>
    </row>
    <row r="1491" ht="15" customHeight="1">
      <c r="A1491" t="inlineStr">
        <is>
          <t>A 38230-2022</t>
        </is>
      </c>
      <c r="B1491" s="1" t="n">
        <v>44812</v>
      </c>
      <c r="C1491" s="1" t="n">
        <v>45670</v>
      </c>
      <c r="D1491" t="inlineStr">
        <is>
          <t>VÄSTERNORRLANDS LÄN</t>
        </is>
      </c>
      <c r="E1491" t="inlineStr">
        <is>
          <t>SOLLEFTEÅ</t>
        </is>
      </c>
      <c r="F1491" t="inlineStr">
        <is>
          <t>Kommuner</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38430-2022</t>
        </is>
      </c>
      <c r="B1492" s="1" t="n">
        <v>44812</v>
      </c>
      <c r="C1492" s="1" t="n">
        <v>45670</v>
      </c>
      <c r="D1492" t="inlineStr">
        <is>
          <t>VÄSTERNORRLANDS LÄN</t>
        </is>
      </c>
      <c r="E1492" t="inlineStr">
        <is>
          <t>SOLLEFTEÅ</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38433-2022</t>
        </is>
      </c>
      <c r="B1493" s="1" t="n">
        <v>44812</v>
      </c>
      <c r="C1493" s="1" t="n">
        <v>45670</v>
      </c>
      <c r="D1493" t="inlineStr">
        <is>
          <t>VÄSTERNORRLANDS LÄN</t>
        </is>
      </c>
      <c r="E1493" t="inlineStr">
        <is>
          <t>SOLLEFTEÅ</t>
        </is>
      </c>
      <c r="F1493" t="inlineStr">
        <is>
          <t>SCA</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38312-2022</t>
        </is>
      </c>
      <c r="B1494" s="1" t="n">
        <v>44812</v>
      </c>
      <c r="C1494" s="1" t="n">
        <v>45670</v>
      </c>
      <c r="D1494" t="inlineStr">
        <is>
          <t>VÄSTERNORRLANDS LÄN</t>
        </is>
      </c>
      <c r="E1494" t="inlineStr">
        <is>
          <t>SOLLEFTEÅ</t>
        </is>
      </c>
      <c r="F1494" t="inlineStr">
        <is>
          <t>Holmen skog AB</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38428-2022</t>
        </is>
      </c>
      <c r="B1495" s="1" t="n">
        <v>44812</v>
      </c>
      <c r="C1495" s="1" t="n">
        <v>45670</v>
      </c>
      <c r="D1495" t="inlineStr">
        <is>
          <t>VÄSTERNORRLANDS LÄN</t>
        </is>
      </c>
      <c r="E1495" t="inlineStr">
        <is>
          <t>SOLLEFTEÅ</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38432-2022</t>
        </is>
      </c>
      <c r="B1496" s="1" t="n">
        <v>44812</v>
      </c>
      <c r="C1496" s="1" t="n">
        <v>45670</v>
      </c>
      <c r="D1496" t="inlineStr">
        <is>
          <t>VÄSTERNORRLANDS LÄN</t>
        </is>
      </c>
      <c r="E1496" t="inlineStr">
        <is>
          <t>SOLLEFTEÅ</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38663-2022</t>
        </is>
      </c>
      <c r="B1497" s="1" t="n">
        <v>44814</v>
      </c>
      <c r="C1497" s="1" t="n">
        <v>45670</v>
      </c>
      <c r="D1497" t="inlineStr">
        <is>
          <t>VÄSTERNORRLANDS LÄN</t>
        </is>
      </c>
      <c r="E1497" t="inlineStr">
        <is>
          <t>SOLLEFTEÅ</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39006-2022</t>
        </is>
      </c>
      <c r="B1498" s="1" t="n">
        <v>44817</v>
      </c>
      <c r="C1498" s="1" t="n">
        <v>45670</v>
      </c>
      <c r="D1498" t="inlineStr">
        <is>
          <t>VÄSTERNORRLANDS LÄN</t>
        </is>
      </c>
      <c r="E1498" t="inlineStr">
        <is>
          <t>SOLLEFTEÅ</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39012-2022</t>
        </is>
      </c>
      <c r="B1499" s="1" t="n">
        <v>44816</v>
      </c>
      <c r="C1499" s="1" t="n">
        <v>45670</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39384-2022</t>
        </is>
      </c>
      <c r="B1500" s="1" t="n">
        <v>44818</v>
      </c>
      <c r="C1500" s="1" t="n">
        <v>45670</v>
      </c>
      <c r="D1500" t="inlineStr">
        <is>
          <t>VÄSTERNORRLANDS LÄN</t>
        </is>
      </c>
      <c r="E1500" t="inlineStr">
        <is>
          <t>SOLLEFTEÅ</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39372-2022</t>
        </is>
      </c>
      <c r="B1501" s="1" t="n">
        <v>44818</v>
      </c>
      <c r="C1501" s="1" t="n">
        <v>45670</v>
      </c>
      <c r="D1501" t="inlineStr">
        <is>
          <t>VÄSTERNORRLANDS LÄN</t>
        </is>
      </c>
      <c r="E1501" t="inlineStr">
        <is>
          <t>SOLLEFTEÅ</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39371-2022</t>
        </is>
      </c>
      <c r="B1502" s="1" t="n">
        <v>44818</v>
      </c>
      <c r="C1502" s="1" t="n">
        <v>45670</v>
      </c>
      <c r="D1502" t="inlineStr">
        <is>
          <t>VÄSTERNORRLANDS LÄN</t>
        </is>
      </c>
      <c r="E1502" t="inlineStr">
        <is>
          <t>SOLLEFTEÅ</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39688-2022</t>
        </is>
      </c>
      <c r="B1503" s="1" t="n">
        <v>44818</v>
      </c>
      <c r="C1503" s="1" t="n">
        <v>45670</v>
      </c>
      <c r="D1503" t="inlineStr">
        <is>
          <t>VÄSTERNORRLANDS LÄN</t>
        </is>
      </c>
      <c r="E1503" t="inlineStr">
        <is>
          <t>SOLLEFTEÅ</t>
        </is>
      </c>
      <c r="F1503" t="inlineStr">
        <is>
          <t>SCA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39699-2022</t>
        </is>
      </c>
      <c r="B1504" s="1" t="n">
        <v>44819</v>
      </c>
      <c r="C1504" s="1" t="n">
        <v>45670</v>
      </c>
      <c r="D1504" t="inlineStr">
        <is>
          <t>VÄSTERNORRLANDS LÄN</t>
        </is>
      </c>
      <c r="E1504" t="inlineStr">
        <is>
          <t>SOLLEFTEÅ</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39944-2022</t>
        </is>
      </c>
      <c r="B1505" s="1" t="n">
        <v>44819</v>
      </c>
      <c r="C1505" s="1" t="n">
        <v>45670</v>
      </c>
      <c r="D1505" t="inlineStr">
        <is>
          <t>VÄSTERNORRLANDS LÄN</t>
        </is>
      </c>
      <c r="E1505" t="inlineStr">
        <is>
          <t>SOLLEFTEÅ</t>
        </is>
      </c>
      <c r="F1505" t="inlineStr">
        <is>
          <t>SCA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39942-2022</t>
        </is>
      </c>
      <c r="B1506" s="1" t="n">
        <v>44820</v>
      </c>
      <c r="C1506" s="1" t="n">
        <v>45670</v>
      </c>
      <c r="D1506" t="inlineStr">
        <is>
          <t>VÄSTERNORRLANDS LÄN</t>
        </is>
      </c>
      <c r="E1506" t="inlineStr">
        <is>
          <t>SOLLEFTEÅ</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39947-2022</t>
        </is>
      </c>
      <c r="B1507" s="1" t="n">
        <v>44819</v>
      </c>
      <c r="C1507" s="1" t="n">
        <v>45670</v>
      </c>
      <c r="D1507" t="inlineStr">
        <is>
          <t>VÄSTERNORRLANDS LÄN</t>
        </is>
      </c>
      <c r="E1507" t="inlineStr">
        <is>
          <t>SOLLEFTEÅ</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39943-2022</t>
        </is>
      </c>
      <c r="B1508" s="1" t="n">
        <v>44820</v>
      </c>
      <c r="C1508" s="1" t="n">
        <v>45670</v>
      </c>
      <c r="D1508" t="inlineStr">
        <is>
          <t>VÄSTERNORRLANDS LÄN</t>
        </is>
      </c>
      <c r="E1508" t="inlineStr">
        <is>
          <t>SOLLEFTEÅ</t>
        </is>
      </c>
      <c r="F1508" t="inlineStr">
        <is>
          <t>SCA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39951-2022</t>
        </is>
      </c>
      <c r="B1509" s="1" t="n">
        <v>44820</v>
      </c>
      <c r="C1509" s="1" t="n">
        <v>45670</v>
      </c>
      <c r="D1509" t="inlineStr">
        <is>
          <t>VÄSTERNORRLANDS LÄN</t>
        </is>
      </c>
      <c r="E1509" t="inlineStr">
        <is>
          <t>SOLLEFTEÅ</t>
        </is>
      </c>
      <c r="F1509" t="inlineStr">
        <is>
          <t>SCA</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39934-2022</t>
        </is>
      </c>
      <c r="B1510" s="1" t="n">
        <v>44820</v>
      </c>
      <c r="C1510" s="1" t="n">
        <v>45670</v>
      </c>
      <c r="D1510" t="inlineStr">
        <is>
          <t>VÄSTERNORRLANDS LÄN</t>
        </is>
      </c>
      <c r="E1510" t="inlineStr">
        <is>
          <t>SOLLEFTEÅ</t>
        </is>
      </c>
      <c r="F1510" t="inlineStr">
        <is>
          <t>SCA</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39946-2022</t>
        </is>
      </c>
      <c r="B1511" s="1" t="n">
        <v>44819</v>
      </c>
      <c r="C1511" s="1" t="n">
        <v>45670</v>
      </c>
      <c r="D1511" t="inlineStr">
        <is>
          <t>VÄSTERNORRLANDS LÄN</t>
        </is>
      </c>
      <c r="E1511" t="inlineStr">
        <is>
          <t>SOLLEFTEÅ</t>
        </is>
      </c>
      <c r="F1511" t="inlineStr">
        <is>
          <t>SCA</t>
        </is>
      </c>
      <c r="G1511" t="n">
        <v>8.9</v>
      </c>
      <c r="H1511" t="n">
        <v>0</v>
      </c>
      <c r="I1511" t="n">
        <v>0</v>
      </c>
      <c r="J1511" t="n">
        <v>0</v>
      </c>
      <c r="K1511" t="n">
        <v>0</v>
      </c>
      <c r="L1511" t="n">
        <v>0</v>
      </c>
      <c r="M1511" t="n">
        <v>0</v>
      </c>
      <c r="N1511" t="n">
        <v>0</v>
      </c>
      <c r="O1511" t="n">
        <v>0</v>
      </c>
      <c r="P1511" t="n">
        <v>0</v>
      </c>
      <c r="Q1511" t="n">
        <v>0</v>
      </c>
      <c r="R1511" s="2" t="inlineStr"/>
    </row>
    <row r="1512" ht="15" customHeight="1">
      <c r="A1512" t="inlineStr">
        <is>
          <t>A 40608-2022</t>
        </is>
      </c>
      <c r="B1512" s="1" t="n">
        <v>44824</v>
      </c>
      <c r="C1512" s="1" t="n">
        <v>45670</v>
      </c>
      <c r="D1512" t="inlineStr">
        <is>
          <t>VÄSTERNORRLANDS LÄN</t>
        </is>
      </c>
      <c r="E1512" t="inlineStr">
        <is>
          <t>SOLLEFTEÅ</t>
        </is>
      </c>
      <c r="F1512" t="inlineStr">
        <is>
          <t>SCA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40609-2022</t>
        </is>
      </c>
      <c r="B1513" s="1" t="n">
        <v>44824</v>
      </c>
      <c r="C1513" s="1" t="n">
        <v>45670</v>
      </c>
      <c r="D1513" t="inlineStr">
        <is>
          <t>VÄSTERNORRLANDS LÄN</t>
        </is>
      </c>
      <c r="E1513" t="inlineStr">
        <is>
          <t>SOLLEFTEÅ</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40610-2022</t>
        </is>
      </c>
      <c r="B1514" s="1" t="n">
        <v>44824</v>
      </c>
      <c r="C1514" s="1" t="n">
        <v>45670</v>
      </c>
      <c r="D1514" t="inlineStr">
        <is>
          <t>VÄSTERNORRLANDS LÄN</t>
        </is>
      </c>
      <c r="E1514" t="inlineStr">
        <is>
          <t>SOLLEFTEÅ</t>
        </is>
      </c>
      <c r="F1514" t="inlineStr">
        <is>
          <t>SCA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40599-2022</t>
        </is>
      </c>
      <c r="B1515" s="1" t="n">
        <v>44824</v>
      </c>
      <c r="C1515" s="1" t="n">
        <v>45670</v>
      </c>
      <c r="D1515" t="inlineStr">
        <is>
          <t>VÄSTERNORRLANDS LÄN</t>
        </is>
      </c>
      <c r="E1515" t="inlineStr">
        <is>
          <t>SOLLEFTEÅ</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40611-2022</t>
        </is>
      </c>
      <c r="B1516" s="1" t="n">
        <v>44824</v>
      </c>
      <c r="C1516" s="1" t="n">
        <v>45670</v>
      </c>
      <c r="D1516" t="inlineStr">
        <is>
          <t>VÄSTERNORRLANDS LÄN</t>
        </is>
      </c>
      <c r="E1516" t="inlineStr">
        <is>
          <t>SOLLEFTEÅ</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40832-2022</t>
        </is>
      </c>
      <c r="B1517" s="1" t="n">
        <v>44825</v>
      </c>
      <c r="C1517" s="1" t="n">
        <v>45670</v>
      </c>
      <c r="D1517" t="inlineStr">
        <is>
          <t>VÄSTERNORRLANDS LÄN</t>
        </is>
      </c>
      <c r="E1517" t="inlineStr">
        <is>
          <t>SOLLEFTEÅ</t>
        </is>
      </c>
      <c r="F1517" t="inlineStr">
        <is>
          <t>SCA</t>
        </is>
      </c>
      <c r="G1517" t="n">
        <v>10.1</v>
      </c>
      <c r="H1517" t="n">
        <v>0</v>
      </c>
      <c r="I1517" t="n">
        <v>0</v>
      </c>
      <c r="J1517" t="n">
        <v>0</v>
      </c>
      <c r="K1517" t="n">
        <v>0</v>
      </c>
      <c r="L1517" t="n">
        <v>0</v>
      </c>
      <c r="M1517" t="n">
        <v>0</v>
      </c>
      <c r="N1517" t="n">
        <v>0</v>
      </c>
      <c r="O1517" t="n">
        <v>0</v>
      </c>
      <c r="P1517" t="n">
        <v>0</v>
      </c>
      <c r="Q1517" t="n">
        <v>0</v>
      </c>
      <c r="R1517" s="2" t="inlineStr"/>
    </row>
    <row r="1518" ht="15" customHeight="1">
      <c r="A1518" t="inlineStr">
        <is>
          <t>A 41187-2022</t>
        </is>
      </c>
      <c r="B1518" s="1" t="n">
        <v>44826</v>
      </c>
      <c r="C1518" s="1" t="n">
        <v>45670</v>
      </c>
      <c r="D1518" t="inlineStr">
        <is>
          <t>VÄSTERNORRLANDS LÄN</t>
        </is>
      </c>
      <c r="E1518" t="inlineStr">
        <is>
          <t>SOLLEFTEÅ</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41192-2022</t>
        </is>
      </c>
      <c r="B1519" s="1" t="n">
        <v>44826</v>
      </c>
      <c r="C1519" s="1" t="n">
        <v>45670</v>
      </c>
      <c r="D1519" t="inlineStr">
        <is>
          <t>VÄSTERNORRLANDS LÄN</t>
        </is>
      </c>
      <c r="E1519" t="inlineStr">
        <is>
          <t>SOLLEFTEÅ</t>
        </is>
      </c>
      <c r="F1519" t="inlineStr">
        <is>
          <t>SCA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41168-2022</t>
        </is>
      </c>
      <c r="B1520" s="1" t="n">
        <v>44826</v>
      </c>
      <c r="C1520" s="1" t="n">
        <v>45670</v>
      </c>
      <c r="D1520" t="inlineStr">
        <is>
          <t>VÄSTERNORRLANDS LÄN</t>
        </is>
      </c>
      <c r="E1520" t="inlineStr">
        <is>
          <t>SOLLEFTEÅ</t>
        </is>
      </c>
      <c r="F1520" t="inlineStr">
        <is>
          <t>SCA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41172-2022</t>
        </is>
      </c>
      <c r="B1521" s="1" t="n">
        <v>44826</v>
      </c>
      <c r="C1521" s="1" t="n">
        <v>45670</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41176-2022</t>
        </is>
      </c>
      <c r="B1522" s="1" t="n">
        <v>44826</v>
      </c>
      <c r="C1522" s="1" t="n">
        <v>45670</v>
      </c>
      <c r="D1522" t="inlineStr">
        <is>
          <t>VÄSTERNORRLANDS LÄN</t>
        </is>
      </c>
      <c r="E1522" t="inlineStr">
        <is>
          <t>SOLLEFTEÅ</t>
        </is>
      </c>
      <c r="F1522" t="inlineStr">
        <is>
          <t>SCA</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41189-2022</t>
        </is>
      </c>
      <c r="B1523" s="1" t="n">
        <v>44826</v>
      </c>
      <c r="C1523" s="1" t="n">
        <v>45670</v>
      </c>
      <c r="D1523" t="inlineStr">
        <is>
          <t>VÄSTERNORRLANDS LÄN</t>
        </is>
      </c>
      <c r="E1523" t="inlineStr">
        <is>
          <t>SOLLEFTEÅ</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41196-2022</t>
        </is>
      </c>
      <c r="B1524" s="1" t="n">
        <v>44826</v>
      </c>
      <c r="C1524" s="1" t="n">
        <v>45670</v>
      </c>
      <c r="D1524" t="inlineStr">
        <is>
          <t>VÄSTERNORRLANDS LÄN</t>
        </is>
      </c>
      <c r="E1524" t="inlineStr">
        <is>
          <t>SOLLEFTEÅ</t>
        </is>
      </c>
      <c r="F1524" t="inlineStr">
        <is>
          <t>SCA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41195-2022</t>
        </is>
      </c>
      <c r="B1525" s="1" t="n">
        <v>44826</v>
      </c>
      <c r="C1525" s="1" t="n">
        <v>45670</v>
      </c>
      <c r="D1525" t="inlineStr">
        <is>
          <t>VÄSTERNORRLANDS LÄN</t>
        </is>
      </c>
      <c r="E1525" t="inlineStr">
        <is>
          <t>SOLLEFTEÅ</t>
        </is>
      </c>
      <c r="F1525" t="inlineStr">
        <is>
          <t>SCA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41456-2022</t>
        </is>
      </c>
      <c r="B1526" s="1" t="n">
        <v>44826</v>
      </c>
      <c r="C1526" s="1" t="n">
        <v>45670</v>
      </c>
      <c r="D1526" t="inlineStr">
        <is>
          <t>VÄSTERNORRLANDS LÄN</t>
        </is>
      </c>
      <c r="E1526" t="inlineStr">
        <is>
          <t>SOLLEFTEÅ</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41463-2022</t>
        </is>
      </c>
      <c r="B1527" s="1" t="n">
        <v>44827</v>
      </c>
      <c r="C1527" s="1" t="n">
        <v>45670</v>
      </c>
      <c r="D1527" t="inlineStr">
        <is>
          <t>VÄSTERNORRLANDS LÄN</t>
        </is>
      </c>
      <c r="E1527" t="inlineStr">
        <is>
          <t>SOLLEFTEÅ</t>
        </is>
      </c>
      <c r="F1527" t="inlineStr">
        <is>
          <t>SCA</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41475-2022</t>
        </is>
      </c>
      <c r="B1528" s="1" t="n">
        <v>44826</v>
      </c>
      <c r="C1528" s="1" t="n">
        <v>45670</v>
      </c>
      <c r="D1528" t="inlineStr">
        <is>
          <t>VÄSTERNORRLANDS LÄN</t>
        </is>
      </c>
      <c r="E1528" t="inlineStr">
        <is>
          <t>SOLLEFTEÅ</t>
        </is>
      </c>
      <c r="F1528" t="inlineStr">
        <is>
          <t>SCA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41481-2022</t>
        </is>
      </c>
      <c r="B1529" s="1" t="n">
        <v>44827</v>
      </c>
      <c r="C1529" s="1" t="n">
        <v>45670</v>
      </c>
      <c r="D1529" t="inlineStr">
        <is>
          <t>VÄSTERNORRLANDS LÄN</t>
        </is>
      </c>
      <c r="E1529" t="inlineStr">
        <is>
          <t>SOLLEFTEÅ</t>
        </is>
      </c>
      <c r="F1529" t="inlineStr">
        <is>
          <t>SCA</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41478-2022</t>
        </is>
      </c>
      <c r="B1530" s="1" t="n">
        <v>44827</v>
      </c>
      <c r="C1530" s="1" t="n">
        <v>45670</v>
      </c>
      <c r="D1530" t="inlineStr">
        <is>
          <t>VÄSTERNORRLANDS LÄN</t>
        </is>
      </c>
      <c r="E1530" t="inlineStr">
        <is>
          <t>SOLLEFTEÅ</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41486-2022</t>
        </is>
      </c>
      <c r="B1531" s="1" t="n">
        <v>44827</v>
      </c>
      <c r="C1531" s="1" t="n">
        <v>45670</v>
      </c>
      <c r="D1531" t="inlineStr">
        <is>
          <t>VÄSTERNORRLANDS LÄN</t>
        </is>
      </c>
      <c r="E1531" t="inlineStr">
        <is>
          <t>SOLLEFTEÅ</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41455-2022</t>
        </is>
      </c>
      <c r="B1532" s="1" t="n">
        <v>44826</v>
      </c>
      <c r="C1532" s="1" t="n">
        <v>45670</v>
      </c>
      <c r="D1532" t="inlineStr">
        <is>
          <t>VÄSTERNORRLANDS LÄN</t>
        </is>
      </c>
      <c r="E1532" t="inlineStr">
        <is>
          <t>SOLLEFTEÅ</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41474-2022</t>
        </is>
      </c>
      <c r="B1533" s="1" t="n">
        <v>44827</v>
      </c>
      <c r="C1533" s="1" t="n">
        <v>45670</v>
      </c>
      <c r="D1533" t="inlineStr">
        <is>
          <t>VÄSTERNORRLANDS LÄN</t>
        </is>
      </c>
      <c r="E1533" t="inlineStr">
        <is>
          <t>SOLLEFTEÅ</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41480-2022</t>
        </is>
      </c>
      <c r="B1534" s="1" t="n">
        <v>44827</v>
      </c>
      <c r="C1534" s="1" t="n">
        <v>45670</v>
      </c>
      <c r="D1534" t="inlineStr">
        <is>
          <t>VÄSTERNORRLANDS LÄN</t>
        </is>
      </c>
      <c r="E1534" t="inlineStr">
        <is>
          <t>SOLLEFTEÅ</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41488-2022</t>
        </is>
      </c>
      <c r="B1535" s="1" t="n">
        <v>44826</v>
      </c>
      <c r="C1535" s="1" t="n">
        <v>45670</v>
      </c>
      <c r="D1535" t="inlineStr">
        <is>
          <t>VÄSTERNORRLANDS LÄN</t>
        </is>
      </c>
      <c r="E1535" t="inlineStr">
        <is>
          <t>SOLLEFTEÅ</t>
        </is>
      </c>
      <c r="F1535" t="inlineStr">
        <is>
          <t>SCA</t>
        </is>
      </c>
      <c r="G1535" t="n">
        <v>14.7</v>
      </c>
      <c r="H1535" t="n">
        <v>0</v>
      </c>
      <c r="I1535" t="n">
        <v>0</v>
      </c>
      <c r="J1535" t="n">
        <v>0</v>
      </c>
      <c r="K1535" t="n">
        <v>0</v>
      </c>
      <c r="L1535" t="n">
        <v>0</v>
      </c>
      <c r="M1535" t="n">
        <v>0</v>
      </c>
      <c r="N1535" t="n">
        <v>0</v>
      </c>
      <c r="O1535" t="n">
        <v>0</v>
      </c>
      <c r="P1535" t="n">
        <v>0</v>
      </c>
      <c r="Q1535" t="n">
        <v>0</v>
      </c>
      <c r="R1535" s="2" t="inlineStr"/>
    </row>
    <row r="1536" ht="15" customHeight="1">
      <c r="A1536" t="inlineStr">
        <is>
          <t>A 41487-2022</t>
        </is>
      </c>
      <c r="B1536" s="1" t="n">
        <v>44827</v>
      </c>
      <c r="C1536" s="1" t="n">
        <v>45670</v>
      </c>
      <c r="D1536" t="inlineStr">
        <is>
          <t>VÄSTERNORRLANDS LÄN</t>
        </is>
      </c>
      <c r="E1536" t="inlineStr">
        <is>
          <t>SOLLEFTEÅ</t>
        </is>
      </c>
      <c r="F1536" t="inlineStr">
        <is>
          <t>SCA</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41479-2022</t>
        </is>
      </c>
      <c r="B1537" s="1" t="n">
        <v>44827</v>
      </c>
      <c r="C1537" s="1" t="n">
        <v>45670</v>
      </c>
      <c r="D1537" t="inlineStr">
        <is>
          <t>VÄSTERNORRLANDS LÄN</t>
        </is>
      </c>
      <c r="E1537" t="inlineStr">
        <is>
          <t>SOLLEFTEÅ</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41813-2022</t>
        </is>
      </c>
      <c r="B1538" s="1" t="n">
        <v>44828</v>
      </c>
      <c r="C1538" s="1" t="n">
        <v>45670</v>
      </c>
      <c r="D1538" t="inlineStr">
        <is>
          <t>VÄSTERNORRLANDS LÄN</t>
        </is>
      </c>
      <c r="E1538" t="inlineStr">
        <is>
          <t>SOLLEFTEÅ</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42272-2022</t>
        </is>
      </c>
      <c r="B1539" s="1" t="n">
        <v>44831</v>
      </c>
      <c r="C1539" s="1" t="n">
        <v>45670</v>
      </c>
      <c r="D1539" t="inlineStr">
        <is>
          <t>VÄSTERNORRLANDS LÄN</t>
        </is>
      </c>
      <c r="E1539" t="inlineStr">
        <is>
          <t>SOLLEFTEÅ</t>
        </is>
      </c>
      <c r="F1539" t="inlineStr">
        <is>
          <t>SCA</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42299-2022</t>
        </is>
      </c>
      <c r="B1540" s="1" t="n">
        <v>44830</v>
      </c>
      <c r="C1540" s="1" t="n">
        <v>45670</v>
      </c>
      <c r="D1540" t="inlineStr">
        <is>
          <t>VÄSTERNORRLANDS LÄN</t>
        </is>
      </c>
      <c r="E1540" t="inlineStr">
        <is>
          <t>SOLLEFTEÅ</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42303-2022</t>
        </is>
      </c>
      <c r="B1541" s="1" t="n">
        <v>44831</v>
      </c>
      <c r="C1541" s="1" t="n">
        <v>45670</v>
      </c>
      <c r="D1541" t="inlineStr">
        <is>
          <t>VÄSTERNORRLANDS LÄN</t>
        </is>
      </c>
      <c r="E1541" t="inlineStr">
        <is>
          <t>SOLLEFTEÅ</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42275-2022</t>
        </is>
      </c>
      <c r="B1542" s="1" t="n">
        <v>44830</v>
      </c>
      <c r="C1542" s="1" t="n">
        <v>45670</v>
      </c>
      <c r="D1542" t="inlineStr">
        <is>
          <t>VÄSTERNORRLANDS LÄN</t>
        </is>
      </c>
      <c r="E1542" t="inlineStr">
        <is>
          <t>SOLLEFTEÅ</t>
        </is>
      </c>
      <c r="F1542" t="inlineStr">
        <is>
          <t>SCA</t>
        </is>
      </c>
      <c r="G1542" t="n">
        <v>26.9</v>
      </c>
      <c r="H1542" t="n">
        <v>0</v>
      </c>
      <c r="I1542" t="n">
        <v>0</v>
      </c>
      <c r="J1542" t="n">
        <v>0</v>
      </c>
      <c r="K1542" t="n">
        <v>0</v>
      </c>
      <c r="L1542" t="n">
        <v>0</v>
      </c>
      <c r="M1542" t="n">
        <v>0</v>
      </c>
      <c r="N1542" t="n">
        <v>0</v>
      </c>
      <c r="O1542" t="n">
        <v>0</v>
      </c>
      <c r="P1542" t="n">
        <v>0</v>
      </c>
      <c r="Q1542" t="n">
        <v>0</v>
      </c>
      <c r="R1542" s="2" t="inlineStr"/>
    </row>
    <row r="1543" ht="15" customHeight="1">
      <c r="A1543" t="inlineStr">
        <is>
          <t>A 42300-2022</t>
        </is>
      </c>
      <c r="B1543" s="1" t="n">
        <v>44831</v>
      </c>
      <c r="C1543" s="1" t="n">
        <v>45670</v>
      </c>
      <c r="D1543" t="inlineStr">
        <is>
          <t>VÄSTERNORRLANDS LÄN</t>
        </is>
      </c>
      <c r="E1543" t="inlineStr">
        <is>
          <t>SOLLEFTEÅ</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42302-2022</t>
        </is>
      </c>
      <c r="B1544" s="1" t="n">
        <v>44830</v>
      </c>
      <c r="C1544" s="1" t="n">
        <v>45670</v>
      </c>
      <c r="D1544" t="inlineStr">
        <is>
          <t>VÄSTERNORRLANDS LÄN</t>
        </is>
      </c>
      <c r="E1544" t="inlineStr">
        <is>
          <t>SOLLEFTEÅ</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42482-2022</t>
        </is>
      </c>
      <c r="B1545" s="1" t="n">
        <v>44831</v>
      </c>
      <c r="C1545" s="1" t="n">
        <v>45670</v>
      </c>
      <c r="D1545" t="inlineStr">
        <is>
          <t>VÄSTERNORRLANDS LÄN</t>
        </is>
      </c>
      <c r="E1545" t="inlineStr">
        <is>
          <t>SOLLEFTEÅ</t>
        </is>
      </c>
      <c r="F1545" t="inlineStr">
        <is>
          <t>Holmen skog AB</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42430-2022</t>
        </is>
      </c>
      <c r="B1546" s="1" t="n">
        <v>44831</v>
      </c>
      <c r="C1546" s="1" t="n">
        <v>45670</v>
      </c>
      <c r="D1546" t="inlineStr">
        <is>
          <t>VÄSTERNORRLANDS LÄN</t>
        </is>
      </c>
      <c r="E1546" t="inlineStr">
        <is>
          <t>SOLLEFTEÅ</t>
        </is>
      </c>
      <c r="F1546" t="inlineStr">
        <is>
          <t>Holmen skog AB</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42634-2022</t>
        </is>
      </c>
      <c r="B1547" s="1" t="n">
        <v>44832</v>
      </c>
      <c r="C1547" s="1" t="n">
        <v>45670</v>
      </c>
      <c r="D1547" t="inlineStr">
        <is>
          <t>VÄSTERNORRLANDS LÄN</t>
        </is>
      </c>
      <c r="E1547" t="inlineStr">
        <is>
          <t>SOLLEFTEÅ</t>
        </is>
      </c>
      <c r="F1547" t="inlineStr">
        <is>
          <t>SCA</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42663-2022</t>
        </is>
      </c>
      <c r="B1548" s="1" t="n">
        <v>44831</v>
      </c>
      <c r="C1548" s="1" t="n">
        <v>45670</v>
      </c>
      <c r="D1548" t="inlineStr">
        <is>
          <t>VÄSTERNORRLANDS LÄN</t>
        </is>
      </c>
      <c r="E1548" t="inlineStr">
        <is>
          <t>SOLLEFTEÅ</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42664-2022</t>
        </is>
      </c>
      <c r="B1549" s="1" t="n">
        <v>44831</v>
      </c>
      <c r="C1549" s="1" t="n">
        <v>45670</v>
      </c>
      <c r="D1549" t="inlineStr">
        <is>
          <t>VÄSTERNORRLANDS LÄN</t>
        </is>
      </c>
      <c r="E1549" t="inlineStr">
        <is>
          <t>SOLLEFTEÅ</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42654-2022</t>
        </is>
      </c>
      <c r="B1550" s="1" t="n">
        <v>44832</v>
      </c>
      <c r="C1550" s="1" t="n">
        <v>45670</v>
      </c>
      <c r="D1550" t="inlineStr">
        <is>
          <t>VÄSTERNORRLANDS LÄN</t>
        </is>
      </c>
      <c r="E1550" t="inlineStr">
        <is>
          <t>SOLLEFTEÅ</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42771-2022</t>
        </is>
      </c>
      <c r="B1551" s="1" t="n">
        <v>44832</v>
      </c>
      <c r="C1551" s="1" t="n">
        <v>45670</v>
      </c>
      <c r="D1551" t="inlineStr">
        <is>
          <t>VÄSTERNORRLANDS LÄN</t>
        </is>
      </c>
      <c r="E1551" t="inlineStr">
        <is>
          <t>SOLLEFTEÅ</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42755-2022</t>
        </is>
      </c>
      <c r="B1552" s="1" t="n">
        <v>44832</v>
      </c>
      <c r="C1552" s="1" t="n">
        <v>45670</v>
      </c>
      <c r="D1552" t="inlineStr">
        <is>
          <t>VÄSTERNORRLANDS LÄN</t>
        </is>
      </c>
      <c r="E1552" t="inlineStr">
        <is>
          <t>SOLLEFTEÅ</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42885-2022</t>
        </is>
      </c>
      <c r="B1553" s="1" t="n">
        <v>44833</v>
      </c>
      <c r="C1553" s="1" t="n">
        <v>45670</v>
      </c>
      <c r="D1553" t="inlineStr">
        <is>
          <t>VÄSTERNORRLANDS LÄN</t>
        </is>
      </c>
      <c r="E1553" t="inlineStr">
        <is>
          <t>SOLLEFTEÅ</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42891-2022</t>
        </is>
      </c>
      <c r="B1554" s="1" t="n">
        <v>44833</v>
      </c>
      <c r="C1554" s="1" t="n">
        <v>45670</v>
      </c>
      <c r="D1554" t="inlineStr">
        <is>
          <t>VÄSTERNORRLANDS LÄN</t>
        </is>
      </c>
      <c r="E1554" t="inlineStr">
        <is>
          <t>SOLLEFTEÅ</t>
        </is>
      </c>
      <c r="F1554" t="inlineStr">
        <is>
          <t>SCA</t>
        </is>
      </c>
      <c r="G1554" t="n">
        <v>10.1</v>
      </c>
      <c r="H1554" t="n">
        <v>0</v>
      </c>
      <c r="I1554" t="n">
        <v>0</v>
      </c>
      <c r="J1554" t="n">
        <v>0</v>
      </c>
      <c r="K1554" t="n">
        <v>0</v>
      </c>
      <c r="L1554" t="n">
        <v>0</v>
      </c>
      <c r="M1554" t="n">
        <v>0</v>
      </c>
      <c r="N1554" t="n">
        <v>0</v>
      </c>
      <c r="O1554" t="n">
        <v>0</v>
      </c>
      <c r="P1554" t="n">
        <v>0</v>
      </c>
      <c r="Q1554" t="n">
        <v>0</v>
      </c>
      <c r="R1554" s="2" t="inlineStr"/>
    </row>
    <row r="1555" ht="15" customHeight="1">
      <c r="A1555" t="inlineStr">
        <is>
          <t>A 43035-2022</t>
        </is>
      </c>
      <c r="B1555" s="1" t="n">
        <v>44833</v>
      </c>
      <c r="C1555" s="1" t="n">
        <v>45670</v>
      </c>
      <c r="D1555" t="inlineStr">
        <is>
          <t>VÄSTERNORRLANDS LÄN</t>
        </is>
      </c>
      <c r="E1555" t="inlineStr">
        <is>
          <t>SOLLEFTEÅ</t>
        </is>
      </c>
      <c r="F1555" t="inlineStr">
        <is>
          <t>Kommuner</t>
        </is>
      </c>
      <c r="G1555" t="n">
        <v>19.8</v>
      </c>
      <c r="H1555" t="n">
        <v>0</v>
      </c>
      <c r="I1555" t="n">
        <v>0</v>
      </c>
      <c r="J1555" t="n">
        <v>0</v>
      </c>
      <c r="K1555" t="n">
        <v>0</v>
      </c>
      <c r="L1555" t="n">
        <v>0</v>
      </c>
      <c r="M1555" t="n">
        <v>0</v>
      </c>
      <c r="N1555" t="n">
        <v>0</v>
      </c>
      <c r="O1555" t="n">
        <v>0</v>
      </c>
      <c r="P1555" t="n">
        <v>0</v>
      </c>
      <c r="Q1555" t="n">
        <v>0</v>
      </c>
      <c r="R1555" s="2" t="inlineStr"/>
    </row>
    <row r="1556" ht="15" customHeight="1">
      <c r="A1556" t="inlineStr">
        <is>
          <t>A 43130-2022</t>
        </is>
      </c>
      <c r="B1556" s="1" t="n">
        <v>44833</v>
      </c>
      <c r="C1556" s="1" t="n">
        <v>45670</v>
      </c>
      <c r="D1556" t="inlineStr">
        <is>
          <t>VÄSTERNORRLANDS LÄN</t>
        </is>
      </c>
      <c r="E1556" t="inlineStr">
        <is>
          <t>SOLLEFTEÅ</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43137-2022</t>
        </is>
      </c>
      <c r="B1557" s="1" t="n">
        <v>44834</v>
      </c>
      <c r="C1557" s="1" t="n">
        <v>45670</v>
      </c>
      <c r="D1557" t="inlineStr">
        <is>
          <t>VÄSTERNORRLANDS LÄN</t>
        </is>
      </c>
      <c r="E1557" t="inlineStr">
        <is>
          <t>SOLLEFTEÅ</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43124-2022</t>
        </is>
      </c>
      <c r="B1558" s="1" t="n">
        <v>44834</v>
      </c>
      <c r="C1558" s="1" t="n">
        <v>45670</v>
      </c>
      <c r="D1558" t="inlineStr">
        <is>
          <t>VÄSTERNORRLANDS LÄN</t>
        </is>
      </c>
      <c r="E1558" t="inlineStr">
        <is>
          <t>SOLLEFTEÅ</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43122-2022</t>
        </is>
      </c>
      <c r="B1559" s="1" t="n">
        <v>44834</v>
      </c>
      <c r="C1559" s="1" t="n">
        <v>45670</v>
      </c>
      <c r="D1559" t="inlineStr">
        <is>
          <t>VÄSTERNORRLANDS LÄN</t>
        </is>
      </c>
      <c r="E1559" t="inlineStr">
        <is>
          <t>SOLLEFTEÅ</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43148-2022</t>
        </is>
      </c>
      <c r="B1560" s="1" t="n">
        <v>44834</v>
      </c>
      <c r="C1560" s="1" t="n">
        <v>45670</v>
      </c>
      <c r="D1560" t="inlineStr">
        <is>
          <t>VÄSTERNORRLANDS LÄN</t>
        </is>
      </c>
      <c r="E1560" t="inlineStr">
        <is>
          <t>SOLLEFTEÅ</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43149-2022</t>
        </is>
      </c>
      <c r="B1561" s="1" t="n">
        <v>44834</v>
      </c>
      <c r="C1561" s="1" t="n">
        <v>45670</v>
      </c>
      <c r="D1561" t="inlineStr">
        <is>
          <t>VÄSTERNORRLANDS LÄN</t>
        </is>
      </c>
      <c r="E1561" t="inlineStr">
        <is>
          <t>SOLLEFTEÅ</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43442-2022</t>
        </is>
      </c>
      <c r="B1562" s="1" t="n">
        <v>44834</v>
      </c>
      <c r="C1562" s="1" t="n">
        <v>45670</v>
      </c>
      <c r="D1562" t="inlineStr">
        <is>
          <t>VÄSTERNORRLANDS LÄN</t>
        </is>
      </c>
      <c r="E1562" t="inlineStr">
        <is>
          <t>SOLLEFTEÅ</t>
        </is>
      </c>
      <c r="F1562" t="inlineStr">
        <is>
          <t>Kyrkan</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43469-2022</t>
        </is>
      </c>
      <c r="B1563" s="1" t="n">
        <v>44836</v>
      </c>
      <c r="C1563" s="1" t="n">
        <v>45670</v>
      </c>
      <c r="D1563" t="inlineStr">
        <is>
          <t>VÄSTERNORRLANDS LÄN</t>
        </is>
      </c>
      <c r="E1563" t="inlineStr">
        <is>
          <t>SOLLEFTEÅ</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43774-2022</t>
        </is>
      </c>
      <c r="B1564" s="1" t="n">
        <v>44837</v>
      </c>
      <c r="C1564" s="1" t="n">
        <v>45670</v>
      </c>
      <c r="D1564" t="inlineStr">
        <is>
          <t>VÄSTERNORRLANDS LÄN</t>
        </is>
      </c>
      <c r="E1564" t="inlineStr">
        <is>
          <t>SOLLEFTEÅ</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43772-2022</t>
        </is>
      </c>
      <c r="B1565" s="1" t="n">
        <v>44837</v>
      </c>
      <c r="C1565" s="1" t="n">
        <v>45670</v>
      </c>
      <c r="D1565" t="inlineStr">
        <is>
          <t>VÄSTERNORRLANDS LÄN</t>
        </is>
      </c>
      <c r="E1565" t="inlineStr">
        <is>
          <t>SOLLEFTEÅ</t>
        </is>
      </c>
      <c r="F1565" t="inlineStr">
        <is>
          <t>Kyrkan</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43762-2022</t>
        </is>
      </c>
      <c r="B1566" s="1" t="n">
        <v>44838</v>
      </c>
      <c r="C1566" s="1" t="n">
        <v>45670</v>
      </c>
      <c r="D1566" t="inlineStr">
        <is>
          <t>VÄSTERNORRLANDS LÄN</t>
        </is>
      </c>
      <c r="E1566" t="inlineStr">
        <is>
          <t>SOLLEFTEÅ</t>
        </is>
      </c>
      <c r="F1566" t="inlineStr">
        <is>
          <t>Kyrkan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43766-2022</t>
        </is>
      </c>
      <c r="B1567" s="1" t="n">
        <v>44838</v>
      </c>
      <c r="C1567" s="1" t="n">
        <v>45670</v>
      </c>
      <c r="D1567" t="inlineStr">
        <is>
          <t>VÄSTERNORRLANDS LÄN</t>
        </is>
      </c>
      <c r="E1567" t="inlineStr">
        <is>
          <t>SOLLEFTEÅ</t>
        </is>
      </c>
      <c r="F1567" t="inlineStr">
        <is>
          <t>Kyrkan</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43782-2022</t>
        </is>
      </c>
      <c r="B1568" s="1" t="n">
        <v>44838</v>
      </c>
      <c r="C1568" s="1" t="n">
        <v>45670</v>
      </c>
      <c r="D1568" t="inlineStr">
        <is>
          <t>VÄSTERNORRLANDS LÄN</t>
        </is>
      </c>
      <c r="E1568" t="inlineStr">
        <is>
          <t>SOLLEFTEÅ</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43786-2022</t>
        </is>
      </c>
      <c r="B1569" s="1" t="n">
        <v>44837</v>
      </c>
      <c r="C1569" s="1" t="n">
        <v>45670</v>
      </c>
      <c r="D1569" t="inlineStr">
        <is>
          <t>VÄSTERNORRLANDS LÄN</t>
        </is>
      </c>
      <c r="E1569" t="inlineStr">
        <is>
          <t>SOLLEFTEÅ</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44042-2022</t>
        </is>
      </c>
      <c r="B1570" s="1" t="n">
        <v>44839</v>
      </c>
      <c r="C1570" s="1" t="n">
        <v>45670</v>
      </c>
      <c r="D1570" t="inlineStr">
        <is>
          <t>VÄSTERNORRLANDS LÄN</t>
        </is>
      </c>
      <c r="E1570" t="inlineStr">
        <is>
          <t>SOLLEFTEÅ</t>
        </is>
      </c>
      <c r="F1570" t="inlineStr">
        <is>
          <t>SCA</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44285-2022</t>
        </is>
      </c>
      <c r="B1571" s="1" t="n">
        <v>44839</v>
      </c>
      <c r="C1571" s="1" t="n">
        <v>45670</v>
      </c>
      <c r="D1571" t="inlineStr">
        <is>
          <t>VÄSTERNORRLANDS LÄN</t>
        </is>
      </c>
      <c r="E1571" t="inlineStr">
        <is>
          <t>SOLLEFTEÅ</t>
        </is>
      </c>
      <c r="F1571" t="inlineStr">
        <is>
          <t>Holmen skog AB</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44438-2022</t>
        </is>
      </c>
      <c r="B1572" s="1" t="n">
        <v>44840</v>
      </c>
      <c r="C1572" s="1" t="n">
        <v>45670</v>
      </c>
      <c r="D1572" t="inlineStr">
        <is>
          <t>VÄSTERNORRLANDS LÄN</t>
        </is>
      </c>
      <c r="E1572" t="inlineStr">
        <is>
          <t>SOLLEFTEÅ</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44454-2022</t>
        </is>
      </c>
      <c r="B1573" s="1" t="n">
        <v>44840</v>
      </c>
      <c r="C1573" s="1" t="n">
        <v>45670</v>
      </c>
      <c r="D1573" t="inlineStr">
        <is>
          <t>VÄSTERNORRLANDS LÄN</t>
        </is>
      </c>
      <c r="E1573" t="inlineStr">
        <is>
          <t>SOLLEFTEÅ</t>
        </is>
      </c>
      <c r="F1573" t="inlineStr">
        <is>
          <t>SCA</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44208-2022</t>
        </is>
      </c>
      <c r="B1574" s="1" t="n">
        <v>44839</v>
      </c>
      <c r="C1574" s="1" t="n">
        <v>45670</v>
      </c>
      <c r="D1574" t="inlineStr">
        <is>
          <t>VÄSTERNORRLANDS LÄN</t>
        </is>
      </c>
      <c r="E1574" t="inlineStr">
        <is>
          <t>SOLLEFTEÅ</t>
        </is>
      </c>
      <c r="F1574" t="inlineStr">
        <is>
          <t>Holmen skog AB</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44755-2022</t>
        </is>
      </c>
      <c r="B1575" s="1" t="n">
        <v>44841</v>
      </c>
      <c r="C1575" s="1" t="n">
        <v>45670</v>
      </c>
      <c r="D1575" t="inlineStr">
        <is>
          <t>VÄSTERNORRLANDS LÄN</t>
        </is>
      </c>
      <c r="E1575" t="inlineStr">
        <is>
          <t>SOLLEFTEÅ</t>
        </is>
      </c>
      <c r="F1575" t="inlineStr">
        <is>
          <t>SCA</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44762-2022</t>
        </is>
      </c>
      <c r="B1576" s="1" t="n">
        <v>44840</v>
      </c>
      <c r="C1576" s="1" t="n">
        <v>45670</v>
      </c>
      <c r="D1576" t="inlineStr">
        <is>
          <t>VÄSTERNORRLANDS LÄN</t>
        </is>
      </c>
      <c r="E1576" t="inlineStr">
        <is>
          <t>SOLLEFTEÅ</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44761-2022</t>
        </is>
      </c>
      <c r="B1577" s="1" t="n">
        <v>44840</v>
      </c>
      <c r="C1577" s="1" t="n">
        <v>45670</v>
      </c>
      <c r="D1577" t="inlineStr">
        <is>
          <t>VÄSTERNORRLANDS LÄN</t>
        </is>
      </c>
      <c r="E1577" t="inlineStr">
        <is>
          <t>SOLLEFTEÅ</t>
        </is>
      </c>
      <c r="F1577" t="inlineStr">
        <is>
          <t>SCA</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44805-2022</t>
        </is>
      </c>
      <c r="B1578" s="1" t="n">
        <v>44841</v>
      </c>
      <c r="C1578" s="1" t="n">
        <v>45670</v>
      </c>
      <c r="D1578" t="inlineStr">
        <is>
          <t>VÄSTERNORRLANDS LÄN</t>
        </is>
      </c>
      <c r="E1578" t="inlineStr">
        <is>
          <t>SOLLEFTEÅ</t>
        </is>
      </c>
      <c r="F1578" t="inlineStr">
        <is>
          <t>Holmen skog AB</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45085-2022</t>
        </is>
      </c>
      <c r="B1579" s="1" t="n">
        <v>44841</v>
      </c>
      <c r="C1579" s="1" t="n">
        <v>45670</v>
      </c>
      <c r="D1579" t="inlineStr">
        <is>
          <t>VÄSTERNORRLANDS LÄN</t>
        </is>
      </c>
      <c r="E1579" t="inlineStr">
        <is>
          <t>SOLLEFTEÅ</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45119-2022</t>
        </is>
      </c>
      <c r="B1580" s="1" t="n">
        <v>44843</v>
      </c>
      <c r="C1580" s="1" t="n">
        <v>45670</v>
      </c>
      <c r="D1580" t="inlineStr">
        <is>
          <t>VÄSTERNORRLANDS LÄN</t>
        </is>
      </c>
      <c r="E1580" t="inlineStr">
        <is>
          <t>SOLLEFTEÅ</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45117-2022</t>
        </is>
      </c>
      <c r="B1581" s="1" t="n">
        <v>44844</v>
      </c>
      <c r="C1581" s="1" t="n">
        <v>45670</v>
      </c>
      <c r="D1581" t="inlineStr">
        <is>
          <t>VÄSTERNORRLANDS LÄN</t>
        </is>
      </c>
      <c r="E1581" t="inlineStr">
        <is>
          <t>SOLLEFTEÅ</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45121-2022</t>
        </is>
      </c>
      <c r="B1582" s="1" t="n">
        <v>44844</v>
      </c>
      <c r="C1582" s="1" t="n">
        <v>45670</v>
      </c>
      <c r="D1582" t="inlineStr">
        <is>
          <t>VÄSTERNORRLANDS LÄN</t>
        </is>
      </c>
      <c r="E1582" t="inlineStr">
        <is>
          <t>SOLLEFTEÅ</t>
        </is>
      </c>
      <c r="F1582" t="inlineStr">
        <is>
          <t>SCA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45120-2022</t>
        </is>
      </c>
      <c r="B1583" s="1" t="n">
        <v>44843</v>
      </c>
      <c r="C1583" s="1" t="n">
        <v>45670</v>
      </c>
      <c r="D1583" t="inlineStr">
        <is>
          <t>VÄSTERNORRLANDS LÄN</t>
        </is>
      </c>
      <c r="E1583" t="inlineStr">
        <is>
          <t>SOLLEFTEÅ</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45118-2022</t>
        </is>
      </c>
      <c r="B1584" s="1" t="n">
        <v>44843</v>
      </c>
      <c r="C1584" s="1" t="n">
        <v>45670</v>
      </c>
      <c r="D1584" t="inlineStr">
        <is>
          <t>VÄSTERNORRLANDS LÄN</t>
        </is>
      </c>
      <c r="E1584" t="inlineStr">
        <is>
          <t>SOLLEFTEÅ</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45419-2022</t>
        </is>
      </c>
      <c r="B1585" s="1" t="n">
        <v>44844</v>
      </c>
      <c r="C1585" s="1" t="n">
        <v>45670</v>
      </c>
      <c r="D1585" t="inlineStr">
        <is>
          <t>VÄSTERNORRLANDS LÄN</t>
        </is>
      </c>
      <c r="E1585" t="inlineStr">
        <is>
          <t>SOLLEFTEÅ</t>
        </is>
      </c>
      <c r="G1585" t="n">
        <v>12.7</v>
      </c>
      <c r="H1585" t="n">
        <v>0</v>
      </c>
      <c r="I1585" t="n">
        <v>0</v>
      </c>
      <c r="J1585" t="n">
        <v>0</v>
      </c>
      <c r="K1585" t="n">
        <v>0</v>
      </c>
      <c r="L1585" t="n">
        <v>0</v>
      </c>
      <c r="M1585" t="n">
        <v>0</v>
      </c>
      <c r="N1585" t="n">
        <v>0</v>
      </c>
      <c r="O1585" t="n">
        <v>0</v>
      </c>
      <c r="P1585" t="n">
        <v>0</v>
      </c>
      <c r="Q1585" t="n">
        <v>0</v>
      </c>
      <c r="R1585" s="2" t="inlineStr"/>
    </row>
    <row r="1586" ht="15" customHeight="1">
      <c r="A1586" t="inlineStr">
        <is>
          <t>A 45423-2022</t>
        </is>
      </c>
      <c r="B1586" s="1" t="n">
        <v>44845</v>
      </c>
      <c r="C1586" s="1" t="n">
        <v>45670</v>
      </c>
      <c r="D1586" t="inlineStr">
        <is>
          <t>VÄSTERNORRLANDS LÄN</t>
        </is>
      </c>
      <c r="E1586" t="inlineStr">
        <is>
          <t>SOLLEFTEÅ</t>
        </is>
      </c>
      <c r="F1586" t="inlineStr">
        <is>
          <t>SCA</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46130-2022</t>
        </is>
      </c>
      <c r="B1587" s="1" t="n">
        <v>44844</v>
      </c>
      <c r="C1587" s="1" t="n">
        <v>45670</v>
      </c>
      <c r="D1587" t="inlineStr">
        <is>
          <t>VÄSTERNORRLANDS LÄN</t>
        </is>
      </c>
      <c r="E1587" t="inlineStr">
        <is>
          <t>SOLLEFTEÅ</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45719-2022</t>
        </is>
      </c>
      <c r="B1588" s="1" t="n">
        <v>44846</v>
      </c>
      <c r="C1588" s="1" t="n">
        <v>45670</v>
      </c>
      <c r="D1588" t="inlineStr">
        <is>
          <t>VÄSTERNORRLANDS LÄN</t>
        </is>
      </c>
      <c r="E1588" t="inlineStr">
        <is>
          <t>SOLLEFTEÅ</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46039-2022</t>
        </is>
      </c>
      <c r="B1589" s="1" t="n">
        <v>44847</v>
      </c>
      <c r="C1589" s="1" t="n">
        <v>45670</v>
      </c>
      <c r="D1589" t="inlineStr">
        <is>
          <t>VÄSTERNORRLANDS LÄN</t>
        </is>
      </c>
      <c r="E1589" t="inlineStr">
        <is>
          <t>SOLLEFTEÅ</t>
        </is>
      </c>
      <c r="F1589" t="inlineStr">
        <is>
          <t>SCA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46032-2022</t>
        </is>
      </c>
      <c r="B1590" s="1" t="n">
        <v>44846</v>
      </c>
      <c r="C1590" s="1" t="n">
        <v>45670</v>
      </c>
      <c r="D1590" t="inlineStr">
        <is>
          <t>VÄSTERNORRLANDS LÄN</t>
        </is>
      </c>
      <c r="E1590" t="inlineStr">
        <is>
          <t>SOLLEFTEÅ</t>
        </is>
      </c>
      <c r="F1590" t="inlineStr">
        <is>
          <t>SCA</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46036-2022</t>
        </is>
      </c>
      <c r="B1591" s="1" t="n">
        <v>44846</v>
      </c>
      <c r="C1591" s="1" t="n">
        <v>45670</v>
      </c>
      <c r="D1591" t="inlineStr">
        <is>
          <t>VÄSTERNORRLANDS LÄN</t>
        </is>
      </c>
      <c r="E1591" t="inlineStr">
        <is>
          <t>SOLLEFTEÅ</t>
        </is>
      </c>
      <c r="F1591" t="inlineStr">
        <is>
          <t>SCA</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46052-2022</t>
        </is>
      </c>
      <c r="B1592" s="1" t="n">
        <v>44846</v>
      </c>
      <c r="C1592" s="1" t="n">
        <v>45670</v>
      </c>
      <c r="D1592" t="inlineStr">
        <is>
          <t>VÄSTERNORRLANDS LÄN</t>
        </is>
      </c>
      <c r="E1592" t="inlineStr">
        <is>
          <t>SOLLEFTEÅ</t>
        </is>
      </c>
      <c r="F1592" t="inlineStr">
        <is>
          <t>SCA</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46053-2022</t>
        </is>
      </c>
      <c r="B1593" s="1" t="n">
        <v>44846</v>
      </c>
      <c r="C1593" s="1" t="n">
        <v>45670</v>
      </c>
      <c r="D1593" t="inlineStr">
        <is>
          <t>VÄSTERNORRLANDS LÄN</t>
        </is>
      </c>
      <c r="E1593" t="inlineStr">
        <is>
          <t>SOLLEFTEÅ</t>
        </is>
      </c>
      <c r="F1593" t="inlineStr">
        <is>
          <t>SCA</t>
        </is>
      </c>
      <c r="G1593" t="n">
        <v>9.5</v>
      </c>
      <c r="H1593" t="n">
        <v>0</v>
      </c>
      <c r="I1593" t="n">
        <v>0</v>
      </c>
      <c r="J1593" t="n">
        <v>0</v>
      </c>
      <c r="K1593" t="n">
        <v>0</v>
      </c>
      <c r="L1593" t="n">
        <v>0</v>
      </c>
      <c r="M1593" t="n">
        <v>0</v>
      </c>
      <c r="N1593" t="n">
        <v>0</v>
      </c>
      <c r="O1593" t="n">
        <v>0</v>
      </c>
      <c r="P1593" t="n">
        <v>0</v>
      </c>
      <c r="Q1593" t="n">
        <v>0</v>
      </c>
      <c r="R1593" s="2" t="inlineStr"/>
    </row>
    <row r="1594" ht="15" customHeight="1">
      <c r="A1594" t="inlineStr">
        <is>
          <t>A 46324-2022</t>
        </is>
      </c>
      <c r="B1594" s="1" t="n">
        <v>44847</v>
      </c>
      <c r="C1594" s="1" t="n">
        <v>45670</v>
      </c>
      <c r="D1594" t="inlineStr">
        <is>
          <t>VÄSTERNORRLANDS LÄN</t>
        </is>
      </c>
      <c r="E1594" t="inlineStr">
        <is>
          <t>SOLLEFTEÅ</t>
        </is>
      </c>
      <c r="F1594" t="inlineStr">
        <is>
          <t>SCA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46626-2022</t>
        </is>
      </c>
      <c r="B1595" s="1" t="n">
        <v>44848</v>
      </c>
      <c r="C1595" s="1" t="n">
        <v>45670</v>
      </c>
      <c r="D1595" t="inlineStr">
        <is>
          <t>VÄSTERNORRLANDS LÄN</t>
        </is>
      </c>
      <c r="E1595" t="inlineStr">
        <is>
          <t>SOLLEFTEÅ</t>
        </is>
      </c>
      <c r="F1595" t="inlineStr">
        <is>
          <t>SCA</t>
        </is>
      </c>
      <c r="G1595" t="n">
        <v>9.9</v>
      </c>
      <c r="H1595" t="n">
        <v>0</v>
      </c>
      <c r="I1595" t="n">
        <v>0</v>
      </c>
      <c r="J1595" t="n">
        <v>0</v>
      </c>
      <c r="K1595" t="n">
        <v>0</v>
      </c>
      <c r="L1595" t="n">
        <v>0</v>
      </c>
      <c r="M1595" t="n">
        <v>0</v>
      </c>
      <c r="N1595" t="n">
        <v>0</v>
      </c>
      <c r="O1595" t="n">
        <v>0</v>
      </c>
      <c r="P1595" t="n">
        <v>0</v>
      </c>
      <c r="Q1595" t="n">
        <v>0</v>
      </c>
      <c r="R1595" s="2" t="inlineStr"/>
    </row>
    <row r="1596" ht="15" customHeight="1">
      <c r="A1596" t="inlineStr">
        <is>
          <t>A 46616-2022</t>
        </is>
      </c>
      <c r="B1596" s="1" t="n">
        <v>44848</v>
      </c>
      <c r="C1596" s="1" t="n">
        <v>45670</v>
      </c>
      <c r="D1596" t="inlineStr">
        <is>
          <t>VÄSTERNORRLANDS LÄN</t>
        </is>
      </c>
      <c r="E1596" t="inlineStr">
        <is>
          <t>SOLLEFTEÅ</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46664-2022</t>
        </is>
      </c>
      <c r="B1597" s="1" t="n">
        <v>44851</v>
      </c>
      <c r="C1597" s="1" t="n">
        <v>45670</v>
      </c>
      <c r="D1597" t="inlineStr">
        <is>
          <t>VÄSTERNORRLANDS LÄN</t>
        </is>
      </c>
      <c r="E1597" t="inlineStr">
        <is>
          <t>SOLLEFTEÅ</t>
        </is>
      </c>
      <c r="F1597" t="inlineStr">
        <is>
          <t>SCA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46871-2022</t>
        </is>
      </c>
      <c r="B1598" s="1" t="n">
        <v>44851</v>
      </c>
      <c r="C1598" s="1" t="n">
        <v>45670</v>
      </c>
      <c r="D1598" t="inlineStr">
        <is>
          <t>VÄSTERNORRLANDS LÄN</t>
        </is>
      </c>
      <c r="E1598" t="inlineStr">
        <is>
          <t>SOLLEFTEÅ</t>
        </is>
      </c>
      <c r="F1598" t="inlineStr">
        <is>
          <t>Kyrkan</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46880-2022</t>
        </is>
      </c>
      <c r="B1599" s="1" t="n">
        <v>44851</v>
      </c>
      <c r="C1599" s="1" t="n">
        <v>45670</v>
      </c>
      <c r="D1599" t="inlineStr">
        <is>
          <t>VÄSTERNORRLANDS LÄN</t>
        </is>
      </c>
      <c r="E1599" t="inlineStr">
        <is>
          <t>SOLLEFTEÅ</t>
        </is>
      </c>
      <c r="F1599" t="inlineStr">
        <is>
          <t>Kyrkan</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46986-2022</t>
        </is>
      </c>
      <c r="B1600" s="1" t="n">
        <v>44851</v>
      </c>
      <c r="C1600" s="1" t="n">
        <v>45670</v>
      </c>
      <c r="D1600" t="inlineStr">
        <is>
          <t>VÄSTERNORRLANDS LÄN</t>
        </is>
      </c>
      <c r="E1600" t="inlineStr">
        <is>
          <t>SOLLEFTEÅ</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46985-2022</t>
        </is>
      </c>
      <c r="B1601" s="1" t="n">
        <v>44851</v>
      </c>
      <c r="C1601" s="1" t="n">
        <v>45670</v>
      </c>
      <c r="D1601" t="inlineStr">
        <is>
          <t>VÄSTERNORRLANDS LÄN</t>
        </is>
      </c>
      <c r="E1601" t="inlineStr">
        <is>
          <t>SOLLEFTEÅ</t>
        </is>
      </c>
      <c r="F1601" t="inlineStr">
        <is>
          <t>Kyrkan</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47250-2022</t>
        </is>
      </c>
      <c r="B1602" s="1" t="n">
        <v>44852</v>
      </c>
      <c r="C1602" s="1" t="n">
        <v>45670</v>
      </c>
      <c r="D1602" t="inlineStr">
        <is>
          <t>VÄSTERNORRLANDS LÄN</t>
        </is>
      </c>
      <c r="E1602" t="inlineStr">
        <is>
          <t>SOLLEFTEÅ</t>
        </is>
      </c>
      <c r="F1602" t="inlineStr">
        <is>
          <t>SCA</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47268-2022</t>
        </is>
      </c>
      <c r="B1603" s="1" t="n">
        <v>44853</v>
      </c>
      <c r="C1603" s="1" t="n">
        <v>45670</v>
      </c>
      <c r="D1603" t="inlineStr">
        <is>
          <t>VÄSTERNORRLANDS LÄN</t>
        </is>
      </c>
      <c r="E1603" t="inlineStr">
        <is>
          <t>SOLLEFTEÅ</t>
        </is>
      </c>
      <c r="F1603" t="inlineStr">
        <is>
          <t>SCA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47269-2022</t>
        </is>
      </c>
      <c r="B1604" s="1" t="n">
        <v>44853</v>
      </c>
      <c r="C1604" s="1" t="n">
        <v>45670</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47272-2022</t>
        </is>
      </c>
      <c r="B1605" s="1" t="n">
        <v>44853</v>
      </c>
      <c r="C1605" s="1" t="n">
        <v>45670</v>
      </c>
      <c r="D1605" t="inlineStr">
        <is>
          <t>VÄSTERNORRLANDS LÄN</t>
        </is>
      </c>
      <c r="E1605" t="inlineStr">
        <is>
          <t>SOLLEFTEÅ</t>
        </is>
      </c>
      <c r="G1605" t="n">
        <v>12.2</v>
      </c>
      <c r="H1605" t="n">
        <v>0</v>
      </c>
      <c r="I1605" t="n">
        <v>0</v>
      </c>
      <c r="J1605" t="n">
        <v>0</v>
      </c>
      <c r="K1605" t="n">
        <v>0</v>
      </c>
      <c r="L1605" t="n">
        <v>0</v>
      </c>
      <c r="M1605" t="n">
        <v>0</v>
      </c>
      <c r="N1605" t="n">
        <v>0</v>
      </c>
      <c r="O1605" t="n">
        <v>0</v>
      </c>
      <c r="P1605" t="n">
        <v>0</v>
      </c>
      <c r="Q1605" t="n">
        <v>0</v>
      </c>
      <c r="R1605" s="2" t="inlineStr"/>
    </row>
    <row r="1606" ht="15" customHeight="1">
      <c r="A1606" t="inlineStr">
        <is>
          <t>A 47564-2022</t>
        </is>
      </c>
      <c r="B1606" s="1" t="n">
        <v>44854</v>
      </c>
      <c r="C1606" s="1" t="n">
        <v>45670</v>
      </c>
      <c r="D1606" t="inlineStr">
        <is>
          <t>VÄSTERNORRLANDS LÄN</t>
        </is>
      </c>
      <c r="E1606" t="inlineStr">
        <is>
          <t>SOLLEFTEÅ</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47580-2022</t>
        </is>
      </c>
      <c r="B1607" s="1" t="n">
        <v>44854</v>
      </c>
      <c r="C1607" s="1" t="n">
        <v>45670</v>
      </c>
      <c r="D1607" t="inlineStr">
        <is>
          <t>VÄSTERNORRLANDS LÄN</t>
        </is>
      </c>
      <c r="E1607" t="inlineStr">
        <is>
          <t>SOLLEFTEÅ</t>
        </is>
      </c>
      <c r="F1607" t="inlineStr">
        <is>
          <t>SCA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47787-2022</t>
        </is>
      </c>
      <c r="B1608" s="1" t="n">
        <v>44855</v>
      </c>
      <c r="C1608" s="1" t="n">
        <v>45670</v>
      </c>
      <c r="D1608" t="inlineStr">
        <is>
          <t>VÄSTERNORRLANDS LÄN</t>
        </is>
      </c>
      <c r="E1608" t="inlineStr">
        <is>
          <t>SOLLEFTEÅ</t>
        </is>
      </c>
      <c r="F1608" t="inlineStr">
        <is>
          <t>SCA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47814-2022</t>
        </is>
      </c>
      <c r="B1609" s="1" t="n">
        <v>44855</v>
      </c>
      <c r="C1609" s="1" t="n">
        <v>45670</v>
      </c>
      <c r="D1609" t="inlineStr">
        <is>
          <t>VÄSTERNORRLANDS LÄN</t>
        </is>
      </c>
      <c r="E1609" t="inlineStr">
        <is>
          <t>SOLLEFTEÅ</t>
        </is>
      </c>
      <c r="F1609" t="inlineStr">
        <is>
          <t>SCA</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47812-2022</t>
        </is>
      </c>
      <c r="B1610" s="1" t="n">
        <v>44855</v>
      </c>
      <c r="C1610" s="1" t="n">
        <v>45670</v>
      </c>
      <c r="D1610" t="inlineStr">
        <is>
          <t>VÄSTERNORRLANDS LÄN</t>
        </is>
      </c>
      <c r="E1610" t="inlineStr">
        <is>
          <t>SOLLEFTEÅ</t>
        </is>
      </c>
      <c r="F1610" t="inlineStr">
        <is>
          <t>SCA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47875-2022</t>
        </is>
      </c>
      <c r="B1611" s="1" t="n">
        <v>44855</v>
      </c>
      <c r="C1611" s="1" t="n">
        <v>45670</v>
      </c>
      <c r="D1611" t="inlineStr">
        <is>
          <t>VÄSTERNORRLANDS LÄN</t>
        </is>
      </c>
      <c r="E1611" t="inlineStr">
        <is>
          <t>SOLLEFTEÅ</t>
        </is>
      </c>
      <c r="F1611" t="inlineStr">
        <is>
          <t>Holmen skog AB</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48056-2022</t>
        </is>
      </c>
      <c r="B1612" s="1" t="n">
        <v>44856</v>
      </c>
      <c r="C1612" s="1" t="n">
        <v>45670</v>
      </c>
      <c r="D1612" t="inlineStr">
        <is>
          <t>VÄSTERNORRLANDS LÄN</t>
        </is>
      </c>
      <c r="E1612" t="inlineStr">
        <is>
          <t>SOLLEFTEÅ</t>
        </is>
      </c>
      <c r="F1612" t="inlineStr">
        <is>
          <t>SCA</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48064-2022</t>
        </is>
      </c>
      <c r="B1613" s="1" t="n">
        <v>44856</v>
      </c>
      <c r="C1613" s="1" t="n">
        <v>45670</v>
      </c>
      <c r="D1613" t="inlineStr">
        <is>
          <t>VÄSTERNORRLANDS LÄN</t>
        </is>
      </c>
      <c r="E1613" t="inlineStr">
        <is>
          <t>SOLLEFTEÅ</t>
        </is>
      </c>
      <c r="F1613" t="inlineStr">
        <is>
          <t>SCA</t>
        </is>
      </c>
      <c r="G1613" t="n">
        <v>13.1</v>
      </c>
      <c r="H1613" t="n">
        <v>0</v>
      </c>
      <c r="I1613" t="n">
        <v>0</v>
      </c>
      <c r="J1613" t="n">
        <v>0</v>
      </c>
      <c r="K1613" t="n">
        <v>0</v>
      </c>
      <c r="L1613" t="n">
        <v>0</v>
      </c>
      <c r="M1613" t="n">
        <v>0</v>
      </c>
      <c r="N1613" t="n">
        <v>0</v>
      </c>
      <c r="O1613" t="n">
        <v>0</v>
      </c>
      <c r="P1613" t="n">
        <v>0</v>
      </c>
      <c r="Q1613" t="n">
        <v>0</v>
      </c>
      <c r="R1613" s="2" t="inlineStr"/>
    </row>
    <row r="1614" ht="15" customHeight="1">
      <c r="A1614" t="inlineStr">
        <is>
          <t>A 48067-2022</t>
        </is>
      </c>
      <c r="B1614" s="1" t="n">
        <v>44855</v>
      </c>
      <c r="C1614" s="1" t="n">
        <v>45670</v>
      </c>
      <c r="D1614" t="inlineStr">
        <is>
          <t>VÄSTERNORRLANDS LÄN</t>
        </is>
      </c>
      <c r="E1614" t="inlineStr">
        <is>
          <t>SOLLEFTEÅ</t>
        </is>
      </c>
      <c r="F1614" t="inlineStr">
        <is>
          <t>SCA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48062-2022</t>
        </is>
      </c>
      <c r="B1615" s="1" t="n">
        <v>44856</v>
      </c>
      <c r="C1615" s="1" t="n">
        <v>45670</v>
      </c>
      <c r="D1615" t="inlineStr">
        <is>
          <t>VÄSTERNORRLANDS LÄN</t>
        </is>
      </c>
      <c r="E1615" t="inlineStr">
        <is>
          <t>SOLLEFTEÅ</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47826-2022</t>
        </is>
      </c>
      <c r="B1616" s="1" t="n">
        <v>44855</v>
      </c>
      <c r="C1616" s="1" t="n">
        <v>45670</v>
      </c>
      <c r="D1616" t="inlineStr">
        <is>
          <t>VÄSTERNORRLANDS LÄN</t>
        </is>
      </c>
      <c r="E1616" t="inlineStr">
        <is>
          <t>SOLLEFTEÅ</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48057-2022</t>
        </is>
      </c>
      <c r="B1617" s="1" t="n">
        <v>44856</v>
      </c>
      <c r="C1617" s="1" t="n">
        <v>45670</v>
      </c>
      <c r="D1617" t="inlineStr">
        <is>
          <t>VÄSTERNORRLANDS LÄN</t>
        </is>
      </c>
      <c r="E1617" t="inlineStr">
        <is>
          <t>SOLLEFTEÅ</t>
        </is>
      </c>
      <c r="F1617" t="inlineStr">
        <is>
          <t>SCA</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48065-2022</t>
        </is>
      </c>
      <c r="B1618" s="1" t="n">
        <v>44856</v>
      </c>
      <c r="C1618" s="1" t="n">
        <v>45670</v>
      </c>
      <c r="D1618" t="inlineStr">
        <is>
          <t>VÄSTERNORRLANDS LÄN</t>
        </is>
      </c>
      <c r="E1618" t="inlineStr">
        <is>
          <t>SOLLEFTEÅ</t>
        </is>
      </c>
      <c r="F1618" t="inlineStr">
        <is>
          <t>SCA</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48738-2022</t>
        </is>
      </c>
      <c r="B1619" s="1" t="n">
        <v>44855</v>
      </c>
      <c r="C1619" s="1" t="n">
        <v>45670</v>
      </c>
      <c r="D1619" t="inlineStr">
        <is>
          <t>VÄSTERNORRLANDS LÄN</t>
        </is>
      </c>
      <c r="E1619" t="inlineStr">
        <is>
          <t>SOLLEFTEÅ</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48240-2022</t>
        </is>
      </c>
      <c r="B1620" s="1" t="n">
        <v>44858</v>
      </c>
      <c r="C1620" s="1" t="n">
        <v>45670</v>
      </c>
      <c r="D1620" t="inlineStr">
        <is>
          <t>VÄSTERNORRLANDS LÄN</t>
        </is>
      </c>
      <c r="E1620" t="inlineStr">
        <is>
          <t>SOLLEFTEÅ</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48511-2022</t>
        </is>
      </c>
      <c r="B1621" s="1" t="n">
        <v>44859</v>
      </c>
      <c r="C1621" s="1" t="n">
        <v>45670</v>
      </c>
      <c r="D1621" t="inlineStr">
        <is>
          <t>VÄSTERNORRLANDS LÄN</t>
        </is>
      </c>
      <c r="E1621" t="inlineStr">
        <is>
          <t>SOLLEFTEÅ</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48512-2022</t>
        </is>
      </c>
      <c r="B1622" s="1" t="n">
        <v>44859</v>
      </c>
      <c r="C1622" s="1" t="n">
        <v>45670</v>
      </c>
      <c r="D1622" t="inlineStr">
        <is>
          <t>VÄSTERNORRLANDS LÄN</t>
        </is>
      </c>
      <c r="E1622" t="inlineStr">
        <is>
          <t>SOLLEFTEÅ</t>
        </is>
      </c>
      <c r="F1622" t="inlineStr">
        <is>
          <t>SCA</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48519-2022</t>
        </is>
      </c>
      <c r="B1623" s="1" t="n">
        <v>44858</v>
      </c>
      <c r="C1623" s="1" t="n">
        <v>45670</v>
      </c>
      <c r="D1623" t="inlineStr">
        <is>
          <t>VÄSTERNORRLANDS LÄN</t>
        </is>
      </c>
      <c r="E1623" t="inlineStr">
        <is>
          <t>SOLLEFTEÅ</t>
        </is>
      </c>
      <c r="F1623" t="inlineStr">
        <is>
          <t>SCA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48296-2022</t>
        </is>
      </c>
      <c r="B1624" s="1" t="n">
        <v>44858</v>
      </c>
      <c r="C1624" s="1" t="n">
        <v>45670</v>
      </c>
      <c r="D1624" t="inlineStr">
        <is>
          <t>VÄSTERNORRLANDS LÄN</t>
        </is>
      </c>
      <c r="E1624" t="inlineStr">
        <is>
          <t>SOLLEFTEÅ</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48510-2022</t>
        </is>
      </c>
      <c r="B1625" s="1" t="n">
        <v>44858</v>
      </c>
      <c r="C1625" s="1" t="n">
        <v>45670</v>
      </c>
      <c r="D1625" t="inlineStr">
        <is>
          <t>VÄSTERNORRLANDS LÄN</t>
        </is>
      </c>
      <c r="E1625" t="inlineStr">
        <is>
          <t>SOLLEFTEÅ</t>
        </is>
      </c>
      <c r="F1625" t="inlineStr">
        <is>
          <t>SCA</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48535-2022</t>
        </is>
      </c>
      <c r="B1626" s="1" t="n">
        <v>44859</v>
      </c>
      <c r="C1626" s="1" t="n">
        <v>45670</v>
      </c>
      <c r="D1626" t="inlineStr">
        <is>
          <t>VÄSTERNORRLANDS LÄN</t>
        </is>
      </c>
      <c r="E1626" t="inlineStr">
        <is>
          <t>SOLLEFTEÅ</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48513-2022</t>
        </is>
      </c>
      <c r="B1627" s="1" t="n">
        <v>44859</v>
      </c>
      <c r="C1627" s="1" t="n">
        <v>45670</v>
      </c>
      <c r="D1627" t="inlineStr">
        <is>
          <t>VÄSTERNORRLANDS LÄN</t>
        </is>
      </c>
      <c r="E1627" t="inlineStr">
        <is>
          <t>SOLLEFTEÅ</t>
        </is>
      </c>
      <c r="F1627" t="inlineStr">
        <is>
          <t>SCA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48905-2022</t>
        </is>
      </c>
      <c r="B1628" s="1" t="n">
        <v>44859</v>
      </c>
      <c r="C1628" s="1" t="n">
        <v>45670</v>
      </c>
      <c r="D1628" t="inlineStr">
        <is>
          <t>VÄSTERNORRLANDS LÄN</t>
        </is>
      </c>
      <c r="E1628" t="inlineStr">
        <is>
          <t>SOLLEFTEÅ</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48915-2022</t>
        </is>
      </c>
      <c r="B1629" s="1" t="n">
        <v>44860</v>
      </c>
      <c r="C1629" s="1" t="n">
        <v>45670</v>
      </c>
      <c r="D1629" t="inlineStr">
        <is>
          <t>VÄSTERNORRLANDS LÄN</t>
        </is>
      </c>
      <c r="E1629" t="inlineStr">
        <is>
          <t>SOLLEFTEÅ</t>
        </is>
      </c>
      <c r="F1629" t="inlineStr">
        <is>
          <t>SCA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48919-2022</t>
        </is>
      </c>
      <c r="B1630" s="1" t="n">
        <v>44859</v>
      </c>
      <c r="C1630" s="1" t="n">
        <v>45670</v>
      </c>
      <c r="D1630" t="inlineStr">
        <is>
          <t>VÄSTERNORRLANDS LÄN</t>
        </is>
      </c>
      <c r="E1630" t="inlineStr">
        <is>
          <t>SOLLEFTEÅ</t>
        </is>
      </c>
      <c r="F1630" t="inlineStr">
        <is>
          <t>SCA</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48901-2022</t>
        </is>
      </c>
      <c r="B1631" s="1" t="n">
        <v>44860</v>
      </c>
      <c r="C1631" s="1" t="n">
        <v>45670</v>
      </c>
      <c r="D1631" t="inlineStr">
        <is>
          <t>VÄSTERNORRLANDS LÄN</t>
        </is>
      </c>
      <c r="E1631" t="inlineStr">
        <is>
          <t>SOLLEFTEÅ</t>
        </is>
      </c>
      <c r="F1631" t="inlineStr">
        <is>
          <t>SCA</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48913-2022</t>
        </is>
      </c>
      <c r="B1632" s="1" t="n">
        <v>44860</v>
      </c>
      <c r="C1632" s="1" t="n">
        <v>45670</v>
      </c>
      <c r="D1632" t="inlineStr">
        <is>
          <t>VÄSTERNORRLANDS LÄN</t>
        </is>
      </c>
      <c r="E1632" t="inlineStr">
        <is>
          <t>SOLLEFTEÅ</t>
        </is>
      </c>
      <c r="F1632" t="inlineStr">
        <is>
          <t>SCA</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48923-2022</t>
        </is>
      </c>
      <c r="B1633" s="1" t="n">
        <v>44860</v>
      </c>
      <c r="C1633" s="1" t="n">
        <v>45670</v>
      </c>
      <c r="D1633" t="inlineStr">
        <is>
          <t>VÄSTERNORRLANDS LÄN</t>
        </is>
      </c>
      <c r="E1633" t="inlineStr">
        <is>
          <t>SOLLEFTEÅ</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48902-2022</t>
        </is>
      </c>
      <c r="B1634" s="1" t="n">
        <v>44859</v>
      </c>
      <c r="C1634" s="1" t="n">
        <v>45670</v>
      </c>
      <c r="D1634" t="inlineStr">
        <is>
          <t>VÄSTERNORRLANDS LÄN</t>
        </is>
      </c>
      <c r="E1634" t="inlineStr">
        <is>
          <t>SOLLEFTEÅ</t>
        </is>
      </c>
      <c r="F1634" t="inlineStr">
        <is>
          <t>SCA</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48914-2022</t>
        </is>
      </c>
      <c r="B1635" s="1" t="n">
        <v>44860</v>
      </c>
      <c r="C1635" s="1" t="n">
        <v>45670</v>
      </c>
      <c r="D1635" t="inlineStr">
        <is>
          <t>VÄSTERNORRLANDS LÄN</t>
        </is>
      </c>
      <c r="E1635" t="inlineStr">
        <is>
          <t>SOLLEFTEÅ</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49694-2022</t>
        </is>
      </c>
      <c r="B1636" s="1" t="n">
        <v>44859</v>
      </c>
      <c r="C1636" s="1" t="n">
        <v>45670</v>
      </c>
      <c r="D1636" t="inlineStr">
        <is>
          <t>VÄSTERNORRLANDS LÄN</t>
        </is>
      </c>
      <c r="E1636" t="inlineStr">
        <is>
          <t>SOLLEFTEÅ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49708-2022</t>
        </is>
      </c>
      <c r="B1637" s="1" t="n">
        <v>44859</v>
      </c>
      <c r="C1637" s="1" t="n">
        <v>45670</v>
      </c>
      <c r="D1637" t="inlineStr">
        <is>
          <t>VÄSTERNORRLANDS LÄN</t>
        </is>
      </c>
      <c r="E1637" t="inlineStr">
        <is>
          <t>SOLLEFTEÅ</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49176-2022</t>
        </is>
      </c>
      <c r="B1638" s="1" t="n">
        <v>44861</v>
      </c>
      <c r="C1638" s="1" t="n">
        <v>45670</v>
      </c>
      <c r="D1638" t="inlineStr">
        <is>
          <t>VÄSTERNORRLANDS LÄN</t>
        </is>
      </c>
      <c r="E1638" t="inlineStr">
        <is>
          <t>SOLLEFTEÅ</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49181-2022</t>
        </is>
      </c>
      <c r="B1639" s="1" t="n">
        <v>44861</v>
      </c>
      <c r="C1639" s="1" t="n">
        <v>45670</v>
      </c>
      <c r="D1639" t="inlineStr">
        <is>
          <t>VÄSTERNORRLANDS LÄN</t>
        </is>
      </c>
      <c r="E1639" t="inlineStr">
        <is>
          <t>SOLLEFTEÅ</t>
        </is>
      </c>
      <c r="F1639" t="inlineStr">
        <is>
          <t>SCA</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49170-2022</t>
        </is>
      </c>
      <c r="B1640" s="1" t="n">
        <v>44861</v>
      </c>
      <c r="C1640" s="1" t="n">
        <v>45670</v>
      </c>
      <c r="D1640" t="inlineStr">
        <is>
          <t>VÄSTERNORRLANDS LÄN</t>
        </is>
      </c>
      <c r="E1640" t="inlineStr">
        <is>
          <t>SOLLEFTEÅ</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49198-2022</t>
        </is>
      </c>
      <c r="B1641" s="1" t="n">
        <v>44860</v>
      </c>
      <c r="C1641" s="1" t="n">
        <v>45670</v>
      </c>
      <c r="D1641" t="inlineStr">
        <is>
          <t>VÄSTERNORRLANDS LÄN</t>
        </is>
      </c>
      <c r="E1641" t="inlineStr">
        <is>
          <t>SOLLEFTEÅ</t>
        </is>
      </c>
      <c r="F1641" t="inlineStr">
        <is>
          <t>SCA</t>
        </is>
      </c>
      <c r="G1641" t="n">
        <v>8.800000000000001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49177-2022</t>
        </is>
      </c>
      <c r="B1642" s="1" t="n">
        <v>44861</v>
      </c>
      <c r="C1642" s="1" t="n">
        <v>45670</v>
      </c>
      <c r="D1642" t="inlineStr">
        <is>
          <t>VÄSTERNORRLANDS LÄN</t>
        </is>
      </c>
      <c r="E1642" t="inlineStr">
        <is>
          <t>SOLLEFTEÅ</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49171-2022</t>
        </is>
      </c>
      <c r="B1643" s="1" t="n">
        <v>44861</v>
      </c>
      <c r="C1643" s="1" t="n">
        <v>45670</v>
      </c>
      <c r="D1643" t="inlineStr">
        <is>
          <t>VÄSTERNORRLANDS LÄN</t>
        </is>
      </c>
      <c r="E1643" t="inlineStr">
        <is>
          <t>SOLLEFTEÅ</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49175-2022</t>
        </is>
      </c>
      <c r="B1644" s="1" t="n">
        <v>44861</v>
      </c>
      <c r="C1644" s="1" t="n">
        <v>45670</v>
      </c>
      <c r="D1644" t="inlineStr">
        <is>
          <t>VÄSTERNORRLANDS LÄN</t>
        </is>
      </c>
      <c r="E1644" t="inlineStr">
        <is>
          <t>SOLLEFTEÅ</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49200-2022</t>
        </is>
      </c>
      <c r="B1645" s="1" t="n">
        <v>44861</v>
      </c>
      <c r="C1645" s="1" t="n">
        <v>45670</v>
      </c>
      <c r="D1645" t="inlineStr">
        <is>
          <t>VÄSTERNORRLANDS LÄN</t>
        </is>
      </c>
      <c r="E1645" t="inlineStr">
        <is>
          <t>SOLLEFTEÅ</t>
        </is>
      </c>
      <c r="F1645" t="inlineStr">
        <is>
          <t>SCA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49520-2022</t>
        </is>
      </c>
      <c r="B1646" s="1" t="n">
        <v>44862</v>
      </c>
      <c r="C1646" s="1" t="n">
        <v>45670</v>
      </c>
      <c r="D1646" t="inlineStr">
        <is>
          <t>VÄSTERNORRLANDS LÄN</t>
        </is>
      </c>
      <c r="E1646" t="inlineStr">
        <is>
          <t>SOLLEFTEÅ</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49513-2022</t>
        </is>
      </c>
      <c r="B1647" s="1" t="n">
        <v>44862</v>
      </c>
      <c r="C1647" s="1" t="n">
        <v>45670</v>
      </c>
      <c r="D1647" t="inlineStr">
        <is>
          <t>VÄSTERNORRLANDS LÄN</t>
        </is>
      </c>
      <c r="E1647" t="inlineStr">
        <is>
          <t>SOLLEFTEÅ</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49512-2022</t>
        </is>
      </c>
      <c r="B1648" s="1" t="n">
        <v>44861</v>
      </c>
      <c r="C1648" s="1" t="n">
        <v>45670</v>
      </c>
      <c r="D1648" t="inlineStr">
        <is>
          <t>VÄSTERNORRLANDS LÄN</t>
        </is>
      </c>
      <c r="E1648" t="inlineStr">
        <is>
          <t>SOLLEFTEÅ</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49521-2022</t>
        </is>
      </c>
      <c r="B1649" s="1" t="n">
        <v>44861</v>
      </c>
      <c r="C1649" s="1" t="n">
        <v>45670</v>
      </c>
      <c r="D1649" t="inlineStr">
        <is>
          <t>VÄSTERNORRLANDS LÄN</t>
        </is>
      </c>
      <c r="E1649" t="inlineStr">
        <is>
          <t>SOLLEFTEÅ</t>
        </is>
      </c>
      <c r="F1649" t="inlineStr">
        <is>
          <t>SCA</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49538-2022</t>
        </is>
      </c>
      <c r="B1650" s="1" t="n">
        <v>44861</v>
      </c>
      <c r="C1650" s="1" t="n">
        <v>45670</v>
      </c>
      <c r="D1650" t="inlineStr">
        <is>
          <t>VÄSTERNORRLANDS LÄN</t>
        </is>
      </c>
      <c r="E1650" t="inlineStr">
        <is>
          <t>SOLLEFTEÅ</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49665-2022</t>
        </is>
      </c>
      <c r="B1651" s="1" t="n">
        <v>44862</v>
      </c>
      <c r="C1651" s="1" t="n">
        <v>45670</v>
      </c>
      <c r="D1651" t="inlineStr">
        <is>
          <t>VÄSTERNORRLANDS LÄN</t>
        </is>
      </c>
      <c r="E1651" t="inlineStr">
        <is>
          <t>SOLLEFTEÅ</t>
        </is>
      </c>
      <c r="F1651" t="inlineStr">
        <is>
          <t>Holmen skog AB</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49860-2022</t>
        </is>
      </c>
      <c r="B1652" s="1" t="n">
        <v>44862</v>
      </c>
      <c r="C1652" s="1" t="n">
        <v>45670</v>
      </c>
      <c r="D1652" t="inlineStr">
        <is>
          <t>VÄSTERNORRLANDS LÄN</t>
        </is>
      </c>
      <c r="E1652" t="inlineStr">
        <is>
          <t>SOLLEFTEÅ</t>
        </is>
      </c>
      <c r="F1652" t="inlineStr">
        <is>
          <t>SCA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49866-2022</t>
        </is>
      </c>
      <c r="B1653" s="1" t="n">
        <v>44863</v>
      </c>
      <c r="C1653" s="1" t="n">
        <v>45670</v>
      </c>
      <c r="D1653" t="inlineStr">
        <is>
          <t>VÄSTERNORRLANDS LÄN</t>
        </is>
      </c>
      <c r="E1653" t="inlineStr">
        <is>
          <t>SOLLEFTEÅ</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50813-2022</t>
        </is>
      </c>
      <c r="B1654" s="1" t="n">
        <v>44862</v>
      </c>
      <c r="C1654" s="1" t="n">
        <v>45670</v>
      </c>
      <c r="D1654" t="inlineStr">
        <is>
          <t>VÄSTERNORRLANDS LÄN</t>
        </is>
      </c>
      <c r="E1654" t="inlineStr">
        <is>
          <t>SOLLEFTEÅ</t>
        </is>
      </c>
      <c r="F1654" t="inlineStr">
        <is>
          <t>Övriga statliga verk och myndigheter</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50825-2022</t>
        </is>
      </c>
      <c r="B1655" s="1" t="n">
        <v>44862</v>
      </c>
      <c r="C1655" s="1" t="n">
        <v>45670</v>
      </c>
      <c r="D1655" t="inlineStr">
        <is>
          <t>VÄSTERNORRLANDS LÄN</t>
        </is>
      </c>
      <c r="E1655" t="inlineStr">
        <is>
          <t>SOLLEFTEÅ</t>
        </is>
      </c>
      <c r="F1655" t="inlineStr">
        <is>
          <t>Övriga statliga verk och myndigheter</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49911-2022</t>
        </is>
      </c>
      <c r="B1656" s="1" t="n">
        <v>44865</v>
      </c>
      <c r="C1656" s="1" t="n">
        <v>45670</v>
      </c>
      <c r="D1656" t="inlineStr">
        <is>
          <t>VÄSTERNORRLANDS LÄN</t>
        </is>
      </c>
      <c r="E1656" t="inlineStr">
        <is>
          <t>SOLLEFTEÅ</t>
        </is>
      </c>
      <c r="F1656" t="inlineStr">
        <is>
          <t>Holmen skog AB</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50318-2022</t>
        </is>
      </c>
      <c r="B1657" s="1" t="n">
        <v>44865</v>
      </c>
      <c r="C1657" s="1" t="n">
        <v>45670</v>
      </c>
      <c r="D1657" t="inlineStr">
        <is>
          <t>VÄSTERNORRLANDS LÄN</t>
        </is>
      </c>
      <c r="E1657" t="inlineStr">
        <is>
          <t>SOLLEFTEÅ</t>
        </is>
      </c>
      <c r="F1657" t="inlineStr">
        <is>
          <t>SCA</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51080-2022</t>
        </is>
      </c>
      <c r="B1658" s="1" t="n">
        <v>44865</v>
      </c>
      <c r="C1658" s="1" t="n">
        <v>45670</v>
      </c>
      <c r="D1658" t="inlineStr">
        <is>
          <t>VÄSTERNORRLANDS LÄN</t>
        </is>
      </c>
      <c r="E1658" t="inlineStr">
        <is>
          <t>SOLLEFTEÅ</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50641-2022</t>
        </is>
      </c>
      <c r="B1659" s="1" t="n">
        <v>44866</v>
      </c>
      <c r="C1659" s="1" t="n">
        <v>45670</v>
      </c>
      <c r="D1659" t="inlineStr">
        <is>
          <t>VÄSTERNORRLANDS LÄN</t>
        </is>
      </c>
      <c r="E1659" t="inlineStr">
        <is>
          <t>SOLLEFTEÅ</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50642-2022</t>
        </is>
      </c>
      <c r="B1660" s="1" t="n">
        <v>44866</v>
      </c>
      <c r="C1660" s="1" t="n">
        <v>45670</v>
      </c>
      <c r="D1660" t="inlineStr">
        <is>
          <t>VÄSTERNORRLANDS LÄN</t>
        </is>
      </c>
      <c r="E1660" t="inlineStr">
        <is>
          <t>SOLLEFTEÅ</t>
        </is>
      </c>
      <c r="F1660" t="inlineStr">
        <is>
          <t>SCA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50655-2022</t>
        </is>
      </c>
      <c r="B1661" s="1" t="n">
        <v>44866</v>
      </c>
      <c r="C1661" s="1" t="n">
        <v>45670</v>
      </c>
      <c r="D1661" t="inlineStr">
        <is>
          <t>VÄSTERNORRLANDS LÄN</t>
        </is>
      </c>
      <c r="E1661" t="inlineStr">
        <is>
          <t>SOLLEFTEÅ</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50656-2022</t>
        </is>
      </c>
      <c r="B1662" s="1" t="n">
        <v>44866</v>
      </c>
      <c r="C1662" s="1" t="n">
        <v>45670</v>
      </c>
      <c r="D1662" t="inlineStr">
        <is>
          <t>VÄSTERNORRLANDS LÄN</t>
        </is>
      </c>
      <c r="E1662" t="inlineStr">
        <is>
          <t>SOLLEFTEÅ</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50662-2022</t>
        </is>
      </c>
      <c r="B1663" s="1" t="n">
        <v>44866</v>
      </c>
      <c r="C1663" s="1" t="n">
        <v>45670</v>
      </c>
      <c r="D1663" t="inlineStr">
        <is>
          <t>VÄSTERNORRLANDS LÄN</t>
        </is>
      </c>
      <c r="E1663" t="inlineStr">
        <is>
          <t>SOLLEFTEÅ</t>
        </is>
      </c>
      <c r="F1663" t="inlineStr">
        <is>
          <t>SCA</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51249-2022</t>
        </is>
      </c>
      <c r="B1664" s="1" t="n">
        <v>44866</v>
      </c>
      <c r="C1664" s="1" t="n">
        <v>45670</v>
      </c>
      <c r="D1664" t="inlineStr">
        <is>
          <t>VÄSTERNORRLANDS LÄN</t>
        </is>
      </c>
      <c r="E1664" t="inlineStr">
        <is>
          <t>SOLLEFTEÅ</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51006-2022</t>
        </is>
      </c>
      <c r="B1665" s="1" t="n">
        <v>44867</v>
      </c>
      <c r="C1665" s="1" t="n">
        <v>45670</v>
      </c>
      <c r="D1665" t="inlineStr">
        <is>
          <t>VÄSTERNORRLANDS LÄN</t>
        </is>
      </c>
      <c r="E1665" t="inlineStr">
        <is>
          <t>SOLLEFTEÅ</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51212-2022</t>
        </is>
      </c>
      <c r="B1666" s="1" t="n">
        <v>44868</v>
      </c>
      <c r="C1666" s="1" t="n">
        <v>45670</v>
      </c>
      <c r="D1666" t="inlineStr">
        <is>
          <t>VÄSTERNORRLANDS LÄN</t>
        </is>
      </c>
      <c r="E1666" t="inlineStr">
        <is>
          <t>SOLLEFTEÅ</t>
        </is>
      </c>
      <c r="F1666" t="inlineStr">
        <is>
          <t>Holmen skog AB</t>
        </is>
      </c>
      <c r="G1666" t="n">
        <v>18.3</v>
      </c>
      <c r="H1666" t="n">
        <v>0</v>
      </c>
      <c r="I1666" t="n">
        <v>0</v>
      </c>
      <c r="J1666" t="n">
        <v>0</v>
      </c>
      <c r="K1666" t="n">
        <v>0</v>
      </c>
      <c r="L1666" t="n">
        <v>0</v>
      </c>
      <c r="M1666" t="n">
        <v>0</v>
      </c>
      <c r="N1666" t="n">
        <v>0</v>
      </c>
      <c r="O1666" t="n">
        <v>0</v>
      </c>
      <c r="P1666" t="n">
        <v>0</v>
      </c>
      <c r="Q1666" t="n">
        <v>0</v>
      </c>
      <c r="R1666" s="2" t="inlineStr"/>
    </row>
    <row r="1667" ht="15" customHeight="1">
      <c r="A1667" t="inlineStr">
        <is>
          <t>A 51317-2022</t>
        </is>
      </c>
      <c r="B1667" s="1" t="n">
        <v>44868</v>
      </c>
      <c r="C1667" s="1" t="n">
        <v>45670</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51314-2022</t>
        </is>
      </c>
      <c r="B1668" s="1" t="n">
        <v>44868</v>
      </c>
      <c r="C1668" s="1" t="n">
        <v>45670</v>
      </c>
      <c r="D1668" t="inlineStr">
        <is>
          <t>VÄSTERNORRLANDS LÄN</t>
        </is>
      </c>
      <c r="E1668" t="inlineStr">
        <is>
          <t>SOLLEFTEÅ</t>
        </is>
      </c>
      <c r="F1668" t="inlineStr">
        <is>
          <t>SCA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51544-2022</t>
        </is>
      </c>
      <c r="B1669" s="1" t="n">
        <v>44869</v>
      </c>
      <c r="C1669" s="1" t="n">
        <v>45670</v>
      </c>
      <c r="D1669" t="inlineStr">
        <is>
          <t>VÄSTERNORRLANDS LÄN</t>
        </is>
      </c>
      <c r="E1669" t="inlineStr">
        <is>
          <t>SOLLEFTEÅ</t>
        </is>
      </c>
      <c r="F1669" t="inlineStr">
        <is>
          <t>SCA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51541-2022</t>
        </is>
      </c>
      <c r="B1670" s="1" t="n">
        <v>44869</v>
      </c>
      <c r="C1670" s="1" t="n">
        <v>45670</v>
      </c>
      <c r="D1670" t="inlineStr">
        <is>
          <t>VÄSTERNORRLANDS LÄN</t>
        </is>
      </c>
      <c r="E1670" t="inlineStr">
        <is>
          <t>SOLLEFTEÅ</t>
        </is>
      </c>
      <c r="F1670" t="inlineStr">
        <is>
          <t>SCA</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51543-2022</t>
        </is>
      </c>
      <c r="B1671" s="1" t="n">
        <v>44869</v>
      </c>
      <c r="C1671" s="1" t="n">
        <v>45670</v>
      </c>
      <c r="D1671" t="inlineStr">
        <is>
          <t>VÄSTERNORRLANDS LÄN</t>
        </is>
      </c>
      <c r="E1671" t="inlineStr">
        <is>
          <t>SOLLEFTEÅ</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51739-2022</t>
        </is>
      </c>
      <c r="B1672" s="1" t="n">
        <v>44872</v>
      </c>
      <c r="C1672" s="1" t="n">
        <v>45670</v>
      </c>
      <c r="D1672" t="inlineStr">
        <is>
          <t>VÄSTERNORRLANDS LÄN</t>
        </is>
      </c>
      <c r="E1672" t="inlineStr">
        <is>
          <t>SOLLEFTEÅ</t>
        </is>
      </c>
      <c r="G1672" t="n">
        <v>8.6</v>
      </c>
      <c r="H1672" t="n">
        <v>0</v>
      </c>
      <c r="I1672" t="n">
        <v>0</v>
      </c>
      <c r="J1672" t="n">
        <v>0</v>
      </c>
      <c r="K1672" t="n">
        <v>0</v>
      </c>
      <c r="L1672" t="n">
        <v>0</v>
      </c>
      <c r="M1672" t="n">
        <v>0</v>
      </c>
      <c r="N1672" t="n">
        <v>0</v>
      </c>
      <c r="O1672" t="n">
        <v>0</v>
      </c>
      <c r="P1672" t="n">
        <v>0</v>
      </c>
      <c r="Q1672" t="n">
        <v>0</v>
      </c>
      <c r="R1672" s="2" t="inlineStr"/>
    </row>
    <row r="1673" ht="15" customHeight="1">
      <c r="A1673" t="inlineStr">
        <is>
          <t>A 52013-2022</t>
        </is>
      </c>
      <c r="B1673" s="1" t="n">
        <v>44872</v>
      </c>
      <c r="C1673" s="1" t="n">
        <v>45670</v>
      </c>
      <c r="D1673" t="inlineStr">
        <is>
          <t>VÄSTERNORRLANDS LÄN</t>
        </is>
      </c>
      <c r="E1673" t="inlineStr">
        <is>
          <t>SOLLEFTEÅ</t>
        </is>
      </c>
      <c r="F1673" t="inlineStr">
        <is>
          <t>SCA</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52034-2022</t>
        </is>
      </c>
      <c r="B1674" s="1" t="n">
        <v>44872</v>
      </c>
      <c r="C1674" s="1" t="n">
        <v>45670</v>
      </c>
      <c r="D1674" t="inlineStr">
        <is>
          <t>VÄSTERNORRLANDS LÄN</t>
        </is>
      </c>
      <c r="E1674" t="inlineStr">
        <is>
          <t>SOLLEFTEÅ</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52040-2022</t>
        </is>
      </c>
      <c r="B1675" s="1" t="n">
        <v>44872</v>
      </c>
      <c r="C1675" s="1" t="n">
        <v>45670</v>
      </c>
      <c r="D1675" t="inlineStr">
        <is>
          <t>VÄSTERNORRLANDS LÄN</t>
        </is>
      </c>
      <c r="E1675" t="inlineStr">
        <is>
          <t>SOLLEFTEÅ</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52035-2022</t>
        </is>
      </c>
      <c r="B1676" s="1" t="n">
        <v>44872</v>
      </c>
      <c r="C1676" s="1" t="n">
        <v>45670</v>
      </c>
      <c r="D1676" t="inlineStr">
        <is>
          <t>VÄSTERNORRLANDS LÄN</t>
        </is>
      </c>
      <c r="E1676" t="inlineStr">
        <is>
          <t>SOLLEFTEÅ</t>
        </is>
      </c>
      <c r="F1676" t="inlineStr">
        <is>
          <t>SCA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52039-2022</t>
        </is>
      </c>
      <c r="B1677" s="1" t="n">
        <v>44872</v>
      </c>
      <c r="C1677" s="1" t="n">
        <v>45670</v>
      </c>
      <c r="D1677" t="inlineStr">
        <is>
          <t>VÄSTERNORRLANDS LÄN</t>
        </is>
      </c>
      <c r="E1677" t="inlineStr">
        <is>
          <t>SOLLEFTEÅ</t>
        </is>
      </c>
      <c r="F1677" t="inlineStr">
        <is>
          <t>SCA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53128-2022</t>
        </is>
      </c>
      <c r="B1678" s="1" t="n">
        <v>44873</v>
      </c>
      <c r="C1678" s="1" t="n">
        <v>45670</v>
      </c>
      <c r="D1678" t="inlineStr">
        <is>
          <t>VÄSTERNORRLANDS LÄN</t>
        </is>
      </c>
      <c r="E1678" t="inlineStr">
        <is>
          <t>SOLLEFTEÅ</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53123-2022</t>
        </is>
      </c>
      <c r="B1679" s="1" t="n">
        <v>44873</v>
      </c>
      <c r="C1679" s="1" t="n">
        <v>45670</v>
      </c>
      <c r="D1679" t="inlineStr">
        <is>
          <t>VÄSTERNORRLANDS LÄN</t>
        </is>
      </c>
      <c r="E1679" t="inlineStr">
        <is>
          <t>SOLLEFTEÅ</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52549-2022</t>
        </is>
      </c>
      <c r="B1680" s="1" t="n">
        <v>44874</v>
      </c>
      <c r="C1680" s="1" t="n">
        <v>45670</v>
      </c>
      <c r="D1680" t="inlineStr">
        <is>
          <t>VÄSTERNORRLANDS LÄN</t>
        </is>
      </c>
      <c r="E1680" t="inlineStr">
        <is>
          <t>SOLLEFTEÅ</t>
        </is>
      </c>
      <c r="F1680" t="inlineStr">
        <is>
          <t>Holmen skog AB</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52735-2022</t>
        </is>
      </c>
      <c r="B1681" s="1" t="n">
        <v>44874</v>
      </c>
      <c r="C1681" s="1" t="n">
        <v>45670</v>
      </c>
      <c r="D1681" t="inlineStr">
        <is>
          <t>VÄSTERNORRLANDS LÄN</t>
        </is>
      </c>
      <c r="E1681" t="inlineStr">
        <is>
          <t>SOLLEFTEÅ</t>
        </is>
      </c>
      <c r="F1681" t="inlineStr">
        <is>
          <t>SCA</t>
        </is>
      </c>
      <c r="G1681" t="n">
        <v>11.2</v>
      </c>
      <c r="H1681" t="n">
        <v>0</v>
      </c>
      <c r="I1681" t="n">
        <v>0</v>
      </c>
      <c r="J1681" t="n">
        <v>0</v>
      </c>
      <c r="K1681" t="n">
        <v>0</v>
      </c>
      <c r="L1681" t="n">
        <v>0</v>
      </c>
      <c r="M1681" t="n">
        <v>0</v>
      </c>
      <c r="N1681" t="n">
        <v>0</v>
      </c>
      <c r="O1681" t="n">
        <v>0</v>
      </c>
      <c r="P1681" t="n">
        <v>0</v>
      </c>
      <c r="Q1681" t="n">
        <v>0</v>
      </c>
      <c r="R1681" s="2" t="inlineStr"/>
    </row>
    <row r="1682" ht="15" customHeight="1">
      <c r="A1682" t="inlineStr">
        <is>
          <t>A 52595-2022</t>
        </is>
      </c>
      <c r="B1682" s="1" t="n">
        <v>44874</v>
      </c>
      <c r="C1682" s="1" t="n">
        <v>45670</v>
      </c>
      <c r="D1682" t="inlineStr">
        <is>
          <t>VÄSTERNORRLANDS LÄN</t>
        </is>
      </c>
      <c r="E1682" t="inlineStr">
        <is>
          <t>SOLLEFTEÅ</t>
        </is>
      </c>
      <c r="F1682" t="inlineStr">
        <is>
          <t>Holmen skog AB</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52717-2022</t>
        </is>
      </c>
      <c r="B1683" s="1" t="n">
        <v>44874</v>
      </c>
      <c r="C1683" s="1" t="n">
        <v>45670</v>
      </c>
      <c r="D1683" t="inlineStr">
        <is>
          <t>VÄSTERNORRLANDS LÄN</t>
        </is>
      </c>
      <c r="E1683" t="inlineStr">
        <is>
          <t>SOLLEFTEÅ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52718-2022</t>
        </is>
      </c>
      <c r="B1684" s="1" t="n">
        <v>44874</v>
      </c>
      <c r="C1684" s="1" t="n">
        <v>45670</v>
      </c>
      <c r="D1684" t="inlineStr">
        <is>
          <t>VÄSTERNORRLANDS LÄN</t>
        </is>
      </c>
      <c r="E1684" t="inlineStr">
        <is>
          <t>SOLLEFTEÅ</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53012-2022</t>
        </is>
      </c>
      <c r="B1685" s="1" t="n">
        <v>44875</v>
      </c>
      <c r="C1685" s="1" t="n">
        <v>45670</v>
      </c>
      <c r="D1685" t="inlineStr">
        <is>
          <t>VÄSTERNORRLANDS LÄN</t>
        </is>
      </c>
      <c r="E1685" t="inlineStr">
        <is>
          <t>SOLLEFTEÅ</t>
        </is>
      </c>
      <c r="F1685" t="inlineStr">
        <is>
          <t>SCA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52777-2022</t>
        </is>
      </c>
      <c r="B1686" s="1" t="n">
        <v>44875</v>
      </c>
      <c r="C1686" s="1" t="n">
        <v>45670</v>
      </c>
      <c r="D1686" t="inlineStr">
        <is>
          <t>VÄSTERNORRLANDS LÄN</t>
        </is>
      </c>
      <c r="E1686" t="inlineStr">
        <is>
          <t>SOLLEFTEÅ</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53000-2022</t>
        </is>
      </c>
      <c r="B1687" s="1" t="n">
        <v>44875</v>
      </c>
      <c r="C1687" s="1" t="n">
        <v>45670</v>
      </c>
      <c r="D1687" t="inlineStr">
        <is>
          <t>VÄSTERNORRLANDS LÄN</t>
        </is>
      </c>
      <c r="E1687" t="inlineStr">
        <is>
          <t>SOLLEFTEÅ</t>
        </is>
      </c>
      <c r="F1687" t="inlineStr">
        <is>
          <t>SCA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53011-2022</t>
        </is>
      </c>
      <c r="B1688" s="1" t="n">
        <v>44875</v>
      </c>
      <c r="C1688" s="1" t="n">
        <v>45670</v>
      </c>
      <c r="D1688" t="inlineStr">
        <is>
          <t>VÄSTERNORRLANDS LÄN</t>
        </is>
      </c>
      <c r="E1688" t="inlineStr">
        <is>
          <t>SOLLEFTEÅ</t>
        </is>
      </c>
      <c r="F1688" t="inlineStr">
        <is>
          <t>SCA</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53669-2022</t>
        </is>
      </c>
      <c r="B1689" s="1" t="n">
        <v>44879</v>
      </c>
      <c r="C1689" s="1" t="n">
        <v>45670</v>
      </c>
      <c r="D1689" t="inlineStr">
        <is>
          <t>VÄSTERNORRLANDS LÄN</t>
        </is>
      </c>
      <c r="E1689" t="inlineStr">
        <is>
          <t>SOLLEFTEÅ</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53933-2022</t>
        </is>
      </c>
      <c r="B1690" s="1" t="n">
        <v>44880</v>
      </c>
      <c r="C1690" s="1" t="n">
        <v>45670</v>
      </c>
      <c r="D1690" t="inlineStr">
        <is>
          <t>VÄSTERNORRLANDS LÄN</t>
        </is>
      </c>
      <c r="E1690" t="inlineStr">
        <is>
          <t>SOLLEFTEÅ</t>
        </is>
      </c>
      <c r="F1690" t="inlineStr">
        <is>
          <t>SCA</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53929-2022</t>
        </is>
      </c>
      <c r="B1691" s="1" t="n">
        <v>44880</v>
      </c>
      <c r="C1691" s="1" t="n">
        <v>45670</v>
      </c>
      <c r="D1691" t="inlineStr">
        <is>
          <t>VÄSTERNORRLANDS LÄN</t>
        </is>
      </c>
      <c r="E1691" t="inlineStr">
        <is>
          <t>SOLLEFTEÅ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53944-2022</t>
        </is>
      </c>
      <c r="B1692" s="1" t="n">
        <v>44880</v>
      </c>
      <c r="C1692" s="1" t="n">
        <v>45670</v>
      </c>
      <c r="D1692" t="inlineStr">
        <is>
          <t>VÄSTERNORRLANDS LÄN</t>
        </is>
      </c>
      <c r="E1692" t="inlineStr">
        <is>
          <t>SOLLEFTEÅ</t>
        </is>
      </c>
      <c r="F1692" t="inlineStr">
        <is>
          <t>SCA</t>
        </is>
      </c>
      <c r="G1692" t="n">
        <v>9.800000000000001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53947-2022</t>
        </is>
      </c>
      <c r="B1693" s="1" t="n">
        <v>44880</v>
      </c>
      <c r="C1693" s="1" t="n">
        <v>45670</v>
      </c>
      <c r="D1693" t="inlineStr">
        <is>
          <t>VÄSTERNORRLANDS LÄN</t>
        </is>
      </c>
      <c r="E1693" t="inlineStr">
        <is>
          <t>SOLLEFTEÅ</t>
        </is>
      </c>
      <c r="F1693" t="inlineStr">
        <is>
          <t>SCA</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53985-2022</t>
        </is>
      </c>
      <c r="B1694" s="1" t="n">
        <v>44881</v>
      </c>
      <c r="C1694" s="1" t="n">
        <v>45670</v>
      </c>
      <c r="D1694" t="inlineStr">
        <is>
          <t>VÄSTERNORRLANDS LÄN</t>
        </is>
      </c>
      <c r="E1694" t="inlineStr">
        <is>
          <t>SOLLEFTEÅ</t>
        </is>
      </c>
      <c r="F1694" t="inlineStr">
        <is>
          <t>Holmen skog AB</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54256-2022</t>
        </is>
      </c>
      <c r="B1695" s="1" t="n">
        <v>44881</v>
      </c>
      <c r="C1695" s="1" t="n">
        <v>45670</v>
      </c>
      <c r="D1695" t="inlineStr">
        <is>
          <t>VÄSTERNORRLANDS LÄN</t>
        </is>
      </c>
      <c r="E1695" t="inlineStr">
        <is>
          <t>SOLLEFTEÅ</t>
        </is>
      </c>
      <c r="F1695" t="inlineStr">
        <is>
          <t>SCA</t>
        </is>
      </c>
      <c r="G1695" t="n">
        <v>6.1</v>
      </c>
      <c r="H1695" t="n">
        <v>0</v>
      </c>
      <c r="I1695" t="n">
        <v>0</v>
      </c>
      <c r="J1695" t="n">
        <v>0</v>
      </c>
      <c r="K1695" t="n">
        <v>0</v>
      </c>
      <c r="L1695" t="n">
        <v>0</v>
      </c>
      <c r="M1695" t="n">
        <v>0</v>
      </c>
      <c r="N1695" t="n">
        <v>0</v>
      </c>
      <c r="O1695" t="n">
        <v>0</v>
      </c>
      <c r="P1695" t="n">
        <v>0</v>
      </c>
      <c r="Q1695" t="n">
        <v>0</v>
      </c>
      <c r="R1695" s="2" t="inlineStr"/>
    </row>
    <row r="1696" ht="15" customHeight="1">
      <c r="A1696" t="inlineStr">
        <is>
          <t>A 54242-2022</t>
        </is>
      </c>
      <c r="B1696" s="1" t="n">
        <v>44881</v>
      </c>
      <c r="C1696" s="1" t="n">
        <v>45670</v>
      </c>
      <c r="D1696" t="inlineStr">
        <is>
          <t>VÄSTERNORRLANDS LÄN</t>
        </is>
      </c>
      <c r="E1696" t="inlineStr">
        <is>
          <t>SOLLEFTEÅ</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54249-2022</t>
        </is>
      </c>
      <c r="B1697" s="1" t="n">
        <v>44881</v>
      </c>
      <c r="C1697" s="1" t="n">
        <v>45670</v>
      </c>
      <c r="D1697" t="inlineStr">
        <is>
          <t>VÄSTERNORRLANDS LÄN</t>
        </is>
      </c>
      <c r="E1697" t="inlineStr">
        <is>
          <t>SOLLEFTEÅ</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54255-2022</t>
        </is>
      </c>
      <c r="B1698" s="1" t="n">
        <v>44881</v>
      </c>
      <c r="C1698" s="1" t="n">
        <v>45670</v>
      </c>
      <c r="D1698" t="inlineStr">
        <is>
          <t>VÄSTERNORRLANDS LÄN</t>
        </is>
      </c>
      <c r="E1698" t="inlineStr">
        <is>
          <t>SOLLEFTEÅ</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54280-2022</t>
        </is>
      </c>
      <c r="B1699" s="1" t="n">
        <v>44882</v>
      </c>
      <c r="C1699" s="1" t="n">
        <v>45670</v>
      </c>
      <c r="D1699" t="inlineStr">
        <is>
          <t>VÄSTERNORRLANDS LÄN</t>
        </is>
      </c>
      <c r="E1699" t="inlineStr">
        <is>
          <t>SOLLEFTEÅ</t>
        </is>
      </c>
      <c r="F1699" t="inlineStr">
        <is>
          <t>Holmen skog AB</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54538-2022</t>
        </is>
      </c>
      <c r="B1700" s="1" t="n">
        <v>44882</v>
      </c>
      <c r="C1700" s="1" t="n">
        <v>45670</v>
      </c>
      <c r="D1700" t="inlineStr">
        <is>
          <t>VÄSTERNORRLANDS LÄN</t>
        </is>
      </c>
      <c r="E1700" t="inlineStr">
        <is>
          <t>SOLLEFTEÅ</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54559-2022</t>
        </is>
      </c>
      <c r="B1701" s="1" t="n">
        <v>44882</v>
      </c>
      <c r="C1701" s="1" t="n">
        <v>45670</v>
      </c>
      <c r="D1701" t="inlineStr">
        <is>
          <t>VÄSTERNORRLANDS LÄN</t>
        </is>
      </c>
      <c r="E1701" t="inlineStr">
        <is>
          <t>SOLLEFTEÅ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54573-2022</t>
        </is>
      </c>
      <c r="B1702" s="1" t="n">
        <v>44882</v>
      </c>
      <c r="C1702" s="1" t="n">
        <v>45670</v>
      </c>
      <c r="D1702" t="inlineStr">
        <is>
          <t>VÄSTERNORRLANDS LÄN</t>
        </is>
      </c>
      <c r="E1702" t="inlineStr">
        <is>
          <t>SOLLEFTEÅ</t>
        </is>
      </c>
      <c r="F1702" t="inlineStr">
        <is>
          <t>SCA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54569-2022</t>
        </is>
      </c>
      <c r="B1703" s="1" t="n">
        <v>44882</v>
      </c>
      <c r="C1703" s="1" t="n">
        <v>45670</v>
      </c>
      <c r="D1703" t="inlineStr">
        <is>
          <t>VÄSTERNORRLANDS LÄN</t>
        </is>
      </c>
      <c r="E1703" t="inlineStr">
        <is>
          <t>SOLLEFTEÅ</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55209-2022</t>
        </is>
      </c>
      <c r="B1704" s="1" t="n">
        <v>44887</v>
      </c>
      <c r="C1704" s="1" t="n">
        <v>45670</v>
      </c>
      <c r="D1704" t="inlineStr">
        <is>
          <t>VÄSTERNORRLANDS LÄN</t>
        </is>
      </c>
      <c r="E1704" t="inlineStr">
        <is>
          <t>SOLLEFTEÅ</t>
        </is>
      </c>
      <c r="F1704" t="inlineStr">
        <is>
          <t>SCA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55692-2022</t>
        </is>
      </c>
      <c r="B1705" s="1" t="n">
        <v>44888</v>
      </c>
      <c r="C1705" s="1" t="n">
        <v>45670</v>
      </c>
      <c r="D1705" t="inlineStr">
        <is>
          <t>VÄSTERNORRLANDS LÄN</t>
        </is>
      </c>
      <c r="E1705" t="inlineStr">
        <is>
          <t>SOLLEFTEÅ</t>
        </is>
      </c>
      <c r="F1705" t="inlineStr">
        <is>
          <t>Holmen skog AB</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55898-2022</t>
        </is>
      </c>
      <c r="B1706" s="1" t="n">
        <v>44888</v>
      </c>
      <c r="C1706" s="1" t="n">
        <v>45670</v>
      </c>
      <c r="D1706" t="inlineStr">
        <is>
          <t>VÄSTERNORRLANDS LÄN</t>
        </is>
      </c>
      <c r="E1706" t="inlineStr">
        <is>
          <t>SOLLEFTEÅ</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56176-2022</t>
        </is>
      </c>
      <c r="B1707" s="1" t="n">
        <v>44889</v>
      </c>
      <c r="C1707" s="1" t="n">
        <v>45670</v>
      </c>
      <c r="D1707" t="inlineStr">
        <is>
          <t>VÄSTERNORRLANDS LÄN</t>
        </is>
      </c>
      <c r="E1707" t="inlineStr">
        <is>
          <t>SOLLEFTEÅ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56175-2022</t>
        </is>
      </c>
      <c r="B1708" s="1" t="n">
        <v>44889</v>
      </c>
      <c r="C1708" s="1" t="n">
        <v>45670</v>
      </c>
      <c r="D1708" t="inlineStr">
        <is>
          <t>VÄSTERNORRLANDS LÄN</t>
        </is>
      </c>
      <c r="E1708" t="inlineStr">
        <is>
          <t>SOLLEFTEÅ</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56184-2022</t>
        </is>
      </c>
      <c r="B1709" s="1" t="n">
        <v>44889</v>
      </c>
      <c r="C1709" s="1" t="n">
        <v>45670</v>
      </c>
      <c r="D1709" t="inlineStr">
        <is>
          <t>VÄSTERNORRLANDS LÄN</t>
        </is>
      </c>
      <c r="E1709" t="inlineStr">
        <is>
          <t>SOLLEFTEÅ</t>
        </is>
      </c>
      <c r="F1709" t="inlineStr">
        <is>
          <t>SCA</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56544-2022</t>
        </is>
      </c>
      <c r="B1710" s="1" t="n">
        <v>44893</v>
      </c>
      <c r="C1710" s="1" t="n">
        <v>45670</v>
      </c>
      <c r="D1710" t="inlineStr">
        <is>
          <t>VÄSTERNORRLANDS LÄN</t>
        </is>
      </c>
      <c r="E1710" t="inlineStr">
        <is>
          <t>SOLLEFTEÅ</t>
        </is>
      </c>
      <c r="F1710" t="inlineStr">
        <is>
          <t>Holmen skog AB</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57019-2022</t>
        </is>
      </c>
      <c r="B1711" s="1" t="n">
        <v>44895</v>
      </c>
      <c r="C1711" s="1" t="n">
        <v>45670</v>
      </c>
      <c r="D1711" t="inlineStr">
        <is>
          <t>VÄSTERNORRLANDS LÄN</t>
        </is>
      </c>
      <c r="E1711" t="inlineStr">
        <is>
          <t>SOLLEFTEÅ</t>
        </is>
      </c>
      <c r="F1711" t="inlineStr">
        <is>
          <t>SCA</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57020-2022</t>
        </is>
      </c>
      <c r="B1712" s="1" t="n">
        <v>44895</v>
      </c>
      <c r="C1712" s="1" t="n">
        <v>45670</v>
      </c>
      <c r="D1712" t="inlineStr">
        <is>
          <t>VÄSTERNORRLANDS LÄN</t>
        </is>
      </c>
      <c r="E1712" t="inlineStr">
        <is>
          <t>SOLLEFTEÅ</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57282-2022</t>
        </is>
      </c>
      <c r="B1713" s="1" t="n">
        <v>44895</v>
      </c>
      <c r="C1713" s="1" t="n">
        <v>45670</v>
      </c>
      <c r="D1713" t="inlineStr">
        <is>
          <t>VÄSTERNORRLANDS LÄN</t>
        </is>
      </c>
      <c r="E1713" t="inlineStr">
        <is>
          <t>SOLLEFTEÅ</t>
        </is>
      </c>
      <c r="F1713" t="inlineStr">
        <is>
          <t>SCA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57273-2022</t>
        </is>
      </c>
      <c r="B1714" s="1" t="n">
        <v>44895</v>
      </c>
      <c r="C1714" s="1" t="n">
        <v>45670</v>
      </c>
      <c r="D1714" t="inlineStr">
        <is>
          <t>VÄSTERNORRLANDS LÄN</t>
        </is>
      </c>
      <c r="E1714" t="inlineStr">
        <is>
          <t>SOLLEFTEÅ</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58643-2022</t>
        </is>
      </c>
      <c r="B1715" s="1" t="n">
        <v>44895</v>
      </c>
      <c r="C1715" s="1" t="n">
        <v>45670</v>
      </c>
      <c r="D1715" t="inlineStr">
        <is>
          <t>VÄSTERNORRLANDS LÄN</t>
        </is>
      </c>
      <c r="E1715" t="inlineStr">
        <is>
          <t>SOLLEFTEÅ</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58636-2022</t>
        </is>
      </c>
      <c r="B1716" s="1" t="n">
        <v>44895</v>
      </c>
      <c r="C1716" s="1" t="n">
        <v>45670</v>
      </c>
      <c r="D1716" t="inlineStr">
        <is>
          <t>VÄSTERNORRLANDS LÄN</t>
        </is>
      </c>
      <c r="E1716" t="inlineStr">
        <is>
          <t>SOLLEFTEÅ</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58646-2022</t>
        </is>
      </c>
      <c r="B1717" s="1" t="n">
        <v>44895</v>
      </c>
      <c r="C1717" s="1" t="n">
        <v>45670</v>
      </c>
      <c r="D1717" t="inlineStr">
        <is>
          <t>VÄSTERNORRLANDS LÄN</t>
        </is>
      </c>
      <c r="E1717" t="inlineStr">
        <is>
          <t>SOLLEFTEÅ</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57991-2022</t>
        </is>
      </c>
      <c r="B1718" s="1" t="n">
        <v>44900</v>
      </c>
      <c r="C1718" s="1" t="n">
        <v>45670</v>
      </c>
      <c r="D1718" t="inlineStr">
        <is>
          <t>VÄSTERNORRLANDS LÄN</t>
        </is>
      </c>
      <c r="E1718" t="inlineStr">
        <is>
          <t>SOLLEFTEÅ</t>
        </is>
      </c>
      <c r="G1718" t="n">
        <v>14.2</v>
      </c>
      <c r="H1718" t="n">
        <v>0</v>
      </c>
      <c r="I1718" t="n">
        <v>0</v>
      </c>
      <c r="J1718" t="n">
        <v>0</v>
      </c>
      <c r="K1718" t="n">
        <v>0</v>
      </c>
      <c r="L1718" t="n">
        <v>0</v>
      </c>
      <c r="M1718" t="n">
        <v>0</v>
      </c>
      <c r="N1718" t="n">
        <v>0</v>
      </c>
      <c r="O1718" t="n">
        <v>0</v>
      </c>
      <c r="P1718" t="n">
        <v>0</v>
      </c>
      <c r="Q1718" t="n">
        <v>0</v>
      </c>
      <c r="R1718" s="2" t="inlineStr"/>
    </row>
    <row r="1719" ht="15" customHeight="1">
      <c r="A1719" t="inlineStr">
        <is>
          <t>A 58173-2022</t>
        </is>
      </c>
      <c r="B1719" s="1" t="n">
        <v>44900</v>
      </c>
      <c r="C1719" s="1" t="n">
        <v>45670</v>
      </c>
      <c r="D1719" t="inlineStr">
        <is>
          <t>VÄSTERNORRLANDS LÄN</t>
        </is>
      </c>
      <c r="E1719" t="inlineStr">
        <is>
          <t>SOLLEFTEÅ</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58172-2022</t>
        </is>
      </c>
      <c r="B1720" s="1" t="n">
        <v>44900</v>
      </c>
      <c r="C1720" s="1" t="n">
        <v>45670</v>
      </c>
      <c r="D1720" t="inlineStr">
        <is>
          <t>VÄSTERNORRLANDS LÄN</t>
        </is>
      </c>
      <c r="E1720" t="inlineStr">
        <is>
          <t>SOLLEFTEÅ</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58171-2022</t>
        </is>
      </c>
      <c r="B1721" s="1" t="n">
        <v>44900</v>
      </c>
      <c r="C1721" s="1" t="n">
        <v>45670</v>
      </c>
      <c r="D1721" t="inlineStr">
        <is>
          <t>VÄSTERNORRLANDS LÄN</t>
        </is>
      </c>
      <c r="E1721" t="inlineStr">
        <is>
          <t>SOLLEFTEÅ</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58401-2022</t>
        </is>
      </c>
      <c r="B1722" s="1" t="n">
        <v>44901</v>
      </c>
      <c r="C1722" s="1" t="n">
        <v>45670</v>
      </c>
      <c r="D1722" t="inlineStr">
        <is>
          <t>VÄSTERNORRLANDS LÄN</t>
        </is>
      </c>
      <c r="E1722" t="inlineStr">
        <is>
          <t>SOLLEFTEÅ</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58765-2022</t>
        </is>
      </c>
      <c r="B1723" s="1" t="n">
        <v>44903</v>
      </c>
      <c r="C1723" s="1" t="n">
        <v>45670</v>
      </c>
      <c r="D1723" t="inlineStr">
        <is>
          <t>VÄSTERNORRLANDS LÄN</t>
        </is>
      </c>
      <c r="E1723" t="inlineStr">
        <is>
          <t>SOLLEFTEÅ</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59036-2022</t>
        </is>
      </c>
      <c r="B1724" s="1" t="n">
        <v>44903</v>
      </c>
      <c r="C1724" s="1" t="n">
        <v>45670</v>
      </c>
      <c r="D1724" t="inlineStr">
        <is>
          <t>VÄSTERNORRLANDS LÄN</t>
        </is>
      </c>
      <c r="E1724" t="inlineStr">
        <is>
          <t>SOLLEFTEÅ</t>
        </is>
      </c>
      <c r="F1724" t="inlineStr">
        <is>
          <t>SCA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59038-2022</t>
        </is>
      </c>
      <c r="B1725" s="1" t="n">
        <v>44903</v>
      </c>
      <c r="C1725" s="1" t="n">
        <v>45670</v>
      </c>
      <c r="D1725" t="inlineStr">
        <is>
          <t>VÄSTERNORRLANDS LÄN</t>
        </is>
      </c>
      <c r="E1725" t="inlineStr">
        <is>
          <t>SOLLEFTEÅ</t>
        </is>
      </c>
      <c r="F1725" t="inlineStr">
        <is>
          <t>SCA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59037-2022</t>
        </is>
      </c>
      <c r="B1726" s="1" t="n">
        <v>44903</v>
      </c>
      <c r="C1726" s="1" t="n">
        <v>45670</v>
      </c>
      <c r="D1726" t="inlineStr">
        <is>
          <t>VÄSTERNORRLANDS LÄN</t>
        </is>
      </c>
      <c r="E1726" t="inlineStr">
        <is>
          <t>SOLLEFTEÅ</t>
        </is>
      </c>
      <c r="F1726" t="inlineStr">
        <is>
          <t>SCA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59371-2022</t>
        </is>
      </c>
      <c r="B1727" s="1" t="n">
        <v>44904</v>
      </c>
      <c r="C1727" s="1" t="n">
        <v>45670</v>
      </c>
      <c r="D1727" t="inlineStr">
        <is>
          <t>VÄSTERNORRLANDS LÄN</t>
        </is>
      </c>
      <c r="E1727" t="inlineStr">
        <is>
          <t>SOLLEFTEÅ</t>
        </is>
      </c>
      <c r="F1727" t="inlineStr">
        <is>
          <t>SCA</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60482-2022</t>
        </is>
      </c>
      <c r="B1728" s="1" t="n">
        <v>44904</v>
      </c>
      <c r="C1728" s="1" t="n">
        <v>45670</v>
      </c>
      <c r="D1728" t="inlineStr">
        <is>
          <t>VÄSTERNORRLANDS LÄN</t>
        </is>
      </c>
      <c r="E1728" t="inlineStr">
        <is>
          <t>SOLLEFTEÅ</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60856-2022</t>
        </is>
      </c>
      <c r="B1729" s="1" t="n">
        <v>44907</v>
      </c>
      <c r="C1729" s="1" t="n">
        <v>45670</v>
      </c>
      <c r="D1729" t="inlineStr">
        <is>
          <t>VÄSTERNORRLANDS LÄN</t>
        </is>
      </c>
      <c r="E1729" t="inlineStr">
        <is>
          <t>SOLLEFTEÅ</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59647-2022</t>
        </is>
      </c>
      <c r="B1730" s="1" t="n">
        <v>44908</v>
      </c>
      <c r="C1730" s="1" t="n">
        <v>45670</v>
      </c>
      <c r="D1730" t="inlineStr">
        <is>
          <t>VÄSTERNORRLANDS LÄN</t>
        </is>
      </c>
      <c r="E1730" t="inlineStr">
        <is>
          <t>SOLLEFTEÅ</t>
        </is>
      </c>
      <c r="F1730" t="inlineStr">
        <is>
          <t>SCA</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59908-2022</t>
        </is>
      </c>
      <c r="B1731" s="1" t="n">
        <v>44908</v>
      </c>
      <c r="C1731" s="1" t="n">
        <v>45670</v>
      </c>
      <c r="D1731" t="inlineStr">
        <is>
          <t>VÄSTERNORRLANDS LÄN</t>
        </is>
      </c>
      <c r="E1731" t="inlineStr">
        <is>
          <t>SOLLEFTEÅ</t>
        </is>
      </c>
      <c r="F1731" t="inlineStr">
        <is>
          <t>SCA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59854-2022</t>
        </is>
      </c>
      <c r="B1732" s="1" t="n">
        <v>44908</v>
      </c>
      <c r="C1732" s="1" t="n">
        <v>45670</v>
      </c>
      <c r="D1732" t="inlineStr">
        <is>
          <t>VÄSTERNORRLANDS LÄN</t>
        </is>
      </c>
      <c r="E1732" t="inlineStr">
        <is>
          <t>SOLLEFTEÅ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60170-2022</t>
        </is>
      </c>
      <c r="B1733" s="1" t="n">
        <v>44909</v>
      </c>
      <c r="C1733" s="1" t="n">
        <v>45670</v>
      </c>
      <c r="D1733" t="inlineStr">
        <is>
          <t>VÄSTERNORRLANDS LÄN</t>
        </is>
      </c>
      <c r="E1733" t="inlineStr">
        <is>
          <t>SOLLEFTEÅ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60169-2022</t>
        </is>
      </c>
      <c r="B1734" s="1" t="n">
        <v>44909</v>
      </c>
      <c r="C1734" s="1" t="n">
        <v>45670</v>
      </c>
      <c r="D1734" t="inlineStr">
        <is>
          <t>VÄSTERNORRLANDS LÄN</t>
        </is>
      </c>
      <c r="E1734" t="inlineStr">
        <is>
          <t>SOLLEFTEÅ</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60171-2022</t>
        </is>
      </c>
      <c r="B1735" s="1" t="n">
        <v>44909</v>
      </c>
      <c r="C1735" s="1" t="n">
        <v>45670</v>
      </c>
      <c r="D1735" t="inlineStr">
        <is>
          <t>VÄSTERNORRLANDS LÄN</t>
        </is>
      </c>
      <c r="E1735" t="inlineStr">
        <is>
          <t>SOLLEFTEÅ</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60168-2022</t>
        </is>
      </c>
      <c r="B1736" s="1" t="n">
        <v>44909</v>
      </c>
      <c r="C1736" s="1" t="n">
        <v>45670</v>
      </c>
      <c r="D1736" t="inlineStr">
        <is>
          <t>VÄSTERNORRLANDS LÄN</t>
        </is>
      </c>
      <c r="E1736" t="inlineStr">
        <is>
          <t>SOLLEFTEÅ</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60338-2022</t>
        </is>
      </c>
      <c r="B1737" s="1" t="n">
        <v>44910</v>
      </c>
      <c r="C1737" s="1" t="n">
        <v>45670</v>
      </c>
      <c r="D1737" t="inlineStr">
        <is>
          <t>VÄSTERNORRLANDS LÄN</t>
        </is>
      </c>
      <c r="E1737" t="inlineStr">
        <is>
          <t>SOLLEFTEÅ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60420-2022</t>
        </is>
      </c>
      <c r="B1738" s="1" t="n">
        <v>44910</v>
      </c>
      <c r="C1738" s="1" t="n">
        <v>45670</v>
      </c>
      <c r="D1738" t="inlineStr">
        <is>
          <t>VÄSTERNORRLANDS LÄN</t>
        </is>
      </c>
      <c r="E1738" t="inlineStr">
        <is>
          <t>SOLLEFTEÅ</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61473-2022</t>
        </is>
      </c>
      <c r="B1739" s="1" t="n">
        <v>44910</v>
      </c>
      <c r="C1739" s="1" t="n">
        <v>45670</v>
      </c>
      <c r="D1739" t="inlineStr">
        <is>
          <t>VÄSTERNORRLANDS LÄN</t>
        </is>
      </c>
      <c r="E1739" t="inlineStr">
        <is>
          <t>SOLLEFTEÅ</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61459-2022</t>
        </is>
      </c>
      <c r="B1740" s="1" t="n">
        <v>44910</v>
      </c>
      <c r="C1740" s="1" t="n">
        <v>45670</v>
      </c>
      <c r="D1740" t="inlineStr">
        <is>
          <t>VÄSTERNORRLANDS LÄN</t>
        </is>
      </c>
      <c r="E1740" t="inlineStr">
        <is>
          <t>SOLLEFTEÅ</t>
        </is>
      </c>
      <c r="G1740" t="n">
        <v>20.6</v>
      </c>
      <c r="H1740" t="n">
        <v>0</v>
      </c>
      <c r="I1740" t="n">
        <v>0</v>
      </c>
      <c r="J1740" t="n">
        <v>0</v>
      </c>
      <c r="K1740" t="n">
        <v>0</v>
      </c>
      <c r="L1740" t="n">
        <v>0</v>
      </c>
      <c r="M1740" t="n">
        <v>0</v>
      </c>
      <c r="N1740" t="n">
        <v>0</v>
      </c>
      <c r="O1740" t="n">
        <v>0</v>
      </c>
      <c r="P1740" t="n">
        <v>0</v>
      </c>
      <c r="Q1740" t="n">
        <v>0</v>
      </c>
      <c r="R1740" s="2" t="inlineStr"/>
    </row>
    <row r="1741" ht="15" customHeight="1">
      <c r="A1741" t="inlineStr">
        <is>
          <t>A 60665-2022</t>
        </is>
      </c>
      <c r="B1741" s="1" t="n">
        <v>44911</v>
      </c>
      <c r="C1741" s="1" t="n">
        <v>45670</v>
      </c>
      <c r="D1741" t="inlineStr">
        <is>
          <t>VÄSTERNORRLANDS LÄN</t>
        </is>
      </c>
      <c r="E1741" t="inlineStr">
        <is>
          <t>SOLLEFTEÅ</t>
        </is>
      </c>
      <c r="F1741" t="inlineStr">
        <is>
          <t>SCA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60664-2022</t>
        </is>
      </c>
      <c r="B1742" s="1" t="n">
        <v>44911</v>
      </c>
      <c r="C1742" s="1" t="n">
        <v>45670</v>
      </c>
      <c r="D1742" t="inlineStr">
        <is>
          <t>VÄSTERNORRLANDS LÄN</t>
        </is>
      </c>
      <c r="E1742" t="inlineStr">
        <is>
          <t>SOLLEFTEÅ</t>
        </is>
      </c>
      <c r="F1742" t="inlineStr">
        <is>
          <t>SCA</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60666-2022</t>
        </is>
      </c>
      <c r="B1743" s="1" t="n">
        <v>44911</v>
      </c>
      <c r="C1743" s="1" t="n">
        <v>45670</v>
      </c>
      <c r="D1743" t="inlineStr">
        <is>
          <t>VÄSTERNORRLANDS LÄN</t>
        </is>
      </c>
      <c r="E1743" t="inlineStr">
        <is>
          <t>SOLLEFTEÅ</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61384-2022</t>
        </is>
      </c>
      <c r="B1744" s="1" t="n">
        <v>44915</v>
      </c>
      <c r="C1744" s="1" t="n">
        <v>45670</v>
      </c>
      <c r="D1744" t="inlineStr">
        <is>
          <t>VÄSTERNORRLANDS LÄN</t>
        </is>
      </c>
      <c r="E1744" t="inlineStr">
        <is>
          <t>SOLLEFTEÅ</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61345-2022</t>
        </is>
      </c>
      <c r="B1745" s="1" t="n">
        <v>44915</v>
      </c>
      <c r="C1745" s="1" t="n">
        <v>45670</v>
      </c>
      <c r="D1745" t="inlineStr">
        <is>
          <t>VÄSTERNORRLANDS LÄN</t>
        </is>
      </c>
      <c r="E1745" t="inlineStr">
        <is>
          <t>SOLLEFTEÅ</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61341-2022</t>
        </is>
      </c>
      <c r="B1746" s="1" t="n">
        <v>44915</v>
      </c>
      <c r="C1746" s="1" t="n">
        <v>45670</v>
      </c>
      <c r="D1746" t="inlineStr">
        <is>
          <t>VÄSTERNORRLANDS LÄN</t>
        </is>
      </c>
      <c r="E1746" t="inlineStr">
        <is>
          <t>SOLLEFTEÅ</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61376-2022</t>
        </is>
      </c>
      <c r="B1747" s="1" t="n">
        <v>44915</v>
      </c>
      <c r="C1747" s="1" t="n">
        <v>45670</v>
      </c>
      <c r="D1747" t="inlineStr">
        <is>
          <t>VÄSTERNORRLANDS LÄN</t>
        </is>
      </c>
      <c r="E1747" t="inlineStr">
        <is>
          <t>SOLLEFTEÅ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61391-2022</t>
        </is>
      </c>
      <c r="B1748" s="1" t="n">
        <v>44915</v>
      </c>
      <c r="C1748" s="1" t="n">
        <v>45670</v>
      </c>
      <c r="D1748" t="inlineStr">
        <is>
          <t>VÄSTERNORRLANDS LÄN</t>
        </is>
      </c>
      <c r="E1748" t="inlineStr">
        <is>
          <t>SOLLEFTEÅ</t>
        </is>
      </c>
      <c r="F1748" t="inlineStr">
        <is>
          <t>SCA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61383-2022</t>
        </is>
      </c>
      <c r="B1749" s="1" t="n">
        <v>44915</v>
      </c>
      <c r="C1749" s="1" t="n">
        <v>45670</v>
      </c>
      <c r="D1749" t="inlineStr">
        <is>
          <t>VÄSTERNORRLANDS LÄN</t>
        </is>
      </c>
      <c r="E1749" t="inlineStr">
        <is>
          <t>SOLLEFTEÅ</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62217-2022</t>
        </is>
      </c>
      <c r="B1750" s="1" t="n">
        <v>44916</v>
      </c>
      <c r="C1750" s="1" t="n">
        <v>45670</v>
      </c>
      <c r="D1750" t="inlineStr">
        <is>
          <t>VÄSTERNORRLANDS LÄN</t>
        </is>
      </c>
      <c r="E1750" t="inlineStr">
        <is>
          <t>SOLLEFTEÅ</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61920-2022</t>
        </is>
      </c>
      <c r="B1751" s="1" t="n">
        <v>44917</v>
      </c>
      <c r="C1751" s="1" t="n">
        <v>45670</v>
      </c>
      <c r="D1751" t="inlineStr">
        <is>
          <t>VÄSTERNORRLANDS LÄN</t>
        </is>
      </c>
      <c r="E1751" t="inlineStr">
        <is>
          <t>SOLLEFTEÅ</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61936-2022</t>
        </is>
      </c>
      <c r="B1752" s="1" t="n">
        <v>44917</v>
      </c>
      <c r="C1752" s="1" t="n">
        <v>45670</v>
      </c>
      <c r="D1752" t="inlineStr">
        <is>
          <t>VÄSTERNORRLANDS LÄN</t>
        </is>
      </c>
      <c r="E1752" t="inlineStr">
        <is>
          <t>SOLLEFTEÅ</t>
        </is>
      </c>
      <c r="F1752" t="inlineStr">
        <is>
          <t>SCA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62662-2022</t>
        </is>
      </c>
      <c r="B1753" s="1" t="n">
        <v>44917</v>
      </c>
      <c r="C1753" s="1" t="n">
        <v>45670</v>
      </c>
      <c r="D1753" t="inlineStr">
        <is>
          <t>VÄSTERNORRLANDS LÄN</t>
        </is>
      </c>
      <c r="E1753" t="inlineStr">
        <is>
          <t>SOLLEFTEÅ</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28-2023</t>
        </is>
      </c>
      <c r="B1754" s="1" t="n">
        <v>44918</v>
      </c>
      <c r="C1754" s="1" t="n">
        <v>45670</v>
      </c>
      <c r="D1754" t="inlineStr">
        <is>
          <t>VÄSTERNORRLANDS LÄN</t>
        </is>
      </c>
      <c r="E1754" t="inlineStr">
        <is>
          <t>SOLLEFTEÅ</t>
        </is>
      </c>
      <c r="G1754" t="n">
        <v>23.8</v>
      </c>
      <c r="H1754" t="n">
        <v>0</v>
      </c>
      <c r="I1754" t="n">
        <v>0</v>
      </c>
      <c r="J1754" t="n">
        <v>0</v>
      </c>
      <c r="K1754" t="n">
        <v>0</v>
      </c>
      <c r="L1754" t="n">
        <v>0</v>
      </c>
      <c r="M1754" t="n">
        <v>0</v>
      </c>
      <c r="N1754" t="n">
        <v>0</v>
      </c>
      <c r="O1754" t="n">
        <v>0</v>
      </c>
      <c r="P1754" t="n">
        <v>0</v>
      </c>
      <c r="Q1754" t="n">
        <v>0</v>
      </c>
      <c r="R1754" s="2" t="inlineStr"/>
    </row>
    <row r="1755" ht="15" customHeight="1">
      <c r="A1755" t="inlineStr">
        <is>
          <t>A 62262-2022</t>
        </is>
      </c>
      <c r="B1755" s="1" t="n">
        <v>44922</v>
      </c>
      <c r="C1755" s="1" t="n">
        <v>45670</v>
      </c>
      <c r="D1755" t="inlineStr">
        <is>
          <t>VÄSTERNORRLANDS LÄN</t>
        </is>
      </c>
      <c r="E1755" t="inlineStr">
        <is>
          <t>SOLLEFTEÅ</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62260-2022</t>
        </is>
      </c>
      <c r="B1756" s="1" t="n">
        <v>44922</v>
      </c>
      <c r="C1756" s="1" t="n">
        <v>45670</v>
      </c>
      <c r="D1756" t="inlineStr">
        <is>
          <t>VÄSTERNORRLANDS LÄN</t>
        </is>
      </c>
      <c r="E1756" t="inlineStr">
        <is>
          <t>SOLLEFTEÅ</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192-2023</t>
        </is>
      </c>
      <c r="B1757" s="1" t="n">
        <v>44922</v>
      </c>
      <c r="C1757" s="1" t="n">
        <v>45670</v>
      </c>
      <c r="D1757" t="inlineStr">
        <is>
          <t>VÄSTERNORRLANDS LÄN</t>
        </is>
      </c>
      <c r="E1757" t="inlineStr">
        <is>
          <t>SOLLEFTEÅ</t>
        </is>
      </c>
      <c r="G1757" t="n">
        <v>20.9</v>
      </c>
      <c r="H1757" t="n">
        <v>0</v>
      </c>
      <c r="I1757" t="n">
        <v>0</v>
      </c>
      <c r="J1757" t="n">
        <v>0</v>
      </c>
      <c r="K1757" t="n">
        <v>0</v>
      </c>
      <c r="L1757" t="n">
        <v>0</v>
      </c>
      <c r="M1757" t="n">
        <v>0</v>
      </c>
      <c r="N1757" t="n">
        <v>0</v>
      </c>
      <c r="O1757" t="n">
        <v>0</v>
      </c>
      <c r="P1757" t="n">
        <v>0</v>
      </c>
      <c r="Q1757" t="n">
        <v>0</v>
      </c>
      <c r="R1757" s="2" t="inlineStr"/>
    </row>
    <row r="1758" ht="15" customHeight="1">
      <c r="A1758" t="inlineStr">
        <is>
          <t>A 62406-2022</t>
        </is>
      </c>
      <c r="B1758" s="1" t="n">
        <v>44923</v>
      </c>
      <c r="C1758" s="1" t="n">
        <v>45670</v>
      </c>
      <c r="D1758" t="inlineStr">
        <is>
          <t>VÄSTERNORRLANDS LÄN</t>
        </is>
      </c>
      <c r="E1758" t="inlineStr">
        <is>
          <t>SOLLEFTEÅ</t>
        </is>
      </c>
      <c r="F1758" t="inlineStr">
        <is>
          <t>SCA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62507-2022</t>
        </is>
      </c>
      <c r="B1759" s="1" t="n">
        <v>44924</v>
      </c>
      <c r="C1759" s="1" t="n">
        <v>45670</v>
      </c>
      <c r="D1759" t="inlineStr">
        <is>
          <t>VÄSTERNORRLANDS LÄN</t>
        </is>
      </c>
      <c r="E1759" t="inlineStr">
        <is>
          <t>SOLLEFTEÅ</t>
        </is>
      </c>
      <c r="F1759" t="inlineStr">
        <is>
          <t>Holmen skog AB</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62745-2022</t>
        </is>
      </c>
      <c r="B1760" s="1" t="n">
        <v>44925</v>
      </c>
      <c r="C1760" s="1" t="n">
        <v>45670</v>
      </c>
      <c r="D1760" t="inlineStr">
        <is>
          <t>VÄSTERNORRLANDS LÄN</t>
        </is>
      </c>
      <c r="E1760" t="inlineStr">
        <is>
          <t>SOLLEFTEÅ</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62750-2022</t>
        </is>
      </c>
      <c r="B1761" s="1" t="n">
        <v>44925</v>
      </c>
      <c r="C1761" s="1" t="n">
        <v>45670</v>
      </c>
      <c r="D1761" t="inlineStr">
        <is>
          <t>VÄSTERNORRLANDS LÄN</t>
        </is>
      </c>
      <c r="E1761" t="inlineStr">
        <is>
          <t>SOLLEFTEÅ</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62710-2022</t>
        </is>
      </c>
      <c r="B1762" s="1" t="n">
        <v>44925</v>
      </c>
      <c r="C1762" s="1" t="n">
        <v>45670</v>
      </c>
      <c r="D1762" t="inlineStr">
        <is>
          <t>VÄSTERNORRLANDS LÄN</t>
        </is>
      </c>
      <c r="E1762" t="inlineStr">
        <is>
          <t>SOLLEFTEÅ</t>
        </is>
      </c>
      <c r="F1762" t="inlineStr">
        <is>
          <t>Holmen skog AB</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279-2023</t>
        </is>
      </c>
      <c r="B1763" s="1" t="n">
        <v>44928</v>
      </c>
      <c r="C1763" s="1" t="n">
        <v>45670</v>
      </c>
      <c r="D1763" t="inlineStr">
        <is>
          <t>VÄSTERNORRLANDS LÄN</t>
        </is>
      </c>
      <c r="E1763" t="inlineStr">
        <is>
          <t>SOLLEFTEÅ</t>
        </is>
      </c>
      <c r="G1763" t="n">
        <v>9.800000000000001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282-2023</t>
        </is>
      </c>
      <c r="B1764" s="1" t="n">
        <v>44928</v>
      </c>
      <c r="C1764" s="1" t="n">
        <v>45670</v>
      </c>
      <c r="D1764" t="inlineStr">
        <is>
          <t>VÄSTERNORRLANDS LÄN</t>
        </is>
      </c>
      <c r="E1764" t="inlineStr">
        <is>
          <t>SOLLEFTEÅ</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714-2023</t>
        </is>
      </c>
      <c r="B1765" s="1" t="n">
        <v>44930</v>
      </c>
      <c r="C1765" s="1" t="n">
        <v>45670</v>
      </c>
      <c r="D1765" t="inlineStr">
        <is>
          <t>VÄSTERNORRLANDS LÄN</t>
        </is>
      </c>
      <c r="E1765" t="inlineStr">
        <is>
          <t>SOLLEFTEÅ</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918-2023</t>
        </is>
      </c>
      <c r="B1766" s="1" t="n">
        <v>44931</v>
      </c>
      <c r="C1766" s="1" t="n">
        <v>45670</v>
      </c>
      <c r="D1766" t="inlineStr">
        <is>
          <t>VÄSTERNORRLANDS LÄN</t>
        </is>
      </c>
      <c r="E1766" t="inlineStr">
        <is>
          <t>SOLLEFTEÅ</t>
        </is>
      </c>
      <c r="F1766" t="inlineStr">
        <is>
          <t>SCA</t>
        </is>
      </c>
      <c r="G1766" t="n">
        <v>7.1</v>
      </c>
      <c r="H1766" t="n">
        <v>0</v>
      </c>
      <c r="I1766" t="n">
        <v>0</v>
      </c>
      <c r="J1766" t="n">
        <v>0</v>
      </c>
      <c r="K1766" t="n">
        <v>0</v>
      </c>
      <c r="L1766" t="n">
        <v>0</v>
      </c>
      <c r="M1766" t="n">
        <v>0</v>
      </c>
      <c r="N1766" t="n">
        <v>0</v>
      </c>
      <c r="O1766" t="n">
        <v>0</v>
      </c>
      <c r="P1766" t="n">
        <v>0</v>
      </c>
      <c r="Q1766" t="n">
        <v>0</v>
      </c>
      <c r="R1766" s="2" t="inlineStr"/>
    </row>
    <row r="1767" ht="15" customHeight="1">
      <c r="A1767" t="inlineStr">
        <is>
          <t>A 965-2023</t>
        </is>
      </c>
      <c r="B1767" s="1" t="n">
        <v>44934</v>
      </c>
      <c r="C1767" s="1" t="n">
        <v>45670</v>
      </c>
      <c r="D1767" t="inlineStr">
        <is>
          <t>VÄSTERNORRLANDS LÄN</t>
        </is>
      </c>
      <c r="E1767" t="inlineStr">
        <is>
          <t>SOLLEFTEÅ</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964-2023</t>
        </is>
      </c>
      <c r="B1768" s="1" t="n">
        <v>44934</v>
      </c>
      <c r="C1768" s="1" t="n">
        <v>45670</v>
      </c>
      <c r="D1768" t="inlineStr">
        <is>
          <t>VÄSTERNORRLANDS LÄN</t>
        </is>
      </c>
      <c r="E1768" t="inlineStr">
        <is>
          <t>SOLLEFTEÅ</t>
        </is>
      </c>
      <c r="F1768" t="inlineStr">
        <is>
          <t>SCA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1275-2023</t>
        </is>
      </c>
      <c r="B1769" s="1" t="n">
        <v>44936</v>
      </c>
      <c r="C1769" s="1" t="n">
        <v>45670</v>
      </c>
      <c r="D1769" t="inlineStr">
        <is>
          <t>VÄSTERNORRLANDS LÄN</t>
        </is>
      </c>
      <c r="E1769" t="inlineStr">
        <is>
          <t>SOLLEFTEÅ</t>
        </is>
      </c>
      <c r="G1769" t="n">
        <v>14.4</v>
      </c>
      <c r="H1769" t="n">
        <v>0</v>
      </c>
      <c r="I1769" t="n">
        <v>0</v>
      </c>
      <c r="J1769" t="n">
        <v>0</v>
      </c>
      <c r="K1769" t="n">
        <v>0</v>
      </c>
      <c r="L1769" t="n">
        <v>0</v>
      </c>
      <c r="M1769" t="n">
        <v>0</v>
      </c>
      <c r="N1769" t="n">
        <v>0</v>
      </c>
      <c r="O1769" t="n">
        <v>0</v>
      </c>
      <c r="P1769" t="n">
        <v>0</v>
      </c>
      <c r="Q1769" t="n">
        <v>0</v>
      </c>
      <c r="R1769" s="2" t="inlineStr"/>
    </row>
    <row r="1770" ht="15" customHeight="1">
      <c r="A1770" t="inlineStr">
        <is>
          <t>A 1803-2023</t>
        </is>
      </c>
      <c r="B1770" s="1" t="n">
        <v>44937</v>
      </c>
      <c r="C1770" s="1" t="n">
        <v>45670</v>
      </c>
      <c r="D1770" t="inlineStr">
        <is>
          <t>VÄSTERNORRLANDS LÄN</t>
        </is>
      </c>
      <c r="E1770" t="inlineStr">
        <is>
          <t>SOLLEFTEÅ</t>
        </is>
      </c>
      <c r="G1770" t="n">
        <v>8.1</v>
      </c>
      <c r="H1770" t="n">
        <v>0</v>
      </c>
      <c r="I1770" t="n">
        <v>0</v>
      </c>
      <c r="J1770" t="n">
        <v>0</v>
      </c>
      <c r="K1770" t="n">
        <v>0</v>
      </c>
      <c r="L1770" t="n">
        <v>0</v>
      </c>
      <c r="M1770" t="n">
        <v>0</v>
      </c>
      <c r="N1770" t="n">
        <v>0</v>
      </c>
      <c r="O1770" t="n">
        <v>0</v>
      </c>
      <c r="P1770" t="n">
        <v>0</v>
      </c>
      <c r="Q1770" t="n">
        <v>0</v>
      </c>
      <c r="R1770" s="2" t="inlineStr"/>
    </row>
    <row r="1771" ht="15" customHeight="1">
      <c r="A1771" t="inlineStr">
        <is>
          <t>A 1868-2023</t>
        </is>
      </c>
      <c r="B1771" s="1" t="n">
        <v>44938</v>
      </c>
      <c r="C1771" s="1" t="n">
        <v>45670</v>
      </c>
      <c r="D1771" t="inlineStr">
        <is>
          <t>VÄSTERNORRLANDS LÄN</t>
        </is>
      </c>
      <c r="E1771" t="inlineStr">
        <is>
          <t>SOLLEFTEÅ</t>
        </is>
      </c>
      <c r="F1771" t="inlineStr">
        <is>
          <t>SCA</t>
        </is>
      </c>
      <c r="G1771" t="n">
        <v>19.3</v>
      </c>
      <c r="H1771" t="n">
        <v>0</v>
      </c>
      <c r="I1771" t="n">
        <v>0</v>
      </c>
      <c r="J1771" t="n">
        <v>0</v>
      </c>
      <c r="K1771" t="n">
        <v>0</v>
      </c>
      <c r="L1771" t="n">
        <v>0</v>
      </c>
      <c r="M1771" t="n">
        <v>0</v>
      </c>
      <c r="N1771" t="n">
        <v>0</v>
      </c>
      <c r="O1771" t="n">
        <v>0</v>
      </c>
      <c r="P1771" t="n">
        <v>0</v>
      </c>
      <c r="Q1771" t="n">
        <v>0</v>
      </c>
      <c r="R1771" s="2" t="inlineStr"/>
    </row>
    <row r="1772" ht="15" customHeight="1">
      <c r="A1772" t="inlineStr">
        <is>
          <t>A 1874-2023</t>
        </is>
      </c>
      <c r="B1772" s="1" t="n">
        <v>44938</v>
      </c>
      <c r="C1772" s="1" t="n">
        <v>45670</v>
      </c>
      <c r="D1772" t="inlineStr">
        <is>
          <t>VÄSTERNORRLANDS LÄN</t>
        </is>
      </c>
      <c r="E1772" t="inlineStr">
        <is>
          <t>SOLLEFTEÅ</t>
        </is>
      </c>
      <c r="F1772" t="inlineStr">
        <is>
          <t>SCA</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2058-2023</t>
        </is>
      </c>
      <c r="B1773" s="1" t="n">
        <v>44938</v>
      </c>
      <c r="C1773" s="1" t="n">
        <v>45670</v>
      </c>
      <c r="D1773" t="inlineStr">
        <is>
          <t>VÄSTERNORRLANDS LÄN</t>
        </is>
      </c>
      <c r="E1773" t="inlineStr">
        <is>
          <t>SOLLEFTEÅ</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2121-2023</t>
        </is>
      </c>
      <c r="B1774" s="1" t="n">
        <v>44939</v>
      </c>
      <c r="C1774" s="1" t="n">
        <v>45670</v>
      </c>
      <c r="D1774" t="inlineStr">
        <is>
          <t>VÄSTERNORRLANDS LÄN</t>
        </is>
      </c>
      <c r="E1774" t="inlineStr">
        <is>
          <t>SOLLEFTEÅ</t>
        </is>
      </c>
      <c r="F1774" t="inlineStr">
        <is>
          <t>SCA</t>
        </is>
      </c>
      <c r="G1774" t="n">
        <v>10</v>
      </c>
      <c r="H1774" t="n">
        <v>0</v>
      </c>
      <c r="I1774" t="n">
        <v>0</v>
      </c>
      <c r="J1774" t="n">
        <v>0</v>
      </c>
      <c r="K1774" t="n">
        <v>0</v>
      </c>
      <c r="L1774" t="n">
        <v>0</v>
      </c>
      <c r="M1774" t="n">
        <v>0</v>
      </c>
      <c r="N1774" t="n">
        <v>0</v>
      </c>
      <c r="O1774" t="n">
        <v>0</v>
      </c>
      <c r="P1774" t="n">
        <v>0</v>
      </c>
      <c r="Q1774" t="n">
        <v>0</v>
      </c>
      <c r="R1774" s="2" t="inlineStr"/>
    </row>
    <row r="1775" ht="15" customHeight="1">
      <c r="A1775" t="inlineStr">
        <is>
          <t>A 2119-2023</t>
        </is>
      </c>
      <c r="B1775" s="1" t="n">
        <v>44939</v>
      </c>
      <c r="C1775" s="1" t="n">
        <v>45670</v>
      </c>
      <c r="D1775" t="inlineStr">
        <is>
          <t>VÄSTERNORRLANDS LÄN</t>
        </is>
      </c>
      <c r="E1775" t="inlineStr">
        <is>
          <t>SOLLEFTEÅ</t>
        </is>
      </c>
      <c r="F1775" t="inlineStr">
        <is>
          <t>SCA</t>
        </is>
      </c>
      <c r="G1775" t="n">
        <v>7.4</v>
      </c>
      <c r="H1775" t="n">
        <v>0</v>
      </c>
      <c r="I1775" t="n">
        <v>0</v>
      </c>
      <c r="J1775" t="n">
        <v>0</v>
      </c>
      <c r="K1775" t="n">
        <v>0</v>
      </c>
      <c r="L1775" t="n">
        <v>0</v>
      </c>
      <c r="M1775" t="n">
        <v>0</v>
      </c>
      <c r="N1775" t="n">
        <v>0</v>
      </c>
      <c r="O1775" t="n">
        <v>0</v>
      </c>
      <c r="P1775" t="n">
        <v>0</v>
      </c>
      <c r="Q1775" t="n">
        <v>0</v>
      </c>
      <c r="R1775" s="2" t="inlineStr"/>
    </row>
    <row r="1776" ht="15" customHeight="1">
      <c r="A1776" t="inlineStr">
        <is>
          <t>A 2132-2023</t>
        </is>
      </c>
      <c r="B1776" s="1" t="n">
        <v>44939</v>
      </c>
      <c r="C1776" s="1" t="n">
        <v>45670</v>
      </c>
      <c r="D1776" t="inlineStr">
        <is>
          <t>VÄSTERNORRLANDS LÄN</t>
        </is>
      </c>
      <c r="E1776" t="inlineStr">
        <is>
          <t>SOLLEFTEÅ</t>
        </is>
      </c>
      <c r="F1776" t="inlineStr">
        <is>
          <t>SCA</t>
        </is>
      </c>
      <c r="G1776" t="n">
        <v>19.4</v>
      </c>
      <c r="H1776" t="n">
        <v>0</v>
      </c>
      <c r="I1776" t="n">
        <v>0</v>
      </c>
      <c r="J1776" t="n">
        <v>0</v>
      </c>
      <c r="K1776" t="n">
        <v>0</v>
      </c>
      <c r="L1776" t="n">
        <v>0</v>
      </c>
      <c r="M1776" t="n">
        <v>0</v>
      </c>
      <c r="N1776" t="n">
        <v>0</v>
      </c>
      <c r="O1776" t="n">
        <v>0</v>
      </c>
      <c r="P1776" t="n">
        <v>0</v>
      </c>
      <c r="Q1776" t="n">
        <v>0</v>
      </c>
      <c r="R1776" s="2" t="inlineStr"/>
    </row>
    <row r="1777" ht="15" customHeight="1">
      <c r="A1777" t="inlineStr">
        <is>
          <t>A 2120-2023</t>
        </is>
      </c>
      <c r="B1777" s="1" t="n">
        <v>44939</v>
      </c>
      <c r="C1777" s="1" t="n">
        <v>45670</v>
      </c>
      <c r="D1777" t="inlineStr">
        <is>
          <t>VÄSTERNORRLANDS LÄN</t>
        </is>
      </c>
      <c r="E1777" t="inlineStr">
        <is>
          <t>SOLLEFTEÅ</t>
        </is>
      </c>
      <c r="F1777" t="inlineStr">
        <is>
          <t>SCA</t>
        </is>
      </c>
      <c r="G1777" t="n">
        <v>126.9</v>
      </c>
      <c r="H1777" t="n">
        <v>0</v>
      </c>
      <c r="I1777" t="n">
        <v>0</v>
      </c>
      <c r="J1777" t="n">
        <v>0</v>
      </c>
      <c r="K1777" t="n">
        <v>0</v>
      </c>
      <c r="L1777" t="n">
        <v>0</v>
      </c>
      <c r="M1777" t="n">
        <v>0</v>
      </c>
      <c r="N1777" t="n">
        <v>0</v>
      </c>
      <c r="O1777" t="n">
        <v>0</v>
      </c>
      <c r="P1777" t="n">
        <v>0</v>
      </c>
      <c r="Q1777" t="n">
        <v>0</v>
      </c>
      <c r="R1777" s="2" t="inlineStr"/>
    </row>
    <row r="1778" ht="15" customHeight="1">
      <c r="A1778" t="inlineStr">
        <is>
          <t>A 2114-2023</t>
        </is>
      </c>
      <c r="B1778" s="1" t="n">
        <v>44939</v>
      </c>
      <c r="C1778" s="1" t="n">
        <v>45670</v>
      </c>
      <c r="D1778" t="inlineStr">
        <is>
          <t>VÄSTERNORRLANDS LÄN</t>
        </is>
      </c>
      <c r="E1778" t="inlineStr">
        <is>
          <t>SOLLEFTEÅ</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2118-2023</t>
        </is>
      </c>
      <c r="B1779" s="1" t="n">
        <v>44939</v>
      </c>
      <c r="C1779" s="1" t="n">
        <v>45670</v>
      </c>
      <c r="D1779" t="inlineStr">
        <is>
          <t>VÄSTERNORRLANDS LÄN</t>
        </is>
      </c>
      <c r="E1779" t="inlineStr">
        <is>
          <t>SOLLEFTEÅ</t>
        </is>
      </c>
      <c r="F1779" t="inlineStr">
        <is>
          <t>SCA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2139-2023</t>
        </is>
      </c>
      <c r="B1780" s="1" t="n">
        <v>44940</v>
      </c>
      <c r="C1780" s="1" t="n">
        <v>45670</v>
      </c>
      <c r="D1780" t="inlineStr">
        <is>
          <t>VÄSTERNORRLANDS LÄN</t>
        </is>
      </c>
      <c r="E1780" t="inlineStr">
        <is>
          <t>SOLLEFTEÅ</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2183-2023</t>
        </is>
      </c>
      <c r="B1781" s="1" t="n">
        <v>44942</v>
      </c>
      <c r="C1781" s="1" t="n">
        <v>45670</v>
      </c>
      <c r="D1781" t="inlineStr">
        <is>
          <t>VÄSTERNORRLANDS LÄN</t>
        </is>
      </c>
      <c r="E1781" t="inlineStr">
        <is>
          <t>SOLLEFTEÅ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2408-2023</t>
        </is>
      </c>
      <c r="B1782" s="1" t="n">
        <v>44942</v>
      </c>
      <c r="C1782" s="1" t="n">
        <v>45670</v>
      </c>
      <c r="D1782" t="inlineStr">
        <is>
          <t>VÄSTERNORRLANDS LÄN</t>
        </is>
      </c>
      <c r="E1782" t="inlineStr">
        <is>
          <t>SOLLEFTEÅ</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2412-2023</t>
        </is>
      </c>
      <c r="B1783" s="1" t="n">
        <v>44942</v>
      </c>
      <c r="C1783" s="1" t="n">
        <v>45670</v>
      </c>
      <c r="D1783" t="inlineStr">
        <is>
          <t>VÄSTERNORRLANDS LÄN</t>
        </is>
      </c>
      <c r="E1783" t="inlineStr">
        <is>
          <t>SOLLEFTEÅ</t>
        </is>
      </c>
      <c r="F1783" t="inlineStr">
        <is>
          <t>SCA</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2597-2023</t>
        </is>
      </c>
      <c r="B1784" s="1" t="n">
        <v>44943</v>
      </c>
      <c r="C1784" s="1" t="n">
        <v>45670</v>
      </c>
      <c r="D1784" t="inlineStr">
        <is>
          <t>VÄSTERNORRLANDS LÄN</t>
        </is>
      </c>
      <c r="E1784" t="inlineStr">
        <is>
          <t>SOLLEFTEÅ</t>
        </is>
      </c>
      <c r="F1784" t="inlineStr">
        <is>
          <t>SCA</t>
        </is>
      </c>
      <c r="G1784" t="n">
        <v>12.5</v>
      </c>
      <c r="H1784" t="n">
        <v>0</v>
      </c>
      <c r="I1784" t="n">
        <v>0</v>
      </c>
      <c r="J1784" t="n">
        <v>0</v>
      </c>
      <c r="K1784" t="n">
        <v>0</v>
      </c>
      <c r="L1784" t="n">
        <v>0</v>
      </c>
      <c r="M1784" t="n">
        <v>0</v>
      </c>
      <c r="N1784" t="n">
        <v>0</v>
      </c>
      <c r="O1784" t="n">
        <v>0</v>
      </c>
      <c r="P1784" t="n">
        <v>0</v>
      </c>
      <c r="Q1784" t="n">
        <v>0</v>
      </c>
      <c r="R1784" s="2" t="inlineStr"/>
    </row>
    <row r="1785" ht="15" customHeight="1">
      <c r="A1785" t="inlineStr">
        <is>
          <t>A 2756-2023</t>
        </is>
      </c>
      <c r="B1785" s="1" t="n">
        <v>44943</v>
      </c>
      <c r="C1785" s="1" t="n">
        <v>45670</v>
      </c>
      <c r="D1785" t="inlineStr">
        <is>
          <t>VÄSTERNORRLANDS LÄN</t>
        </is>
      </c>
      <c r="E1785" t="inlineStr">
        <is>
          <t>SOLLEFTEÅ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2598-2023</t>
        </is>
      </c>
      <c r="B1786" s="1" t="n">
        <v>44943</v>
      </c>
      <c r="C1786" s="1" t="n">
        <v>45670</v>
      </c>
      <c r="D1786" t="inlineStr">
        <is>
          <t>VÄSTERNORRLANDS LÄN</t>
        </is>
      </c>
      <c r="E1786" t="inlineStr">
        <is>
          <t>SOLLEFTEÅ</t>
        </is>
      </c>
      <c r="F1786" t="inlineStr">
        <is>
          <t>SCA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2927-2023</t>
        </is>
      </c>
      <c r="B1787" s="1" t="n">
        <v>44945</v>
      </c>
      <c r="C1787" s="1" t="n">
        <v>45670</v>
      </c>
      <c r="D1787" t="inlineStr">
        <is>
          <t>VÄSTERNORRLANDS LÄN</t>
        </is>
      </c>
      <c r="E1787" t="inlineStr">
        <is>
          <t>SOLLEFTEÅ</t>
        </is>
      </c>
      <c r="G1787" t="n">
        <v>10.6</v>
      </c>
      <c r="H1787" t="n">
        <v>0</v>
      </c>
      <c r="I1787" t="n">
        <v>0</v>
      </c>
      <c r="J1787" t="n">
        <v>0</v>
      </c>
      <c r="K1787" t="n">
        <v>0</v>
      </c>
      <c r="L1787" t="n">
        <v>0</v>
      </c>
      <c r="M1787" t="n">
        <v>0</v>
      </c>
      <c r="N1787" t="n">
        <v>0</v>
      </c>
      <c r="O1787" t="n">
        <v>0</v>
      </c>
      <c r="P1787" t="n">
        <v>0</v>
      </c>
      <c r="Q1787" t="n">
        <v>0</v>
      </c>
      <c r="R1787" s="2" t="inlineStr"/>
    </row>
    <row r="1788" ht="15" customHeight="1">
      <c r="A1788" t="inlineStr">
        <is>
          <t>A 3019-2023</t>
        </is>
      </c>
      <c r="B1788" s="1" t="n">
        <v>44945</v>
      </c>
      <c r="C1788" s="1" t="n">
        <v>45670</v>
      </c>
      <c r="D1788" t="inlineStr">
        <is>
          <t>VÄSTERNORRLANDS LÄN</t>
        </is>
      </c>
      <c r="E1788" t="inlineStr">
        <is>
          <t>SOLLEFTEÅ</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3319-2023</t>
        </is>
      </c>
      <c r="B1789" s="1" t="n">
        <v>44949</v>
      </c>
      <c r="C1789" s="1" t="n">
        <v>45670</v>
      </c>
      <c r="D1789" t="inlineStr">
        <is>
          <t>VÄSTERNORRLANDS LÄN</t>
        </is>
      </c>
      <c r="E1789" t="inlineStr">
        <is>
          <t>SOLLEFTEÅ</t>
        </is>
      </c>
      <c r="G1789" t="n">
        <v>11.5</v>
      </c>
      <c r="H1789" t="n">
        <v>0</v>
      </c>
      <c r="I1789" t="n">
        <v>0</v>
      </c>
      <c r="J1789" t="n">
        <v>0</v>
      </c>
      <c r="K1789" t="n">
        <v>0</v>
      </c>
      <c r="L1789" t="n">
        <v>0</v>
      </c>
      <c r="M1789" t="n">
        <v>0</v>
      </c>
      <c r="N1789" t="n">
        <v>0</v>
      </c>
      <c r="O1789" t="n">
        <v>0</v>
      </c>
      <c r="P1789" t="n">
        <v>0</v>
      </c>
      <c r="Q1789" t="n">
        <v>0</v>
      </c>
      <c r="R1789" s="2" t="inlineStr"/>
    </row>
    <row r="1790" ht="15" customHeight="1">
      <c r="A1790" t="inlineStr">
        <is>
          <t>A 3692-2023</t>
        </is>
      </c>
      <c r="B1790" s="1" t="n">
        <v>44950</v>
      </c>
      <c r="C1790" s="1" t="n">
        <v>45670</v>
      </c>
      <c r="D1790" t="inlineStr">
        <is>
          <t>VÄSTERNORRLANDS LÄN</t>
        </is>
      </c>
      <c r="E1790" t="inlineStr">
        <is>
          <t>SOLLEFTEÅ</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3691-2023</t>
        </is>
      </c>
      <c r="B1791" s="1" t="n">
        <v>44950</v>
      </c>
      <c r="C1791" s="1" t="n">
        <v>45670</v>
      </c>
      <c r="D1791" t="inlineStr">
        <is>
          <t>VÄSTERNORRLANDS LÄN</t>
        </is>
      </c>
      <c r="E1791" t="inlineStr">
        <is>
          <t>SOLLEFTEÅ</t>
        </is>
      </c>
      <c r="F1791" t="inlineStr">
        <is>
          <t>SCA</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3689-2023</t>
        </is>
      </c>
      <c r="B1792" s="1" t="n">
        <v>44950</v>
      </c>
      <c r="C1792" s="1" t="n">
        <v>45670</v>
      </c>
      <c r="D1792" t="inlineStr">
        <is>
          <t>VÄSTERNORRLANDS LÄN</t>
        </is>
      </c>
      <c r="E1792" t="inlineStr">
        <is>
          <t>SOLLEFTEÅ</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4154-2023</t>
        </is>
      </c>
      <c r="B1793" s="1" t="n">
        <v>44950</v>
      </c>
      <c r="C1793" s="1" t="n">
        <v>45670</v>
      </c>
      <c r="D1793" t="inlineStr">
        <is>
          <t>VÄSTERNORRLANDS LÄN</t>
        </is>
      </c>
      <c r="E1793" t="inlineStr">
        <is>
          <t>SOLLEFTEÅ</t>
        </is>
      </c>
      <c r="G1793" t="n">
        <v>9.699999999999999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4406-2023</t>
        </is>
      </c>
      <c r="B1794" s="1" t="n">
        <v>44951</v>
      </c>
      <c r="C1794" s="1" t="n">
        <v>45670</v>
      </c>
      <c r="D1794" t="inlineStr">
        <is>
          <t>VÄSTERNORRLANDS LÄN</t>
        </is>
      </c>
      <c r="E1794" t="inlineStr">
        <is>
          <t>SOLLEFTEÅ</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4132-2023</t>
        </is>
      </c>
      <c r="B1795" s="1" t="n">
        <v>44952</v>
      </c>
      <c r="C1795" s="1" t="n">
        <v>45670</v>
      </c>
      <c r="D1795" t="inlineStr">
        <is>
          <t>VÄSTERNORRLANDS LÄN</t>
        </is>
      </c>
      <c r="E1795" t="inlineStr">
        <is>
          <t>SOLLEFTEÅ</t>
        </is>
      </c>
      <c r="F1795" t="inlineStr">
        <is>
          <t>SCA</t>
        </is>
      </c>
      <c r="G1795" t="n">
        <v>50.4</v>
      </c>
      <c r="H1795" t="n">
        <v>0</v>
      </c>
      <c r="I1795" t="n">
        <v>0</v>
      </c>
      <c r="J1795" t="n">
        <v>0</v>
      </c>
      <c r="K1795" t="n">
        <v>0</v>
      </c>
      <c r="L1795" t="n">
        <v>0</v>
      </c>
      <c r="M1795" t="n">
        <v>0</v>
      </c>
      <c r="N1795" t="n">
        <v>0</v>
      </c>
      <c r="O1795" t="n">
        <v>0</v>
      </c>
      <c r="P1795" t="n">
        <v>0</v>
      </c>
      <c r="Q1795" t="n">
        <v>0</v>
      </c>
      <c r="R1795" s="2" t="inlineStr"/>
    </row>
    <row r="1796" ht="15" customHeight="1">
      <c r="A1796" t="inlineStr">
        <is>
          <t>A 4138-2023</t>
        </is>
      </c>
      <c r="B1796" s="1" t="n">
        <v>44952</v>
      </c>
      <c r="C1796" s="1" t="n">
        <v>45670</v>
      </c>
      <c r="D1796" t="inlineStr">
        <is>
          <t>VÄSTERNORRLANDS LÄN</t>
        </is>
      </c>
      <c r="E1796" t="inlineStr">
        <is>
          <t>SOLLEFTEÅ</t>
        </is>
      </c>
      <c r="F1796" t="inlineStr">
        <is>
          <t>SCA</t>
        </is>
      </c>
      <c r="G1796" t="n">
        <v>70</v>
      </c>
      <c r="H1796" t="n">
        <v>0</v>
      </c>
      <c r="I1796" t="n">
        <v>0</v>
      </c>
      <c r="J1796" t="n">
        <v>0</v>
      </c>
      <c r="K1796" t="n">
        <v>0</v>
      </c>
      <c r="L1796" t="n">
        <v>0</v>
      </c>
      <c r="M1796" t="n">
        <v>0</v>
      </c>
      <c r="N1796" t="n">
        <v>0</v>
      </c>
      <c r="O1796" t="n">
        <v>0</v>
      </c>
      <c r="P1796" t="n">
        <v>0</v>
      </c>
      <c r="Q1796" t="n">
        <v>0</v>
      </c>
      <c r="R1796" s="2" t="inlineStr"/>
    </row>
    <row r="1797" ht="15" customHeight="1">
      <c r="A1797" t="inlineStr">
        <is>
          <t>A 4501-2023</t>
        </is>
      </c>
      <c r="B1797" s="1" t="n">
        <v>44952</v>
      </c>
      <c r="C1797" s="1" t="n">
        <v>45670</v>
      </c>
      <c r="D1797" t="inlineStr">
        <is>
          <t>VÄSTERNORRLANDS LÄN</t>
        </is>
      </c>
      <c r="E1797" t="inlineStr">
        <is>
          <t>SOLLEFTEÅ</t>
        </is>
      </c>
      <c r="F1797" t="inlineStr">
        <is>
          <t>Övriga Aktiebolag</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4613-2023</t>
        </is>
      </c>
      <c r="B1798" s="1" t="n">
        <v>44956</v>
      </c>
      <c r="C1798" s="1" t="n">
        <v>45670</v>
      </c>
      <c r="D1798" t="inlineStr">
        <is>
          <t>VÄSTERNORRLANDS LÄN</t>
        </is>
      </c>
      <c r="E1798" t="inlineStr">
        <is>
          <t>SOLLEFTEÅ</t>
        </is>
      </c>
      <c r="F1798" t="inlineStr">
        <is>
          <t>SCA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4611-2023</t>
        </is>
      </c>
      <c r="B1799" s="1" t="n">
        <v>44956</v>
      </c>
      <c r="C1799" s="1" t="n">
        <v>45670</v>
      </c>
      <c r="D1799" t="inlineStr">
        <is>
          <t>VÄSTERNORRLANDS LÄN</t>
        </is>
      </c>
      <c r="E1799" t="inlineStr">
        <is>
          <t>SOLLEFTEÅ</t>
        </is>
      </c>
      <c r="F1799" t="inlineStr">
        <is>
          <t>SCA</t>
        </is>
      </c>
      <c r="G1799" t="n">
        <v>19.2</v>
      </c>
      <c r="H1799" t="n">
        <v>0</v>
      </c>
      <c r="I1799" t="n">
        <v>0</v>
      </c>
      <c r="J1799" t="n">
        <v>0</v>
      </c>
      <c r="K1799" t="n">
        <v>0</v>
      </c>
      <c r="L1799" t="n">
        <v>0</v>
      </c>
      <c r="M1799" t="n">
        <v>0</v>
      </c>
      <c r="N1799" t="n">
        <v>0</v>
      </c>
      <c r="O1799" t="n">
        <v>0</v>
      </c>
      <c r="P1799" t="n">
        <v>0</v>
      </c>
      <c r="Q1799" t="n">
        <v>0</v>
      </c>
      <c r="R1799" s="2" t="inlineStr"/>
    </row>
    <row r="1800" ht="15" customHeight="1">
      <c r="A1800" t="inlineStr">
        <is>
          <t>A 4612-2023</t>
        </is>
      </c>
      <c r="B1800" s="1" t="n">
        <v>44956</v>
      </c>
      <c r="C1800" s="1" t="n">
        <v>45670</v>
      </c>
      <c r="D1800" t="inlineStr">
        <is>
          <t>VÄSTERNORRLANDS LÄN</t>
        </is>
      </c>
      <c r="E1800" t="inlineStr">
        <is>
          <t>SOLLEFTEÅ</t>
        </is>
      </c>
      <c r="F1800" t="inlineStr">
        <is>
          <t>SCA</t>
        </is>
      </c>
      <c r="G1800" t="n">
        <v>25.5</v>
      </c>
      <c r="H1800" t="n">
        <v>0</v>
      </c>
      <c r="I1800" t="n">
        <v>0</v>
      </c>
      <c r="J1800" t="n">
        <v>0</v>
      </c>
      <c r="K1800" t="n">
        <v>0</v>
      </c>
      <c r="L1800" t="n">
        <v>0</v>
      </c>
      <c r="M1800" t="n">
        <v>0</v>
      </c>
      <c r="N1800" t="n">
        <v>0</v>
      </c>
      <c r="O1800" t="n">
        <v>0</v>
      </c>
      <c r="P1800" t="n">
        <v>0</v>
      </c>
      <c r="Q1800" t="n">
        <v>0</v>
      </c>
      <c r="R1800" s="2" t="inlineStr"/>
    </row>
    <row r="1801" ht="15" customHeight="1">
      <c r="A1801" t="inlineStr">
        <is>
          <t>A 4623-2023</t>
        </is>
      </c>
      <c r="B1801" s="1" t="n">
        <v>44956</v>
      </c>
      <c r="C1801" s="1" t="n">
        <v>45670</v>
      </c>
      <c r="D1801" t="inlineStr">
        <is>
          <t>VÄSTERNORRLANDS LÄN</t>
        </is>
      </c>
      <c r="E1801" t="inlineStr">
        <is>
          <t>SOLLEFTEÅ</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5001-2023</t>
        </is>
      </c>
      <c r="B1802" s="1" t="n">
        <v>44956</v>
      </c>
      <c r="C1802" s="1" t="n">
        <v>45670</v>
      </c>
      <c r="D1802" t="inlineStr">
        <is>
          <t>VÄSTERNORRLANDS LÄN</t>
        </is>
      </c>
      <c r="E1802" t="inlineStr">
        <is>
          <t>SOLLEFTEÅ</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5168-2023</t>
        </is>
      </c>
      <c r="B1803" s="1" t="n">
        <v>44958</v>
      </c>
      <c r="C1803" s="1" t="n">
        <v>45670</v>
      </c>
      <c r="D1803" t="inlineStr">
        <is>
          <t>VÄSTERNORRLANDS LÄN</t>
        </is>
      </c>
      <c r="E1803" t="inlineStr">
        <is>
          <t>SOLLEFTEÅ</t>
        </is>
      </c>
      <c r="F1803" t="inlineStr">
        <is>
          <t>SCA</t>
        </is>
      </c>
      <c r="G1803" t="n">
        <v>16.8</v>
      </c>
      <c r="H1803" t="n">
        <v>0</v>
      </c>
      <c r="I1803" t="n">
        <v>0</v>
      </c>
      <c r="J1803" t="n">
        <v>0</v>
      </c>
      <c r="K1803" t="n">
        <v>0</v>
      </c>
      <c r="L1803" t="n">
        <v>0</v>
      </c>
      <c r="M1803" t="n">
        <v>0</v>
      </c>
      <c r="N1803" t="n">
        <v>0</v>
      </c>
      <c r="O1803" t="n">
        <v>0</v>
      </c>
      <c r="P1803" t="n">
        <v>0</v>
      </c>
      <c r="Q1803" t="n">
        <v>0</v>
      </c>
      <c r="R1803" s="2" t="inlineStr"/>
    </row>
    <row r="1804" ht="15" customHeight="1">
      <c r="A1804" t="inlineStr">
        <is>
          <t>A 5149-2023</t>
        </is>
      </c>
      <c r="B1804" s="1" t="n">
        <v>44958</v>
      </c>
      <c r="C1804" s="1" t="n">
        <v>45670</v>
      </c>
      <c r="D1804" t="inlineStr">
        <is>
          <t>VÄSTERNORRLANDS LÄN</t>
        </is>
      </c>
      <c r="E1804" t="inlineStr">
        <is>
          <t>SOLLEFTEÅ</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5161-2023</t>
        </is>
      </c>
      <c r="B1805" s="1" t="n">
        <v>44958</v>
      </c>
      <c r="C1805" s="1" t="n">
        <v>45670</v>
      </c>
      <c r="D1805" t="inlineStr">
        <is>
          <t>VÄSTERNORRLANDS LÄN</t>
        </is>
      </c>
      <c r="E1805" t="inlineStr">
        <is>
          <t>SOLLEFTEÅ</t>
        </is>
      </c>
      <c r="F1805" t="inlineStr">
        <is>
          <t>SCA</t>
        </is>
      </c>
      <c r="G1805" t="n">
        <v>30.3</v>
      </c>
      <c r="H1805" t="n">
        <v>0</v>
      </c>
      <c r="I1805" t="n">
        <v>0</v>
      </c>
      <c r="J1805" t="n">
        <v>0</v>
      </c>
      <c r="K1805" t="n">
        <v>0</v>
      </c>
      <c r="L1805" t="n">
        <v>0</v>
      </c>
      <c r="M1805" t="n">
        <v>0</v>
      </c>
      <c r="N1805" t="n">
        <v>0</v>
      </c>
      <c r="O1805" t="n">
        <v>0</v>
      </c>
      <c r="P1805" t="n">
        <v>0</v>
      </c>
      <c r="Q1805" t="n">
        <v>0</v>
      </c>
      <c r="R1805" s="2" t="inlineStr"/>
    </row>
    <row r="1806" ht="15" customHeight="1">
      <c r="A1806" t="inlineStr">
        <is>
          <t>A 5166-2023</t>
        </is>
      </c>
      <c r="B1806" s="1" t="n">
        <v>44958</v>
      </c>
      <c r="C1806" s="1" t="n">
        <v>45670</v>
      </c>
      <c r="D1806" t="inlineStr">
        <is>
          <t>VÄSTERNORRLANDS LÄN</t>
        </is>
      </c>
      <c r="E1806" t="inlineStr">
        <is>
          <t>SOLLEFTEÅ</t>
        </is>
      </c>
      <c r="F1806" t="inlineStr">
        <is>
          <t>SCA</t>
        </is>
      </c>
      <c r="G1806" t="n">
        <v>29.3</v>
      </c>
      <c r="H1806" t="n">
        <v>0</v>
      </c>
      <c r="I1806" t="n">
        <v>0</v>
      </c>
      <c r="J1806" t="n">
        <v>0</v>
      </c>
      <c r="K1806" t="n">
        <v>0</v>
      </c>
      <c r="L1806" t="n">
        <v>0</v>
      </c>
      <c r="M1806" t="n">
        <v>0</v>
      </c>
      <c r="N1806" t="n">
        <v>0</v>
      </c>
      <c r="O1806" t="n">
        <v>0</v>
      </c>
      <c r="P1806" t="n">
        <v>0</v>
      </c>
      <c r="Q1806" t="n">
        <v>0</v>
      </c>
      <c r="R1806" s="2" t="inlineStr"/>
    </row>
    <row r="1807" ht="15" customHeight="1">
      <c r="A1807" t="inlineStr">
        <is>
          <t>A 5167-2023</t>
        </is>
      </c>
      <c r="B1807" s="1" t="n">
        <v>44958</v>
      </c>
      <c r="C1807" s="1" t="n">
        <v>45670</v>
      </c>
      <c r="D1807" t="inlineStr">
        <is>
          <t>VÄSTERNORRLANDS LÄN</t>
        </is>
      </c>
      <c r="E1807" t="inlineStr">
        <is>
          <t>SOLLEFTEÅ</t>
        </is>
      </c>
      <c r="F1807" t="inlineStr">
        <is>
          <t>SCA</t>
        </is>
      </c>
      <c r="G1807" t="n">
        <v>14.8</v>
      </c>
      <c r="H1807" t="n">
        <v>0</v>
      </c>
      <c r="I1807" t="n">
        <v>0</v>
      </c>
      <c r="J1807" t="n">
        <v>0</v>
      </c>
      <c r="K1807" t="n">
        <v>0</v>
      </c>
      <c r="L1807" t="n">
        <v>0</v>
      </c>
      <c r="M1807" t="n">
        <v>0</v>
      </c>
      <c r="N1807" t="n">
        <v>0</v>
      </c>
      <c r="O1807" t="n">
        <v>0</v>
      </c>
      <c r="P1807" t="n">
        <v>0</v>
      </c>
      <c r="Q1807" t="n">
        <v>0</v>
      </c>
      <c r="R1807" s="2" t="inlineStr"/>
    </row>
    <row r="1808" ht="15" customHeight="1">
      <c r="A1808" t="inlineStr">
        <is>
          <t>A 5448-2023</t>
        </is>
      </c>
      <c r="B1808" s="1" t="n">
        <v>44959</v>
      </c>
      <c r="C1808" s="1" t="n">
        <v>45670</v>
      </c>
      <c r="D1808" t="inlineStr">
        <is>
          <t>VÄSTERNORRLANDS LÄN</t>
        </is>
      </c>
      <c r="E1808" t="inlineStr">
        <is>
          <t>SOLLEFTEÅ</t>
        </is>
      </c>
      <c r="F1808" t="inlineStr">
        <is>
          <t>SCA</t>
        </is>
      </c>
      <c r="G1808" t="n">
        <v>138.3</v>
      </c>
      <c r="H1808" t="n">
        <v>0</v>
      </c>
      <c r="I1808" t="n">
        <v>0</v>
      </c>
      <c r="J1808" t="n">
        <v>0</v>
      </c>
      <c r="K1808" t="n">
        <v>0</v>
      </c>
      <c r="L1808" t="n">
        <v>0</v>
      </c>
      <c r="M1808" t="n">
        <v>0</v>
      </c>
      <c r="N1808" t="n">
        <v>0</v>
      </c>
      <c r="O1808" t="n">
        <v>0</v>
      </c>
      <c r="P1808" t="n">
        <v>0</v>
      </c>
      <c r="Q1808" t="n">
        <v>0</v>
      </c>
      <c r="R1808" s="2" t="inlineStr"/>
    </row>
    <row r="1809" ht="15" customHeight="1">
      <c r="A1809" t="inlineStr">
        <is>
          <t>A 5451-2023</t>
        </is>
      </c>
      <c r="B1809" s="1" t="n">
        <v>44959</v>
      </c>
      <c r="C1809" s="1" t="n">
        <v>45670</v>
      </c>
      <c r="D1809" t="inlineStr">
        <is>
          <t>VÄSTERNORRLANDS LÄN</t>
        </is>
      </c>
      <c r="E1809" t="inlineStr">
        <is>
          <t>SOLLEFTEÅ</t>
        </is>
      </c>
      <c r="F1809" t="inlineStr">
        <is>
          <t>SCA</t>
        </is>
      </c>
      <c r="G1809" t="n">
        <v>20.1</v>
      </c>
      <c r="H1809" t="n">
        <v>0</v>
      </c>
      <c r="I1809" t="n">
        <v>0</v>
      </c>
      <c r="J1809" t="n">
        <v>0</v>
      </c>
      <c r="K1809" t="n">
        <v>0</v>
      </c>
      <c r="L1809" t="n">
        <v>0</v>
      </c>
      <c r="M1809" t="n">
        <v>0</v>
      </c>
      <c r="N1809" t="n">
        <v>0</v>
      </c>
      <c r="O1809" t="n">
        <v>0</v>
      </c>
      <c r="P1809" t="n">
        <v>0</v>
      </c>
      <c r="Q1809" t="n">
        <v>0</v>
      </c>
      <c r="R1809" s="2" t="inlineStr"/>
    </row>
    <row r="1810" ht="15" customHeight="1">
      <c r="A1810" t="inlineStr">
        <is>
          <t>A 6271-2023</t>
        </is>
      </c>
      <c r="B1810" s="1" t="n">
        <v>44959</v>
      </c>
      <c r="C1810" s="1" t="n">
        <v>45670</v>
      </c>
      <c r="D1810" t="inlineStr">
        <is>
          <t>VÄSTERNORRLANDS LÄN</t>
        </is>
      </c>
      <c r="E1810" t="inlineStr">
        <is>
          <t>SOLLEFTEÅ</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5519-2023</t>
        </is>
      </c>
      <c r="B1811" s="1" t="n">
        <v>44960</v>
      </c>
      <c r="C1811" s="1" t="n">
        <v>45670</v>
      </c>
      <c r="D1811" t="inlineStr">
        <is>
          <t>VÄSTERNORRLANDS LÄN</t>
        </is>
      </c>
      <c r="E1811" t="inlineStr">
        <is>
          <t>SOLLEFTEÅ</t>
        </is>
      </c>
      <c r="F1811" t="inlineStr">
        <is>
          <t>Holmen skog AB</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5529-2023</t>
        </is>
      </c>
      <c r="B1812" s="1" t="n">
        <v>44960</v>
      </c>
      <c r="C1812" s="1" t="n">
        <v>45670</v>
      </c>
      <c r="D1812" t="inlineStr">
        <is>
          <t>VÄSTERNORRLANDS LÄN</t>
        </is>
      </c>
      <c r="E1812" t="inlineStr">
        <is>
          <t>SOLLEFTEÅ</t>
        </is>
      </c>
      <c r="F1812" t="inlineStr">
        <is>
          <t>Holmen skog AB</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5952-2023</t>
        </is>
      </c>
      <c r="B1813" s="1" t="n">
        <v>44963</v>
      </c>
      <c r="C1813" s="1" t="n">
        <v>45670</v>
      </c>
      <c r="D1813" t="inlineStr">
        <is>
          <t>VÄSTERNORRLANDS LÄN</t>
        </is>
      </c>
      <c r="E1813" t="inlineStr">
        <is>
          <t>SOLLEFTEÅ</t>
        </is>
      </c>
      <c r="F1813" t="inlineStr">
        <is>
          <t>SCA</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6236-2023</t>
        </is>
      </c>
      <c r="B1814" s="1" t="n">
        <v>44964</v>
      </c>
      <c r="C1814" s="1" t="n">
        <v>45670</v>
      </c>
      <c r="D1814" t="inlineStr">
        <is>
          <t>VÄSTERNORRLANDS LÄN</t>
        </is>
      </c>
      <c r="E1814" t="inlineStr">
        <is>
          <t>SOLLEFTEÅ</t>
        </is>
      </c>
      <c r="F1814" t="inlineStr">
        <is>
          <t>SCA</t>
        </is>
      </c>
      <c r="G1814" t="n">
        <v>0.1</v>
      </c>
      <c r="H1814" t="n">
        <v>0</v>
      </c>
      <c r="I1814" t="n">
        <v>0</v>
      </c>
      <c r="J1814" t="n">
        <v>0</v>
      </c>
      <c r="K1814" t="n">
        <v>0</v>
      </c>
      <c r="L1814" t="n">
        <v>0</v>
      </c>
      <c r="M1814" t="n">
        <v>0</v>
      </c>
      <c r="N1814" t="n">
        <v>0</v>
      </c>
      <c r="O1814" t="n">
        <v>0</v>
      </c>
      <c r="P1814" t="n">
        <v>0</v>
      </c>
      <c r="Q1814" t="n">
        <v>0</v>
      </c>
      <c r="R1814" s="2" t="inlineStr"/>
      <c r="U1814">
        <f>HYPERLINK("https://klasma.github.io/Logging_2283/knärot/A 6236-2023 karta knärot.png", "A 6236-2023")</f>
        <v/>
      </c>
      <c r="V1814">
        <f>HYPERLINK("https://klasma.github.io/Logging_2283/klagomål/A 6236-2023 FSC-klagomål.docx", "A 6236-2023")</f>
        <v/>
      </c>
      <c r="W1814">
        <f>HYPERLINK("https://klasma.github.io/Logging_2283/klagomålsmail/A 6236-2023 FSC-klagomål mail.docx", "A 6236-2023")</f>
        <v/>
      </c>
      <c r="X1814">
        <f>HYPERLINK("https://klasma.github.io/Logging_2283/tillsyn/A 6236-2023 tillsynsbegäran.docx", "A 6236-2023")</f>
        <v/>
      </c>
      <c r="Y1814">
        <f>HYPERLINK("https://klasma.github.io/Logging_2283/tillsynsmail/A 6236-2023 tillsynsbegäran mail.docx", "A 6236-2023")</f>
        <v/>
      </c>
    </row>
    <row r="1815" ht="15" customHeight="1">
      <c r="A1815" t="inlineStr">
        <is>
          <t>A 6474-2023</t>
        </is>
      </c>
      <c r="B1815" s="1" t="n">
        <v>44965</v>
      </c>
      <c r="C1815" s="1" t="n">
        <v>45670</v>
      </c>
      <c r="D1815" t="inlineStr">
        <is>
          <t>VÄSTERNORRLANDS LÄN</t>
        </is>
      </c>
      <c r="E1815" t="inlineStr">
        <is>
          <t>SOLLEFTEÅ</t>
        </is>
      </c>
      <c r="F1815" t="inlineStr">
        <is>
          <t>SCA</t>
        </is>
      </c>
      <c r="G1815" t="n">
        <v>47.3</v>
      </c>
      <c r="H1815" t="n">
        <v>0</v>
      </c>
      <c r="I1815" t="n">
        <v>0</v>
      </c>
      <c r="J1815" t="n">
        <v>0</v>
      </c>
      <c r="K1815" t="n">
        <v>0</v>
      </c>
      <c r="L1815" t="n">
        <v>0</v>
      </c>
      <c r="M1815" t="n">
        <v>0</v>
      </c>
      <c r="N1815" t="n">
        <v>0</v>
      </c>
      <c r="O1815" t="n">
        <v>0</v>
      </c>
      <c r="P1815" t="n">
        <v>0</v>
      </c>
      <c r="Q1815" t="n">
        <v>0</v>
      </c>
      <c r="R1815" s="2" t="inlineStr"/>
    </row>
    <row r="1816" ht="15" customHeight="1">
      <c r="A1816" t="inlineStr">
        <is>
          <t>A 7009-2023</t>
        </is>
      </c>
      <c r="B1816" s="1" t="n">
        <v>44967</v>
      </c>
      <c r="C1816" s="1" t="n">
        <v>45670</v>
      </c>
      <c r="D1816" t="inlineStr">
        <is>
          <t>VÄSTERNORRLANDS LÄN</t>
        </is>
      </c>
      <c r="E1816" t="inlineStr">
        <is>
          <t>SOLLEFTEÅ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7332-2023</t>
        </is>
      </c>
      <c r="B1817" s="1" t="n">
        <v>44970</v>
      </c>
      <c r="C1817" s="1" t="n">
        <v>45670</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7324-2023</t>
        </is>
      </c>
      <c r="B1818" s="1" t="n">
        <v>44970</v>
      </c>
      <c r="C1818" s="1" t="n">
        <v>45670</v>
      </c>
      <c r="D1818" t="inlineStr">
        <is>
          <t>VÄSTERNORRLANDS LÄN</t>
        </is>
      </c>
      <c r="E1818" t="inlineStr">
        <is>
          <t>SOLLEFTEÅ</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7325-2023</t>
        </is>
      </c>
      <c r="B1819" s="1" t="n">
        <v>44970</v>
      </c>
      <c r="C1819" s="1" t="n">
        <v>45670</v>
      </c>
      <c r="D1819" t="inlineStr">
        <is>
          <t>VÄSTERNORRLANDS LÄN</t>
        </is>
      </c>
      <c r="E1819" t="inlineStr">
        <is>
          <t>SOLLEFTEÅ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7330-2023</t>
        </is>
      </c>
      <c r="B1820" s="1" t="n">
        <v>44971</v>
      </c>
      <c r="C1820" s="1" t="n">
        <v>45670</v>
      </c>
      <c r="D1820" t="inlineStr">
        <is>
          <t>VÄSTERNORRLANDS LÄN</t>
        </is>
      </c>
      <c r="E1820" t="inlineStr">
        <is>
          <t>SOLLEFTEÅ</t>
        </is>
      </c>
      <c r="F1820" t="inlineStr">
        <is>
          <t>SCA</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7331-2023</t>
        </is>
      </c>
      <c r="B1821" s="1" t="n">
        <v>44970</v>
      </c>
      <c r="C1821" s="1" t="n">
        <v>45670</v>
      </c>
      <c r="D1821" t="inlineStr">
        <is>
          <t>VÄSTERNORRLANDS LÄN</t>
        </is>
      </c>
      <c r="E1821" t="inlineStr">
        <is>
          <t>SOLLEFTEÅ</t>
        </is>
      </c>
      <c r="F1821" t="inlineStr">
        <is>
          <t>SCA</t>
        </is>
      </c>
      <c r="G1821" t="n">
        <v>7.3</v>
      </c>
      <c r="H1821" t="n">
        <v>0</v>
      </c>
      <c r="I1821" t="n">
        <v>0</v>
      </c>
      <c r="J1821" t="n">
        <v>0</v>
      </c>
      <c r="K1821" t="n">
        <v>0</v>
      </c>
      <c r="L1821" t="n">
        <v>0</v>
      </c>
      <c r="M1821" t="n">
        <v>0</v>
      </c>
      <c r="N1821" t="n">
        <v>0</v>
      </c>
      <c r="O1821" t="n">
        <v>0</v>
      </c>
      <c r="P1821" t="n">
        <v>0</v>
      </c>
      <c r="Q1821" t="n">
        <v>0</v>
      </c>
      <c r="R1821" s="2" t="inlineStr"/>
    </row>
    <row r="1822" ht="15" customHeight="1">
      <c r="A1822" t="inlineStr">
        <is>
          <t>A 7333-2023</t>
        </is>
      </c>
      <c r="B1822" s="1" t="n">
        <v>44971</v>
      </c>
      <c r="C1822" s="1" t="n">
        <v>45670</v>
      </c>
      <c r="D1822" t="inlineStr">
        <is>
          <t>VÄSTERNORRLANDS LÄN</t>
        </is>
      </c>
      <c r="E1822" t="inlineStr">
        <is>
          <t>SOLLEFTEÅ</t>
        </is>
      </c>
      <c r="F1822" t="inlineStr">
        <is>
          <t>SCA</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7713-2023</t>
        </is>
      </c>
      <c r="B1823" s="1" t="n">
        <v>44972</v>
      </c>
      <c r="C1823" s="1" t="n">
        <v>45670</v>
      </c>
      <c r="D1823" t="inlineStr">
        <is>
          <t>VÄSTERNORRLANDS LÄN</t>
        </is>
      </c>
      <c r="E1823" t="inlineStr">
        <is>
          <t>SOLLEFTEÅ</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7721-2023</t>
        </is>
      </c>
      <c r="B1824" s="1" t="n">
        <v>44972</v>
      </c>
      <c r="C1824" s="1" t="n">
        <v>45670</v>
      </c>
      <c r="D1824" t="inlineStr">
        <is>
          <t>VÄSTERNORRLANDS LÄN</t>
        </is>
      </c>
      <c r="E1824" t="inlineStr">
        <is>
          <t>SOLLEFTEÅ</t>
        </is>
      </c>
      <c r="F1824" t="inlineStr">
        <is>
          <t>SCA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8030-2023</t>
        </is>
      </c>
      <c r="B1825" s="1" t="n">
        <v>44973</v>
      </c>
      <c r="C1825" s="1" t="n">
        <v>45670</v>
      </c>
      <c r="D1825" t="inlineStr">
        <is>
          <t>VÄSTERNORRLANDS LÄN</t>
        </is>
      </c>
      <c r="E1825" t="inlineStr">
        <is>
          <t>SOLLEFTEÅ</t>
        </is>
      </c>
      <c r="F1825" t="inlineStr">
        <is>
          <t>SCA</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8959-2023</t>
        </is>
      </c>
      <c r="B1826" s="1" t="n">
        <v>44974</v>
      </c>
      <c r="C1826" s="1" t="n">
        <v>45670</v>
      </c>
      <c r="D1826" t="inlineStr">
        <is>
          <t>VÄSTERNORRLANDS LÄN</t>
        </is>
      </c>
      <c r="E1826" t="inlineStr">
        <is>
          <t>SOLLEFTEÅ</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8640-2023</t>
        </is>
      </c>
      <c r="B1827" s="1" t="n">
        <v>44978</v>
      </c>
      <c r="C1827" s="1" t="n">
        <v>45670</v>
      </c>
      <c r="D1827" t="inlineStr">
        <is>
          <t>VÄSTERNORRLANDS LÄN</t>
        </is>
      </c>
      <c r="E1827" t="inlineStr">
        <is>
          <t>SOLLEFTEÅ</t>
        </is>
      </c>
      <c r="F1827" t="inlineStr">
        <is>
          <t>SCA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8658-2023</t>
        </is>
      </c>
      <c r="B1828" s="1" t="n">
        <v>44978</v>
      </c>
      <c r="C1828" s="1" t="n">
        <v>45670</v>
      </c>
      <c r="D1828" t="inlineStr">
        <is>
          <t>VÄSTERNORRLANDS LÄN</t>
        </is>
      </c>
      <c r="E1828" t="inlineStr">
        <is>
          <t>SOLLEFTEÅ</t>
        </is>
      </c>
      <c r="F1828" t="inlineStr">
        <is>
          <t>SCA</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8668-2023</t>
        </is>
      </c>
      <c r="B1829" s="1" t="n">
        <v>44978</v>
      </c>
      <c r="C1829" s="1" t="n">
        <v>45670</v>
      </c>
      <c r="D1829" t="inlineStr">
        <is>
          <t>VÄSTERNORRLANDS LÄN</t>
        </is>
      </c>
      <c r="E1829" t="inlineStr">
        <is>
          <t>SOLLEFTEÅ</t>
        </is>
      </c>
      <c r="F1829" t="inlineStr">
        <is>
          <t>SCA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8672-2023</t>
        </is>
      </c>
      <c r="B1830" s="1" t="n">
        <v>44977</v>
      </c>
      <c r="C1830" s="1" t="n">
        <v>45670</v>
      </c>
      <c r="D1830" t="inlineStr">
        <is>
          <t>VÄSTERNORRLANDS LÄN</t>
        </is>
      </c>
      <c r="E1830" t="inlineStr">
        <is>
          <t>SOLLEFTEÅ</t>
        </is>
      </c>
      <c r="F1830" t="inlineStr">
        <is>
          <t>SCA</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8656-2023</t>
        </is>
      </c>
      <c r="B1831" s="1" t="n">
        <v>44978</v>
      </c>
      <c r="C1831" s="1" t="n">
        <v>45670</v>
      </c>
      <c r="D1831" t="inlineStr">
        <is>
          <t>VÄSTERNORRLANDS LÄN</t>
        </is>
      </c>
      <c r="E1831" t="inlineStr">
        <is>
          <t>SOLLEFTEÅ</t>
        </is>
      </c>
      <c r="F1831" t="inlineStr">
        <is>
          <t>SCA</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8670-2023</t>
        </is>
      </c>
      <c r="B1832" s="1" t="n">
        <v>44977</v>
      </c>
      <c r="C1832" s="1" t="n">
        <v>45670</v>
      </c>
      <c r="D1832" t="inlineStr">
        <is>
          <t>VÄSTERNORRLANDS LÄN</t>
        </is>
      </c>
      <c r="E1832" t="inlineStr">
        <is>
          <t>SOLLEFTEÅ</t>
        </is>
      </c>
      <c r="F1832" t="inlineStr">
        <is>
          <t>SCA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8667-2023</t>
        </is>
      </c>
      <c r="B1833" s="1" t="n">
        <v>44978</v>
      </c>
      <c r="C1833" s="1" t="n">
        <v>45670</v>
      </c>
      <c r="D1833" t="inlineStr">
        <is>
          <t>VÄSTERNORRLANDS LÄN</t>
        </is>
      </c>
      <c r="E1833" t="inlineStr">
        <is>
          <t>SOLLEFTEÅ</t>
        </is>
      </c>
      <c r="F1833" t="inlineStr">
        <is>
          <t>SCA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8671-2023</t>
        </is>
      </c>
      <c r="B1834" s="1" t="n">
        <v>44978</v>
      </c>
      <c r="C1834" s="1" t="n">
        <v>45670</v>
      </c>
      <c r="D1834" t="inlineStr">
        <is>
          <t>VÄSTERNORRLANDS LÄN</t>
        </is>
      </c>
      <c r="E1834" t="inlineStr">
        <is>
          <t>SOLLEFTEÅ</t>
        </is>
      </c>
      <c r="F1834" t="inlineStr">
        <is>
          <t>SCA</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8875-2023</t>
        </is>
      </c>
      <c r="B1835" s="1" t="n">
        <v>44978</v>
      </c>
      <c r="C1835" s="1" t="n">
        <v>45670</v>
      </c>
      <c r="D1835" t="inlineStr">
        <is>
          <t>VÄSTERNORRLANDS LÄN</t>
        </is>
      </c>
      <c r="E1835" t="inlineStr">
        <is>
          <t>SOLLEFTEÅ</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8880-2023</t>
        </is>
      </c>
      <c r="B1836" s="1" t="n">
        <v>44978</v>
      </c>
      <c r="C1836" s="1" t="n">
        <v>45670</v>
      </c>
      <c r="D1836" t="inlineStr">
        <is>
          <t>VÄSTERNORRLANDS LÄN</t>
        </is>
      </c>
      <c r="E1836" t="inlineStr">
        <is>
          <t>SOLLEFTEÅ</t>
        </is>
      </c>
      <c r="F1836" t="inlineStr">
        <is>
          <t>SCA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9097-2023</t>
        </is>
      </c>
      <c r="B1837" s="1" t="n">
        <v>44979</v>
      </c>
      <c r="C1837" s="1" t="n">
        <v>45670</v>
      </c>
      <c r="D1837" t="inlineStr">
        <is>
          <t>VÄSTERNORRLANDS LÄN</t>
        </is>
      </c>
      <c r="E1837" t="inlineStr">
        <is>
          <t>SOLLEFTEÅ</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9095-2023</t>
        </is>
      </c>
      <c r="B1838" s="1" t="n">
        <v>44979</v>
      </c>
      <c r="C1838" s="1" t="n">
        <v>45670</v>
      </c>
      <c r="D1838" t="inlineStr">
        <is>
          <t>VÄSTERNORRLANDS LÄN</t>
        </is>
      </c>
      <c r="E1838" t="inlineStr">
        <is>
          <t>SOLLEFTEÅ</t>
        </is>
      </c>
      <c r="F1838" t="inlineStr">
        <is>
          <t>SCA</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9099-2023</t>
        </is>
      </c>
      <c r="B1839" s="1" t="n">
        <v>44979</v>
      </c>
      <c r="C1839" s="1" t="n">
        <v>45670</v>
      </c>
      <c r="D1839" t="inlineStr">
        <is>
          <t>VÄSTERNORRLANDS LÄN</t>
        </is>
      </c>
      <c r="E1839" t="inlineStr">
        <is>
          <t>SOLLEFTEÅ</t>
        </is>
      </c>
      <c r="F1839" t="inlineStr">
        <is>
          <t>SCA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9096-2023</t>
        </is>
      </c>
      <c r="B1840" s="1" t="n">
        <v>44979</v>
      </c>
      <c r="C1840" s="1" t="n">
        <v>45670</v>
      </c>
      <c r="D1840" t="inlineStr">
        <is>
          <t>VÄSTERNORRLANDS LÄN</t>
        </is>
      </c>
      <c r="E1840" t="inlineStr">
        <is>
          <t>SOLLEFTEÅ</t>
        </is>
      </c>
      <c r="F1840" t="inlineStr">
        <is>
          <t>SCA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9104-2023</t>
        </is>
      </c>
      <c r="B1841" s="1" t="n">
        <v>44979</v>
      </c>
      <c r="C1841" s="1" t="n">
        <v>45670</v>
      </c>
      <c r="D1841" t="inlineStr">
        <is>
          <t>VÄSTERNORRLANDS LÄN</t>
        </is>
      </c>
      <c r="E1841" t="inlineStr">
        <is>
          <t>SOLLEFTEÅ</t>
        </is>
      </c>
      <c r="F1841" t="inlineStr">
        <is>
          <t>SCA</t>
        </is>
      </c>
      <c r="G1841" t="n">
        <v>22.1</v>
      </c>
      <c r="H1841" t="n">
        <v>0</v>
      </c>
      <c r="I1841" t="n">
        <v>0</v>
      </c>
      <c r="J1841" t="n">
        <v>0</v>
      </c>
      <c r="K1841" t="n">
        <v>0</v>
      </c>
      <c r="L1841" t="n">
        <v>0</v>
      </c>
      <c r="M1841" t="n">
        <v>0</v>
      </c>
      <c r="N1841" t="n">
        <v>0</v>
      </c>
      <c r="O1841" t="n">
        <v>0</v>
      </c>
      <c r="P1841" t="n">
        <v>0</v>
      </c>
      <c r="Q1841" t="n">
        <v>0</v>
      </c>
      <c r="R1841" s="2" t="inlineStr"/>
    </row>
    <row r="1842" ht="15" customHeight="1">
      <c r="A1842" t="inlineStr">
        <is>
          <t>A 9098-2023</t>
        </is>
      </c>
      <c r="B1842" s="1" t="n">
        <v>44979</v>
      </c>
      <c r="C1842" s="1" t="n">
        <v>45670</v>
      </c>
      <c r="D1842" t="inlineStr">
        <is>
          <t>VÄSTERNORRLANDS LÄN</t>
        </is>
      </c>
      <c r="E1842" t="inlineStr">
        <is>
          <t>SOLLEFTEÅ</t>
        </is>
      </c>
      <c r="F1842" t="inlineStr">
        <is>
          <t>SCA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9105-2023</t>
        </is>
      </c>
      <c r="B1843" s="1" t="n">
        <v>44979</v>
      </c>
      <c r="C1843" s="1" t="n">
        <v>45670</v>
      </c>
      <c r="D1843" t="inlineStr">
        <is>
          <t>VÄSTERNORRLANDS LÄN</t>
        </is>
      </c>
      <c r="E1843" t="inlineStr">
        <is>
          <t>SOLLEFTEÅ</t>
        </is>
      </c>
      <c r="F1843" t="inlineStr">
        <is>
          <t>SCA</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9358-2023</t>
        </is>
      </c>
      <c r="B1844" s="1" t="n">
        <v>44980</v>
      </c>
      <c r="C1844" s="1" t="n">
        <v>45670</v>
      </c>
      <c r="D1844" t="inlineStr">
        <is>
          <t>VÄSTERNORRLANDS LÄN</t>
        </is>
      </c>
      <c r="E1844" t="inlineStr">
        <is>
          <t>SOLLEFTEÅ</t>
        </is>
      </c>
      <c r="F1844" t="inlineStr">
        <is>
          <t>SCA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10256-2023</t>
        </is>
      </c>
      <c r="B1845" s="1" t="n">
        <v>44980</v>
      </c>
      <c r="C1845" s="1" t="n">
        <v>45670</v>
      </c>
      <c r="D1845" t="inlineStr">
        <is>
          <t>VÄSTERNORRLANDS LÄN</t>
        </is>
      </c>
      <c r="E1845" t="inlineStr">
        <is>
          <t>SOLLEFTEÅ</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9362-2023</t>
        </is>
      </c>
      <c r="B1846" s="1" t="n">
        <v>44980</v>
      </c>
      <c r="C1846" s="1" t="n">
        <v>45670</v>
      </c>
      <c r="D1846" t="inlineStr">
        <is>
          <t>VÄSTERNORRLANDS LÄN</t>
        </is>
      </c>
      <c r="E1846" t="inlineStr">
        <is>
          <t>SOLLEFTEÅ</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9549-2023</t>
        </is>
      </c>
      <c r="B1847" s="1" t="n">
        <v>44981</v>
      </c>
      <c r="C1847" s="1" t="n">
        <v>45670</v>
      </c>
      <c r="D1847" t="inlineStr">
        <is>
          <t>VÄSTERNORRLANDS LÄN</t>
        </is>
      </c>
      <c r="E1847" t="inlineStr">
        <is>
          <t>SOLLEFTEÅ</t>
        </is>
      </c>
      <c r="F1847" t="inlineStr">
        <is>
          <t>SCA</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10428-2023</t>
        </is>
      </c>
      <c r="B1848" s="1" t="n">
        <v>44981</v>
      </c>
      <c r="C1848" s="1" t="n">
        <v>45670</v>
      </c>
      <c r="D1848" t="inlineStr">
        <is>
          <t>VÄSTERNORRLANDS LÄN</t>
        </is>
      </c>
      <c r="E1848" t="inlineStr">
        <is>
          <t>SOLLEFTEÅ</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9617-2023</t>
        </is>
      </c>
      <c r="B1849" s="1" t="n">
        <v>44983</v>
      </c>
      <c r="C1849" s="1" t="n">
        <v>45670</v>
      </c>
      <c r="D1849" t="inlineStr">
        <is>
          <t>VÄSTERNORRLANDS LÄN</t>
        </is>
      </c>
      <c r="E1849" t="inlineStr">
        <is>
          <t>SOLLEFTEÅ</t>
        </is>
      </c>
      <c r="F1849" t="inlineStr">
        <is>
          <t>SCA</t>
        </is>
      </c>
      <c r="G1849" t="n">
        <v>39.6</v>
      </c>
      <c r="H1849" t="n">
        <v>0</v>
      </c>
      <c r="I1849" t="n">
        <v>0</v>
      </c>
      <c r="J1849" t="n">
        <v>0</v>
      </c>
      <c r="K1849" t="n">
        <v>0</v>
      </c>
      <c r="L1849" t="n">
        <v>0</v>
      </c>
      <c r="M1849" t="n">
        <v>0</v>
      </c>
      <c r="N1849" t="n">
        <v>0</v>
      </c>
      <c r="O1849" t="n">
        <v>0</v>
      </c>
      <c r="P1849" t="n">
        <v>0</v>
      </c>
      <c r="Q1849" t="n">
        <v>0</v>
      </c>
      <c r="R1849" s="2" t="inlineStr"/>
    </row>
    <row r="1850" ht="15" customHeight="1">
      <c r="A1850" t="inlineStr">
        <is>
          <t>A 9616-2023</t>
        </is>
      </c>
      <c r="B1850" s="1" t="n">
        <v>44983</v>
      </c>
      <c r="C1850" s="1" t="n">
        <v>45670</v>
      </c>
      <c r="D1850" t="inlineStr">
        <is>
          <t>VÄSTERNORRLANDS LÄN</t>
        </is>
      </c>
      <c r="E1850" t="inlineStr">
        <is>
          <t>SOLLEFTEÅ</t>
        </is>
      </c>
      <c r="F1850" t="inlineStr">
        <is>
          <t>SCA</t>
        </is>
      </c>
      <c r="G1850" t="n">
        <v>45.9</v>
      </c>
      <c r="H1850" t="n">
        <v>0</v>
      </c>
      <c r="I1850" t="n">
        <v>0</v>
      </c>
      <c r="J1850" t="n">
        <v>0</v>
      </c>
      <c r="K1850" t="n">
        <v>0</v>
      </c>
      <c r="L1850" t="n">
        <v>0</v>
      </c>
      <c r="M1850" t="n">
        <v>0</v>
      </c>
      <c r="N1850" t="n">
        <v>0</v>
      </c>
      <c r="O1850" t="n">
        <v>0</v>
      </c>
      <c r="P1850" t="n">
        <v>0</v>
      </c>
      <c r="Q1850" t="n">
        <v>0</v>
      </c>
      <c r="R1850" s="2" t="inlineStr"/>
    </row>
    <row r="1851" ht="15" customHeight="1">
      <c r="A1851" t="inlineStr">
        <is>
          <t>A 9614-2023</t>
        </is>
      </c>
      <c r="B1851" s="1" t="n">
        <v>44983</v>
      </c>
      <c r="C1851" s="1" t="n">
        <v>45670</v>
      </c>
      <c r="D1851" t="inlineStr">
        <is>
          <t>VÄSTERNORRLANDS LÄN</t>
        </is>
      </c>
      <c r="E1851" t="inlineStr">
        <is>
          <t>SOLLEFTEÅ</t>
        </is>
      </c>
      <c r="F1851" t="inlineStr">
        <is>
          <t>SCA</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9741-2023</t>
        </is>
      </c>
      <c r="B1852" s="1" t="n">
        <v>44984</v>
      </c>
      <c r="C1852" s="1" t="n">
        <v>45670</v>
      </c>
      <c r="D1852" t="inlineStr">
        <is>
          <t>VÄSTERNORRLANDS LÄN</t>
        </is>
      </c>
      <c r="E1852" t="inlineStr">
        <is>
          <t>SOLLEFTEÅ</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9829-2023</t>
        </is>
      </c>
      <c r="B1853" s="1" t="n">
        <v>44984</v>
      </c>
      <c r="C1853" s="1" t="n">
        <v>45670</v>
      </c>
      <c r="D1853" t="inlineStr">
        <is>
          <t>VÄSTERNORRLANDS LÄN</t>
        </is>
      </c>
      <c r="E1853" t="inlineStr">
        <is>
          <t>SOLLEFTEÅ</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9858-2023</t>
        </is>
      </c>
      <c r="B1854" s="1" t="n">
        <v>44984</v>
      </c>
      <c r="C1854" s="1" t="n">
        <v>45670</v>
      </c>
      <c r="D1854" t="inlineStr">
        <is>
          <t>VÄSTERNORRLANDS LÄN</t>
        </is>
      </c>
      <c r="E1854" t="inlineStr">
        <is>
          <t>SOLLEFTEÅ</t>
        </is>
      </c>
      <c r="F1854" t="inlineStr">
        <is>
          <t>SCA</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9879-2023</t>
        </is>
      </c>
      <c r="B1855" s="1" t="n">
        <v>44984</v>
      </c>
      <c r="C1855" s="1" t="n">
        <v>45670</v>
      </c>
      <c r="D1855" t="inlineStr">
        <is>
          <t>VÄSTERNORRLANDS LÄN</t>
        </is>
      </c>
      <c r="E1855" t="inlineStr">
        <is>
          <t>SOLLEFTEÅ</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9871-2023</t>
        </is>
      </c>
      <c r="B1856" s="1" t="n">
        <v>44984</v>
      </c>
      <c r="C1856" s="1" t="n">
        <v>45670</v>
      </c>
      <c r="D1856" t="inlineStr">
        <is>
          <t>VÄSTERNORRLANDS LÄN</t>
        </is>
      </c>
      <c r="E1856" t="inlineStr">
        <is>
          <t>SOLLEFTEÅ</t>
        </is>
      </c>
      <c r="F1856" t="inlineStr">
        <is>
          <t>SCA</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10079-2023</t>
        </is>
      </c>
      <c r="B1857" s="1" t="n">
        <v>44985</v>
      </c>
      <c r="C1857" s="1" t="n">
        <v>45670</v>
      </c>
      <c r="D1857" t="inlineStr">
        <is>
          <t>VÄSTERNORRLANDS LÄN</t>
        </is>
      </c>
      <c r="E1857" t="inlineStr">
        <is>
          <t>SOLLEFTEÅ</t>
        </is>
      </c>
      <c r="F1857" t="inlineStr">
        <is>
          <t>SCA</t>
        </is>
      </c>
      <c r="G1857" t="n">
        <v>32.7</v>
      </c>
      <c r="H1857" t="n">
        <v>0</v>
      </c>
      <c r="I1857" t="n">
        <v>0</v>
      </c>
      <c r="J1857" t="n">
        <v>0</v>
      </c>
      <c r="K1857" t="n">
        <v>0</v>
      </c>
      <c r="L1857" t="n">
        <v>0</v>
      </c>
      <c r="M1857" t="n">
        <v>0</v>
      </c>
      <c r="N1857" t="n">
        <v>0</v>
      </c>
      <c r="O1857" t="n">
        <v>0</v>
      </c>
      <c r="P1857" t="n">
        <v>0</v>
      </c>
      <c r="Q1857" t="n">
        <v>0</v>
      </c>
      <c r="R1857" s="2" t="inlineStr"/>
    </row>
    <row r="1858" ht="15" customHeight="1">
      <c r="A1858" t="inlineStr">
        <is>
          <t>A 10094-2023</t>
        </is>
      </c>
      <c r="B1858" s="1" t="n">
        <v>44985</v>
      </c>
      <c r="C1858" s="1" t="n">
        <v>45670</v>
      </c>
      <c r="D1858" t="inlineStr">
        <is>
          <t>VÄSTERNORRLANDS LÄN</t>
        </is>
      </c>
      <c r="E1858" t="inlineStr">
        <is>
          <t>SOLLEFTEÅ</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10095-2023</t>
        </is>
      </c>
      <c r="B1859" s="1" t="n">
        <v>44985</v>
      </c>
      <c r="C1859" s="1" t="n">
        <v>45670</v>
      </c>
      <c r="D1859" t="inlineStr">
        <is>
          <t>VÄSTERNORRLANDS LÄN</t>
        </is>
      </c>
      <c r="E1859" t="inlineStr">
        <is>
          <t>SOLLEFTEÅ</t>
        </is>
      </c>
      <c r="F1859" t="inlineStr">
        <is>
          <t>SCA</t>
        </is>
      </c>
      <c r="G1859" t="n">
        <v>11.8</v>
      </c>
      <c r="H1859" t="n">
        <v>0</v>
      </c>
      <c r="I1859" t="n">
        <v>0</v>
      </c>
      <c r="J1859" t="n">
        <v>0</v>
      </c>
      <c r="K1859" t="n">
        <v>0</v>
      </c>
      <c r="L1859" t="n">
        <v>0</v>
      </c>
      <c r="M1859" t="n">
        <v>0</v>
      </c>
      <c r="N1859" t="n">
        <v>0</v>
      </c>
      <c r="O1859" t="n">
        <v>0</v>
      </c>
      <c r="P1859" t="n">
        <v>0</v>
      </c>
      <c r="Q1859" t="n">
        <v>0</v>
      </c>
      <c r="R1859" s="2" t="inlineStr"/>
    </row>
    <row r="1860" ht="15" customHeight="1">
      <c r="A1860" t="inlineStr">
        <is>
          <t>A 10077-2023</t>
        </is>
      </c>
      <c r="B1860" s="1" t="n">
        <v>44985</v>
      </c>
      <c r="C1860" s="1" t="n">
        <v>45670</v>
      </c>
      <c r="D1860" t="inlineStr">
        <is>
          <t>VÄSTERNORRLANDS LÄN</t>
        </is>
      </c>
      <c r="E1860" t="inlineStr">
        <is>
          <t>SOLLEFTEÅ</t>
        </is>
      </c>
      <c r="F1860" t="inlineStr">
        <is>
          <t>SCA</t>
        </is>
      </c>
      <c r="G1860" t="n">
        <v>10.8</v>
      </c>
      <c r="H1860" t="n">
        <v>0</v>
      </c>
      <c r="I1860" t="n">
        <v>0</v>
      </c>
      <c r="J1860" t="n">
        <v>0</v>
      </c>
      <c r="K1860" t="n">
        <v>0</v>
      </c>
      <c r="L1860" t="n">
        <v>0</v>
      </c>
      <c r="M1860" t="n">
        <v>0</v>
      </c>
      <c r="N1860" t="n">
        <v>0</v>
      </c>
      <c r="O1860" t="n">
        <v>0</v>
      </c>
      <c r="P1860" t="n">
        <v>0</v>
      </c>
      <c r="Q1860" t="n">
        <v>0</v>
      </c>
      <c r="R1860" s="2" t="inlineStr"/>
    </row>
    <row r="1861" ht="15" customHeight="1">
      <c r="A1861" t="inlineStr">
        <is>
          <t>A 10099-2023</t>
        </is>
      </c>
      <c r="B1861" s="1" t="n">
        <v>44985</v>
      </c>
      <c r="C1861" s="1" t="n">
        <v>45670</v>
      </c>
      <c r="D1861" t="inlineStr">
        <is>
          <t>VÄSTERNORRLANDS LÄN</t>
        </is>
      </c>
      <c r="E1861" t="inlineStr">
        <is>
          <t>SOLLEFTEÅ</t>
        </is>
      </c>
      <c r="F1861" t="inlineStr">
        <is>
          <t>SCA</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10078-2023</t>
        </is>
      </c>
      <c r="B1862" s="1" t="n">
        <v>44985</v>
      </c>
      <c r="C1862" s="1" t="n">
        <v>45670</v>
      </c>
      <c r="D1862" t="inlineStr">
        <is>
          <t>VÄSTERNORRLANDS LÄN</t>
        </is>
      </c>
      <c r="E1862" t="inlineStr">
        <is>
          <t>SOLLEFTEÅ</t>
        </is>
      </c>
      <c r="F1862" t="inlineStr">
        <is>
          <t>SCA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10093-2023</t>
        </is>
      </c>
      <c r="B1863" s="1" t="n">
        <v>44985</v>
      </c>
      <c r="C1863" s="1" t="n">
        <v>45670</v>
      </c>
      <c r="D1863" t="inlineStr">
        <is>
          <t>VÄSTERNORRLANDS LÄN</t>
        </is>
      </c>
      <c r="E1863" t="inlineStr">
        <is>
          <t>SOLLEFTEÅ</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10294-2023</t>
        </is>
      </c>
      <c r="B1864" s="1" t="n">
        <v>44986</v>
      </c>
      <c r="C1864" s="1" t="n">
        <v>45670</v>
      </c>
      <c r="D1864" t="inlineStr">
        <is>
          <t>VÄSTERNORRLANDS LÄN</t>
        </is>
      </c>
      <c r="E1864" t="inlineStr">
        <is>
          <t>SOLLEFTEÅ</t>
        </is>
      </c>
      <c r="F1864" t="inlineStr">
        <is>
          <t>SCA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10311-2023</t>
        </is>
      </c>
      <c r="B1865" s="1" t="n">
        <v>44986</v>
      </c>
      <c r="C1865" s="1" t="n">
        <v>45670</v>
      </c>
      <c r="D1865" t="inlineStr">
        <is>
          <t>VÄSTERNORRLANDS LÄN</t>
        </is>
      </c>
      <c r="E1865" t="inlineStr">
        <is>
          <t>SOLLEFTEÅ</t>
        </is>
      </c>
      <c r="F1865" t="inlineStr">
        <is>
          <t>SCA</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11094-2023</t>
        </is>
      </c>
      <c r="B1866" s="1" t="n">
        <v>44986</v>
      </c>
      <c r="C1866" s="1" t="n">
        <v>45670</v>
      </c>
      <c r="D1866" t="inlineStr">
        <is>
          <t>VÄSTERNORRLANDS LÄN</t>
        </is>
      </c>
      <c r="E1866" t="inlineStr">
        <is>
          <t>SOLLEFTEÅ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10526-2023</t>
        </is>
      </c>
      <c r="B1867" s="1" t="n">
        <v>44987</v>
      </c>
      <c r="C1867" s="1" t="n">
        <v>45670</v>
      </c>
      <c r="D1867" t="inlineStr">
        <is>
          <t>VÄSTERNORRLANDS LÄN</t>
        </is>
      </c>
      <c r="E1867" t="inlineStr">
        <is>
          <t>SOLLEFTEÅ</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10541-2023</t>
        </is>
      </c>
      <c r="B1868" s="1" t="n">
        <v>44987</v>
      </c>
      <c r="C1868" s="1" t="n">
        <v>45670</v>
      </c>
      <c r="D1868" t="inlineStr">
        <is>
          <t>VÄSTERNORRLANDS LÄN</t>
        </is>
      </c>
      <c r="E1868" t="inlineStr">
        <is>
          <t>SOLLEFTEÅ</t>
        </is>
      </c>
      <c r="F1868" t="inlineStr">
        <is>
          <t>SCA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10549-2023</t>
        </is>
      </c>
      <c r="B1869" s="1" t="n">
        <v>44987</v>
      </c>
      <c r="C1869" s="1" t="n">
        <v>45670</v>
      </c>
      <c r="D1869" t="inlineStr">
        <is>
          <t>VÄSTERNORRLANDS LÄN</t>
        </is>
      </c>
      <c r="E1869" t="inlineStr">
        <is>
          <t>SOLLEFTEÅ</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10777-2023</t>
        </is>
      </c>
      <c r="B1870" s="1" t="n">
        <v>44988</v>
      </c>
      <c r="C1870" s="1" t="n">
        <v>45670</v>
      </c>
      <c r="D1870" t="inlineStr">
        <is>
          <t>VÄSTERNORRLANDS LÄN</t>
        </is>
      </c>
      <c r="E1870" t="inlineStr">
        <is>
          <t>SOLLEFTEÅ</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10771-2023</t>
        </is>
      </c>
      <c r="B1871" s="1" t="n">
        <v>44988</v>
      </c>
      <c r="C1871" s="1" t="n">
        <v>45670</v>
      </c>
      <c r="D1871" t="inlineStr">
        <is>
          <t>VÄSTERNORRLANDS LÄN</t>
        </is>
      </c>
      <c r="E1871" t="inlineStr">
        <is>
          <t>SOLLEFTEÅ</t>
        </is>
      </c>
      <c r="F1871" t="inlineStr">
        <is>
          <t>SCA</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10783-2023</t>
        </is>
      </c>
      <c r="B1872" s="1" t="n">
        <v>44988</v>
      </c>
      <c r="C1872" s="1" t="n">
        <v>45670</v>
      </c>
      <c r="D1872" t="inlineStr">
        <is>
          <t>VÄSTERNORRLANDS LÄN</t>
        </is>
      </c>
      <c r="E1872" t="inlineStr">
        <is>
          <t>SOLLEFTEÅ</t>
        </is>
      </c>
      <c r="F1872" t="inlineStr">
        <is>
          <t>SCA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10768-2023</t>
        </is>
      </c>
      <c r="B1873" s="1" t="n">
        <v>44988</v>
      </c>
      <c r="C1873" s="1" t="n">
        <v>45670</v>
      </c>
      <c r="D1873" t="inlineStr">
        <is>
          <t>VÄSTERNORRLANDS LÄN</t>
        </is>
      </c>
      <c r="E1873" t="inlineStr">
        <is>
          <t>SOLLEFTEÅ</t>
        </is>
      </c>
      <c r="F1873" t="inlineStr">
        <is>
          <t>SCA</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10785-2023</t>
        </is>
      </c>
      <c r="B1874" s="1" t="n">
        <v>44988</v>
      </c>
      <c r="C1874" s="1" t="n">
        <v>45670</v>
      </c>
      <c r="D1874" t="inlineStr">
        <is>
          <t>VÄSTERNORRLANDS LÄN</t>
        </is>
      </c>
      <c r="E1874" t="inlineStr">
        <is>
          <t>SOLLEFTEÅ</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11038-2023</t>
        </is>
      </c>
      <c r="B1875" s="1" t="n">
        <v>44991</v>
      </c>
      <c r="C1875" s="1" t="n">
        <v>45670</v>
      </c>
      <c r="D1875" t="inlineStr">
        <is>
          <t>VÄSTERNORRLANDS LÄN</t>
        </is>
      </c>
      <c r="E1875" t="inlineStr">
        <is>
          <t>SOLLEFTEÅ</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11052-2023</t>
        </is>
      </c>
      <c r="B1876" s="1" t="n">
        <v>44991</v>
      </c>
      <c r="C1876" s="1" t="n">
        <v>45670</v>
      </c>
      <c r="D1876" t="inlineStr">
        <is>
          <t>VÄSTERNORRLANDS LÄN</t>
        </is>
      </c>
      <c r="E1876" t="inlineStr">
        <is>
          <t>SOLLEFTEÅ</t>
        </is>
      </c>
      <c r="F1876" t="inlineStr">
        <is>
          <t>SCA</t>
        </is>
      </c>
      <c r="G1876" t="n">
        <v>10.1</v>
      </c>
      <c r="H1876" t="n">
        <v>0</v>
      </c>
      <c r="I1876" t="n">
        <v>0</v>
      </c>
      <c r="J1876" t="n">
        <v>0</v>
      </c>
      <c r="K1876" t="n">
        <v>0</v>
      </c>
      <c r="L1876" t="n">
        <v>0</v>
      </c>
      <c r="M1876" t="n">
        <v>0</v>
      </c>
      <c r="N1876" t="n">
        <v>0</v>
      </c>
      <c r="O1876" t="n">
        <v>0</v>
      </c>
      <c r="P1876" t="n">
        <v>0</v>
      </c>
      <c r="Q1876" t="n">
        <v>0</v>
      </c>
      <c r="R1876" s="2" t="inlineStr"/>
    </row>
    <row r="1877" ht="15" customHeight="1">
      <c r="A1877" t="inlineStr">
        <is>
          <t>A 11039-2023</t>
        </is>
      </c>
      <c r="B1877" s="1" t="n">
        <v>44991</v>
      </c>
      <c r="C1877" s="1" t="n">
        <v>45670</v>
      </c>
      <c r="D1877" t="inlineStr">
        <is>
          <t>VÄSTERNORRLANDS LÄN</t>
        </is>
      </c>
      <c r="E1877" t="inlineStr">
        <is>
          <t>SOLLEFTEÅ</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11301-2023</t>
        </is>
      </c>
      <c r="B1878" s="1" t="n">
        <v>44993</v>
      </c>
      <c r="C1878" s="1" t="n">
        <v>45670</v>
      </c>
      <c r="D1878" t="inlineStr">
        <is>
          <t>VÄSTERNORRLANDS LÄN</t>
        </is>
      </c>
      <c r="E1878" t="inlineStr">
        <is>
          <t>SOLLEFTEÅ</t>
        </is>
      </c>
      <c r="F1878" t="inlineStr">
        <is>
          <t>SCA</t>
        </is>
      </c>
      <c r="G1878" t="n">
        <v>19.9</v>
      </c>
      <c r="H1878" t="n">
        <v>0</v>
      </c>
      <c r="I1878" t="n">
        <v>0</v>
      </c>
      <c r="J1878" t="n">
        <v>0</v>
      </c>
      <c r="K1878" t="n">
        <v>0</v>
      </c>
      <c r="L1878" t="n">
        <v>0</v>
      </c>
      <c r="M1878" t="n">
        <v>0</v>
      </c>
      <c r="N1878" t="n">
        <v>0</v>
      </c>
      <c r="O1878" t="n">
        <v>0</v>
      </c>
      <c r="P1878" t="n">
        <v>0</v>
      </c>
      <c r="Q1878" t="n">
        <v>0</v>
      </c>
      <c r="R1878" s="2" t="inlineStr"/>
    </row>
    <row r="1879" ht="15" customHeight="1">
      <c r="A1879" t="inlineStr">
        <is>
          <t>A 11306-2023</t>
        </is>
      </c>
      <c r="B1879" s="1" t="n">
        <v>44993</v>
      </c>
      <c r="C1879" s="1" t="n">
        <v>45670</v>
      </c>
      <c r="D1879" t="inlineStr">
        <is>
          <t>VÄSTERNORRLANDS LÄN</t>
        </is>
      </c>
      <c r="E1879" t="inlineStr">
        <is>
          <t>SOLLEFTEÅ</t>
        </is>
      </c>
      <c r="F1879" t="inlineStr">
        <is>
          <t>SCA</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11551-2023</t>
        </is>
      </c>
      <c r="B1880" s="1" t="n">
        <v>44993</v>
      </c>
      <c r="C1880" s="1" t="n">
        <v>45670</v>
      </c>
      <c r="D1880" t="inlineStr">
        <is>
          <t>VÄSTERNORRLANDS LÄN</t>
        </is>
      </c>
      <c r="E1880" t="inlineStr">
        <is>
          <t>SOLLEFTEÅ</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11555-2023</t>
        </is>
      </c>
      <c r="B1881" s="1" t="n">
        <v>44993</v>
      </c>
      <c r="C1881" s="1" t="n">
        <v>45670</v>
      </c>
      <c r="D1881" t="inlineStr">
        <is>
          <t>VÄSTERNORRLANDS LÄN</t>
        </is>
      </c>
      <c r="E1881" t="inlineStr">
        <is>
          <t>SOLLEFTEÅ</t>
        </is>
      </c>
      <c r="F1881" t="inlineStr">
        <is>
          <t>SCA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11554-2023</t>
        </is>
      </c>
      <c r="B1882" s="1" t="n">
        <v>44993</v>
      </c>
      <c r="C1882" s="1" t="n">
        <v>45670</v>
      </c>
      <c r="D1882" t="inlineStr">
        <is>
          <t>VÄSTERNORRLANDS LÄN</t>
        </is>
      </c>
      <c r="E1882" t="inlineStr">
        <is>
          <t>SOLLEFTEÅ</t>
        </is>
      </c>
      <c r="F1882" t="inlineStr">
        <is>
          <t>SCA</t>
        </is>
      </c>
      <c r="G1882" t="n">
        <v>23.1</v>
      </c>
      <c r="H1882" t="n">
        <v>0</v>
      </c>
      <c r="I1882" t="n">
        <v>0</v>
      </c>
      <c r="J1882" t="n">
        <v>0</v>
      </c>
      <c r="K1882" t="n">
        <v>0</v>
      </c>
      <c r="L1882" t="n">
        <v>0</v>
      </c>
      <c r="M1882" t="n">
        <v>0</v>
      </c>
      <c r="N1882" t="n">
        <v>0</v>
      </c>
      <c r="O1882" t="n">
        <v>0</v>
      </c>
      <c r="P1882" t="n">
        <v>0</v>
      </c>
      <c r="Q1882" t="n">
        <v>0</v>
      </c>
      <c r="R1882" s="2" t="inlineStr"/>
    </row>
    <row r="1883" ht="15" customHeight="1">
      <c r="A1883" t="inlineStr">
        <is>
          <t>A 11831-2023</t>
        </is>
      </c>
      <c r="B1883" s="1" t="n">
        <v>44994</v>
      </c>
      <c r="C1883" s="1" t="n">
        <v>45670</v>
      </c>
      <c r="D1883" t="inlineStr">
        <is>
          <t>VÄSTERNORRLANDS LÄN</t>
        </is>
      </c>
      <c r="E1883" t="inlineStr">
        <is>
          <t>SOLLEFTEÅ</t>
        </is>
      </c>
      <c r="F1883" t="inlineStr">
        <is>
          <t>SCA</t>
        </is>
      </c>
      <c r="G1883" t="n">
        <v>14.8</v>
      </c>
      <c r="H1883" t="n">
        <v>0</v>
      </c>
      <c r="I1883" t="n">
        <v>0</v>
      </c>
      <c r="J1883" t="n">
        <v>0</v>
      </c>
      <c r="K1883" t="n">
        <v>0</v>
      </c>
      <c r="L1883" t="n">
        <v>0</v>
      </c>
      <c r="M1883" t="n">
        <v>0</v>
      </c>
      <c r="N1883" t="n">
        <v>0</v>
      </c>
      <c r="O1883" t="n">
        <v>0</v>
      </c>
      <c r="P1883" t="n">
        <v>0</v>
      </c>
      <c r="Q1883" t="n">
        <v>0</v>
      </c>
      <c r="R1883" s="2" t="inlineStr"/>
    </row>
    <row r="1884" ht="15" customHeight="1">
      <c r="A1884" t="inlineStr">
        <is>
          <t>A 12107-2023</t>
        </is>
      </c>
      <c r="B1884" s="1" t="n">
        <v>44995</v>
      </c>
      <c r="C1884" s="1" t="n">
        <v>45670</v>
      </c>
      <c r="D1884" t="inlineStr">
        <is>
          <t>VÄSTERNORRLANDS LÄN</t>
        </is>
      </c>
      <c r="E1884" t="inlineStr">
        <is>
          <t>SOLLEFTEÅ</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12135-2023</t>
        </is>
      </c>
      <c r="B1885" s="1" t="n">
        <v>44995</v>
      </c>
      <c r="C1885" s="1" t="n">
        <v>45670</v>
      </c>
      <c r="D1885" t="inlineStr">
        <is>
          <t>VÄSTERNORRLANDS LÄN</t>
        </is>
      </c>
      <c r="E1885" t="inlineStr">
        <is>
          <t>SOLLEFTEÅ</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12038-2023</t>
        </is>
      </c>
      <c r="B1886" s="1" t="n">
        <v>44996</v>
      </c>
      <c r="C1886" s="1" t="n">
        <v>45670</v>
      </c>
      <c r="D1886" t="inlineStr">
        <is>
          <t>VÄSTERNORRLANDS LÄN</t>
        </is>
      </c>
      <c r="E1886" t="inlineStr">
        <is>
          <t>SOLLEFTEÅ</t>
        </is>
      </c>
      <c r="F1886" t="inlineStr">
        <is>
          <t>SCA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12053-2023</t>
        </is>
      </c>
      <c r="B1887" s="1" t="n">
        <v>44996</v>
      </c>
      <c r="C1887" s="1" t="n">
        <v>45670</v>
      </c>
      <c r="D1887" t="inlineStr">
        <is>
          <t>VÄSTERNORRLANDS LÄN</t>
        </is>
      </c>
      <c r="E1887" t="inlineStr">
        <is>
          <t>SOLLEFTEÅ</t>
        </is>
      </c>
      <c r="F1887" t="inlineStr">
        <is>
          <t>SCA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12129-2023</t>
        </is>
      </c>
      <c r="B1888" s="1" t="n">
        <v>44995</v>
      </c>
      <c r="C1888" s="1" t="n">
        <v>45670</v>
      </c>
      <c r="D1888" t="inlineStr">
        <is>
          <t>VÄSTERNORRLANDS LÄN</t>
        </is>
      </c>
      <c r="E1888" t="inlineStr">
        <is>
          <t>SOLLEFTEÅ</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12164-2023</t>
        </is>
      </c>
      <c r="B1889" s="1" t="n">
        <v>44995</v>
      </c>
      <c r="C1889" s="1" t="n">
        <v>45670</v>
      </c>
      <c r="D1889" t="inlineStr">
        <is>
          <t>VÄSTERNORRLANDS LÄN</t>
        </is>
      </c>
      <c r="E1889" t="inlineStr">
        <is>
          <t>SOLLEFTEÅ</t>
        </is>
      </c>
      <c r="G1889" t="n">
        <v>18.3</v>
      </c>
      <c r="H1889" t="n">
        <v>0</v>
      </c>
      <c r="I1889" t="n">
        <v>0</v>
      </c>
      <c r="J1889" t="n">
        <v>0</v>
      </c>
      <c r="K1889" t="n">
        <v>0</v>
      </c>
      <c r="L1889" t="n">
        <v>0</v>
      </c>
      <c r="M1889" t="n">
        <v>0</v>
      </c>
      <c r="N1889" t="n">
        <v>0</v>
      </c>
      <c r="O1889" t="n">
        <v>0</v>
      </c>
      <c r="P1889" t="n">
        <v>0</v>
      </c>
      <c r="Q1889" t="n">
        <v>0</v>
      </c>
      <c r="R1889" s="2" t="inlineStr"/>
    </row>
    <row r="1890" ht="15" customHeight="1">
      <c r="A1890" t="inlineStr">
        <is>
          <t>A 12311-2023</t>
        </is>
      </c>
      <c r="B1890" s="1" t="n">
        <v>44995</v>
      </c>
      <c r="C1890" s="1" t="n">
        <v>45670</v>
      </c>
      <c r="D1890" t="inlineStr">
        <is>
          <t>VÄSTERNORRLANDS LÄN</t>
        </is>
      </c>
      <c r="E1890" t="inlineStr">
        <is>
          <t>SOLLEFTEÅ</t>
        </is>
      </c>
      <c r="G1890" t="n">
        <v>16.8</v>
      </c>
      <c r="H1890" t="n">
        <v>0</v>
      </c>
      <c r="I1890" t="n">
        <v>0</v>
      </c>
      <c r="J1890" t="n">
        <v>0</v>
      </c>
      <c r="K1890" t="n">
        <v>0</v>
      </c>
      <c r="L1890" t="n">
        <v>0</v>
      </c>
      <c r="M1890" t="n">
        <v>0</v>
      </c>
      <c r="N1890" t="n">
        <v>0</v>
      </c>
      <c r="O1890" t="n">
        <v>0</v>
      </c>
      <c r="P1890" t="n">
        <v>0</v>
      </c>
      <c r="Q1890" t="n">
        <v>0</v>
      </c>
      <c r="R1890" s="2" t="inlineStr"/>
    </row>
    <row r="1891" ht="15" customHeight="1">
      <c r="A1891" t="inlineStr">
        <is>
          <t>A 12054-2023</t>
        </is>
      </c>
      <c r="B1891" s="1" t="n">
        <v>44996</v>
      </c>
      <c r="C1891" s="1" t="n">
        <v>45670</v>
      </c>
      <c r="D1891" t="inlineStr">
        <is>
          <t>VÄSTERNORRLANDS LÄN</t>
        </is>
      </c>
      <c r="E1891" t="inlineStr">
        <is>
          <t>SOLLEFTEÅ</t>
        </is>
      </c>
      <c r="F1891" t="inlineStr">
        <is>
          <t>SCA</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12045-2023</t>
        </is>
      </c>
      <c r="B1892" s="1" t="n">
        <v>44996</v>
      </c>
      <c r="C1892" s="1" t="n">
        <v>45670</v>
      </c>
      <c r="D1892" t="inlineStr">
        <is>
          <t>VÄSTERNORRLANDS LÄN</t>
        </is>
      </c>
      <c r="E1892" t="inlineStr">
        <is>
          <t>SOLLEFTEÅ</t>
        </is>
      </c>
      <c r="F1892" t="inlineStr">
        <is>
          <t>SCA</t>
        </is>
      </c>
      <c r="G1892" t="n">
        <v>16.4</v>
      </c>
      <c r="H1892" t="n">
        <v>0</v>
      </c>
      <c r="I1892" t="n">
        <v>0</v>
      </c>
      <c r="J1892" t="n">
        <v>0</v>
      </c>
      <c r="K1892" t="n">
        <v>0</v>
      </c>
      <c r="L1892" t="n">
        <v>0</v>
      </c>
      <c r="M1892" t="n">
        <v>0</v>
      </c>
      <c r="N1892" t="n">
        <v>0</v>
      </c>
      <c r="O1892" t="n">
        <v>0</v>
      </c>
      <c r="P1892" t="n">
        <v>0</v>
      </c>
      <c r="Q1892" t="n">
        <v>0</v>
      </c>
      <c r="R1892" s="2" t="inlineStr"/>
    </row>
    <row r="1893" ht="15" customHeight="1">
      <c r="A1893" t="inlineStr">
        <is>
          <t>A 12429-2023</t>
        </is>
      </c>
      <c r="B1893" s="1" t="n">
        <v>44998</v>
      </c>
      <c r="C1893" s="1" t="n">
        <v>45670</v>
      </c>
      <c r="D1893" t="inlineStr">
        <is>
          <t>VÄSTERNORRLANDS LÄN</t>
        </is>
      </c>
      <c r="E1893" t="inlineStr">
        <is>
          <t>SOLLEFTEÅ</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12515-2023</t>
        </is>
      </c>
      <c r="B1894" s="1" t="n">
        <v>45000</v>
      </c>
      <c r="C1894" s="1" t="n">
        <v>45670</v>
      </c>
      <c r="D1894" t="inlineStr">
        <is>
          <t>VÄSTERNORRLANDS LÄN</t>
        </is>
      </c>
      <c r="E1894" t="inlineStr">
        <is>
          <t>SOLLEFTEÅ</t>
        </is>
      </c>
      <c r="F1894" t="inlineStr">
        <is>
          <t>SCA</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12726-2023</t>
        </is>
      </c>
      <c r="B1895" s="1" t="n">
        <v>45000</v>
      </c>
      <c r="C1895" s="1" t="n">
        <v>45670</v>
      </c>
      <c r="D1895" t="inlineStr">
        <is>
          <t>VÄSTERNORRLANDS LÄN</t>
        </is>
      </c>
      <c r="E1895" t="inlineStr">
        <is>
          <t>SOLLEFTEÅ</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12512-2023</t>
        </is>
      </c>
      <c r="B1896" s="1" t="n">
        <v>45000</v>
      </c>
      <c r="C1896" s="1" t="n">
        <v>45670</v>
      </c>
      <c r="D1896" t="inlineStr">
        <is>
          <t>VÄSTERNORRLANDS LÄN</t>
        </is>
      </c>
      <c r="E1896" t="inlineStr">
        <is>
          <t>SOLLEFTEÅ</t>
        </is>
      </c>
      <c r="F1896" t="inlineStr">
        <is>
          <t>SCA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12536-2023</t>
        </is>
      </c>
      <c r="B1897" s="1" t="n">
        <v>45000</v>
      </c>
      <c r="C1897" s="1" t="n">
        <v>45670</v>
      </c>
      <c r="D1897" t="inlineStr">
        <is>
          <t>VÄSTERNORRLANDS LÄN</t>
        </is>
      </c>
      <c r="E1897" t="inlineStr">
        <is>
          <t>SOLLEFTEÅ</t>
        </is>
      </c>
      <c r="F1897" t="inlineStr">
        <is>
          <t>SCA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12540-2023</t>
        </is>
      </c>
      <c r="B1898" s="1" t="n">
        <v>45000</v>
      </c>
      <c r="C1898" s="1" t="n">
        <v>45670</v>
      </c>
      <c r="D1898" t="inlineStr">
        <is>
          <t>VÄSTERNORRLANDS LÄN</t>
        </is>
      </c>
      <c r="E1898" t="inlineStr">
        <is>
          <t>SOLLEFTEÅ</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12730-2023</t>
        </is>
      </c>
      <c r="B1899" s="1" t="n">
        <v>45000</v>
      </c>
      <c r="C1899" s="1" t="n">
        <v>45670</v>
      </c>
      <c r="D1899" t="inlineStr">
        <is>
          <t>VÄSTERNORRLANDS LÄN</t>
        </is>
      </c>
      <c r="E1899" t="inlineStr">
        <is>
          <t>SOLLEFTEÅ</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12735-2023</t>
        </is>
      </c>
      <c r="B1900" s="1" t="n">
        <v>45000</v>
      </c>
      <c r="C1900" s="1" t="n">
        <v>45670</v>
      </c>
      <c r="D1900" t="inlineStr">
        <is>
          <t>VÄSTERNORRLANDS LÄN</t>
        </is>
      </c>
      <c r="E1900" t="inlineStr">
        <is>
          <t>SOLLEFTEÅ</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12539-2023</t>
        </is>
      </c>
      <c r="B1901" s="1" t="n">
        <v>45000</v>
      </c>
      <c r="C1901" s="1" t="n">
        <v>45670</v>
      </c>
      <c r="D1901" t="inlineStr">
        <is>
          <t>VÄSTERNORRLANDS LÄN</t>
        </is>
      </c>
      <c r="E1901" t="inlineStr">
        <is>
          <t>SOLLEFTEÅ</t>
        </is>
      </c>
      <c r="F1901" t="inlineStr">
        <is>
          <t>SCA</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12727-2023</t>
        </is>
      </c>
      <c r="B1902" s="1" t="n">
        <v>45000</v>
      </c>
      <c r="C1902" s="1" t="n">
        <v>45670</v>
      </c>
      <c r="D1902" t="inlineStr">
        <is>
          <t>VÄSTERNORRLANDS LÄN</t>
        </is>
      </c>
      <c r="E1902" t="inlineStr">
        <is>
          <t>SOLLEFTEÅ</t>
        </is>
      </c>
      <c r="G1902" t="n">
        <v>15.7</v>
      </c>
      <c r="H1902" t="n">
        <v>0</v>
      </c>
      <c r="I1902" t="n">
        <v>0</v>
      </c>
      <c r="J1902" t="n">
        <v>0</v>
      </c>
      <c r="K1902" t="n">
        <v>0</v>
      </c>
      <c r="L1902" t="n">
        <v>0</v>
      </c>
      <c r="M1902" t="n">
        <v>0</v>
      </c>
      <c r="N1902" t="n">
        <v>0</v>
      </c>
      <c r="O1902" t="n">
        <v>0</v>
      </c>
      <c r="P1902" t="n">
        <v>0</v>
      </c>
      <c r="Q1902" t="n">
        <v>0</v>
      </c>
      <c r="R1902" s="2" t="inlineStr"/>
    </row>
    <row r="1903" ht="15" customHeight="1">
      <c r="A1903" t="inlineStr">
        <is>
          <t>A 12733-2023</t>
        </is>
      </c>
      <c r="B1903" s="1" t="n">
        <v>45000</v>
      </c>
      <c r="C1903" s="1" t="n">
        <v>45670</v>
      </c>
      <c r="D1903" t="inlineStr">
        <is>
          <t>VÄSTERNORRLANDS LÄN</t>
        </is>
      </c>
      <c r="E1903" t="inlineStr">
        <is>
          <t>SOLLEFTEÅ</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12747-2023</t>
        </is>
      </c>
      <c r="B1904" s="1" t="n">
        <v>45000</v>
      </c>
      <c r="C1904" s="1" t="n">
        <v>45670</v>
      </c>
      <c r="D1904" t="inlineStr">
        <is>
          <t>VÄSTERNORRLANDS LÄN</t>
        </is>
      </c>
      <c r="E1904" t="inlineStr">
        <is>
          <t>SOLLEFTEÅ</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12734-2023</t>
        </is>
      </c>
      <c r="B1905" s="1" t="n">
        <v>45000</v>
      </c>
      <c r="C1905" s="1" t="n">
        <v>45670</v>
      </c>
      <c r="D1905" t="inlineStr">
        <is>
          <t>VÄSTERNORRLANDS LÄN</t>
        </is>
      </c>
      <c r="E1905" t="inlineStr">
        <is>
          <t>SOLLEFTEÅ</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12752-2023</t>
        </is>
      </c>
      <c r="B1906" s="1" t="n">
        <v>45000</v>
      </c>
      <c r="C1906" s="1" t="n">
        <v>45670</v>
      </c>
      <c r="D1906" t="inlineStr">
        <is>
          <t>VÄSTERNORRLANDS LÄN</t>
        </is>
      </c>
      <c r="E1906" t="inlineStr">
        <is>
          <t>SOLLEFTEÅ</t>
        </is>
      </c>
      <c r="F1906" t="inlineStr">
        <is>
          <t>SCA</t>
        </is>
      </c>
      <c r="G1906" t="n">
        <v>7.6</v>
      </c>
      <c r="H1906" t="n">
        <v>0</v>
      </c>
      <c r="I1906" t="n">
        <v>0</v>
      </c>
      <c r="J1906" t="n">
        <v>0</v>
      </c>
      <c r="K1906" t="n">
        <v>0</v>
      </c>
      <c r="L1906" t="n">
        <v>0</v>
      </c>
      <c r="M1906" t="n">
        <v>0</v>
      </c>
      <c r="N1906" t="n">
        <v>0</v>
      </c>
      <c r="O1906" t="n">
        <v>0</v>
      </c>
      <c r="P1906" t="n">
        <v>0</v>
      </c>
      <c r="Q1906" t="n">
        <v>0</v>
      </c>
      <c r="R1906" s="2" t="inlineStr"/>
    </row>
    <row r="1907" ht="15" customHeight="1">
      <c r="A1907" t="inlineStr">
        <is>
          <t>A 12746-2023</t>
        </is>
      </c>
      <c r="B1907" s="1" t="n">
        <v>45000</v>
      </c>
      <c r="C1907" s="1" t="n">
        <v>45670</v>
      </c>
      <c r="D1907" t="inlineStr">
        <is>
          <t>VÄSTERNORRLANDS LÄN</t>
        </is>
      </c>
      <c r="E1907" t="inlineStr">
        <is>
          <t>SOLLEFTEÅ</t>
        </is>
      </c>
      <c r="F1907" t="inlineStr">
        <is>
          <t>SCA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12755-2023</t>
        </is>
      </c>
      <c r="B1908" s="1" t="n">
        <v>45000</v>
      </c>
      <c r="C1908" s="1" t="n">
        <v>45670</v>
      </c>
      <c r="D1908" t="inlineStr">
        <is>
          <t>VÄSTERNORRLANDS LÄN</t>
        </is>
      </c>
      <c r="E1908" t="inlineStr">
        <is>
          <t>SOLLEFTEÅ</t>
        </is>
      </c>
      <c r="F1908" t="inlineStr">
        <is>
          <t>SCA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12820-2023</t>
        </is>
      </c>
      <c r="B1909" s="1" t="n">
        <v>45000</v>
      </c>
      <c r="C1909" s="1" t="n">
        <v>45670</v>
      </c>
      <c r="D1909" t="inlineStr">
        <is>
          <t>VÄSTERNORRLANDS LÄN</t>
        </is>
      </c>
      <c r="E1909" t="inlineStr">
        <is>
          <t>SOLLEFTEÅ</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12972-2023</t>
        </is>
      </c>
      <c r="B1910" s="1" t="n">
        <v>45001</v>
      </c>
      <c r="C1910" s="1" t="n">
        <v>45670</v>
      </c>
      <c r="D1910" t="inlineStr">
        <is>
          <t>VÄSTERNORRLANDS LÄN</t>
        </is>
      </c>
      <c r="E1910" t="inlineStr">
        <is>
          <t>SOLLEFTEÅ</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13066-2023</t>
        </is>
      </c>
      <c r="B1911" s="1" t="n">
        <v>45001</v>
      </c>
      <c r="C1911" s="1" t="n">
        <v>45670</v>
      </c>
      <c r="D1911" t="inlineStr">
        <is>
          <t>VÄSTERNORRLANDS LÄN</t>
        </is>
      </c>
      <c r="E1911" t="inlineStr">
        <is>
          <t>SOLLEFTEÅ</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13050-2023</t>
        </is>
      </c>
      <c r="B1912" s="1" t="n">
        <v>45001</v>
      </c>
      <c r="C1912" s="1" t="n">
        <v>45670</v>
      </c>
      <c r="D1912" t="inlineStr">
        <is>
          <t>VÄSTERNORRLANDS LÄN</t>
        </is>
      </c>
      <c r="E1912" t="inlineStr">
        <is>
          <t>SOLLEFTEÅ</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12996-2023</t>
        </is>
      </c>
      <c r="B1913" s="1" t="n">
        <v>45002</v>
      </c>
      <c r="C1913" s="1" t="n">
        <v>45670</v>
      </c>
      <c r="D1913" t="inlineStr">
        <is>
          <t>VÄSTERNORRLANDS LÄN</t>
        </is>
      </c>
      <c r="E1913" t="inlineStr">
        <is>
          <t>SOLLEFTEÅ</t>
        </is>
      </c>
      <c r="F1913" t="inlineStr">
        <is>
          <t>SCA</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13009-2023</t>
        </is>
      </c>
      <c r="B1914" s="1" t="n">
        <v>45002</v>
      </c>
      <c r="C1914" s="1" t="n">
        <v>45670</v>
      </c>
      <c r="D1914" t="inlineStr">
        <is>
          <t>VÄSTERNORRLANDS LÄN</t>
        </is>
      </c>
      <c r="E1914" t="inlineStr">
        <is>
          <t>SOLLEFTEÅ</t>
        </is>
      </c>
      <c r="F1914" t="inlineStr">
        <is>
          <t>SCA</t>
        </is>
      </c>
      <c r="G1914" t="n">
        <v>7.9</v>
      </c>
      <c r="H1914" t="n">
        <v>0</v>
      </c>
      <c r="I1914" t="n">
        <v>0</v>
      </c>
      <c r="J1914" t="n">
        <v>0</v>
      </c>
      <c r="K1914" t="n">
        <v>0</v>
      </c>
      <c r="L1914" t="n">
        <v>0</v>
      </c>
      <c r="M1914" t="n">
        <v>0</v>
      </c>
      <c r="N1914" t="n">
        <v>0</v>
      </c>
      <c r="O1914" t="n">
        <v>0</v>
      </c>
      <c r="P1914" t="n">
        <v>0</v>
      </c>
      <c r="Q1914" t="n">
        <v>0</v>
      </c>
      <c r="R1914" s="2" t="inlineStr"/>
    </row>
    <row r="1915" ht="15" customHeight="1">
      <c r="A1915" t="inlineStr">
        <is>
          <t>A 13006-2023</t>
        </is>
      </c>
      <c r="B1915" s="1" t="n">
        <v>45002</v>
      </c>
      <c r="C1915" s="1" t="n">
        <v>45670</v>
      </c>
      <c r="D1915" t="inlineStr">
        <is>
          <t>VÄSTERNORRLANDS LÄN</t>
        </is>
      </c>
      <c r="E1915" t="inlineStr">
        <is>
          <t>SOLLEFTEÅ</t>
        </is>
      </c>
      <c r="F1915" t="inlineStr">
        <is>
          <t>SCA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12983-2023</t>
        </is>
      </c>
      <c r="B1916" s="1" t="n">
        <v>45002</v>
      </c>
      <c r="C1916" s="1" t="n">
        <v>45670</v>
      </c>
      <c r="D1916" t="inlineStr">
        <is>
          <t>VÄSTERNORRLANDS LÄN</t>
        </is>
      </c>
      <c r="E1916" t="inlineStr">
        <is>
          <t>SOLLEFTEÅ</t>
        </is>
      </c>
      <c r="F1916" t="inlineStr">
        <is>
          <t>SCA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13008-2023</t>
        </is>
      </c>
      <c r="B1917" s="1" t="n">
        <v>45002</v>
      </c>
      <c r="C1917" s="1" t="n">
        <v>45670</v>
      </c>
      <c r="D1917" t="inlineStr">
        <is>
          <t>VÄSTERNORRLANDS LÄN</t>
        </is>
      </c>
      <c r="E1917" t="inlineStr">
        <is>
          <t>SOLLEFTEÅ</t>
        </is>
      </c>
      <c r="F1917" t="inlineStr">
        <is>
          <t>SCA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13007-2023</t>
        </is>
      </c>
      <c r="B1918" s="1" t="n">
        <v>45002</v>
      </c>
      <c r="C1918" s="1" t="n">
        <v>45670</v>
      </c>
      <c r="D1918" t="inlineStr">
        <is>
          <t>VÄSTERNORRLANDS LÄN</t>
        </is>
      </c>
      <c r="E1918" t="inlineStr">
        <is>
          <t>SOLLEFTEÅ</t>
        </is>
      </c>
      <c r="F1918" t="inlineStr">
        <is>
          <t>SCA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13252-2023</t>
        </is>
      </c>
      <c r="B1919" s="1" t="n">
        <v>45002</v>
      </c>
      <c r="C1919" s="1" t="n">
        <v>45670</v>
      </c>
      <c r="D1919" t="inlineStr">
        <is>
          <t>VÄSTERNORRLANDS LÄN</t>
        </is>
      </c>
      <c r="E1919" t="inlineStr">
        <is>
          <t>SOLLEFTEÅ</t>
        </is>
      </c>
      <c r="F1919" t="inlineStr">
        <is>
          <t>SCA</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13264-2023</t>
        </is>
      </c>
      <c r="B1920" s="1" t="n">
        <v>45002</v>
      </c>
      <c r="C1920" s="1" t="n">
        <v>45670</v>
      </c>
      <c r="D1920" t="inlineStr">
        <is>
          <t>VÄSTERNORRLANDS LÄN</t>
        </is>
      </c>
      <c r="E1920" t="inlineStr">
        <is>
          <t>SOLLEFTEÅ</t>
        </is>
      </c>
      <c r="F1920" t="inlineStr">
        <is>
          <t>SCA</t>
        </is>
      </c>
      <c r="G1920" t="n">
        <v>7.8</v>
      </c>
      <c r="H1920" t="n">
        <v>0</v>
      </c>
      <c r="I1920" t="n">
        <v>0</v>
      </c>
      <c r="J1920" t="n">
        <v>0</v>
      </c>
      <c r="K1920" t="n">
        <v>0</v>
      </c>
      <c r="L1920" t="n">
        <v>0</v>
      </c>
      <c r="M1920" t="n">
        <v>0</v>
      </c>
      <c r="N1920" t="n">
        <v>0</v>
      </c>
      <c r="O1920" t="n">
        <v>0</v>
      </c>
      <c r="P1920" t="n">
        <v>0</v>
      </c>
      <c r="Q1920" t="n">
        <v>0</v>
      </c>
      <c r="R1920" s="2" t="inlineStr"/>
    </row>
    <row r="1921" ht="15" customHeight="1">
      <c r="A1921" t="inlineStr">
        <is>
          <t>A 13292-2023</t>
        </is>
      </c>
      <c r="B1921" s="1" t="n">
        <v>45004</v>
      </c>
      <c r="C1921" s="1" t="n">
        <v>45670</v>
      </c>
      <c r="D1921" t="inlineStr">
        <is>
          <t>VÄSTERNORRLANDS LÄN</t>
        </is>
      </c>
      <c r="E1921" t="inlineStr">
        <is>
          <t>SOLLEFTEÅ</t>
        </is>
      </c>
      <c r="F1921" t="inlineStr">
        <is>
          <t>SCA</t>
        </is>
      </c>
      <c r="G1921" t="n">
        <v>6.1</v>
      </c>
      <c r="H1921" t="n">
        <v>0</v>
      </c>
      <c r="I1921" t="n">
        <v>0</v>
      </c>
      <c r="J1921" t="n">
        <v>0</v>
      </c>
      <c r="K1921" t="n">
        <v>0</v>
      </c>
      <c r="L1921" t="n">
        <v>0</v>
      </c>
      <c r="M1921" t="n">
        <v>0</v>
      </c>
      <c r="N1921" t="n">
        <v>0</v>
      </c>
      <c r="O1921" t="n">
        <v>0</v>
      </c>
      <c r="P1921" t="n">
        <v>0</v>
      </c>
      <c r="Q1921" t="n">
        <v>0</v>
      </c>
      <c r="R1921" s="2" t="inlineStr"/>
    </row>
    <row r="1922" ht="15" customHeight="1">
      <c r="A1922" t="inlineStr">
        <is>
          <t>A 13489-2023</t>
        </is>
      </c>
      <c r="B1922" s="1" t="n">
        <v>45005</v>
      </c>
      <c r="C1922" s="1" t="n">
        <v>45670</v>
      </c>
      <c r="D1922" t="inlineStr">
        <is>
          <t>VÄSTERNORRLANDS LÄN</t>
        </is>
      </c>
      <c r="E1922" t="inlineStr">
        <is>
          <t>SOLLEFTEÅ</t>
        </is>
      </c>
      <c r="F1922" t="inlineStr">
        <is>
          <t>SCA</t>
        </is>
      </c>
      <c r="G1922" t="n">
        <v>26.3</v>
      </c>
      <c r="H1922" t="n">
        <v>0</v>
      </c>
      <c r="I1922" t="n">
        <v>0</v>
      </c>
      <c r="J1922" t="n">
        <v>0</v>
      </c>
      <c r="K1922" t="n">
        <v>0</v>
      </c>
      <c r="L1922" t="n">
        <v>0</v>
      </c>
      <c r="M1922" t="n">
        <v>0</v>
      </c>
      <c r="N1922" t="n">
        <v>0</v>
      </c>
      <c r="O1922" t="n">
        <v>0</v>
      </c>
      <c r="P1922" t="n">
        <v>0</v>
      </c>
      <c r="Q1922" t="n">
        <v>0</v>
      </c>
      <c r="R1922" s="2" t="inlineStr"/>
    </row>
    <row r="1923" ht="15" customHeight="1">
      <c r="A1923" t="inlineStr">
        <is>
          <t>A 13487-2023</t>
        </is>
      </c>
      <c r="B1923" s="1" t="n">
        <v>45005</v>
      </c>
      <c r="C1923" s="1" t="n">
        <v>45670</v>
      </c>
      <c r="D1923" t="inlineStr">
        <is>
          <t>VÄSTERNORRLANDS LÄN</t>
        </is>
      </c>
      <c r="E1923" t="inlineStr">
        <is>
          <t>SOLLEFTEÅ</t>
        </is>
      </c>
      <c r="F1923" t="inlineStr">
        <is>
          <t>SCA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13521-2023</t>
        </is>
      </c>
      <c r="B1924" s="1" t="n">
        <v>45005</v>
      </c>
      <c r="C1924" s="1" t="n">
        <v>45670</v>
      </c>
      <c r="D1924" t="inlineStr">
        <is>
          <t>VÄSTERNORRLANDS LÄN</t>
        </is>
      </c>
      <c r="E1924" t="inlineStr">
        <is>
          <t>SOLLEFTEÅ</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13567-2023</t>
        </is>
      </c>
      <c r="B1925" s="1" t="n">
        <v>45005</v>
      </c>
      <c r="C1925" s="1" t="n">
        <v>45670</v>
      </c>
      <c r="D1925" t="inlineStr">
        <is>
          <t>VÄSTERNORRLANDS LÄN</t>
        </is>
      </c>
      <c r="E1925" t="inlineStr">
        <is>
          <t>SOLLEFTEÅ</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13570-2023</t>
        </is>
      </c>
      <c r="B1926" s="1" t="n">
        <v>45005</v>
      </c>
      <c r="C1926" s="1" t="n">
        <v>45670</v>
      </c>
      <c r="D1926" t="inlineStr">
        <is>
          <t>VÄSTERNORRLANDS LÄN</t>
        </is>
      </c>
      <c r="E1926" t="inlineStr">
        <is>
          <t>SOLLEFTEÅ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13499-2023</t>
        </is>
      </c>
      <c r="B1927" s="1" t="n">
        <v>45005</v>
      </c>
      <c r="C1927" s="1" t="n">
        <v>45670</v>
      </c>
      <c r="D1927" t="inlineStr">
        <is>
          <t>VÄSTERNORRLANDS LÄN</t>
        </is>
      </c>
      <c r="E1927" t="inlineStr">
        <is>
          <t>SOLLEFTEÅ</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13565-2023</t>
        </is>
      </c>
      <c r="B1928" s="1" t="n">
        <v>45005</v>
      </c>
      <c r="C1928" s="1" t="n">
        <v>45670</v>
      </c>
      <c r="D1928" t="inlineStr">
        <is>
          <t>VÄSTERNORRLANDS LÄN</t>
        </is>
      </c>
      <c r="E1928" t="inlineStr">
        <is>
          <t>SOLLEFTEÅ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13689-2023</t>
        </is>
      </c>
      <c r="B1929" s="1" t="n">
        <v>45006</v>
      </c>
      <c r="C1929" s="1" t="n">
        <v>45670</v>
      </c>
      <c r="D1929" t="inlineStr">
        <is>
          <t>VÄSTERNORRLANDS LÄN</t>
        </is>
      </c>
      <c r="E1929" t="inlineStr">
        <is>
          <t>SOLLEFTEÅ</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13695-2023</t>
        </is>
      </c>
      <c r="B1930" s="1" t="n">
        <v>45006</v>
      </c>
      <c r="C1930" s="1" t="n">
        <v>45670</v>
      </c>
      <c r="D1930" t="inlineStr">
        <is>
          <t>VÄSTERNORRLANDS LÄN</t>
        </is>
      </c>
      <c r="E1930" t="inlineStr">
        <is>
          <t>SOLLEFTEÅ</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13697-2023</t>
        </is>
      </c>
      <c r="B1931" s="1" t="n">
        <v>45006</v>
      </c>
      <c r="C1931" s="1" t="n">
        <v>45670</v>
      </c>
      <c r="D1931" t="inlineStr">
        <is>
          <t>VÄSTERNORRLANDS LÄN</t>
        </is>
      </c>
      <c r="E1931" t="inlineStr">
        <is>
          <t>SOLLEFTEÅ</t>
        </is>
      </c>
      <c r="F1931" t="inlineStr">
        <is>
          <t>SCA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14109-2023</t>
        </is>
      </c>
      <c r="B1932" s="1" t="n">
        <v>45008</v>
      </c>
      <c r="C1932" s="1" t="n">
        <v>45670</v>
      </c>
      <c r="D1932" t="inlineStr">
        <is>
          <t>VÄSTERNORRLANDS LÄN</t>
        </is>
      </c>
      <c r="E1932" t="inlineStr">
        <is>
          <t>SOLLEFTEÅ</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14134-2023</t>
        </is>
      </c>
      <c r="B1933" s="1" t="n">
        <v>45008</v>
      </c>
      <c r="C1933" s="1" t="n">
        <v>45670</v>
      </c>
      <c r="D1933" t="inlineStr">
        <is>
          <t>VÄSTERNORRLANDS LÄN</t>
        </is>
      </c>
      <c r="E1933" t="inlineStr">
        <is>
          <t>SOLLEFTEÅ</t>
        </is>
      </c>
      <c r="F1933" t="inlineStr">
        <is>
          <t>Övriga Aktiebolag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14718-2023</t>
        </is>
      </c>
      <c r="B1934" s="1" t="n">
        <v>45012</v>
      </c>
      <c r="C1934" s="1" t="n">
        <v>45670</v>
      </c>
      <c r="D1934" t="inlineStr">
        <is>
          <t>VÄSTERNORRLANDS LÄN</t>
        </is>
      </c>
      <c r="E1934" t="inlineStr">
        <is>
          <t>SOLLEFTEÅ</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14675-2023</t>
        </is>
      </c>
      <c r="B1935" s="1" t="n">
        <v>45014</v>
      </c>
      <c r="C1935" s="1" t="n">
        <v>45670</v>
      </c>
      <c r="D1935" t="inlineStr">
        <is>
          <t>VÄSTERNORRLANDS LÄN</t>
        </is>
      </c>
      <c r="E1935" t="inlineStr">
        <is>
          <t>SOLLEFTEÅ</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14668-2023</t>
        </is>
      </c>
      <c r="B1936" s="1" t="n">
        <v>45014</v>
      </c>
      <c r="C1936" s="1" t="n">
        <v>45670</v>
      </c>
      <c r="D1936" t="inlineStr">
        <is>
          <t>VÄSTERNORRLANDS LÄN</t>
        </is>
      </c>
      <c r="E1936" t="inlineStr">
        <is>
          <t>SOLLEFTEÅ</t>
        </is>
      </c>
      <c r="F1936" t="inlineStr">
        <is>
          <t>SCA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14937-2023</t>
        </is>
      </c>
      <c r="B1937" s="1" t="n">
        <v>45014</v>
      </c>
      <c r="C1937" s="1" t="n">
        <v>45670</v>
      </c>
      <c r="D1937" t="inlineStr">
        <is>
          <t>VÄSTERNORRLANDS LÄN</t>
        </is>
      </c>
      <c r="E1937" t="inlineStr">
        <is>
          <t>SOLLEFTEÅ</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14859-2023</t>
        </is>
      </c>
      <c r="B1938" s="1" t="n">
        <v>45015</v>
      </c>
      <c r="C1938" s="1" t="n">
        <v>45670</v>
      </c>
      <c r="D1938" t="inlineStr">
        <is>
          <t>VÄSTERNORRLANDS LÄN</t>
        </is>
      </c>
      <c r="E1938" t="inlineStr">
        <is>
          <t>SOLLEFTEÅ</t>
        </is>
      </c>
      <c r="F1938" t="inlineStr">
        <is>
          <t>SCA</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14875-2023</t>
        </is>
      </c>
      <c r="B1939" s="1" t="n">
        <v>45015</v>
      </c>
      <c r="C1939" s="1" t="n">
        <v>45670</v>
      </c>
      <c r="D1939" t="inlineStr">
        <is>
          <t>VÄSTERNORRLANDS LÄN</t>
        </is>
      </c>
      <c r="E1939" t="inlineStr">
        <is>
          <t>SOLLEFTEÅ</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15080-2023</t>
        </is>
      </c>
      <c r="B1940" s="1" t="n">
        <v>45016</v>
      </c>
      <c r="C1940" s="1" t="n">
        <v>45670</v>
      </c>
      <c r="D1940" t="inlineStr">
        <is>
          <t>VÄSTERNORRLANDS LÄN</t>
        </is>
      </c>
      <c r="E1940" t="inlineStr">
        <is>
          <t>SOLLEFTEÅ</t>
        </is>
      </c>
      <c r="F1940" t="inlineStr">
        <is>
          <t>SCA</t>
        </is>
      </c>
      <c r="G1940" t="n">
        <v>33.6</v>
      </c>
      <c r="H1940" t="n">
        <v>0</v>
      </c>
      <c r="I1940" t="n">
        <v>0</v>
      </c>
      <c r="J1940" t="n">
        <v>0</v>
      </c>
      <c r="K1940" t="n">
        <v>0</v>
      </c>
      <c r="L1940" t="n">
        <v>0</v>
      </c>
      <c r="M1940" t="n">
        <v>0</v>
      </c>
      <c r="N1940" t="n">
        <v>0</v>
      </c>
      <c r="O1940" t="n">
        <v>0</v>
      </c>
      <c r="P1940" t="n">
        <v>0</v>
      </c>
      <c r="Q1940" t="n">
        <v>0</v>
      </c>
      <c r="R1940" s="2" t="inlineStr"/>
    </row>
    <row r="1941" ht="15" customHeight="1">
      <c r="A1941" t="inlineStr">
        <is>
          <t>A 15632-2023</t>
        </is>
      </c>
      <c r="B1941" s="1" t="n">
        <v>45019</v>
      </c>
      <c r="C1941" s="1" t="n">
        <v>45670</v>
      </c>
      <c r="D1941" t="inlineStr">
        <is>
          <t>VÄSTERNORRLANDS LÄN</t>
        </is>
      </c>
      <c r="E1941" t="inlineStr">
        <is>
          <t>SOLLEFTEÅ</t>
        </is>
      </c>
      <c r="G1941" t="n">
        <v>12.8</v>
      </c>
      <c r="H1941" t="n">
        <v>0</v>
      </c>
      <c r="I1941" t="n">
        <v>0</v>
      </c>
      <c r="J1941" t="n">
        <v>0</v>
      </c>
      <c r="K1941" t="n">
        <v>0</v>
      </c>
      <c r="L1941" t="n">
        <v>0</v>
      </c>
      <c r="M1941" t="n">
        <v>0</v>
      </c>
      <c r="N1941" t="n">
        <v>0</v>
      </c>
      <c r="O1941" t="n">
        <v>0</v>
      </c>
      <c r="P1941" t="n">
        <v>0</v>
      </c>
      <c r="Q1941" t="n">
        <v>0</v>
      </c>
      <c r="R1941" s="2" t="inlineStr"/>
    </row>
    <row r="1942" ht="15" customHeight="1">
      <c r="A1942" t="inlineStr">
        <is>
          <t>A 15723-2023</t>
        </is>
      </c>
      <c r="B1942" s="1" t="n">
        <v>45020</v>
      </c>
      <c r="C1942" s="1" t="n">
        <v>45670</v>
      </c>
      <c r="D1942" t="inlineStr">
        <is>
          <t>VÄSTERNORRLANDS LÄN</t>
        </is>
      </c>
      <c r="E1942" t="inlineStr">
        <is>
          <t>SOLLEFTEÅ</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15978-2023</t>
        </is>
      </c>
      <c r="B1943" s="1" t="n">
        <v>45023</v>
      </c>
      <c r="C1943" s="1" t="n">
        <v>45670</v>
      </c>
      <c r="D1943" t="inlineStr">
        <is>
          <t>VÄSTERNORRLANDS LÄN</t>
        </is>
      </c>
      <c r="E1943" t="inlineStr">
        <is>
          <t>SOLLEFTEÅ</t>
        </is>
      </c>
      <c r="F1943" t="inlineStr">
        <is>
          <t>SCA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15987-2023</t>
        </is>
      </c>
      <c r="B1944" s="1" t="n">
        <v>45023</v>
      </c>
      <c r="C1944" s="1" t="n">
        <v>45670</v>
      </c>
      <c r="D1944" t="inlineStr">
        <is>
          <t>VÄSTERNORRLANDS LÄN</t>
        </is>
      </c>
      <c r="E1944" t="inlineStr">
        <is>
          <t>SOLLEFTEÅ</t>
        </is>
      </c>
      <c r="F1944" t="inlineStr">
        <is>
          <t>SCA</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15998-2023</t>
        </is>
      </c>
      <c r="B1945" s="1" t="n">
        <v>45024</v>
      </c>
      <c r="C1945" s="1" t="n">
        <v>45670</v>
      </c>
      <c r="D1945" t="inlineStr">
        <is>
          <t>VÄSTERNORRLANDS LÄN</t>
        </is>
      </c>
      <c r="E1945" t="inlineStr">
        <is>
          <t>SOLLEFTEÅ</t>
        </is>
      </c>
      <c r="F1945" t="inlineStr">
        <is>
          <t>SCA</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16189-2023</t>
        </is>
      </c>
      <c r="B1946" s="1" t="n">
        <v>45028</v>
      </c>
      <c r="C1946" s="1" t="n">
        <v>45670</v>
      </c>
      <c r="D1946" t="inlineStr">
        <is>
          <t>VÄSTERNORRLANDS LÄN</t>
        </is>
      </c>
      <c r="E1946" t="inlineStr">
        <is>
          <t>SOLLEFTEÅ</t>
        </is>
      </c>
      <c r="F1946" t="inlineStr">
        <is>
          <t>SCA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16190-2023</t>
        </is>
      </c>
      <c r="B1947" s="1" t="n">
        <v>45028</v>
      </c>
      <c r="C1947" s="1" t="n">
        <v>45670</v>
      </c>
      <c r="D1947" t="inlineStr">
        <is>
          <t>VÄSTERNORRLANDS LÄN</t>
        </is>
      </c>
      <c r="E1947" t="inlineStr">
        <is>
          <t>SOLLEFTEÅ</t>
        </is>
      </c>
      <c r="F1947" t="inlineStr">
        <is>
          <t>SCA</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16196-2023</t>
        </is>
      </c>
      <c r="B1948" s="1" t="n">
        <v>45028</v>
      </c>
      <c r="C1948" s="1" t="n">
        <v>45670</v>
      </c>
      <c r="D1948" t="inlineStr">
        <is>
          <t>VÄSTERNORRLANDS LÄN</t>
        </is>
      </c>
      <c r="E1948" t="inlineStr">
        <is>
          <t>SOLLEFTEÅ</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16370-2023</t>
        </is>
      </c>
      <c r="B1949" s="1" t="n">
        <v>45029</v>
      </c>
      <c r="C1949" s="1" t="n">
        <v>45670</v>
      </c>
      <c r="D1949" t="inlineStr">
        <is>
          <t>VÄSTERNORRLANDS LÄN</t>
        </is>
      </c>
      <c r="E1949" t="inlineStr">
        <is>
          <t>SOLLEFTEÅ</t>
        </is>
      </c>
      <c r="F1949" t="inlineStr">
        <is>
          <t>SCA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16376-2023</t>
        </is>
      </c>
      <c r="B1950" s="1" t="n">
        <v>45029</v>
      </c>
      <c r="C1950" s="1" t="n">
        <v>45670</v>
      </c>
      <c r="D1950" t="inlineStr">
        <is>
          <t>VÄSTERNORRLANDS LÄN</t>
        </is>
      </c>
      <c r="E1950" t="inlineStr">
        <is>
          <t>SOLLEFTEÅ</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16562-2023</t>
        </is>
      </c>
      <c r="B1951" s="1" t="n">
        <v>45029</v>
      </c>
      <c r="C1951" s="1" t="n">
        <v>45670</v>
      </c>
      <c r="D1951" t="inlineStr">
        <is>
          <t>VÄSTERNORRLANDS LÄN</t>
        </is>
      </c>
      <c r="E1951" t="inlineStr">
        <is>
          <t>SOLLEFTEÅ</t>
        </is>
      </c>
      <c r="F1951" t="inlineStr">
        <is>
          <t>SCA</t>
        </is>
      </c>
      <c r="G1951" t="n">
        <v>7.9</v>
      </c>
      <c r="H1951" t="n">
        <v>0</v>
      </c>
      <c r="I1951" t="n">
        <v>0</v>
      </c>
      <c r="J1951" t="n">
        <v>0</v>
      </c>
      <c r="K1951" t="n">
        <v>0</v>
      </c>
      <c r="L1951" t="n">
        <v>0</v>
      </c>
      <c r="M1951" t="n">
        <v>0</v>
      </c>
      <c r="N1951" t="n">
        <v>0</v>
      </c>
      <c r="O1951" t="n">
        <v>0</v>
      </c>
      <c r="P1951" t="n">
        <v>0</v>
      </c>
      <c r="Q1951" t="n">
        <v>0</v>
      </c>
      <c r="R1951" s="2" t="inlineStr"/>
    </row>
    <row r="1952" ht="15" customHeight="1">
      <c r="A1952" t="inlineStr">
        <is>
          <t>A 16760-2023</t>
        </is>
      </c>
      <c r="B1952" s="1" t="n">
        <v>45030</v>
      </c>
      <c r="C1952" s="1" t="n">
        <v>45670</v>
      </c>
      <c r="D1952" t="inlineStr">
        <is>
          <t>VÄSTERNORRLANDS LÄN</t>
        </is>
      </c>
      <c r="E1952" t="inlineStr">
        <is>
          <t>SOLLEFTEÅ</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17007-2023</t>
        </is>
      </c>
      <c r="B1953" s="1" t="n">
        <v>45034</v>
      </c>
      <c r="C1953" s="1" t="n">
        <v>45670</v>
      </c>
      <c r="D1953" t="inlineStr">
        <is>
          <t>VÄSTERNORRLANDS LÄN</t>
        </is>
      </c>
      <c r="E1953" t="inlineStr">
        <is>
          <t>SOLLEFTEÅ</t>
        </is>
      </c>
      <c r="F1953" t="inlineStr">
        <is>
          <t>SCA</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17064-2023</t>
        </is>
      </c>
      <c r="B1954" s="1" t="n">
        <v>45034</v>
      </c>
      <c r="C1954" s="1" t="n">
        <v>45670</v>
      </c>
      <c r="D1954" t="inlineStr">
        <is>
          <t>VÄSTERNORRLANDS LÄN</t>
        </is>
      </c>
      <c r="E1954" t="inlineStr">
        <is>
          <t>SOLLEFTEÅ</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17218-2023</t>
        </is>
      </c>
      <c r="B1955" s="1" t="n">
        <v>45035</v>
      </c>
      <c r="C1955" s="1" t="n">
        <v>45670</v>
      </c>
      <c r="D1955" t="inlineStr">
        <is>
          <t>VÄSTERNORRLANDS LÄN</t>
        </is>
      </c>
      <c r="E1955" t="inlineStr">
        <is>
          <t>SOLLEFTEÅ</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17219-2023</t>
        </is>
      </c>
      <c r="B1956" s="1" t="n">
        <v>45034</v>
      </c>
      <c r="C1956" s="1" t="n">
        <v>45670</v>
      </c>
      <c r="D1956" t="inlineStr">
        <is>
          <t>VÄSTERNORRLANDS LÄN</t>
        </is>
      </c>
      <c r="E1956" t="inlineStr">
        <is>
          <t>SOLLEFTEÅ</t>
        </is>
      </c>
      <c r="F1956" t="inlineStr">
        <is>
          <t>SCA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17416-2023</t>
        </is>
      </c>
      <c r="B1957" s="1" t="n">
        <v>45036</v>
      </c>
      <c r="C1957" s="1" t="n">
        <v>45670</v>
      </c>
      <c r="D1957" t="inlineStr">
        <is>
          <t>VÄSTERNORRLANDS LÄN</t>
        </is>
      </c>
      <c r="E1957" t="inlineStr">
        <is>
          <t>SOLLEFTEÅ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17683-2023</t>
        </is>
      </c>
      <c r="B1958" s="1" t="n">
        <v>45035</v>
      </c>
      <c r="C1958" s="1" t="n">
        <v>45670</v>
      </c>
      <c r="D1958" t="inlineStr">
        <is>
          <t>VÄSTERNORRLANDS LÄN</t>
        </is>
      </c>
      <c r="E1958" t="inlineStr">
        <is>
          <t>SOLLEFTEÅ</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17664-2023</t>
        </is>
      </c>
      <c r="B1959" s="1" t="n">
        <v>45037</v>
      </c>
      <c r="C1959" s="1" t="n">
        <v>45670</v>
      </c>
      <c r="D1959" t="inlineStr">
        <is>
          <t>VÄSTERNORRLANDS LÄN</t>
        </is>
      </c>
      <c r="E1959" t="inlineStr">
        <is>
          <t>SOLLEFTEÅ</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18149-2023</t>
        </is>
      </c>
      <c r="B1960" s="1" t="n">
        <v>45040</v>
      </c>
      <c r="C1960" s="1" t="n">
        <v>45670</v>
      </c>
      <c r="D1960" t="inlineStr">
        <is>
          <t>VÄSTERNORRLANDS LÄN</t>
        </is>
      </c>
      <c r="E1960" t="inlineStr">
        <is>
          <t>SOLLEFTEÅ</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18160-2023</t>
        </is>
      </c>
      <c r="B1961" s="1" t="n">
        <v>45040</v>
      </c>
      <c r="C1961" s="1" t="n">
        <v>45670</v>
      </c>
      <c r="D1961" t="inlineStr">
        <is>
          <t>VÄSTERNORRLANDS LÄN</t>
        </is>
      </c>
      <c r="E1961" t="inlineStr">
        <is>
          <t>SOLLEFTEÅ</t>
        </is>
      </c>
      <c r="F1961" t="inlineStr">
        <is>
          <t>SCA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18167-2023</t>
        </is>
      </c>
      <c r="B1962" s="1" t="n">
        <v>45040</v>
      </c>
      <c r="C1962" s="1" t="n">
        <v>45670</v>
      </c>
      <c r="D1962" t="inlineStr">
        <is>
          <t>VÄSTERNORRLANDS LÄN</t>
        </is>
      </c>
      <c r="E1962" t="inlineStr">
        <is>
          <t>SOLLEFTEÅ</t>
        </is>
      </c>
      <c r="F1962" t="inlineStr">
        <is>
          <t>SCA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18459-2023</t>
        </is>
      </c>
      <c r="B1963" s="1" t="n">
        <v>45041</v>
      </c>
      <c r="C1963" s="1" t="n">
        <v>45670</v>
      </c>
      <c r="D1963" t="inlineStr">
        <is>
          <t>VÄSTERNORRLANDS LÄN</t>
        </is>
      </c>
      <c r="E1963" t="inlineStr">
        <is>
          <t>SOLLEFTEÅ</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18378-2023</t>
        </is>
      </c>
      <c r="B1964" s="1" t="n">
        <v>45041</v>
      </c>
      <c r="C1964" s="1" t="n">
        <v>45670</v>
      </c>
      <c r="D1964" t="inlineStr">
        <is>
          <t>VÄSTERNORRLANDS LÄN</t>
        </is>
      </c>
      <c r="E1964" t="inlineStr">
        <is>
          <t>SOLLEFTEÅ</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18456-2023</t>
        </is>
      </c>
      <c r="B1965" s="1" t="n">
        <v>45041</v>
      </c>
      <c r="C1965" s="1" t="n">
        <v>45670</v>
      </c>
      <c r="D1965" t="inlineStr">
        <is>
          <t>VÄSTERNORRLANDS LÄN</t>
        </is>
      </c>
      <c r="E1965" t="inlineStr">
        <is>
          <t>SOLLEFTEÅ</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18861-2023</t>
        </is>
      </c>
      <c r="B1966" s="1" t="n">
        <v>45042</v>
      </c>
      <c r="C1966" s="1" t="n">
        <v>45670</v>
      </c>
      <c r="D1966" t="inlineStr">
        <is>
          <t>VÄSTERNORRLANDS LÄN</t>
        </is>
      </c>
      <c r="E1966" t="inlineStr">
        <is>
          <t>SOLLEFTEÅ</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18762-2023</t>
        </is>
      </c>
      <c r="B1967" s="1" t="n">
        <v>45043</v>
      </c>
      <c r="C1967" s="1" t="n">
        <v>45670</v>
      </c>
      <c r="D1967" t="inlineStr">
        <is>
          <t>VÄSTERNORRLANDS LÄN</t>
        </is>
      </c>
      <c r="E1967" t="inlineStr">
        <is>
          <t>SOLLEFTEÅ</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18781-2023</t>
        </is>
      </c>
      <c r="B1968" s="1" t="n">
        <v>45043</v>
      </c>
      <c r="C1968" s="1" t="n">
        <v>45670</v>
      </c>
      <c r="D1968" t="inlineStr">
        <is>
          <t>VÄSTERNORRLANDS LÄN</t>
        </is>
      </c>
      <c r="E1968" t="inlineStr">
        <is>
          <t>SOLLEFTEÅ</t>
        </is>
      </c>
      <c r="F1968" t="inlineStr">
        <is>
          <t>SCA</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18785-2023</t>
        </is>
      </c>
      <c r="B1969" s="1" t="n">
        <v>45043</v>
      </c>
      <c r="C1969" s="1" t="n">
        <v>45670</v>
      </c>
      <c r="D1969" t="inlineStr">
        <is>
          <t>VÄSTERNORRLANDS LÄN</t>
        </is>
      </c>
      <c r="E1969" t="inlineStr">
        <is>
          <t>SOLLEFTEÅ</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18753-2023</t>
        </is>
      </c>
      <c r="B1970" s="1" t="n">
        <v>45044</v>
      </c>
      <c r="C1970" s="1" t="n">
        <v>45670</v>
      </c>
      <c r="D1970" t="inlineStr">
        <is>
          <t>VÄSTERNORRLANDS LÄN</t>
        </is>
      </c>
      <c r="E1970" t="inlineStr">
        <is>
          <t>SOLLEFTEÅ</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18761-2023</t>
        </is>
      </c>
      <c r="B1971" s="1" t="n">
        <v>45043</v>
      </c>
      <c r="C1971" s="1" t="n">
        <v>45670</v>
      </c>
      <c r="D1971" t="inlineStr">
        <is>
          <t>VÄSTERNORRLANDS LÄN</t>
        </is>
      </c>
      <c r="E1971" t="inlineStr">
        <is>
          <t>SOLLEFTEÅ</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18782-2023</t>
        </is>
      </c>
      <c r="B1972" s="1" t="n">
        <v>45044</v>
      </c>
      <c r="C1972" s="1" t="n">
        <v>45670</v>
      </c>
      <c r="D1972" t="inlineStr">
        <is>
          <t>VÄSTERNORRLANDS LÄN</t>
        </is>
      </c>
      <c r="E1972" t="inlineStr">
        <is>
          <t>SOLLEFTEÅ</t>
        </is>
      </c>
      <c r="F1972" t="inlineStr">
        <is>
          <t>SCA</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18786-2023</t>
        </is>
      </c>
      <c r="B1973" s="1" t="n">
        <v>45043</v>
      </c>
      <c r="C1973" s="1" t="n">
        <v>45670</v>
      </c>
      <c r="D1973" t="inlineStr">
        <is>
          <t>VÄSTERNORRLANDS LÄN</t>
        </is>
      </c>
      <c r="E1973" t="inlineStr">
        <is>
          <t>SOLLEFTEÅ</t>
        </is>
      </c>
      <c r="F1973" t="inlineStr">
        <is>
          <t>SCA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18755-2023</t>
        </is>
      </c>
      <c r="B1974" s="1" t="n">
        <v>45043</v>
      </c>
      <c r="C1974" s="1" t="n">
        <v>45670</v>
      </c>
      <c r="D1974" t="inlineStr">
        <is>
          <t>VÄSTERNORRLANDS LÄN</t>
        </is>
      </c>
      <c r="E1974" t="inlineStr">
        <is>
          <t>SOLLEFTEÅ</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18780-2023</t>
        </is>
      </c>
      <c r="B1975" s="1" t="n">
        <v>45044</v>
      </c>
      <c r="C1975" s="1" t="n">
        <v>45670</v>
      </c>
      <c r="D1975" t="inlineStr">
        <is>
          <t>VÄSTERNORRLANDS LÄN</t>
        </is>
      </c>
      <c r="E1975" t="inlineStr">
        <is>
          <t>SOLLEFTEÅ</t>
        </is>
      </c>
      <c r="F1975" t="inlineStr">
        <is>
          <t>SCA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18784-2023</t>
        </is>
      </c>
      <c r="B1976" s="1" t="n">
        <v>45044</v>
      </c>
      <c r="C1976" s="1" t="n">
        <v>45670</v>
      </c>
      <c r="D1976" t="inlineStr">
        <is>
          <t>VÄSTERNORRLANDS LÄN</t>
        </is>
      </c>
      <c r="E1976" t="inlineStr">
        <is>
          <t>SOLLEFTEÅ</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18980-2023</t>
        </is>
      </c>
      <c r="B1977" s="1" t="n">
        <v>45044</v>
      </c>
      <c r="C1977" s="1" t="n">
        <v>45670</v>
      </c>
      <c r="D1977" t="inlineStr">
        <is>
          <t>VÄSTERNORRLANDS LÄN</t>
        </is>
      </c>
      <c r="E1977" t="inlineStr">
        <is>
          <t>SOLLEFTEÅ</t>
        </is>
      </c>
      <c r="F1977" t="inlineStr">
        <is>
          <t>Övriga statliga verk och myndigheter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18989-2023</t>
        </is>
      </c>
      <c r="B1978" s="1" t="n">
        <v>45044</v>
      </c>
      <c r="C1978" s="1" t="n">
        <v>45670</v>
      </c>
      <c r="D1978" t="inlineStr">
        <is>
          <t>VÄSTERNORRLANDS LÄN</t>
        </is>
      </c>
      <c r="E1978" t="inlineStr">
        <is>
          <t>SOLLEFTEÅ</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19154-2023</t>
        </is>
      </c>
      <c r="B1979" s="1" t="n">
        <v>45044</v>
      </c>
      <c r="C1979" s="1" t="n">
        <v>45670</v>
      </c>
      <c r="D1979" t="inlineStr">
        <is>
          <t>VÄSTERNORRLANDS LÄN</t>
        </is>
      </c>
      <c r="E1979" t="inlineStr">
        <is>
          <t>SOLLEFTEÅ</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19433-2023</t>
        </is>
      </c>
      <c r="B1980" s="1" t="n">
        <v>45049</v>
      </c>
      <c r="C1980" s="1" t="n">
        <v>45670</v>
      </c>
      <c r="D1980" t="inlineStr">
        <is>
          <t>VÄSTERNORRLANDS LÄN</t>
        </is>
      </c>
      <c r="E1980" t="inlineStr">
        <is>
          <t>SOLLEFTEÅ</t>
        </is>
      </c>
      <c r="F1980" t="inlineStr">
        <is>
          <t>SCA</t>
        </is>
      </c>
      <c r="G1980" t="n">
        <v>12.3</v>
      </c>
      <c r="H1980" t="n">
        <v>0</v>
      </c>
      <c r="I1980" t="n">
        <v>0</v>
      </c>
      <c r="J1980" t="n">
        <v>0</v>
      </c>
      <c r="K1980" t="n">
        <v>0</v>
      </c>
      <c r="L1980" t="n">
        <v>0</v>
      </c>
      <c r="M1980" t="n">
        <v>0</v>
      </c>
      <c r="N1980" t="n">
        <v>0</v>
      </c>
      <c r="O1980" t="n">
        <v>0</v>
      </c>
      <c r="P1980" t="n">
        <v>0</v>
      </c>
      <c r="Q1980" t="n">
        <v>0</v>
      </c>
      <c r="R1980" s="2" t="inlineStr"/>
    </row>
    <row r="1981" ht="15" customHeight="1">
      <c r="A1981" t="inlineStr">
        <is>
          <t>A 19434-2023</t>
        </is>
      </c>
      <c r="B1981" s="1" t="n">
        <v>45049</v>
      </c>
      <c r="C1981" s="1" t="n">
        <v>45670</v>
      </c>
      <c r="D1981" t="inlineStr">
        <is>
          <t>VÄSTERNORRLANDS LÄN</t>
        </is>
      </c>
      <c r="E1981" t="inlineStr">
        <is>
          <t>SOLLEFTEÅ</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19609-2023</t>
        </is>
      </c>
      <c r="B1982" s="1" t="n">
        <v>45050</v>
      </c>
      <c r="C1982" s="1" t="n">
        <v>45670</v>
      </c>
      <c r="D1982" t="inlineStr">
        <is>
          <t>VÄSTERNORRLANDS LÄN</t>
        </is>
      </c>
      <c r="E1982" t="inlineStr">
        <is>
          <t>SOLLEFTEÅ</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19610-2023</t>
        </is>
      </c>
      <c r="B1983" s="1" t="n">
        <v>45050</v>
      </c>
      <c r="C1983" s="1" t="n">
        <v>45670</v>
      </c>
      <c r="D1983" t="inlineStr">
        <is>
          <t>VÄSTERNORRLANDS LÄN</t>
        </is>
      </c>
      <c r="E1983" t="inlineStr">
        <is>
          <t>SOLLEFTEÅ</t>
        </is>
      </c>
      <c r="G1983" t="n">
        <v>10.4</v>
      </c>
      <c r="H1983" t="n">
        <v>0</v>
      </c>
      <c r="I1983" t="n">
        <v>0</v>
      </c>
      <c r="J1983" t="n">
        <v>0</v>
      </c>
      <c r="K1983" t="n">
        <v>0</v>
      </c>
      <c r="L1983" t="n">
        <v>0</v>
      </c>
      <c r="M1983" t="n">
        <v>0</v>
      </c>
      <c r="N1983" t="n">
        <v>0</v>
      </c>
      <c r="O1983" t="n">
        <v>0</v>
      </c>
      <c r="P1983" t="n">
        <v>0</v>
      </c>
      <c r="Q1983" t="n">
        <v>0</v>
      </c>
      <c r="R1983" s="2" t="inlineStr"/>
    </row>
    <row r="1984" ht="15" customHeight="1">
      <c r="A1984" t="inlineStr">
        <is>
          <t>A 19615-2023</t>
        </is>
      </c>
      <c r="B1984" s="1" t="n">
        <v>45051</v>
      </c>
      <c r="C1984" s="1" t="n">
        <v>45670</v>
      </c>
      <c r="D1984" t="inlineStr">
        <is>
          <t>VÄSTERNORRLANDS LÄN</t>
        </is>
      </c>
      <c r="E1984" t="inlineStr">
        <is>
          <t>SOLLEFTEÅ</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19625-2023</t>
        </is>
      </c>
      <c r="B1985" s="1" t="n">
        <v>45050</v>
      </c>
      <c r="C1985" s="1" t="n">
        <v>45670</v>
      </c>
      <c r="D1985" t="inlineStr">
        <is>
          <t>VÄSTERNORRLANDS LÄN</t>
        </is>
      </c>
      <c r="E1985" t="inlineStr">
        <is>
          <t>SOLLEFTEÅ</t>
        </is>
      </c>
      <c r="F1985" t="inlineStr">
        <is>
          <t>SCA</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19614-2023</t>
        </is>
      </c>
      <c r="B1986" s="1" t="n">
        <v>45050</v>
      </c>
      <c r="C1986" s="1" t="n">
        <v>45670</v>
      </c>
      <c r="D1986" t="inlineStr">
        <is>
          <t>VÄSTERNORRLANDS LÄN</t>
        </is>
      </c>
      <c r="E1986" t="inlineStr">
        <is>
          <t>SOLLEFTEÅ</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19816-2023</t>
        </is>
      </c>
      <c r="B1987" s="1" t="n">
        <v>45052</v>
      </c>
      <c r="C1987" s="1" t="n">
        <v>45670</v>
      </c>
      <c r="D1987" t="inlineStr">
        <is>
          <t>VÄSTERNORRLANDS LÄN</t>
        </is>
      </c>
      <c r="E1987" t="inlineStr">
        <is>
          <t>SOLLEFTEÅ</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19829-2023</t>
        </is>
      </c>
      <c r="B1988" s="1" t="n">
        <v>45052</v>
      </c>
      <c r="C1988" s="1" t="n">
        <v>45670</v>
      </c>
      <c r="D1988" t="inlineStr">
        <is>
          <t>VÄSTERNORRLANDS LÄN</t>
        </is>
      </c>
      <c r="E1988" t="inlineStr">
        <is>
          <t>SOLLEFTEÅ</t>
        </is>
      </c>
      <c r="F1988" t="inlineStr">
        <is>
          <t>SCA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19830-2023</t>
        </is>
      </c>
      <c r="B1989" s="1" t="n">
        <v>45052</v>
      </c>
      <c r="C1989" s="1" t="n">
        <v>45670</v>
      </c>
      <c r="D1989" t="inlineStr">
        <is>
          <t>VÄSTERNORRLANDS LÄN</t>
        </is>
      </c>
      <c r="E1989" t="inlineStr">
        <is>
          <t>SOLLEFTEÅ</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20089-2023</t>
        </is>
      </c>
      <c r="B1990" s="1" t="n">
        <v>45055</v>
      </c>
      <c r="C1990" s="1" t="n">
        <v>45670</v>
      </c>
      <c r="D1990" t="inlineStr">
        <is>
          <t>VÄSTERNORRLANDS LÄN</t>
        </is>
      </c>
      <c r="E1990" t="inlineStr">
        <is>
          <t>SOLLEFTEÅ</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20269-2023</t>
        </is>
      </c>
      <c r="B1991" s="1" t="n">
        <v>45055</v>
      </c>
      <c r="C1991" s="1" t="n">
        <v>45670</v>
      </c>
      <c r="D1991" t="inlineStr">
        <is>
          <t>VÄSTERNORRLANDS LÄN</t>
        </is>
      </c>
      <c r="E1991" t="inlineStr">
        <is>
          <t>SOLLEFTEÅ</t>
        </is>
      </c>
      <c r="F1991" t="inlineStr">
        <is>
          <t>SCA</t>
        </is>
      </c>
      <c r="G1991" t="n">
        <v>6.8</v>
      </c>
      <c r="H1991" t="n">
        <v>0</v>
      </c>
      <c r="I1991" t="n">
        <v>0</v>
      </c>
      <c r="J1991" t="n">
        <v>0</v>
      </c>
      <c r="K1991" t="n">
        <v>0</v>
      </c>
      <c r="L1991" t="n">
        <v>0</v>
      </c>
      <c r="M1991" t="n">
        <v>0</v>
      </c>
      <c r="N1991" t="n">
        <v>0</v>
      </c>
      <c r="O1991" t="n">
        <v>0</v>
      </c>
      <c r="P1991" t="n">
        <v>0</v>
      </c>
      <c r="Q1991" t="n">
        <v>0</v>
      </c>
      <c r="R1991" s="2" t="inlineStr"/>
    </row>
    <row r="1992" ht="15" customHeight="1">
      <c r="A1992" t="inlineStr">
        <is>
          <t>A 20268-2023</t>
        </is>
      </c>
      <c r="B1992" s="1" t="n">
        <v>45055</v>
      </c>
      <c r="C1992" s="1" t="n">
        <v>45670</v>
      </c>
      <c r="D1992" t="inlineStr">
        <is>
          <t>VÄSTERNORRLANDS LÄN</t>
        </is>
      </c>
      <c r="E1992" t="inlineStr">
        <is>
          <t>SOLLEFTEÅ</t>
        </is>
      </c>
      <c r="F1992" t="inlineStr">
        <is>
          <t>SCA</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20266-2023</t>
        </is>
      </c>
      <c r="B1993" s="1" t="n">
        <v>45055</v>
      </c>
      <c r="C1993" s="1" t="n">
        <v>45670</v>
      </c>
      <c r="D1993" t="inlineStr">
        <is>
          <t>VÄSTERNORRLANDS LÄN</t>
        </is>
      </c>
      <c r="E1993" t="inlineStr">
        <is>
          <t>SOLLEFTEÅ</t>
        </is>
      </c>
      <c r="F1993" t="inlineStr">
        <is>
          <t>SCA</t>
        </is>
      </c>
      <c r="G1993" t="n">
        <v>21.3</v>
      </c>
      <c r="H1993" t="n">
        <v>0</v>
      </c>
      <c r="I1993" t="n">
        <v>0</v>
      </c>
      <c r="J1993" t="n">
        <v>0</v>
      </c>
      <c r="K1993" t="n">
        <v>0</v>
      </c>
      <c r="L1993" t="n">
        <v>0</v>
      </c>
      <c r="M1993" t="n">
        <v>0</v>
      </c>
      <c r="N1993" t="n">
        <v>0</v>
      </c>
      <c r="O1993" t="n">
        <v>0</v>
      </c>
      <c r="P1993" t="n">
        <v>0</v>
      </c>
      <c r="Q1993" t="n">
        <v>0</v>
      </c>
      <c r="R1993" s="2" t="inlineStr"/>
    </row>
    <row r="1994" ht="15" customHeight="1">
      <c r="A1994" t="inlineStr">
        <is>
          <t>A 20271-2023</t>
        </is>
      </c>
      <c r="B1994" s="1" t="n">
        <v>45056</v>
      </c>
      <c r="C1994" s="1" t="n">
        <v>45670</v>
      </c>
      <c r="D1994" t="inlineStr">
        <is>
          <t>VÄSTERNORRLANDS LÄN</t>
        </is>
      </c>
      <c r="E1994" t="inlineStr">
        <is>
          <t>SOLLEFTEÅ</t>
        </is>
      </c>
      <c r="F1994" t="inlineStr">
        <is>
          <t>SCA</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20461-2023</t>
        </is>
      </c>
      <c r="B1995" s="1" t="n">
        <v>45057</v>
      </c>
      <c r="C1995" s="1" t="n">
        <v>45670</v>
      </c>
      <c r="D1995" t="inlineStr">
        <is>
          <t>VÄSTERNORRLANDS LÄN</t>
        </is>
      </c>
      <c r="E1995" t="inlineStr">
        <is>
          <t>SOLLEFTEÅ</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20460-2023</t>
        </is>
      </c>
      <c r="B1996" s="1" t="n">
        <v>45057</v>
      </c>
      <c r="C1996" s="1" t="n">
        <v>45670</v>
      </c>
      <c r="D1996" t="inlineStr">
        <is>
          <t>VÄSTERNORRLANDS LÄN</t>
        </is>
      </c>
      <c r="E1996" t="inlineStr">
        <is>
          <t>SOLLEFTEÅ</t>
        </is>
      </c>
      <c r="F1996" t="inlineStr">
        <is>
          <t>SCA</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20599-2023</t>
        </is>
      </c>
      <c r="B1997" s="1" t="n">
        <v>45058</v>
      </c>
      <c r="C1997" s="1" t="n">
        <v>45670</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20598-2023</t>
        </is>
      </c>
      <c r="B1998" s="1" t="n">
        <v>45058</v>
      </c>
      <c r="C1998" s="1" t="n">
        <v>45670</v>
      </c>
      <c r="D1998" t="inlineStr">
        <is>
          <t>VÄSTERNORRLANDS LÄN</t>
        </is>
      </c>
      <c r="E1998" t="inlineStr">
        <is>
          <t>SOLLEFTEÅ</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21195-2023</t>
        </is>
      </c>
      <c r="B1999" s="1" t="n">
        <v>45057</v>
      </c>
      <c r="C1999" s="1" t="n">
        <v>45670</v>
      </c>
      <c r="D1999" t="inlineStr">
        <is>
          <t>VÄSTERNORRLANDS LÄN</t>
        </is>
      </c>
      <c r="E1999" t="inlineStr">
        <is>
          <t>SOLLEFTEÅ</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20629-2023</t>
        </is>
      </c>
      <c r="B2000" s="1" t="n">
        <v>45058</v>
      </c>
      <c r="C2000" s="1" t="n">
        <v>45670</v>
      </c>
      <c r="D2000" t="inlineStr">
        <is>
          <t>VÄSTERNORRLANDS LÄN</t>
        </is>
      </c>
      <c r="E2000" t="inlineStr">
        <is>
          <t>SOLLEFTEÅ</t>
        </is>
      </c>
      <c r="F2000" t="inlineStr">
        <is>
          <t>SCA</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20628-2023</t>
        </is>
      </c>
      <c r="B2001" s="1" t="n">
        <v>45058</v>
      </c>
      <c r="C2001" s="1" t="n">
        <v>45670</v>
      </c>
      <c r="D2001" t="inlineStr">
        <is>
          <t>VÄSTERNORRLANDS LÄN</t>
        </is>
      </c>
      <c r="E2001" t="inlineStr">
        <is>
          <t>SOLLEFTEÅ</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21230-2023</t>
        </is>
      </c>
      <c r="B2002" s="1" t="n">
        <v>45057</v>
      </c>
      <c r="C2002" s="1" t="n">
        <v>45670</v>
      </c>
      <c r="D2002" t="inlineStr">
        <is>
          <t>VÄSTERNORRLANDS LÄN</t>
        </is>
      </c>
      <c r="E2002" t="inlineStr">
        <is>
          <t>SOLLEFTEÅ</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20754-2023</t>
        </is>
      </c>
      <c r="B2003" s="1" t="n">
        <v>45058</v>
      </c>
      <c r="C2003" s="1" t="n">
        <v>45670</v>
      </c>
      <c r="D2003" t="inlineStr">
        <is>
          <t>VÄSTERNORRLANDS LÄN</t>
        </is>
      </c>
      <c r="E2003" t="inlineStr">
        <is>
          <t>SOLLEFTEÅ</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20859-2023</t>
        </is>
      </c>
      <c r="B2004" s="1" t="n">
        <v>45059</v>
      </c>
      <c r="C2004" s="1" t="n">
        <v>45670</v>
      </c>
      <c r="D2004" t="inlineStr">
        <is>
          <t>VÄSTERNORRLANDS LÄN</t>
        </is>
      </c>
      <c r="E2004" t="inlineStr">
        <is>
          <t>SOLLEFTEÅ</t>
        </is>
      </c>
      <c r="F2004" t="inlineStr">
        <is>
          <t>SCA</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20862-2023</t>
        </is>
      </c>
      <c r="B2005" s="1" t="n">
        <v>45059</v>
      </c>
      <c r="C2005" s="1" t="n">
        <v>45670</v>
      </c>
      <c r="D2005" t="inlineStr">
        <is>
          <t>VÄSTERNORRLANDS LÄN</t>
        </is>
      </c>
      <c r="E2005" t="inlineStr">
        <is>
          <t>SOLLEFTEÅ</t>
        </is>
      </c>
      <c r="F2005" t="inlineStr">
        <is>
          <t>SCA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20817-2023</t>
        </is>
      </c>
      <c r="B2006" s="1" t="n">
        <v>45058</v>
      </c>
      <c r="C2006" s="1" t="n">
        <v>45670</v>
      </c>
      <c r="D2006" t="inlineStr">
        <is>
          <t>VÄSTERNORRLANDS LÄN</t>
        </is>
      </c>
      <c r="E2006" t="inlineStr">
        <is>
          <t>SOLLEFTEÅ</t>
        </is>
      </c>
      <c r="G2006" t="n">
        <v>12.5</v>
      </c>
      <c r="H2006" t="n">
        <v>0</v>
      </c>
      <c r="I2006" t="n">
        <v>0</v>
      </c>
      <c r="J2006" t="n">
        <v>0</v>
      </c>
      <c r="K2006" t="n">
        <v>0</v>
      </c>
      <c r="L2006" t="n">
        <v>0</v>
      </c>
      <c r="M2006" t="n">
        <v>0</v>
      </c>
      <c r="N2006" t="n">
        <v>0</v>
      </c>
      <c r="O2006" t="n">
        <v>0</v>
      </c>
      <c r="P2006" t="n">
        <v>0</v>
      </c>
      <c r="Q2006" t="n">
        <v>0</v>
      </c>
      <c r="R2006" s="2" t="inlineStr"/>
    </row>
    <row r="2007" ht="15" customHeight="1">
      <c r="A2007" t="inlineStr">
        <is>
          <t>A 20873-2023</t>
        </is>
      </c>
      <c r="B2007" s="1" t="n">
        <v>45059</v>
      </c>
      <c r="C2007" s="1" t="n">
        <v>45670</v>
      </c>
      <c r="D2007" t="inlineStr">
        <is>
          <t>VÄSTERNORRLANDS LÄN</t>
        </is>
      </c>
      <c r="E2007" t="inlineStr">
        <is>
          <t>SOLLEFTEÅ</t>
        </is>
      </c>
      <c r="F2007" t="inlineStr">
        <is>
          <t>SCA</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20878-2023</t>
        </is>
      </c>
      <c r="B2008" s="1" t="n">
        <v>45059</v>
      </c>
      <c r="C2008" s="1" t="n">
        <v>45670</v>
      </c>
      <c r="D2008" t="inlineStr">
        <is>
          <t>VÄSTERNORRLANDS LÄN</t>
        </is>
      </c>
      <c r="E2008" t="inlineStr">
        <is>
          <t>SOLLEFTEÅ</t>
        </is>
      </c>
      <c r="F2008" t="inlineStr">
        <is>
          <t>SCA</t>
        </is>
      </c>
      <c r="G2008" t="n">
        <v>6.6</v>
      </c>
      <c r="H2008" t="n">
        <v>0</v>
      </c>
      <c r="I2008" t="n">
        <v>0</v>
      </c>
      <c r="J2008" t="n">
        <v>0</v>
      </c>
      <c r="K2008" t="n">
        <v>0</v>
      </c>
      <c r="L2008" t="n">
        <v>0</v>
      </c>
      <c r="M2008" t="n">
        <v>0</v>
      </c>
      <c r="N2008" t="n">
        <v>0</v>
      </c>
      <c r="O2008" t="n">
        <v>0</v>
      </c>
      <c r="P2008" t="n">
        <v>0</v>
      </c>
      <c r="Q2008" t="n">
        <v>0</v>
      </c>
      <c r="R2008" s="2" t="inlineStr"/>
    </row>
    <row r="2009" ht="15" customHeight="1">
      <c r="A2009" t="inlineStr">
        <is>
          <t>A 20872-2023</t>
        </is>
      </c>
      <c r="B2009" s="1" t="n">
        <v>45058</v>
      </c>
      <c r="C2009" s="1" t="n">
        <v>45670</v>
      </c>
      <c r="D2009" t="inlineStr">
        <is>
          <t>VÄSTERNORRLANDS LÄN</t>
        </is>
      </c>
      <c r="E2009" t="inlineStr">
        <is>
          <t>SOLLEFTEÅ</t>
        </is>
      </c>
      <c r="F2009" t="inlineStr">
        <is>
          <t>SCA</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21513-2023</t>
        </is>
      </c>
      <c r="B2010" s="1" t="n">
        <v>45061</v>
      </c>
      <c r="C2010" s="1" t="n">
        <v>45670</v>
      </c>
      <c r="D2010" t="inlineStr">
        <is>
          <t>VÄSTERNORRLANDS LÄN</t>
        </is>
      </c>
      <c r="E2010" t="inlineStr">
        <is>
          <t>SOLLEFTEÅ</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21349-2023</t>
        </is>
      </c>
      <c r="B2011" s="1" t="n">
        <v>45063</v>
      </c>
      <c r="C2011" s="1" t="n">
        <v>45670</v>
      </c>
      <c r="D2011" t="inlineStr">
        <is>
          <t>VÄSTERNORRLANDS LÄN</t>
        </is>
      </c>
      <c r="E2011" t="inlineStr">
        <is>
          <t>SOLLEFTEÅ</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21346-2023</t>
        </is>
      </c>
      <c r="B2012" s="1" t="n">
        <v>45063</v>
      </c>
      <c r="C2012" s="1" t="n">
        <v>45670</v>
      </c>
      <c r="D2012" t="inlineStr">
        <is>
          <t>VÄSTERNORRLANDS LÄN</t>
        </is>
      </c>
      <c r="E2012" t="inlineStr">
        <is>
          <t>SOLLEFTEÅ</t>
        </is>
      </c>
      <c r="F2012" t="inlineStr">
        <is>
          <t>SCA</t>
        </is>
      </c>
      <c r="G2012" t="n">
        <v>15.5</v>
      </c>
      <c r="H2012" t="n">
        <v>0</v>
      </c>
      <c r="I2012" t="n">
        <v>0</v>
      </c>
      <c r="J2012" t="n">
        <v>0</v>
      </c>
      <c r="K2012" t="n">
        <v>0</v>
      </c>
      <c r="L2012" t="n">
        <v>0</v>
      </c>
      <c r="M2012" t="n">
        <v>0</v>
      </c>
      <c r="N2012" t="n">
        <v>0</v>
      </c>
      <c r="O2012" t="n">
        <v>0</v>
      </c>
      <c r="P2012" t="n">
        <v>0</v>
      </c>
      <c r="Q2012" t="n">
        <v>0</v>
      </c>
      <c r="R2012" s="2" t="inlineStr"/>
    </row>
    <row r="2013" ht="15" customHeight="1">
      <c r="A2013" t="inlineStr">
        <is>
          <t>A 21340-2023</t>
        </is>
      </c>
      <c r="B2013" s="1" t="n">
        <v>45062</v>
      </c>
      <c r="C2013" s="1" t="n">
        <v>45670</v>
      </c>
      <c r="D2013" t="inlineStr">
        <is>
          <t>VÄSTERNORRLANDS LÄN</t>
        </is>
      </c>
      <c r="E2013" t="inlineStr">
        <is>
          <t>SOLLEFTEÅ</t>
        </is>
      </c>
      <c r="F2013" t="inlineStr">
        <is>
          <t>SCA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21344-2023</t>
        </is>
      </c>
      <c r="B2014" s="1" t="n">
        <v>45062</v>
      </c>
      <c r="C2014" s="1" t="n">
        <v>45670</v>
      </c>
      <c r="D2014" t="inlineStr">
        <is>
          <t>VÄSTERNORRLANDS LÄN</t>
        </is>
      </c>
      <c r="E2014" t="inlineStr">
        <is>
          <t>SOLLEFTEÅ</t>
        </is>
      </c>
      <c r="F2014" t="inlineStr">
        <is>
          <t>SCA</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21361-2023</t>
        </is>
      </c>
      <c r="B2015" s="1" t="n">
        <v>45063</v>
      </c>
      <c r="C2015" s="1" t="n">
        <v>45670</v>
      </c>
      <c r="D2015" t="inlineStr">
        <is>
          <t>VÄSTERNORRLANDS LÄN</t>
        </is>
      </c>
      <c r="E2015" t="inlineStr">
        <is>
          <t>SOLLEFTEÅ</t>
        </is>
      </c>
      <c r="F2015" t="inlineStr">
        <is>
          <t>SCA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21690-2023</t>
        </is>
      </c>
      <c r="B2016" s="1" t="n">
        <v>45064</v>
      </c>
      <c r="C2016" s="1" t="n">
        <v>45670</v>
      </c>
      <c r="D2016" t="inlineStr">
        <is>
          <t>VÄSTERNORRLANDS LÄN</t>
        </is>
      </c>
      <c r="E2016" t="inlineStr">
        <is>
          <t>SOLLEFTEÅ</t>
        </is>
      </c>
      <c r="F2016" t="inlineStr">
        <is>
          <t>SCA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21674-2023</t>
        </is>
      </c>
      <c r="B2017" s="1" t="n">
        <v>45064</v>
      </c>
      <c r="C2017" s="1" t="n">
        <v>45670</v>
      </c>
      <c r="D2017" t="inlineStr">
        <is>
          <t>VÄSTERNORRLANDS LÄN</t>
        </is>
      </c>
      <c r="E2017" t="inlineStr">
        <is>
          <t>SOLLEFTEÅ</t>
        </is>
      </c>
      <c r="F2017" t="inlineStr">
        <is>
          <t>SCA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22008-2023</t>
        </is>
      </c>
      <c r="B2018" s="1" t="n">
        <v>45068</v>
      </c>
      <c r="C2018" s="1" t="n">
        <v>45670</v>
      </c>
      <c r="D2018" t="inlineStr">
        <is>
          <t>VÄSTERNORRLANDS LÄN</t>
        </is>
      </c>
      <c r="E2018" t="inlineStr">
        <is>
          <t>SOLLEFTEÅ</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22220-2023</t>
        </is>
      </c>
      <c r="B2019" s="1" t="n">
        <v>45070</v>
      </c>
      <c r="C2019" s="1" t="n">
        <v>45670</v>
      </c>
      <c r="D2019" t="inlineStr">
        <is>
          <t>VÄSTERNORRLANDS LÄN</t>
        </is>
      </c>
      <c r="E2019" t="inlineStr">
        <is>
          <t>SOLLEFTEÅ</t>
        </is>
      </c>
      <c r="G2019" t="n">
        <v>10.6</v>
      </c>
      <c r="H2019" t="n">
        <v>0</v>
      </c>
      <c r="I2019" t="n">
        <v>0</v>
      </c>
      <c r="J2019" t="n">
        <v>0</v>
      </c>
      <c r="K2019" t="n">
        <v>0</v>
      </c>
      <c r="L2019" t="n">
        <v>0</v>
      </c>
      <c r="M2019" t="n">
        <v>0</v>
      </c>
      <c r="N2019" t="n">
        <v>0</v>
      </c>
      <c r="O2019" t="n">
        <v>0</v>
      </c>
      <c r="P2019" t="n">
        <v>0</v>
      </c>
      <c r="Q2019" t="n">
        <v>0</v>
      </c>
      <c r="R2019" s="2" t="inlineStr"/>
    </row>
    <row r="2020" ht="15" customHeight="1">
      <c r="A2020" t="inlineStr">
        <is>
          <t>A 22229-2023</t>
        </is>
      </c>
      <c r="B2020" s="1" t="n">
        <v>45070</v>
      </c>
      <c r="C2020" s="1" t="n">
        <v>45670</v>
      </c>
      <c r="D2020" t="inlineStr">
        <is>
          <t>VÄSTERNORRLANDS LÄN</t>
        </is>
      </c>
      <c r="E2020" t="inlineStr">
        <is>
          <t>SOLLEFTEÅ</t>
        </is>
      </c>
      <c r="F2020" t="inlineStr">
        <is>
          <t>SCA</t>
        </is>
      </c>
      <c r="G2020" t="n">
        <v>20.8</v>
      </c>
      <c r="H2020" t="n">
        <v>0</v>
      </c>
      <c r="I2020" t="n">
        <v>0</v>
      </c>
      <c r="J2020" t="n">
        <v>0</v>
      </c>
      <c r="K2020" t="n">
        <v>0</v>
      </c>
      <c r="L2020" t="n">
        <v>0</v>
      </c>
      <c r="M2020" t="n">
        <v>0</v>
      </c>
      <c r="N2020" t="n">
        <v>0</v>
      </c>
      <c r="O2020" t="n">
        <v>0</v>
      </c>
      <c r="P2020" t="n">
        <v>0</v>
      </c>
      <c r="Q2020" t="n">
        <v>0</v>
      </c>
      <c r="R2020" s="2" t="inlineStr"/>
    </row>
    <row r="2021" ht="15" customHeight="1">
      <c r="A2021" t="inlineStr">
        <is>
          <t>A 22750-2023</t>
        </is>
      </c>
      <c r="B2021" s="1" t="n">
        <v>45072</v>
      </c>
      <c r="C2021" s="1" t="n">
        <v>45670</v>
      </c>
      <c r="D2021" t="inlineStr">
        <is>
          <t>VÄSTERNORRLANDS LÄN</t>
        </is>
      </c>
      <c r="E2021" t="inlineStr">
        <is>
          <t>SOLLEFTEÅ</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22994-2023</t>
        </is>
      </c>
      <c r="B2022" s="1" t="n">
        <v>45072</v>
      </c>
      <c r="C2022" s="1" t="n">
        <v>45670</v>
      </c>
      <c r="D2022" t="inlineStr">
        <is>
          <t>VÄSTERNORRLANDS LÄN</t>
        </is>
      </c>
      <c r="E2022" t="inlineStr">
        <is>
          <t>SOLLEFTEÅ</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22992-2023</t>
        </is>
      </c>
      <c r="B2023" s="1" t="n">
        <v>45072</v>
      </c>
      <c r="C2023" s="1" t="n">
        <v>45670</v>
      </c>
      <c r="D2023" t="inlineStr">
        <is>
          <t>VÄSTERNORRLANDS LÄN</t>
        </is>
      </c>
      <c r="E2023" t="inlineStr">
        <is>
          <t>SOLLEFTEÅ</t>
        </is>
      </c>
      <c r="F2023" t="inlineStr">
        <is>
          <t>SCA</t>
        </is>
      </c>
      <c r="G2023" t="n">
        <v>13.6</v>
      </c>
      <c r="H2023" t="n">
        <v>0</v>
      </c>
      <c r="I2023" t="n">
        <v>0</v>
      </c>
      <c r="J2023" t="n">
        <v>0</v>
      </c>
      <c r="K2023" t="n">
        <v>0</v>
      </c>
      <c r="L2023" t="n">
        <v>0</v>
      </c>
      <c r="M2023" t="n">
        <v>0</v>
      </c>
      <c r="N2023" t="n">
        <v>0</v>
      </c>
      <c r="O2023" t="n">
        <v>0</v>
      </c>
      <c r="P2023" t="n">
        <v>0</v>
      </c>
      <c r="Q2023" t="n">
        <v>0</v>
      </c>
      <c r="R2023" s="2" t="inlineStr"/>
    </row>
    <row r="2024" ht="15" customHeight="1">
      <c r="A2024" t="inlineStr">
        <is>
          <t>A 22995-2023</t>
        </is>
      </c>
      <c r="B2024" s="1" t="n">
        <v>45073</v>
      </c>
      <c r="C2024" s="1" t="n">
        <v>45670</v>
      </c>
      <c r="D2024" t="inlineStr">
        <is>
          <t>VÄSTERNORRLANDS LÄN</t>
        </is>
      </c>
      <c r="E2024" t="inlineStr">
        <is>
          <t>SOLLEFTEÅ</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23488-2023</t>
        </is>
      </c>
      <c r="B2025" s="1" t="n">
        <v>45072</v>
      </c>
      <c r="C2025" s="1" t="n">
        <v>45670</v>
      </c>
      <c r="D2025" t="inlineStr">
        <is>
          <t>VÄSTERNORRLANDS LÄN</t>
        </is>
      </c>
      <c r="E2025" t="inlineStr">
        <is>
          <t>SOLLEFTEÅ</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23016-2023</t>
        </is>
      </c>
      <c r="B2026" s="1" t="n">
        <v>45073</v>
      </c>
      <c r="C2026" s="1" t="n">
        <v>45670</v>
      </c>
      <c r="D2026" t="inlineStr">
        <is>
          <t>VÄSTERNORRLANDS LÄN</t>
        </is>
      </c>
      <c r="E2026" t="inlineStr">
        <is>
          <t>SOLLEFTEÅ</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23286-2023</t>
        </is>
      </c>
      <c r="B2027" s="1" t="n">
        <v>45075</v>
      </c>
      <c r="C2027" s="1" t="n">
        <v>45670</v>
      </c>
      <c r="D2027" t="inlineStr">
        <is>
          <t>VÄSTERNORRLANDS LÄN</t>
        </is>
      </c>
      <c r="E2027" t="inlineStr">
        <is>
          <t>SOLLEFTEÅ</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23277-2023</t>
        </is>
      </c>
      <c r="B2028" s="1" t="n">
        <v>45075</v>
      </c>
      <c r="C2028" s="1" t="n">
        <v>45670</v>
      </c>
      <c r="D2028" t="inlineStr">
        <is>
          <t>VÄSTERNORRLANDS LÄN</t>
        </is>
      </c>
      <c r="E2028" t="inlineStr">
        <is>
          <t>SOLLEFTEÅ</t>
        </is>
      </c>
      <c r="G2028" t="n">
        <v>9.199999999999999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23285-2023</t>
        </is>
      </c>
      <c r="B2029" s="1" t="n">
        <v>45075</v>
      </c>
      <c r="C2029" s="1" t="n">
        <v>45670</v>
      </c>
      <c r="D2029" t="inlineStr">
        <is>
          <t>VÄSTERNORRLANDS LÄN</t>
        </is>
      </c>
      <c r="E2029" t="inlineStr">
        <is>
          <t>SOLLEFTEÅ</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23289-2023</t>
        </is>
      </c>
      <c r="B2030" s="1" t="n">
        <v>45075</v>
      </c>
      <c r="C2030" s="1" t="n">
        <v>45670</v>
      </c>
      <c r="D2030" t="inlineStr">
        <is>
          <t>VÄSTERNORRLANDS LÄN</t>
        </is>
      </c>
      <c r="E2030" t="inlineStr">
        <is>
          <t>SOLLEFTEÅ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23287-2023</t>
        </is>
      </c>
      <c r="B2031" s="1" t="n">
        <v>45075</v>
      </c>
      <c r="C2031" s="1" t="n">
        <v>45670</v>
      </c>
      <c r="D2031" t="inlineStr">
        <is>
          <t>VÄSTERNORRLANDS LÄN</t>
        </is>
      </c>
      <c r="E2031" t="inlineStr">
        <is>
          <t>SOLLEFTEÅ</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23288-2023</t>
        </is>
      </c>
      <c r="B2032" s="1" t="n">
        <v>45075</v>
      </c>
      <c r="C2032" s="1" t="n">
        <v>45670</v>
      </c>
      <c r="D2032" t="inlineStr">
        <is>
          <t>VÄSTERNORRLANDS LÄN</t>
        </is>
      </c>
      <c r="E2032" t="inlineStr">
        <is>
          <t>SOLLEFTEÅ</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23523-2023</t>
        </is>
      </c>
      <c r="B2033" s="1" t="n">
        <v>45076</v>
      </c>
      <c r="C2033" s="1" t="n">
        <v>45670</v>
      </c>
      <c r="D2033" t="inlineStr">
        <is>
          <t>VÄSTERNORRLANDS LÄN</t>
        </is>
      </c>
      <c r="E2033" t="inlineStr">
        <is>
          <t>SOLLEFTEÅ</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23527-2023</t>
        </is>
      </c>
      <c r="B2034" s="1" t="n">
        <v>45076</v>
      </c>
      <c r="C2034" s="1" t="n">
        <v>45670</v>
      </c>
      <c r="D2034" t="inlineStr">
        <is>
          <t>VÄSTERNORRLANDS LÄN</t>
        </is>
      </c>
      <c r="E2034" t="inlineStr">
        <is>
          <t>SOLLEFTEÅ</t>
        </is>
      </c>
      <c r="F2034" t="inlineStr">
        <is>
          <t>SCA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24306-2023</t>
        </is>
      </c>
      <c r="B2035" s="1" t="n">
        <v>45080</v>
      </c>
      <c r="C2035" s="1" t="n">
        <v>45670</v>
      </c>
      <c r="D2035" t="inlineStr">
        <is>
          <t>VÄSTERNORRLANDS LÄN</t>
        </is>
      </c>
      <c r="E2035" t="inlineStr">
        <is>
          <t>SOLLEFTEÅ</t>
        </is>
      </c>
      <c r="F2035" t="inlineStr">
        <is>
          <t>SCA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24314-2023</t>
        </is>
      </c>
      <c r="B2036" s="1" t="n">
        <v>45079</v>
      </c>
      <c r="C2036" s="1" t="n">
        <v>45670</v>
      </c>
      <c r="D2036" t="inlineStr">
        <is>
          <t>VÄSTERNORRLANDS LÄN</t>
        </is>
      </c>
      <c r="E2036" t="inlineStr">
        <is>
          <t>SOLLEFTEÅ</t>
        </is>
      </c>
      <c r="F2036" t="inlineStr">
        <is>
          <t>SCA</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25259-2023</t>
        </is>
      </c>
      <c r="B2037" s="1" t="n">
        <v>45079</v>
      </c>
      <c r="C2037" s="1" t="n">
        <v>45670</v>
      </c>
      <c r="D2037" t="inlineStr">
        <is>
          <t>VÄSTERNORRLANDS LÄN</t>
        </is>
      </c>
      <c r="E2037" t="inlineStr">
        <is>
          <t>SOLLEFTEÅ</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25267-2023</t>
        </is>
      </c>
      <c r="B2038" s="1" t="n">
        <v>45079</v>
      </c>
      <c r="C2038" s="1" t="n">
        <v>45670</v>
      </c>
      <c r="D2038" t="inlineStr">
        <is>
          <t>VÄSTERNORRLANDS LÄN</t>
        </is>
      </c>
      <c r="E2038" t="inlineStr">
        <is>
          <t>SOLLEFTEÅ</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25550-2023</t>
        </is>
      </c>
      <c r="B2039" s="1" t="n">
        <v>45082</v>
      </c>
      <c r="C2039" s="1" t="n">
        <v>45670</v>
      </c>
      <c r="D2039" t="inlineStr">
        <is>
          <t>VÄSTERNORRLANDS LÄN</t>
        </is>
      </c>
      <c r="E2039" t="inlineStr">
        <is>
          <t>SOLLEFTEÅ</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24595-2023</t>
        </is>
      </c>
      <c r="B2040" s="1" t="n">
        <v>45084</v>
      </c>
      <c r="C2040" s="1" t="n">
        <v>45670</v>
      </c>
      <c r="D2040" t="inlineStr">
        <is>
          <t>VÄSTERNORRLANDS LÄN</t>
        </is>
      </c>
      <c r="E2040" t="inlineStr">
        <is>
          <t>SOLLEFTEÅ</t>
        </is>
      </c>
      <c r="F2040" t="inlineStr">
        <is>
          <t>SCA</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24597-2023</t>
        </is>
      </c>
      <c r="B2041" s="1" t="n">
        <v>45083</v>
      </c>
      <c r="C2041" s="1" t="n">
        <v>45670</v>
      </c>
      <c r="D2041" t="inlineStr">
        <is>
          <t>VÄSTERNORRLANDS LÄN</t>
        </is>
      </c>
      <c r="E2041" t="inlineStr">
        <is>
          <t>SOLLEFTEÅ</t>
        </is>
      </c>
      <c r="F2041" t="inlineStr">
        <is>
          <t>SCA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24596-2023</t>
        </is>
      </c>
      <c r="B2042" s="1" t="n">
        <v>45084</v>
      </c>
      <c r="C2042" s="1" t="n">
        <v>45670</v>
      </c>
      <c r="D2042" t="inlineStr">
        <is>
          <t>VÄSTERNORRLANDS LÄN</t>
        </is>
      </c>
      <c r="E2042" t="inlineStr">
        <is>
          <t>SOLLEFTEÅ</t>
        </is>
      </c>
      <c r="F2042" t="inlineStr">
        <is>
          <t>SCA</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25795-2023</t>
        </is>
      </c>
      <c r="B2043" s="1" t="n">
        <v>45085</v>
      </c>
      <c r="C2043" s="1" t="n">
        <v>45670</v>
      </c>
      <c r="D2043" t="inlineStr">
        <is>
          <t>VÄSTERNORRLANDS LÄN</t>
        </is>
      </c>
      <c r="E2043" t="inlineStr">
        <is>
          <t>SOLLEFTEÅ</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25848-2023</t>
        </is>
      </c>
      <c r="B2044" s="1" t="n">
        <v>45085</v>
      </c>
      <c r="C2044" s="1" t="n">
        <v>45670</v>
      </c>
      <c r="D2044" t="inlineStr">
        <is>
          <t>VÄSTERNORRLANDS LÄN</t>
        </is>
      </c>
      <c r="E2044" t="inlineStr">
        <is>
          <t>SOLLEFTEÅ</t>
        </is>
      </c>
      <c r="G2044" t="n">
        <v>9.5</v>
      </c>
      <c r="H2044" t="n">
        <v>0</v>
      </c>
      <c r="I2044" t="n">
        <v>0</v>
      </c>
      <c r="J2044" t="n">
        <v>0</v>
      </c>
      <c r="K2044" t="n">
        <v>0</v>
      </c>
      <c r="L2044" t="n">
        <v>0</v>
      </c>
      <c r="M2044" t="n">
        <v>0</v>
      </c>
      <c r="N2044" t="n">
        <v>0</v>
      </c>
      <c r="O2044" t="n">
        <v>0</v>
      </c>
      <c r="P2044" t="n">
        <v>0</v>
      </c>
      <c r="Q2044" t="n">
        <v>0</v>
      </c>
      <c r="R2044" s="2" t="inlineStr"/>
    </row>
    <row r="2045" ht="15" customHeight="1">
      <c r="A2045" t="inlineStr">
        <is>
          <t>A 25079-2023</t>
        </is>
      </c>
      <c r="B2045" s="1" t="n">
        <v>45086</v>
      </c>
      <c r="C2045" s="1" t="n">
        <v>45670</v>
      </c>
      <c r="D2045" t="inlineStr">
        <is>
          <t>VÄSTERNORRLANDS LÄN</t>
        </is>
      </c>
      <c r="E2045" t="inlineStr">
        <is>
          <t>SOLLEFTEÅ</t>
        </is>
      </c>
      <c r="F2045" t="inlineStr">
        <is>
          <t>Kommuner</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25314-2023</t>
        </is>
      </c>
      <c r="B2046" s="1" t="n">
        <v>45086</v>
      </c>
      <c r="C2046" s="1" t="n">
        <v>45670</v>
      </c>
      <c r="D2046" t="inlineStr">
        <is>
          <t>VÄSTERNORRLANDS LÄN</t>
        </is>
      </c>
      <c r="E2046" t="inlineStr">
        <is>
          <t>SOLLEFTEÅ</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25392-2023</t>
        </is>
      </c>
      <c r="B2047" s="1" t="n">
        <v>45089</v>
      </c>
      <c r="C2047" s="1" t="n">
        <v>45670</v>
      </c>
      <c r="D2047" t="inlineStr">
        <is>
          <t>VÄSTERNORRLANDS LÄN</t>
        </is>
      </c>
      <c r="E2047" t="inlineStr">
        <is>
          <t>SOLLEFTEÅ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25987-2023</t>
        </is>
      </c>
      <c r="B2048" s="1" t="n">
        <v>45091</v>
      </c>
      <c r="C2048" s="1" t="n">
        <v>45670</v>
      </c>
      <c r="D2048" t="inlineStr">
        <is>
          <t>VÄSTERNORRLANDS LÄN</t>
        </is>
      </c>
      <c r="E2048" t="inlineStr">
        <is>
          <t>SOLLEFTEÅ</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26210-2023</t>
        </is>
      </c>
      <c r="B2049" s="1" t="n">
        <v>45090</v>
      </c>
      <c r="C2049" s="1" t="n">
        <v>45670</v>
      </c>
      <c r="D2049" t="inlineStr">
        <is>
          <t>VÄSTERNORRLANDS LÄN</t>
        </is>
      </c>
      <c r="E2049" t="inlineStr">
        <is>
          <t>SOLLEFTEÅ</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25986-2023</t>
        </is>
      </c>
      <c r="B2050" s="1" t="n">
        <v>45090</v>
      </c>
      <c r="C2050" s="1" t="n">
        <v>45670</v>
      </c>
      <c r="D2050" t="inlineStr">
        <is>
          <t>VÄSTERNORRLANDS LÄN</t>
        </is>
      </c>
      <c r="E2050" t="inlineStr">
        <is>
          <t>SOLLEFTEÅ</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26373-2023</t>
        </is>
      </c>
      <c r="B2051" s="1" t="n">
        <v>45092</v>
      </c>
      <c r="C2051" s="1" t="n">
        <v>45670</v>
      </c>
      <c r="D2051" t="inlineStr">
        <is>
          <t>VÄSTERNORRLANDS LÄN</t>
        </is>
      </c>
      <c r="E2051" t="inlineStr">
        <is>
          <t>SOLLEFTEÅ</t>
        </is>
      </c>
      <c r="F2051" t="inlineStr">
        <is>
          <t>SCA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27544-2023</t>
        </is>
      </c>
      <c r="B2052" s="1" t="n">
        <v>45092</v>
      </c>
      <c r="C2052" s="1" t="n">
        <v>45670</v>
      </c>
      <c r="D2052" t="inlineStr">
        <is>
          <t>VÄSTERNORRLANDS LÄN</t>
        </is>
      </c>
      <c r="E2052" t="inlineStr">
        <is>
          <t>SOLLEFTEÅ</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27534-2023</t>
        </is>
      </c>
      <c r="B2053" s="1" t="n">
        <v>45092</v>
      </c>
      <c r="C2053" s="1" t="n">
        <v>45670</v>
      </c>
      <c r="D2053" t="inlineStr">
        <is>
          <t>VÄSTERNORRLANDS LÄN</t>
        </is>
      </c>
      <c r="E2053" t="inlineStr">
        <is>
          <t>SOLLEFTEÅ</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27381-2023</t>
        </is>
      </c>
      <c r="B2054" s="1" t="n">
        <v>45097</v>
      </c>
      <c r="C2054" s="1" t="n">
        <v>45670</v>
      </c>
      <c r="D2054" t="inlineStr">
        <is>
          <t>VÄSTERNORRLANDS LÄN</t>
        </is>
      </c>
      <c r="E2054" t="inlineStr">
        <is>
          <t>SOLLEFTEÅ</t>
        </is>
      </c>
      <c r="F2054" t="inlineStr">
        <is>
          <t>SCA</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27382-2023</t>
        </is>
      </c>
      <c r="B2055" s="1" t="n">
        <v>45097</v>
      </c>
      <c r="C2055" s="1" t="n">
        <v>45670</v>
      </c>
      <c r="D2055" t="inlineStr">
        <is>
          <t>VÄSTERNORRLANDS LÄN</t>
        </is>
      </c>
      <c r="E2055" t="inlineStr">
        <is>
          <t>SOLLEFTEÅ</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27384-2023</t>
        </is>
      </c>
      <c r="B2056" s="1" t="n">
        <v>45097</v>
      </c>
      <c r="C2056" s="1" t="n">
        <v>45670</v>
      </c>
      <c r="D2056" t="inlineStr">
        <is>
          <t>VÄSTERNORRLANDS LÄN</t>
        </is>
      </c>
      <c r="E2056" t="inlineStr">
        <is>
          <t>SOLLEFTEÅ</t>
        </is>
      </c>
      <c r="F2056" t="inlineStr">
        <is>
          <t>SCA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27392-2023</t>
        </is>
      </c>
      <c r="B2057" s="1" t="n">
        <v>45097</v>
      </c>
      <c r="C2057" s="1" t="n">
        <v>45670</v>
      </c>
      <c r="D2057" t="inlineStr">
        <is>
          <t>VÄSTERNORRLANDS LÄN</t>
        </is>
      </c>
      <c r="E2057" t="inlineStr">
        <is>
          <t>SOLLEFTEÅ</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28653-2023</t>
        </is>
      </c>
      <c r="B2058" s="1" t="n">
        <v>45096</v>
      </c>
      <c r="C2058" s="1" t="n">
        <v>45670</v>
      </c>
      <c r="D2058" t="inlineStr">
        <is>
          <t>VÄSTERNORRLANDS LÄN</t>
        </is>
      </c>
      <c r="E2058" t="inlineStr">
        <is>
          <t>SOLLEFTEÅ</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27383-2023</t>
        </is>
      </c>
      <c r="B2059" s="1" t="n">
        <v>45097</v>
      </c>
      <c r="C2059" s="1" t="n">
        <v>45670</v>
      </c>
      <c r="D2059" t="inlineStr">
        <is>
          <t>VÄSTERNORRLANDS LÄN</t>
        </is>
      </c>
      <c r="E2059" t="inlineStr">
        <is>
          <t>SOLLEFTEÅ</t>
        </is>
      </c>
      <c r="F2059" t="inlineStr">
        <is>
          <t>SCA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27391-2023</t>
        </is>
      </c>
      <c r="B2060" s="1" t="n">
        <v>45097</v>
      </c>
      <c r="C2060" s="1" t="n">
        <v>45670</v>
      </c>
      <c r="D2060" t="inlineStr">
        <is>
          <t>VÄSTERNORRLANDS LÄN</t>
        </is>
      </c>
      <c r="E2060" t="inlineStr">
        <is>
          <t>SOLLEFTEÅ</t>
        </is>
      </c>
      <c r="F2060" t="inlineStr">
        <is>
          <t>SCA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27674-2023</t>
        </is>
      </c>
      <c r="B2061" s="1" t="n">
        <v>45097</v>
      </c>
      <c r="C2061" s="1" t="n">
        <v>45670</v>
      </c>
      <c r="D2061" t="inlineStr">
        <is>
          <t>VÄSTERNORRLANDS LÄN</t>
        </is>
      </c>
      <c r="E2061" t="inlineStr">
        <is>
          <t>SOLLEFTEÅ</t>
        </is>
      </c>
      <c r="G2061" t="n">
        <v>6.7</v>
      </c>
      <c r="H2061" t="n">
        <v>0</v>
      </c>
      <c r="I2061" t="n">
        <v>0</v>
      </c>
      <c r="J2061" t="n">
        <v>0</v>
      </c>
      <c r="K2061" t="n">
        <v>0</v>
      </c>
      <c r="L2061" t="n">
        <v>0</v>
      </c>
      <c r="M2061" t="n">
        <v>0</v>
      </c>
      <c r="N2061" t="n">
        <v>0</v>
      </c>
      <c r="O2061" t="n">
        <v>0</v>
      </c>
      <c r="P2061" t="n">
        <v>0</v>
      </c>
      <c r="Q2061" t="n">
        <v>0</v>
      </c>
      <c r="R2061" s="2" t="inlineStr"/>
    </row>
    <row r="2062" ht="15" customHeight="1">
      <c r="A2062" t="inlineStr">
        <is>
          <t>A 29210-2023</t>
        </is>
      </c>
      <c r="B2062" s="1" t="n">
        <v>45097</v>
      </c>
      <c r="C2062" s="1" t="n">
        <v>45670</v>
      </c>
      <c r="D2062" t="inlineStr">
        <is>
          <t>VÄSTERNORRLANDS LÄN</t>
        </is>
      </c>
      <c r="E2062" t="inlineStr">
        <is>
          <t>SOLLEFTEÅ</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29197-2023</t>
        </is>
      </c>
      <c r="B2063" s="1" t="n">
        <v>45097</v>
      </c>
      <c r="C2063" s="1" t="n">
        <v>45670</v>
      </c>
      <c r="D2063" t="inlineStr">
        <is>
          <t>VÄSTERNORRLANDS LÄN</t>
        </is>
      </c>
      <c r="E2063" t="inlineStr">
        <is>
          <t>SOLLEFTEÅ</t>
        </is>
      </c>
      <c r="G2063" t="n">
        <v>6.7</v>
      </c>
      <c r="H2063" t="n">
        <v>0</v>
      </c>
      <c r="I2063" t="n">
        <v>0</v>
      </c>
      <c r="J2063" t="n">
        <v>0</v>
      </c>
      <c r="K2063" t="n">
        <v>0</v>
      </c>
      <c r="L2063" t="n">
        <v>0</v>
      </c>
      <c r="M2063" t="n">
        <v>0</v>
      </c>
      <c r="N2063" t="n">
        <v>0</v>
      </c>
      <c r="O2063" t="n">
        <v>0</v>
      </c>
      <c r="P2063" t="n">
        <v>0</v>
      </c>
      <c r="Q2063" t="n">
        <v>0</v>
      </c>
      <c r="R2063" s="2" t="inlineStr"/>
    </row>
    <row r="2064" ht="15" customHeight="1">
      <c r="A2064" t="inlineStr">
        <is>
          <t>A 28384-2023</t>
        </is>
      </c>
      <c r="B2064" s="1" t="n">
        <v>45100</v>
      </c>
      <c r="C2064" s="1" t="n">
        <v>45670</v>
      </c>
      <c r="D2064" t="inlineStr">
        <is>
          <t>VÄSTERNORRLANDS LÄN</t>
        </is>
      </c>
      <c r="E2064" t="inlineStr">
        <is>
          <t>SOLLEFTEÅ</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28385-2023</t>
        </is>
      </c>
      <c r="B2065" s="1" t="n">
        <v>45099</v>
      </c>
      <c r="C2065" s="1" t="n">
        <v>45670</v>
      </c>
      <c r="D2065" t="inlineStr">
        <is>
          <t>VÄSTERNORRLANDS LÄN</t>
        </is>
      </c>
      <c r="E2065" t="inlineStr">
        <is>
          <t>SOLLEFTEÅ</t>
        </is>
      </c>
      <c r="F2065" t="inlineStr">
        <is>
          <t>SCA</t>
        </is>
      </c>
      <c r="G2065" t="n">
        <v>6.1</v>
      </c>
      <c r="H2065" t="n">
        <v>0</v>
      </c>
      <c r="I2065" t="n">
        <v>0</v>
      </c>
      <c r="J2065" t="n">
        <v>0</v>
      </c>
      <c r="K2065" t="n">
        <v>0</v>
      </c>
      <c r="L2065" t="n">
        <v>0</v>
      </c>
      <c r="M2065" t="n">
        <v>0</v>
      </c>
      <c r="N2065" t="n">
        <v>0</v>
      </c>
      <c r="O2065" t="n">
        <v>0</v>
      </c>
      <c r="P2065" t="n">
        <v>0</v>
      </c>
      <c r="Q2065" t="n">
        <v>0</v>
      </c>
      <c r="R2065" s="2" t="inlineStr"/>
    </row>
    <row r="2066" ht="15" customHeight="1">
      <c r="A2066" t="inlineStr">
        <is>
          <t>A 28374-2023</t>
        </is>
      </c>
      <c r="B2066" s="1" t="n">
        <v>45099</v>
      </c>
      <c r="C2066" s="1" t="n">
        <v>45670</v>
      </c>
      <c r="D2066" t="inlineStr">
        <is>
          <t>VÄSTERNORRLANDS LÄN</t>
        </is>
      </c>
      <c r="E2066" t="inlineStr">
        <is>
          <t>SOLLEFTEÅ</t>
        </is>
      </c>
      <c r="F2066" t="inlineStr">
        <is>
          <t>SCA</t>
        </is>
      </c>
      <c r="G2066" t="n">
        <v>9.300000000000001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28366-2023</t>
        </is>
      </c>
      <c r="B2067" s="1" t="n">
        <v>45099</v>
      </c>
      <c r="C2067" s="1" t="n">
        <v>45670</v>
      </c>
      <c r="D2067" t="inlineStr">
        <is>
          <t>VÄSTERNORRLANDS LÄN</t>
        </is>
      </c>
      <c r="E2067" t="inlineStr">
        <is>
          <t>SOLLEFTEÅ</t>
        </is>
      </c>
      <c r="F2067" t="inlineStr">
        <is>
          <t>SCA</t>
        </is>
      </c>
      <c r="G2067" t="n">
        <v>8.1</v>
      </c>
      <c r="H2067" t="n">
        <v>0</v>
      </c>
      <c r="I2067" t="n">
        <v>0</v>
      </c>
      <c r="J2067" t="n">
        <v>0</v>
      </c>
      <c r="K2067" t="n">
        <v>0</v>
      </c>
      <c r="L2067" t="n">
        <v>0</v>
      </c>
      <c r="M2067" t="n">
        <v>0</v>
      </c>
      <c r="N2067" t="n">
        <v>0</v>
      </c>
      <c r="O2067" t="n">
        <v>0</v>
      </c>
      <c r="P2067" t="n">
        <v>0</v>
      </c>
      <c r="Q2067" t="n">
        <v>0</v>
      </c>
      <c r="R2067" s="2" t="inlineStr"/>
    </row>
    <row r="2068" ht="15" customHeight="1">
      <c r="A2068" t="inlineStr">
        <is>
          <t>A 28383-2023</t>
        </is>
      </c>
      <c r="B2068" s="1" t="n">
        <v>45099</v>
      </c>
      <c r="C2068" s="1" t="n">
        <v>45670</v>
      </c>
      <c r="D2068" t="inlineStr">
        <is>
          <t>VÄSTERNORRLANDS LÄN</t>
        </is>
      </c>
      <c r="E2068" t="inlineStr">
        <is>
          <t>SOLLEFTEÅ</t>
        </is>
      </c>
      <c r="F2068" t="inlineStr">
        <is>
          <t>SCA</t>
        </is>
      </c>
      <c r="G2068" t="n">
        <v>20.6</v>
      </c>
      <c r="H2068" t="n">
        <v>0</v>
      </c>
      <c r="I2068" t="n">
        <v>0</v>
      </c>
      <c r="J2068" t="n">
        <v>0</v>
      </c>
      <c r="K2068" t="n">
        <v>0</v>
      </c>
      <c r="L2068" t="n">
        <v>0</v>
      </c>
      <c r="M2068" t="n">
        <v>0</v>
      </c>
      <c r="N2068" t="n">
        <v>0</v>
      </c>
      <c r="O2068" t="n">
        <v>0</v>
      </c>
      <c r="P2068" t="n">
        <v>0</v>
      </c>
      <c r="Q2068" t="n">
        <v>0</v>
      </c>
      <c r="R2068" s="2" t="inlineStr"/>
    </row>
    <row r="2069" ht="15" customHeight="1">
      <c r="A2069" t="inlineStr">
        <is>
          <t>A 28375-2023</t>
        </is>
      </c>
      <c r="B2069" s="1" t="n">
        <v>45100</v>
      </c>
      <c r="C2069" s="1" t="n">
        <v>45670</v>
      </c>
      <c r="D2069" t="inlineStr">
        <is>
          <t>VÄSTERNORRLANDS LÄN</t>
        </is>
      </c>
      <c r="E2069" t="inlineStr">
        <is>
          <t>SOLLEFTEÅ</t>
        </is>
      </c>
      <c r="F2069" t="inlineStr">
        <is>
          <t>SCA</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30163-2023</t>
        </is>
      </c>
      <c r="B2070" s="1" t="n">
        <v>45099</v>
      </c>
      <c r="C2070" s="1" t="n">
        <v>45670</v>
      </c>
      <c r="D2070" t="inlineStr">
        <is>
          <t>VÄSTERNORRLANDS LÄN</t>
        </is>
      </c>
      <c r="E2070" t="inlineStr">
        <is>
          <t>SOLLEFTEÅ</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28736-2023</t>
        </is>
      </c>
      <c r="B2071" s="1" t="n">
        <v>45104</v>
      </c>
      <c r="C2071" s="1" t="n">
        <v>45670</v>
      </c>
      <c r="D2071" t="inlineStr">
        <is>
          <t>VÄSTERNORRLANDS LÄN</t>
        </is>
      </c>
      <c r="E2071" t="inlineStr">
        <is>
          <t>SOLLEFTEÅ</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28749-2023</t>
        </is>
      </c>
      <c r="B2072" s="1" t="n">
        <v>45103</v>
      </c>
      <c r="C2072" s="1" t="n">
        <v>45670</v>
      </c>
      <c r="D2072" t="inlineStr">
        <is>
          <t>VÄSTERNORRLANDS LÄN</t>
        </is>
      </c>
      <c r="E2072" t="inlineStr">
        <is>
          <t>SOLLEFTEÅ</t>
        </is>
      </c>
      <c r="F2072" t="inlineStr">
        <is>
          <t>SCA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29065-2023</t>
        </is>
      </c>
      <c r="B2073" s="1" t="n">
        <v>45105</v>
      </c>
      <c r="C2073" s="1" t="n">
        <v>45670</v>
      </c>
      <c r="D2073" t="inlineStr">
        <is>
          <t>VÄSTERNORRLANDS LÄN</t>
        </is>
      </c>
      <c r="E2073" t="inlineStr">
        <is>
          <t>SOLLEFTEÅ</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29062-2023</t>
        </is>
      </c>
      <c r="B2074" s="1" t="n">
        <v>45104</v>
      </c>
      <c r="C2074" s="1" t="n">
        <v>45670</v>
      </c>
      <c r="D2074" t="inlineStr">
        <is>
          <t>VÄSTERNORRLANDS LÄN</t>
        </is>
      </c>
      <c r="E2074" t="inlineStr">
        <is>
          <t>SOLLEFTEÅ</t>
        </is>
      </c>
      <c r="F2074" t="inlineStr">
        <is>
          <t>SCA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29064-2023</t>
        </is>
      </c>
      <c r="B2075" s="1" t="n">
        <v>45105</v>
      </c>
      <c r="C2075" s="1" t="n">
        <v>45670</v>
      </c>
      <c r="D2075" t="inlineStr">
        <is>
          <t>VÄSTERNORRLANDS LÄN</t>
        </is>
      </c>
      <c r="E2075" t="inlineStr">
        <is>
          <t>SOLLEFTEÅ</t>
        </is>
      </c>
      <c r="F2075" t="inlineStr">
        <is>
          <t>SCA</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29070-2023</t>
        </is>
      </c>
      <c r="B2076" s="1" t="n">
        <v>45105</v>
      </c>
      <c r="C2076" s="1" t="n">
        <v>45670</v>
      </c>
      <c r="D2076" t="inlineStr">
        <is>
          <t>VÄSTERNORRLANDS LÄN</t>
        </is>
      </c>
      <c r="E2076" t="inlineStr">
        <is>
          <t>SOLLEFTEÅ</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29306-2023</t>
        </is>
      </c>
      <c r="B2077" s="1" t="n">
        <v>45106</v>
      </c>
      <c r="C2077" s="1" t="n">
        <v>45670</v>
      </c>
      <c r="D2077" t="inlineStr">
        <is>
          <t>VÄSTERNORRLANDS LÄN</t>
        </is>
      </c>
      <c r="E2077" t="inlineStr">
        <is>
          <t>SOLLEFTEÅ</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29337-2023</t>
        </is>
      </c>
      <c r="B2078" s="1" t="n">
        <v>45105</v>
      </c>
      <c r="C2078" s="1" t="n">
        <v>45670</v>
      </c>
      <c r="D2078" t="inlineStr">
        <is>
          <t>VÄSTERNORRLANDS LÄN</t>
        </is>
      </c>
      <c r="E2078" t="inlineStr">
        <is>
          <t>SOLLEFTEÅ</t>
        </is>
      </c>
      <c r="F2078" t="inlineStr">
        <is>
          <t>SCA</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29336-2023</t>
        </is>
      </c>
      <c r="B2079" s="1" t="n">
        <v>45105</v>
      </c>
      <c r="C2079" s="1" t="n">
        <v>45670</v>
      </c>
      <c r="D2079" t="inlineStr">
        <is>
          <t>VÄSTERNORRLANDS LÄN</t>
        </is>
      </c>
      <c r="E2079" t="inlineStr">
        <is>
          <t>SOLLEFTEÅ</t>
        </is>
      </c>
      <c r="F2079" t="inlineStr">
        <is>
          <t>SCA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29614-2023</t>
        </is>
      </c>
      <c r="B2080" s="1" t="n">
        <v>45107</v>
      </c>
      <c r="C2080" s="1" t="n">
        <v>45670</v>
      </c>
      <c r="D2080" t="inlineStr">
        <is>
          <t>VÄSTERNORRLANDS LÄN</t>
        </is>
      </c>
      <c r="E2080" t="inlineStr">
        <is>
          <t>SOLLEFTEÅ</t>
        </is>
      </c>
      <c r="F2080" t="inlineStr">
        <is>
          <t>SCA</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29446-2023</t>
        </is>
      </c>
      <c r="B2081" s="1" t="n">
        <v>45106</v>
      </c>
      <c r="C2081" s="1" t="n">
        <v>45670</v>
      </c>
      <c r="D2081" t="inlineStr">
        <is>
          <t>VÄSTERNORRLANDS LÄN</t>
        </is>
      </c>
      <c r="E2081" t="inlineStr">
        <is>
          <t>SOLLEFTEÅ</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29612-2023</t>
        </is>
      </c>
      <c r="B2082" s="1" t="n">
        <v>45106</v>
      </c>
      <c r="C2082" s="1" t="n">
        <v>45670</v>
      </c>
      <c r="D2082" t="inlineStr">
        <is>
          <t>VÄSTERNORRLANDS LÄN</t>
        </is>
      </c>
      <c r="E2082" t="inlineStr">
        <is>
          <t>SOLLEFTEÅ</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29619-2023</t>
        </is>
      </c>
      <c r="B2083" s="1" t="n">
        <v>45106</v>
      </c>
      <c r="C2083" s="1" t="n">
        <v>45670</v>
      </c>
      <c r="D2083" t="inlineStr">
        <is>
          <t>VÄSTERNORRLANDS LÄN</t>
        </is>
      </c>
      <c r="E2083" t="inlineStr">
        <is>
          <t>SOLLEFTEÅ</t>
        </is>
      </c>
      <c r="F2083" t="inlineStr">
        <is>
          <t>SCA</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29611-2023</t>
        </is>
      </c>
      <c r="B2084" s="1" t="n">
        <v>45106</v>
      </c>
      <c r="C2084" s="1" t="n">
        <v>45670</v>
      </c>
      <c r="D2084" t="inlineStr">
        <is>
          <t>VÄSTERNORRLANDS LÄN</t>
        </is>
      </c>
      <c r="E2084" t="inlineStr">
        <is>
          <t>SOLLEFTEÅ</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29832-2023</t>
        </is>
      </c>
      <c r="B2085" s="1" t="n">
        <v>45107</v>
      </c>
      <c r="C2085" s="1" t="n">
        <v>45670</v>
      </c>
      <c r="D2085" t="inlineStr">
        <is>
          <t>VÄSTERNORRLANDS LÄN</t>
        </is>
      </c>
      <c r="E2085" t="inlineStr">
        <is>
          <t>SOLLEFTEÅ</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29952-2023</t>
        </is>
      </c>
      <c r="B2086" s="1" t="n">
        <v>45107</v>
      </c>
      <c r="C2086" s="1" t="n">
        <v>45670</v>
      </c>
      <c r="D2086" t="inlineStr">
        <is>
          <t>VÄSTERNORRLANDS LÄN</t>
        </is>
      </c>
      <c r="E2086" t="inlineStr">
        <is>
          <t>SOLLEFTEÅ</t>
        </is>
      </c>
      <c r="F2086" t="inlineStr">
        <is>
          <t>SCA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29944-2023</t>
        </is>
      </c>
      <c r="B2087" s="1" t="n">
        <v>45108</v>
      </c>
      <c r="C2087" s="1" t="n">
        <v>45670</v>
      </c>
      <c r="D2087" t="inlineStr">
        <is>
          <t>VÄSTERNORRLANDS LÄN</t>
        </is>
      </c>
      <c r="E2087" t="inlineStr">
        <is>
          <t>SOLLEFTEÅ</t>
        </is>
      </c>
      <c r="F2087" t="inlineStr">
        <is>
          <t>SCA</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29956-2023</t>
        </is>
      </c>
      <c r="B2088" s="1" t="n">
        <v>45107</v>
      </c>
      <c r="C2088" s="1" t="n">
        <v>45670</v>
      </c>
      <c r="D2088" t="inlineStr">
        <is>
          <t>VÄSTERNORRLANDS LÄN</t>
        </is>
      </c>
      <c r="E2088" t="inlineStr">
        <is>
          <t>SOLLEFTEÅ</t>
        </is>
      </c>
      <c r="F2088" t="inlineStr">
        <is>
          <t>SCA</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29949-2023</t>
        </is>
      </c>
      <c r="B2089" s="1" t="n">
        <v>45107</v>
      </c>
      <c r="C2089" s="1" t="n">
        <v>45670</v>
      </c>
      <c r="D2089" t="inlineStr">
        <is>
          <t>VÄSTERNORRLANDS LÄN</t>
        </is>
      </c>
      <c r="E2089" t="inlineStr">
        <is>
          <t>SOLLEFTEÅ</t>
        </is>
      </c>
      <c r="F2089" t="inlineStr">
        <is>
          <t>SCA</t>
        </is>
      </c>
      <c r="G2089" t="n">
        <v>10.2</v>
      </c>
      <c r="H2089" t="n">
        <v>0</v>
      </c>
      <c r="I2089" t="n">
        <v>0</v>
      </c>
      <c r="J2089" t="n">
        <v>0</v>
      </c>
      <c r="K2089" t="n">
        <v>0</v>
      </c>
      <c r="L2089" t="n">
        <v>0</v>
      </c>
      <c r="M2089" t="n">
        <v>0</v>
      </c>
      <c r="N2089" t="n">
        <v>0</v>
      </c>
      <c r="O2089" t="n">
        <v>0</v>
      </c>
      <c r="P2089" t="n">
        <v>0</v>
      </c>
      <c r="Q2089" t="n">
        <v>0</v>
      </c>
      <c r="R2089" s="2" t="inlineStr"/>
    </row>
    <row r="2090" ht="15" customHeight="1">
      <c r="A2090" t="inlineStr">
        <is>
          <t>A 29957-2023</t>
        </is>
      </c>
      <c r="B2090" s="1" t="n">
        <v>45107</v>
      </c>
      <c r="C2090" s="1" t="n">
        <v>45670</v>
      </c>
      <c r="D2090" t="inlineStr">
        <is>
          <t>VÄSTERNORRLANDS LÄN</t>
        </is>
      </c>
      <c r="E2090" t="inlineStr">
        <is>
          <t>SOLLEFTEÅ</t>
        </is>
      </c>
      <c r="F2090" t="inlineStr">
        <is>
          <t>SCA</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29946-2023</t>
        </is>
      </c>
      <c r="B2091" s="1" t="n">
        <v>45108</v>
      </c>
      <c r="C2091" s="1" t="n">
        <v>45670</v>
      </c>
      <c r="D2091" t="inlineStr">
        <is>
          <t>VÄSTERNORRLANDS LÄN</t>
        </is>
      </c>
      <c r="E2091" t="inlineStr">
        <is>
          <t>SOLLEFTEÅ</t>
        </is>
      </c>
      <c r="F2091" t="inlineStr">
        <is>
          <t>SCA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29964-2023</t>
        </is>
      </c>
      <c r="B2092" s="1" t="n">
        <v>45108</v>
      </c>
      <c r="C2092" s="1" t="n">
        <v>45670</v>
      </c>
      <c r="D2092" t="inlineStr">
        <is>
          <t>VÄSTERNORRLANDS LÄN</t>
        </is>
      </c>
      <c r="E2092" t="inlineStr">
        <is>
          <t>SOLLEFTEÅ</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30295-2023</t>
        </is>
      </c>
      <c r="B2093" s="1" t="n">
        <v>45110</v>
      </c>
      <c r="C2093" s="1" t="n">
        <v>45670</v>
      </c>
      <c r="D2093" t="inlineStr">
        <is>
          <t>VÄSTERNORRLANDS LÄN</t>
        </is>
      </c>
      <c r="E2093" t="inlineStr">
        <is>
          <t>SOLLEFTEÅ</t>
        </is>
      </c>
      <c r="F2093" t="inlineStr">
        <is>
          <t>SCA</t>
        </is>
      </c>
      <c r="G2093" t="n">
        <v>8.6</v>
      </c>
      <c r="H2093" t="n">
        <v>0</v>
      </c>
      <c r="I2093" t="n">
        <v>0</v>
      </c>
      <c r="J2093" t="n">
        <v>0</v>
      </c>
      <c r="K2093" t="n">
        <v>0</v>
      </c>
      <c r="L2093" t="n">
        <v>0</v>
      </c>
      <c r="M2093" t="n">
        <v>0</v>
      </c>
      <c r="N2093" t="n">
        <v>0</v>
      </c>
      <c r="O2093" t="n">
        <v>0</v>
      </c>
      <c r="P2093" t="n">
        <v>0</v>
      </c>
      <c r="Q2093" t="n">
        <v>0</v>
      </c>
      <c r="R2093" s="2" t="inlineStr"/>
    </row>
    <row r="2094" ht="15" customHeight="1">
      <c r="A2094" t="inlineStr">
        <is>
          <t>A 30567-2023</t>
        </is>
      </c>
      <c r="B2094" s="1" t="n">
        <v>45112</v>
      </c>
      <c r="C2094" s="1" t="n">
        <v>45670</v>
      </c>
      <c r="D2094" t="inlineStr">
        <is>
          <t>VÄSTERNORRLANDS LÄN</t>
        </is>
      </c>
      <c r="E2094" t="inlineStr">
        <is>
          <t>SOLLEFTEÅ</t>
        </is>
      </c>
      <c r="F2094" t="inlineStr">
        <is>
          <t>SCA</t>
        </is>
      </c>
      <c r="G2094" t="n">
        <v>7.9</v>
      </c>
      <c r="H2094" t="n">
        <v>0</v>
      </c>
      <c r="I2094" t="n">
        <v>0</v>
      </c>
      <c r="J2094" t="n">
        <v>0</v>
      </c>
      <c r="K2094" t="n">
        <v>0</v>
      </c>
      <c r="L2094" t="n">
        <v>0</v>
      </c>
      <c r="M2094" t="n">
        <v>0</v>
      </c>
      <c r="N2094" t="n">
        <v>0</v>
      </c>
      <c r="O2094" t="n">
        <v>0</v>
      </c>
      <c r="P2094" t="n">
        <v>0</v>
      </c>
      <c r="Q2094" t="n">
        <v>0</v>
      </c>
      <c r="R2094" s="2" t="inlineStr"/>
    </row>
    <row r="2095" ht="15" customHeight="1">
      <c r="A2095" t="inlineStr">
        <is>
          <t>A 30822-2023</t>
        </is>
      </c>
      <c r="B2095" s="1" t="n">
        <v>45113</v>
      </c>
      <c r="C2095" s="1" t="n">
        <v>45670</v>
      </c>
      <c r="D2095" t="inlineStr">
        <is>
          <t>VÄSTERNORRLANDS LÄN</t>
        </is>
      </c>
      <c r="E2095" t="inlineStr">
        <is>
          <t>SOLLEFTEÅ</t>
        </is>
      </c>
      <c r="F2095" t="inlineStr">
        <is>
          <t>SCA</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30829-2023</t>
        </is>
      </c>
      <c r="B2096" s="1" t="n">
        <v>45113</v>
      </c>
      <c r="C2096" s="1" t="n">
        <v>45670</v>
      </c>
      <c r="D2096" t="inlineStr">
        <is>
          <t>VÄSTERNORRLANDS LÄN</t>
        </is>
      </c>
      <c r="E2096" t="inlineStr">
        <is>
          <t>SOLLEFTEÅ</t>
        </is>
      </c>
      <c r="F2096" t="inlineStr">
        <is>
          <t>SCA</t>
        </is>
      </c>
      <c r="G2096" t="n">
        <v>10.1</v>
      </c>
      <c r="H2096" t="n">
        <v>0</v>
      </c>
      <c r="I2096" t="n">
        <v>0</v>
      </c>
      <c r="J2096" t="n">
        <v>0</v>
      </c>
      <c r="K2096" t="n">
        <v>0</v>
      </c>
      <c r="L2096" t="n">
        <v>0</v>
      </c>
      <c r="M2096" t="n">
        <v>0</v>
      </c>
      <c r="N2096" t="n">
        <v>0</v>
      </c>
      <c r="O2096" t="n">
        <v>0</v>
      </c>
      <c r="P2096" t="n">
        <v>0</v>
      </c>
      <c r="Q2096" t="n">
        <v>0</v>
      </c>
      <c r="R2096" s="2" t="inlineStr"/>
    </row>
    <row r="2097" ht="15" customHeight="1">
      <c r="A2097" t="inlineStr">
        <is>
          <t>A 31177-2023</t>
        </is>
      </c>
      <c r="B2097" s="1" t="n">
        <v>45113</v>
      </c>
      <c r="C2097" s="1" t="n">
        <v>45670</v>
      </c>
      <c r="D2097" t="inlineStr">
        <is>
          <t>VÄSTERNORRLANDS LÄN</t>
        </is>
      </c>
      <c r="E2097" t="inlineStr">
        <is>
          <t>SOLLEFTEÅ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31179-2023</t>
        </is>
      </c>
      <c r="B2098" s="1" t="n">
        <v>45114</v>
      </c>
      <c r="C2098" s="1" t="n">
        <v>45670</v>
      </c>
      <c r="D2098" t="inlineStr">
        <is>
          <t>VÄSTERNORRLANDS LÄN</t>
        </is>
      </c>
      <c r="E2098" t="inlineStr">
        <is>
          <t>SOLLEFTEÅ</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31178-2023</t>
        </is>
      </c>
      <c r="B2099" s="1" t="n">
        <v>45114</v>
      </c>
      <c r="C2099" s="1" t="n">
        <v>45670</v>
      </c>
      <c r="D2099" t="inlineStr">
        <is>
          <t>VÄSTERNORRLANDS LÄN</t>
        </is>
      </c>
      <c r="E2099" t="inlineStr">
        <is>
          <t>SOLLEFTEÅ</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31387-2023</t>
        </is>
      </c>
      <c r="B2100" s="1" t="n">
        <v>45114</v>
      </c>
      <c r="C2100" s="1" t="n">
        <v>45670</v>
      </c>
      <c r="D2100" t="inlineStr">
        <is>
          <t>VÄSTERNORRLANDS LÄN</t>
        </is>
      </c>
      <c r="E2100" t="inlineStr">
        <is>
          <t>SOLLEFTEÅ</t>
        </is>
      </c>
      <c r="F2100" t="inlineStr">
        <is>
          <t>Övriga statliga verk och myndigheter</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33203-2023</t>
        </is>
      </c>
      <c r="B2101" s="1" t="n">
        <v>45114</v>
      </c>
      <c r="C2101" s="1" t="n">
        <v>45670</v>
      </c>
      <c r="D2101" t="inlineStr">
        <is>
          <t>VÄSTERNORRLANDS LÄN</t>
        </is>
      </c>
      <c r="E2101" t="inlineStr">
        <is>
          <t>SOLLEFTEÅ</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31913-2023</t>
        </is>
      </c>
      <c r="B2102" s="1" t="n">
        <v>45118</v>
      </c>
      <c r="C2102" s="1" t="n">
        <v>45670</v>
      </c>
      <c r="D2102" t="inlineStr">
        <is>
          <t>VÄSTERNORRLANDS LÄN</t>
        </is>
      </c>
      <c r="E2102" t="inlineStr">
        <is>
          <t>SOLLEFTEÅ</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31917-2023</t>
        </is>
      </c>
      <c r="B2103" s="1" t="n">
        <v>45119</v>
      </c>
      <c r="C2103" s="1" t="n">
        <v>45670</v>
      </c>
      <c r="D2103" t="inlineStr">
        <is>
          <t>VÄSTERNORRLANDS LÄN</t>
        </is>
      </c>
      <c r="E2103" t="inlineStr">
        <is>
          <t>SOLLEFTEÅ</t>
        </is>
      </c>
      <c r="F2103" t="inlineStr">
        <is>
          <t>SCA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31915-2023</t>
        </is>
      </c>
      <c r="B2104" s="1" t="n">
        <v>45119</v>
      </c>
      <c r="C2104" s="1" t="n">
        <v>45670</v>
      </c>
      <c r="D2104" t="inlineStr">
        <is>
          <t>VÄSTERNORRLANDS LÄN</t>
        </is>
      </c>
      <c r="E2104" t="inlineStr">
        <is>
          <t>SOLLEFTEÅ</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31919-2023</t>
        </is>
      </c>
      <c r="B2105" s="1" t="n">
        <v>45118</v>
      </c>
      <c r="C2105" s="1" t="n">
        <v>45670</v>
      </c>
      <c r="D2105" t="inlineStr">
        <is>
          <t>VÄSTERNORRLANDS LÄN</t>
        </is>
      </c>
      <c r="E2105" t="inlineStr">
        <is>
          <t>SOLLEFTEÅ</t>
        </is>
      </c>
      <c r="F2105" t="inlineStr">
        <is>
          <t>SCA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31923-2023</t>
        </is>
      </c>
      <c r="B2106" s="1" t="n">
        <v>45118</v>
      </c>
      <c r="C2106" s="1" t="n">
        <v>45670</v>
      </c>
      <c r="D2106" t="inlineStr">
        <is>
          <t>VÄSTERNORRLANDS LÄN</t>
        </is>
      </c>
      <c r="E2106" t="inlineStr">
        <is>
          <t>SOLLEFTEÅ</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31914-2023</t>
        </is>
      </c>
      <c r="B2107" s="1" t="n">
        <v>45118</v>
      </c>
      <c r="C2107" s="1" t="n">
        <v>45670</v>
      </c>
      <c r="D2107" t="inlineStr">
        <is>
          <t>VÄSTERNORRLANDS LÄN</t>
        </is>
      </c>
      <c r="E2107" t="inlineStr">
        <is>
          <t>SOLLEFTEÅ</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31918-2023</t>
        </is>
      </c>
      <c r="B2108" s="1" t="n">
        <v>45118</v>
      </c>
      <c r="C2108" s="1" t="n">
        <v>45670</v>
      </c>
      <c r="D2108" t="inlineStr">
        <is>
          <t>VÄSTERNORRLANDS LÄN</t>
        </is>
      </c>
      <c r="E2108" t="inlineStr">
        <is>
          <t>SOLLEFTEÅ</t>
        </is>
      </c>
      <c r="F2108" t="inlineStr">
        <is>
          <t>SCA</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31922-2023</t>
        </is>
      </c>
      <c r="B2109" s="1" t="n">
        <v>45119</v>
      </c>
      <c r="C2109" s="1" t="n">
        <v>45670</v>
      </c>
      <c r="D2109" t="inlineStr">
        <is>
          <t>VÄSTERNORRLANDS LÄN</t>
        </is>
      </c>
      <c r="E2109" t="inlineStr">
        <is>
          <t>SOLLEFTEÅ</t>
        </is>
      </c>
      <c r="F2109" t="inlineStr">
        <is>
          <t>SCA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31916-2023</t>
        </is>
      </c>
      <c r="B2110" s="1" t="n">
        <v>45119</v>
      </c>
      <c r="C2110" s="1" t="n">
        <v>45670</v>
      </c>
      <c r="D2110" t="inlineStr">
        <is>
          <t>VÄSTERNORRLANDS LÄN</t>
        </is>
      </c>
      <c r="E2110" t="inlineStr">
        <is>
          <t>SOLLEFTEÅ</t>
        </is>
      </c>
      <c r="F2110" t="inlineStr">
        <is>
          <t>SCA</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31924-2023</t>
        </is>
      </c>
      <c r="B2111" s="1" t="n">
        <v>45118</v>
      </c>
      <c r="C2111" s="1" t="n">
        <v>45670</v>
      </c>
      <c r="D2111" t="inlineStr">
        <is>
          <t>VÄSTERNORRLANDS LÄN</t>
        </is>
      </c>
      <c r="E2111" t="inlineStr">
        <is>
          <t>SOLLEFTEÅ</t>
        </is>
      </c>
      <c r="F2111" t="inlineStr">
        <is>
          <t>SCA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31921-2023</t>
        </is>
      </c>
      <c r="B2112" s="1" t="n">
        <v>45119</v>
      </c>
      <c r="C2112" s="1" t="n">
        <v>45670</v>
      </c>
      <c r="D2112" t="inlineStr">
        <is>
          <t>VÄSTERNORRLANDS LÄN</t>
        </is>
      </c>
      <c r="E2112" t="inlineStr">
        <is>
          <t>SOLLEFTEÅ</t>
        </is>
      </c>
      <c r="F2112" t="inlineStr">
        <is>
          <t>SCA</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31925-2023</t>
        </is>
      </c>
      <c r="B2113" s="1" t="n">
        <v>45118</v>
      </c>
      <c r="C2113" s="1" t="n">
        <v>45670</v>
      </c>
      <c r="D2113" t="inlineStr">
        <is>
          <t>VÄSTERNORRLANDS LÄN</t>
        </is>
      </c>
      <c r="E2113" t="inlineStr">
        <is>
          <t>SOLLEFTEÅ</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33642-2023</t>
        </is>
      </c>
      <c r="B2114" s="1" t="n">
        <v>45119</v>
      </c>
      <c r="C2114" s="1" t="n">
        <v>45670</v>
      </c>
      <c r="D2114" t="inlineStr">
        <is>
          <t>VÄSTERNORRLANDS LÄN</t>
        </is>
      </c>
      <c r="E2114" t="inlineStr">
        <is>
          <t>SOLLEFTEÅ</t>
        </is>
      </c>
      <c r="F2114" t="inlineStr">
        <is>
          <t>SCA</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32466-2023</t>
        </is>
      </c>
      <c r="B2115" s="1" t="n">
        <v>45120</v>
      </c>
      <c r="C2115" s="1" t="n">
        <v>45670</v>
      </c>
      <c r="D2115" t="inlineStr">
        <is>
          <t>VÄSTERNORRLANDS LÄN</t>
        </is>
      </c>
      <c r="E2115" t="inlineStr">
        <is>
          <t>SOLLEFTEÅ</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32726-2023</t>
        </is>
      </c>
      <c r="B2116" s="1" t="n">
        <v>45121</v>
      </c>
      <c r="C2116" s="1" t="n">
        <v>45670</v>
      </c>
      <c r="D2116" t="inlineStr">
        <is>
          <t>VÄSTERNORRLANDS LÄN</t>
        </is>
      </c>
      <c r="E2116" t="inlineStr">
        <is>
          <t>SOLLEFTEÅ</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32728-2023</t>
        </is>
      </c>
      <c r="B2117" s="1" t="n">
        <v>45121</v>
      </c>
      <c r="C2117" s="1" t="n">
        <v>45670</v>
      </c>
      <c r="D2117" t="inlineStr">
        <is>
          <t>VÄSTERNORRLANDS LÄN</t>
        </is>
      </c>
      <c r="E2117" t="inlineStr">
        <is>
          <t>SOLLEFTEÅ</t>
        </is>
      </c>
      <c r="F2117" t="inlineStr">
        <is>
          <t>SCA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32733-2023</t>
        </is>
      </c>
      <c r="B2118" s="1" t="n">
        <v>45121</v>
      </c>
      <c r="C2118" s="1" t="n">
        <v>45670</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32727-2023</t>
        </is>
      </c>
      <c r="B2119" s="1" t="n">
        <v>45121</v>
      </c>
      <c r="C2119" s="1" t="n">
        <v>45670</v>
      </c>
      <c r="D2119" t="inlineStr">
        <is>
          <t>VÄSTERNORRLANDS LÄN</t>
        </is>
      </c>
      <c r="E2119" t="inlineStr">
        <is>
          <t>SOLLEFTEÅ</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32735-2023</t>
        </is>
      </c>
      <c r="B2120" s="1" t="n">
        <v>45121</v>
      </c>
      <c r="C2120" s="1" t="n">
        <v>45670</v>
      </c>
      <c r="D2120" t="inlineStr">
        <is>
          <t>VÄSTERNORRLANDS LÄN</t>
        </is>
      </c>
      <c r="E2120" t="inlineStr">
        <is>
          <t>SOLLEFTEÅ</t>
        </is>
      </c>
      <c r="F2120" t="inlineStr">
        <is>
          <t>SCA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32780-2023</t>
        </is>
      </c>
      <c r="B2121" s="1" t="n">
        <v>45123</v>
      </c>
      <c r="C2121" s="1" t="n">
        <v>45670</v>
      </c>
      <c r="D2121" t="inlineStr">
        <is>
          <t>VÄSTERNORRLANDS LÄN</t>
        </is>
      </c>
      <c r="E2121" t="inlineStr">
        <is>
          <t>SOLLEFTEÅ</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33964-2023</t>
        </is>
      </c>
      <c r="B2122" s="1" t="n">
        <v>45124</v>
      </c>
      <c r="C2122" s="1" t="n">
        <v>45670</v>
      </c>
      <c r="D2122" t="inlineStr">
        <is>
          <t>VÄSTERNORRLANDS LÄN</t>
        </is>
      </c>
      <c r="E2122" t="inlineStr">
        <is>
          <t>SOLLEFTEÅ</t>
        </is>
      </c>
      <c r="F2122" t="inlineStr">
        <is>
          <t>SCA</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33037-2023</t>
        </is>
      </c>
      <c r="B2123" s="1" t="n">
        <v>45126</v>
      </c>
      <c r="C2123" s="1" t="n">
        <v>45670</v>
      </c>
      <c r="D2123" t="inlineStr">
        <is>
          <t>VÄSTERNORRLANDS LÄN</t>
        </is>
      </c>
      <c r="E2123" t="inlineStr">
        <is>
          <t>SOLLEFTEÅ</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34100-2023</t>
        </is>
      </c>
      <c r="B2124" s="1" t="n">
        <v>45125</v>
      </c>
      <c r="C2124" s="1" t="n">
        <v>45670</v>
      </c>
      <c r="D2124" t="inlineStr">
        <is>
          <t>VÄSTERNORRLANDS LÄN</t>
        </is>
      </c>
      <c r="E2124" t="inlineStr">
        <is>
          <t>SOLLEFTEÅ</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33175-2023</t>
        </is>
      </c>
      <c r="B2125" s="1" t="n">
        <v>45126</v>
      </c>
      <c r="C2125" s="1" t="n">
        <v>45670</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33328-2023</t>
        </is>
      </c>
      <c r="B2126" s="1" t="n">
        <v>45127</v>
      </c>
      <c r="C2126" s="1" t="n">
        <v>45670</v>
      </c>
      <c r="D2126" t="inlineStr">
        <is>
          <t>VÄSTERNORRLANDS LÄN</t>
        </is>
      </c>
      <c r="E2126" t="inlineStr">
        <is>
          <t>SOLLEFTEÅ</t>
        </is>
      </c>
      <c r="F2126" t="inlineStr">
        <is>
          <t>SCA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34284-2023</t>
        </is>
      </c>
      <c r="B2127" s="1" t="n">
        <v>45128</v>
      </c>
      <c r="C2127" s="1" t="n">
        <v>45670</v>
      </c>
      <c r="D2127" t="inlineStr">
        <is>
          <t>VÄSTERNORRLANDS LÄN</t>
        </is>
      </c>
      <c r="E2127" t="inlineStr">
        <is>
          <t>SOLLEFTEÅ</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33591-2023</t>
        </is>
      </c>
      <c r="B2128" s="1" t="n">
        <v>45131</v>
      </c>
      <c r="C2128" s="1" t="n">
        <v>45670</v>
      </c>
      <c r="D2128" t="inlineStr">
        <is>
          <t>VÄSTERNORRLANDS LÄN</t>
        </is>
      </c>
      <c r="E2128" t="inlineStr">
        <is>
          <t>SOLLEFTEÅ</t>
        </is>
      </c>
      <c r="F2128" t="inlineStr">
        <is>
          <t>SCA</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33709-2023</t>
        </is>
      </c>
      <c r="B2129" s="1" t="n">
        <v>45133</v>
      </c>
      <c r="C2129" s="1" t="n">
        <v>45670</v>
      </c>
      <c r="D2129" t="inlineStr">
        <is>
          <t>VÄSTERNORRLANDS LÄN</t>
        </is>
      </c>
      <c r="E2129" t="inlineStr">
        <is>
          <t>SOLLEFTEÅ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33713-2023</t>
        </is>
      </c>
      <c r="B2130" s="1" t="n">
        <v>45133</v>
      </c>
      <c r="C2130" s="1" t="n">
        <v>45670</v>
      </c>
      <c r="D2130" t="inlineStr">
        <is>
          <t>VÄSTERNORRLANDS LÄN</t>
        </is>
      </c>
      <c r="E2130" t="inlineStr">
        <is>
          <t>SOLLEFTEÅ</t>
        </is>
      </c>
      <c r="F2130" t="inlineStr">
        <is>
          <t>SCA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33999-2023</t>
        </is>
      </c>
      <c r="B2131" s="1" t="n">
        <v>45134</v>
      </c>
      <c r="C2131" s="1" t="n">
        <v>45670</v>
      </c>
      <c r="D2131" t="inlineStr">
        <is>
          <t>VÄSTERNORRLANDS LÄN</t>
        </is>
      </c>
      <c r="E2131" t="inlineStr">
        <is>
          <t>SOLLEFTEÅ</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34309-2023</t>
        </is>
      </c>
      <c r="B2132" s="1" t="n">
        <v>45139</v>
      </c>
      <c r="C2132" s="1" t="n">
        <v>45670</v>
      </c>
      <c r="D2132" t="inlineStr">
        <is>
          <t>VÄSTERNORRLANDS LÄN</t>
        </is>
      </c>
      <c r="E2132" t="inlineStr">
        <is>
          <t>SOLLEFTEÅ</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34306-2023</t>
        </is>
      </c>
      <c r="B2133" s="1" t="n">
        <v>45138</v>
      </c>
      <c r="C2133" s="1" t="n">
        <v>45670</v>
      </c>
      <c r="D2133" t="inlineStr">
        <is>
          <t>VÄSTERNORRLANDS LÄN</t>
        </is>
      </c>
      <c r="E2133" t="inlineStr">
        <is>
          <t>SOLLEFTEÅ</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34310-2023</t>
        </is>
      </c>
      <c r="B2134" s="1" t="n">
        <v>45139</v>
      </c>
      <c r="C2134" s="1" t="n">
        <v>45670</v>
      </c>
      <c r="D2134" t="inlineStr">
        <is>
          <t>VÄSTERNORRLANDS LÄN</t>
        </is>
      </c>
      <c r="E2134" t="inlineStr">
        <is>
          <t>SOLLEFTEÅ</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34308-2023</t>
        </is>
      </c>
      <c r="B2135" s="1" t="n">
        <v>45138</v>
      </c>
      <c r="C2135" s="1" t="n">
        <v>45670</v>
      </c>
      <c r="D2135" t="inlineStr">
        <is>
          <t>VÄSTERNORRLANDS LÄN</t>
        </is>
      </c>
      <c r="E2135" t="inlineStr">
        <is>
          <t>SOLLEFTEÅ</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34329-2023</t>
        </is>
      </c>
      <c r="B2136" s="1" t="n">
        <v>45139</v>
      </c>
      <c r="C2136" s="1" t="n">
        <v>45670</v>
      </c>
      <c r="D2136" t="inlineStr">
        <is>
          <t>VÄSTERNORRLANDS LÄN</t>
        </is>
      </c>
      <c r="E2136" t="inlineStr">
        <is>
          <t>SOLLEFTEÅ</t>
        </is>
      </c>
      <c r="F2136" t="inlineStr">
        <is>
          <t>SCA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34330-2023</t>
        </is>
      </c>
      <c r="B2137" s="1" t="n">
        <v>45138</v>
      </c>
      <c r="C2137" s="1" t="n">
        <v>45670</v>
      </c>
      <c r="D2137" t="inlineStr">
        <is>
          <t>VÄSTERNORRLANDS LÄN</t>
        </is>
      </c>
      <c r="E2137" t="inlineStr">
        <is>
          <t>SOLLEFTEÅ</t>
        </is>
      </c>
      <c r="F2137" t="inlineStr">
        <is>
          <t>SCA</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34328-2023</t>
        </is>
      </c>
      <c r="B2138" s="1" t="n">
        <v>45139</v>
      </c>
      <c r="C2138" s="1" t="n">
        <v>45670</v>
      </c>
      <c r="D2138" t="inlineStr">
        <is>
          <t>VÄSTERNORRLANDS LÄN</t>
        </is>
      </c>
      <c r="E2138" t="inlineStr">
        <is>
          <t>SOLLEFTEÅ</t>
        </is>
      </c>
      <c r="F2138" t="inlineStr">
        <is>
          <t>SCA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34307-2023</t>
        </is>
      </c>
      <c r="B2139" s="1" t="n">
        <v>45138</v>
      </c>
      <c r="C2139" s="1" t="n">
        <v>45670</v>
      </c>
      <c r="D2139" t="inlineStr">
        <is>
          <t>VÄSTERNORRLANDS LÄN</t>
        </is>
      </c>
      <c r="E2139" t="inlineStr">
        <is>
          <t>SOLLEFTEÅ</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34311-2023</t>
        </is>
      </c>
      <c r="B2140" s="1" t="n">
        <v>45139</v>
      </c>
      <c r="C2140" s="1" t="n">
        <v>45670</v>
      </c>
      <c r="D2140" t="inlineStr">
        <is>
          <t>VÄSTERNORRLANDS LÄN</t>
        </is>
      </c>
      <c r="E2140" t="inlineStr">
        <is>
          <t>SOLLEFTEÅ</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34327-2023</t>
        </is>
      </c>
      <c r="B2141" s="1" t="n">
        <v>45139</v>
      </c>
      <c r="C2141" s="1" t="n">
        <v>45670</v>
      </c>
      <c r="D2141" t="inlineStr">
        <is>
          <t>VÄSTERNORRLANDS LÄN</t>
        </is>
      </c>
      <c r="E2141" t="inlineStr">
        <is>
          <t>SOLLEFTEÅ</t>
        </is>
      </c>
      <c r="F2141" t="inlineStr">
        <is>
          <t>SCA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34487-2023</t>
        </is>
      </c>
      <c r="B2142" s="1" t="n">
        <v>45140</v>
      </c>
      <c r="C2142" s="1" t="n">
        <v>45670</v>
      </c>
      <c r="D2142" t="inlineStr">
        <is>
          <t>VÄSTERNORRLANDS LÄN</t>
        </is>
      </c>
      <c r="E2142" t="inlineStr">
        <is>
          <t>SOLLEFTEÅ</t>
        </is>
      </c>
      <c r="F2142" t="inlineStr">
        <is>
          <t>SCA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34741-2023</t>
        </is>
      </c>
      <c r="B2143" s="1" t="n">
        <v>45139</v>
      </c>
      <c r="C2143" s="1" t="n">
        <v>45670</v>
      </c>
      <c r="D2143" t="inlineStr">
        <is>
          <t>VÄSTERNORRLANDS LÄN</t>
        </is>
      </c>
      <c r="E2143" t="inlineStr">
        <is>
          <t>SOLLEFTEÅ</t>
        </is>
      </c>
      <c r="F2143" t="inlineStr">
        <is>
          <t>SCA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34737-2023</t>
        </is>
      </c>
      <c r="B2144" s="1" t="n">
        <v>45139</v>
      </c>
      <c r="C2144" s="1" t="n">
        <v>45670</v>
      </c>
      <c r="D2144" t="inlineStr">
        <is>
          <t>VÄSTERNORRLANDS LÄN</t>
        </is>
      </c>
      <c r="E2144" t="inlineStr">
        <is>
          <t>SOLLEFTEÅ</t>
        </is>
      </c>
      <c r="F2144" t="inlineStr">
        <is>
          <t>SCA</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34687-2023</t>
        </is>
      </c>
      <c r="B2145" s="1" t="n">
        <v>45141</v>
      </c>
      <c r="C2145" s="1" t="n">
        <v>45670</v>
      </c>
      <c r="D2145" t="inlineStr">
        <is>
          <t>VÄSTERNORRLANDS LÄN</t>
        </is>
      </c>
      <c r="E2145" t="inlineStr">
        <is>
          <t>SOLLEFTEÅ</t>
        </is>
      </c>
      <c r="F2145" t="inlineStr">
        <is>
          <t>SCA</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34686-2023</t>
        </is>
      </c>
      <c r="B2146" s="1" t="n">
        <v>45141</v>
      </c>
      <c r="C2146" s="1" t="n">
        <v>45670</v>
      </c>
      <c r="D2146" t="inlineStr">
        <is>
          <t>VÄSTERNORRLANDS LÄN</t>
        </is>
      </c>
      <c r="E2146" t="inlineStr">
        <is>
          <t>SOLLEFTEÅ</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34696-2023</t>
        </is>
      </c>
      <c r="B2147" s="1" t="n">
        <v>45141</v>
      </c>
      <c r="C2147" s="1" t="n">
        <v>45670</v>
      </c>
      <c r="D2147" t="inlineStr">
        <is>
          <t>VÄSTERNORRLANDS LÄN</t>
        </is>
      </c>
      <c r="E2147" t="inlineStr">
        <is>
          <t>SOLLEFTEÅ</t>
        </is>
      </c>
      <c r="F2147" t="inlineStr">
        <is>
          <t>SCA</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34983-2023</t>
        </is>
      </c>
      <c r="B2148" s="1" t="n">
        <v>45141</v>
      </c>
      <c r="C2148" s="1" t="n">
        <v>45670</v>
      </c>
      <c r="D2148" t="inlineStr">
        <is>
          <t>VÄSTERNORRLANDS LÄN</t>
        </is>
      </c>
      <c r="E2148" t="inlineStr">
        <is>
          <t>SOLLEFTEÅ</t>
        </is>
      </c>
      <c r="F2148" t="inlineStr">
        <is>
          <t>SCA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34848-2023</t>
        </is>
      </c>
      <c r="B2149" s="1" t="n">
        <v>45142</v>
      </c>
      <c r="C2149" s="1" t="n">
        <v>45670</v>
      </c>
      <c r="D2149" t="inlineStr">
        <is>
          <t>VÄSTERNORRLANDS LÄN</t>
        </is>
      </c>
      <c r="E2149" t="inlineStr">
        <is>
          <t>SOLLEFTEÅ</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35147-2023</t>
        </is>
      </c>
      <c r="B2150" s="1" t="n">
        <v>45142</v>
      </c>
      <c r="C2150" s="1" t="n">
        <v>45670</v>
      </c>
      <c r="D2150" t="inlineStr">
        <is>
          <t>VÄSTERNORRLANDS LÄN</t>
        </is>
      </c>
      <c r="E2150" t="inlineStr">
        <is>
          <t>SOLLEFTEÅ</t>
        </is>
      </c>
      <c r="F2150" t="inlineStr">
        <is>
          <t>SCA</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35276-2023</t>
        </is>
      </c>
      <c r="B2151" s="1" t="n">
        <v>45146</v>
      </c>
      <c r="C2151" s="1" t="n">
        <v>45670</v>
      </c>
      <c r="D2151" t="inlineStr">
        <is>
          <t>VÄSTERNORRLANDS LÄN</t>
        </is>
      </c>
      <c r="E2151" t="inlineStr">
        <is>
          <t>SOLLEFTEÅ</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35277-2023</t>
        </is>
      </c>
      <c r="B2152" s="1" t="n">
        <v>45145</v>
      </c>
      <c r="C2152" s="1" t="n">
        <v>45670</v>
      </c>
      <c r="D2152" t="inlineStr">
        <is>
          <t>VÄSTERNORRLANDS LÄN</t>
        </is>
      </c>
      <c r="E2152" t="inlineStr">
        <is>
          <t>SOLLEFTEÅ</t>
        </is>
      </c>
      <c r="F2152" t="inlineStr">
        <is>
          <t>SCA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35352-2023</t>
        </is>
      </c>
      <c r="B2153" s="1" t="n">
        <v>45145</v>
      </c>
      <c r="C2153" s="1" t="n">
        <v>45670</v>
      </c>
      <c r="D2153" t="inlineStr">
        <is>
          <t>VÄSTERNORRLANDS LÄN</t>
        </is>
      </c>
      <c r="E2153" t="inlineStr">
        <is>
          <t>SOLLEFTEÅ</t>
        </is>
      </c>
      <c r="F2153" t="inlineStr">
        <is>
          <t>SCA</t>
        </is>
      </c>
      <c r="G2153" t="n">
        <v>12.5</v>
      </c>
      <c r="H2153" t="n">
        <v>0</v>
      </c>
      <c r="I2153" t="n">
        <v>0</v>
      </c>
      <c r="J2153" t="n">
        <v>0</v>
      </c>
      <c r="K2153" t="n">
        <v>0</v>
      </c>
      <c r="L2153" t="n">
        <v>0</v>
      </c>
      <c r="M2153" t="n">
        <v>0</v>
      </c>
      <c r="N2153" t="n">
        <v>0</v>
      </c>
      <c r="O2153" t="n">
        <v>0</v>
      </c>
      <c r="P2153" t="n">
        <v>0</v>
      </c>
      <c r="Q2153" t="n">
        <v>0</v>
      </c>
      <c r="R2153" s="2" t="inlineStr"/>
    </row>
    <row r="2154" ht="15" customHeight="1">
      <c r="A2154" t="inlineStr">
        <is>
          <t>A 35470-2023</t>
        </is>
      </c>
      <c r="B2154" s="1" t="n">
        <v>45146</v>
      </c>
      <c r="C2154" s="1" t="n">
        <v>45670</v>
      </c>
      <c r="D2154" t="inlineStr">
        <is>
          <t>VÄSTERNORRLANDS LÄN</t>
        </is>
      </c>
      <c r="E2154" t="inlineStr">
        <is>
          <t>SOLLEFTEÅ</t>
        </is>
      </c>
      <c r="G2154" t="n">
        <v>7.5</v>
      </c>
      <c r="H2154" t="n">
        <v>0</v>
      </c>
      <c r="I2154" t="n">
        <v>0</v>
      </c>
      <c r="J2154" t="n">
        <v>0</v>
      </c>
      <c r="K2154" t="n">
        <v>0</v>
      </c>
      <c r="L2154" t="n">
        <v>0</v>
      </c>
      <c r="M2154" t="n">
        <v>0</v>
      </c>
      <c r="N2154" t="n">
        <v>0</v>
      </c>
      <c r="O2154" t="n">
        <v>0</v>
      </c>
      <c r="P2154" t="n">
        <v>0</v>
      </c>
      <c r="Q2154" t="n">
        <v>0</v>
      </c>
      <c r="R2154" s="2" t="inlineStr"/>
    </row>
    <row r="2155" ht="15" customHeight="1">
      <c r="A2155" t="inlineStr">
        <is>
          <t>A 35511-2023</t>
        </is>
      </c>
      <c r="B2155" s="1" t="n">
        <v>45146</v>
      </c>
      <c r="C2155" s="1" t="n">
        <v>45670</v>
      </c>
      <c r="D2155" t="inlineStr">
        <is>
          <t>VÄSTERNORRLANDS LÄN</t>
        </is>
      </c>
      <c r="E2155" t="inlineStr">
        <is>
          <t>SOLLEFTEÅ</t>
        </is>
      </c>
      <c r="F2155" t="inlineStr">
        <is>
          <t>SCA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35509-2023</t>
        </is>
      </c>
      <c r="B2156" s="1" t="n">
        <v>45147</v>
      </c>
      <c r="C2156" s="1" t="n">
        <v>45670</v>
      </c>
      <c r="D2156" t="inlineStr">
        <is>
          <t>VÄSTERNORRLANDS LÄN</t>
        </is>
      </c>
      <c r="E2156" t="inlineStr">
        <is>
          <t>SOLLEFTEÅ</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35569-2023</t>
        </is>
      </c>
      <c r="B2157" s="1" t="n">
        <v>45147</v>
      </c>
      <c r="C2157" s="1" t="n">
        <v>45670</v>
      </c>
      <c r="D2157" t="inlineStr">
        <is>
          <t>VÄSTERNORRLANDS LÄN</t>
        </is>
      </c>
      <c r="E2157" t="inlineStr">
        <is>
          <t>SOLLEFTEÅ</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35746-2023</t>
        </is>
      </c>
      <c r="B2158" s="1" t="n">
        <v>45148</v>
      </c>
      <c r="C2158" s="1" t="n">
        <v>45670</v>
      </c>
      <c r="D2158" t="inlineStr">
        <is>
          <t>VÄSTERNORRLANDS LÄN</t>
        </is>
      </c>
      <c r="E2158" t="inlineStr">
        <is>
          <t>SOLLEFTEÅ</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35556-2023</t>
        </is>
      </c>
      <c r="B2159" s="1" t="n">
        <v>45147</v>
      </c>
      <c r="C2159" s="1" t="n">
        <v>45670</v>
      </c>
      <c r="D2159" t="inlineStr">
        <is>
          <t>VÄSTERNORRLANDS LÄN</t>
        </is>
      </c>
      <c r="E2159" t="inlineStr">
        <is>
          <t>SOLLEFTEÅ</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35764-2023</t>
        </is>
      </c>
      <c r="B2160" s="1" t="n">
        <v>45147</v>
      </c>
      <c r="C2160" s="1" t="n">
        <v>45670</v>
      </c>
      <c r="D2160" t="inlineStr">
        <is>
          <t>VÄSTERNORRLANDS LÄN</t>
        </is>
      </c>
      <c r="E2160" t="inlineStr">
        <is>
          <t>SOLLEFTEÅ</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35745-2023</t>
        </is>
      </c>
      <c r="B2161" s="1" t="n">
        <v>45148</v>
      </c>
      <c r="C2161" s="1" t="n">
        <v>45670</v>
      </c>
      <c r="D2161" t="inlineStr">
        <is>
          <t>VÄSTERNORRLANDS LÄN</t>
        </is>
      </c>
      <c r="E2161" t="inlineStr">
        <is>
          <t>SOLLEFTEÅ</t>
        </is>
      </c>
      <c r="F2161" t="inlineStr">
        <is>
          <t>SCA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35761-2023</t>
        </is>
      </c>
      <c r="B2162" s="1" t="n">
        <v>45148</v>
      </c>
      <c r="C2162" s="1" t="n">
        <v>45670</v>
      </c>
      <c r="D2162" t="inlineStr">
        <is>
          <t>VÄSTERNORRLANDS LÄN</t>
        </is>
      </c>
      <c r="E2162" t="inlineStr">
        <is>
          <t>SOLLEFTEÅ</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35945-2023</t>
        </is>
      </c>
      <c r="B2163" s="1" t="n">
        <v>45148</v>
      </c>
      <c r="C2163" s="1" t="n">
        <v>45670</v>
      </c>
      <c r="D2163" t="inlineStr">
        <is>
          <t>VÄSTERNORRLANDS LÄN</t>
        </is>
      </c>
      <c r="E2163" t="inlineStr">
        <is>
          <t>SOLLEFTEÅ</t>
        </is>
      </c>
      <c r="G2163" t="n">
        <v>6.8</v>
      </c>
      <c r="H2163" t="n">
        <v>0</v>
      </c>
      <c r="I2163" t="n">
        <v>0</v>
      </c>
      <c r="J2163" t="n">
        <v>0</v>
      </c>
      <c r="K2163" t="n">
        <v>0</v>
      </c>
      <c r="L2163" t="n">
        <v>0</v>
      </c>
      <c r="M2163" t="n">
        <v>0</v>
      </c>
      <c r="N2163" t="n">
        <v>0</v>
      </c>
      <c r="O2163" t="n">
        <v>0</v>
      </c>
      <c r="P2163" t="n">
        <v>0</v>
      </c>
      <c r="Q2163" t="n">
        <v>0</v>
      </c>
      <c r="R2163" s="2" t="inlineStr"/>
    </row>
    <row r="2164" ht="15" customHeight="1">
      <c r="A2164" t="inlineStr">
        <is>
          <t>A 35980-2023</t>
        </is>
      </c>
      <c r="B2164" s="1" t="n">
        <v>45149</v>
      </c>
      <c r="C2164" s="1" t="n">
        <v>45670</v>
      </c>
      <c r="D2164" t="inlineStr">
        <is>
          <t>VÄSTERNORRLANDS LÄN</t>
        </is>
      </c>
      <c r="E2164" t="inlineStr">
        <is>
          <t>SOLLEFTEÅ</t>
        </is>
      </c>
      <c r="F2164" t="inlineStr">
        <is>
          <t>SCA</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35975-2023</t>
        </is>
      </c>
      <c r="B2165" s="1" t="n">
        <v>45148</v>
      </c>
      <c r="C2165" s="1" t="n">
        <v>45670</v>
      </c>
      <c r="D2165" t="inlineStr">
        <is>
          <t>VÄSTERNORRLANDS LÄN</t>
        </is>
      </c>
      <c r="E2165" t="inlineStr">
        <is>
          <t>SOLLEFTEÅ</t>
        </is>
      </c>
      <c r="F2165" t="inlineStr">
        <is>
          <t>SCA</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35974-2023</t>
        </is>
      </c>
      <c r="B2166" s="1" t="n">
        <v>45148</v>
      </c>
      <c r="C2166" s="1" t="n">
        <v>45670</v>
      </c>
      <c r="D2166" t="inlineStr">
        <is>
          <t>VÄSTERNORRLANDS LÄN</t>
        </is>
      </c>
      <c r="E2166" t="inlineStr">
        <is>
          <t>SOLLEFTEÅ</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35978-2023</t>
        </is>
      </c>
      <c r="B2167" s="1" t="n">
        <v>45148</v>
      </c>
      <c r="C2167" s="1" t="n">
        <v>45670</v>
      </c>
      <c r="D2167" t="inlineStr">
        <is>
          <t>VÄSTERNORRLANDS LÄN</t>
        </is>
      </c>
      <c r="E2167" t="inlineStr">
        <is>
          <t>SOLLEFTEÅ</t>
        </is>
      </c>
      <c r="F2167" t="inlineStr">
        <is>
          <t>SCA</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35977-2023</t>
        </is>
      </c>
      <c r="B2168" s="1" t="n">
        <v>45149</v>
      </c>
      <c r="C2168" s="1" t="n">
        <v>45670</v>
      </c>
      <c r="D2168" t="inlineStr">
        <is>
          <t>VÄSTERNORRLANDS LÄN</t>
        </is>
      </c>
      <c r="E2168" t="inlineStr">
        <is>
          <t>SOLLEFTEÅ</t>
        </is>
      </c>
      <c r="F2168" t="inlineStr">
        <is>
          <t>SCA</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36211-2023</t>
        </is>
      </c>
      <c r="B2169" s="1" t="n">
        <v>45150</v>
      </c>
      <c r="C2169" s="1" t="n">
        <v>45670</v>
      </c>
      <c r="D2169" t="inlineStr">
        <is>
          <t>VÄSTERNORRLANDS LÄN</t>
        </is>
      </c>
      <c r="E2169" t="inlineStr">
        <is>
          <t>SOLLEFTEÅ</t>
        </is>
      </c>
      <c r="F2169" t="inlineStr">
        <is>
          <t>SCA</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36222-2023</t>
        </is>
      </c>
      <c r="B2170" s="1" t="n">
        <v>45150</v>
      </c>
      <c r="C2170" s="1" t="n">
        <v>45670</v>
      </c>
      <c r="D2170" t="inlineStr">
        <is>
          <t>VÄSTERNORRLANDS LÄN</t>
        </is>
      </c>
      <c r="E2170" t="inlineStr">
        <is>
          <t>SOLLEFTEÅ</t>
        </is>
      </c>
      <c r="F2170" t="inlineStr">
        <is>
          <t>SCA</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36511-2023</t>
        </is>
      </c>
      <c r="B2171" s="1" t="n">
        <v>45153</v>
      </c>
      <c r="C2171" s="1" t="n">
        <v>45670</v>
      </c>
      <c r="D2171" t="inlineStr">
        <is>
          <t>VÄSTERNORRLANDS LÄN</t>
        </is>
      </c>
      <c r="E2171" t="inlineStr">
        <is>
          <t>SOLLEFTEÅ</t>
        </is>
      </c>
      <c r="F2171" t="inlineStr">
        <is>
          <t>SCA</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36514-2023</t>
        </is>
      </c>
      <c r="B2172" s="1" t="n">
        <v>45153</v>
      </c>
      <c r="C2172" s="1" t="n">
        <v>45670</v>
      </c>
      <c r="D2172" t="inlineStr">
        <is>
          <t>VÄSTERNORRLANDS LÄN</t>
        </is>
      </c>
      <c r="E2172" t="inlineStr">
        <is>
          <t>SOLLEFTEÅ</t>
        </is>
      </c>
      <c r="F2172" t="inlineStr">
        <is>
          <t>SCA</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36508-2023</t>
        </is>
      </c>
      <c r="B2173" s="1" t="n">
        <v>45153</v>
      </c>
      <c r="C2173" s="1" t="n">
        <v>45670</v>
      </c>
      <c r="D2173" t="inlineStr">
        <is>
          <t>VÄSTERNORRLANDS LÄN</t>
        </is>
      </c>
      <c r="E2173" t="inlineStr">
        <is>
          <t>SOLLEFTEÅ</t>
        </is>
      </c>
      <c r="F2173" t="inlineStr">
        <is>
          <t>SCA</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36512-2023</t>
        </is>
      </c>
      <c r="B2174" s="1" t="n">
        <v>45152</v>
      </c>
      <c r="C2174" s="1" t="n">
        <v>45670</v>
      </c>
      <c r="D2174" t="inlineStr">
        <is>
          <t>VÄSTERNORRLANDS LÄN</t>
        </is>
      </c>
      <c r="E2174" t="inlineStr">
        <is>
          <t>SOLLEFTEÅ</t>
        </is>
      </c>
      <c r="F2174" t="inlineStr">
        <is>
          <t>SCA</t>
        </is>
      </c>
      <c r="G2174" t="n">
        <v>8.300000000000001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36513-2023</t>
        </is>
      </c>
      <c r="B2175" s="1" t="n">
        <v>45153</v>
      </c>
      <c r="C2175" s="1" t="n">
        <v>45670</v>
      </c>
      <c r="D2175" t="inlineStr">
        <is>
          <t>VÄSTERNORRLANDS LÄN</t>
        </is>
      </c>
      <c r="E2175" t="inlineStr">
        <is>
          <t>SOLLEFTEÅ</t>
        </is>
      </c>
      <c r="F2175" t="inlineStr">
        <is>
          <t>SCA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36770-2023</t>
        </is>
      </c>
      <c r="B2176" s="1" t="n">
        <v>45153</v>
      </c>
      <c r="C2176" s="1" t="n">
        <v>45670</v>
      </c>
      <c r="D2176" t="inlineStr">
        <is>
          <t>VÄSTERNORRLANDS LÄN</t>
        </is>
      </c>
      <c r="E2176" t="inlineStr">
        <is>
          <t>SOLLEFTEÅ</t>
        </is>
      </c>
      <c r="F2176" t="inlineStr">
        <is>
          <t>SCA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36771-2023</t>
        </is>
      </c>
      <c r="B2177" s="1" t="n">
        <v>45153</v>
      </c>
      <c r="C2177" s="1" t="n">
        <v>45670</v>
      </c>
      <c r="D2177" t="inlineStr">
        <is>
          <t>VÄSTERNORRLANDS LÄN</t>
        </is>
      </c>
      <c r="E2177" t="inlineStr">
        <is>
          <t>SOLLEFTEÅ</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36944-2023</t>
        </is>
      </c>
      <c r="B2178" s="1" t="n">
        <v>45154</v>
      </c>
      <c r="C2178" s="1" t="n">
        <v>45670</v>
      </c>
      <c r="D2178" t="inlineStr">
        <is>
          <t>VÄSTERNORRLANDS LÄN</t>
        </is>
      </c>
      <c r="E2178" t="inlineStr">
        <is>
          <t>SOLLEFTEÅ</t>
        </is>
      </c>
      <c r="F2178" t="inlineStr">
        <is>
          <t>Övriga Aktiebolag</t>
        </is>
      </c>
      <c r="G2178" t="n">
        <v>16.9</v>
      </c>
      <c r="H2178" t="n">
        <v>0</v>
      </c>
      <c r="I2178" t="n">
        <v>0</v>
      </c>
      <c r="J2178" t="n">
        <v>0</v>
      </c>
      <c r="K2178" t="n">
        <v>0</v>
      </c>
      <c r="L2178" t="n">
        <v>0</v>
      </c>
      <c r="M2178" t="n">
        <v>0</v>
      </c>
      <c r="N2178" t="n">
        <v>0</v>
      </c>
      <c r="O2178" t="n">
        <v>0</v>
      </c>
      <c r="P2178" t="n">
        <v>0</v>
      </c>
      <c r="Q2178" t="n">
        <v>0</v>
      </c>
      <c r="R2178" s="2" t="inlineStr"/>
    </row>
    <row r="2179" ht="15" customHeight="1">
      <c r="A2179" t="inlineStr">
        <is>
          <t>A 36976-2023</t>
        </is>
      </c>
      <c r="B2179" s="1" t="n">
        <v>45155</v>
      </c>
      <c r="C2179" s="1" t="n">
        <v>45670</v>
      </c>
      <c r="D2179" t="inlineStr">
        <is>
          <t>VÄSTERNORRLANDS LÄN</t>
        </is>
      </c>
      <c r="E2179" t="inlineStr">
        <is>
          <t>SOLLEFTEÅ</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36977-2023</t>
        </is>
      </c>
      <c r="B2180" s="1" t="n">
        <v>45155</v>
      </c>
      <c r="C2180" s="1" t="n">
        <v>45670</v>
      </c>
      <c r="D2180" t="inlineStr">
        <is>
          <t>VÄSTERNORRLANDS LÄN</t>
        </is>
      </c>
      <c r="E2180" t="inlineStr">
        <is>
          <t>SOLLEFTEÅ</t>
        </is>
      </c>
      <c r="F2180" t="inlineStr">
        <is>
          <t>SCA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36967-2023</t>
        </is>
      </c>
      <c r="B2181" s="1" t="n">
        <v>45155</v>
      </c>
      <c r="C2181" s="1" t="n">
        <v>45670</v>
      </c>
      <c r="D2181" t="inlineStr">
        <is>
          <t>VÄSTERNORRLANDS LÄN</t>
        </is>
      </c>
      <c r="E2181" t="inlineStr">
        <is>
          <t>SOLLEFTEÅ</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37269-2023</t>
        </is>
      </c>
      <c r="B2182" s="1" t="n">
        <v>45155</v>
      </c>
      <c r="C2182" s="1" t="n">
        <v>45670</v>
      </c>
      <c r="D2182" t="inlineStr">
        <is>
          <t>VÄSTERNORRLANDS LÄN</t>
        </is>
      </c>
      <c r="E2182" t="inlineStr">
        <is>
          <t>SOLLEFTEÅ</t>
        </is>
      </c>
      <c r="F2182" t="inlineStr">
        <is>
          <t>SCA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37412-2023</t>
        </is>
      </c>
      <c r="B2183" s="1" t="n">
        <v>45155</v>
      </c>
      <c r="C2183" s="1" t="n">
        <v>45670</v>
      </c>
      <c r="D2183" t="inlineStr">
        <is>
          <t>VÄSTERNORRLANDS LÄN</t>
        </is>
      </c>
      <c r="E2183" t="inlineStr">
        <is>
          <t>SOLLEFTEÅ</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37381-2023</t>
        </is>
      </c>
      <c r="B2184" s="1" t="n">
        <v>45155</v>
      </c>
      <c r="C2184" s="1" t="n">
        <v>45670</v>
      </c>
      <c r="D2184" t="inlineStr">
        <is>
          <t>VÄSTERNORRLANDS LÄN</t>
        </is>
      </c>
      <c r="E2184" t="inlineStr">
        <is>
          <t>SOLLEFTEÅ</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37484-2023</t>
        </is>
      </c>
      <c r="B2185" s="1" t="n">
        <v>45156</v>
      </c>
      <c r="C2185" s="1" t="n">
        <v>45670</v>
      </c>
      <c r="D2185" t="inlineStr">
        <is>
          <t>VÄSTERNORRLANDS LÄN</t>
        </is>
      </c>
      <c r="E2185" t="inlineStr">
        <is>
          <t>SOLLEFTEÅ</t>
        </is>
      </c>
      <c r="F2185" t="inlineStr">
        <is>
          <t>SCA</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37615-2023</t>
        </is>
      </c>
      <c r="B2186" s="1" t="n">
        <v>45156</v>
      </c>
      <c r="C2186" s="1" t="n">
        <v>45670</v>
      </c>
      <c r="D2186" t="inlineStr">
        <is>
          <t>VÄSTERNORRLANDS LÄN</t>
        </is>
      </c>
      <c r="E2186" t="inlineStr">
        <is>
          <t>SOLLEFTEÅ</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37711-2023</t>
        </is>
      </c>
      <c r="B2187" s="1" t="n">
        <v>45156</v>
      </c>
      <c r="C2187" s="1" t="n">
        <v>45670</v>
      </c>
      <c r="D2187" t="inlineStr">
        <is>
          <t>VÄSTERNORRLANDS LÄN</t>
        </is>
      </c>
      <c r="E2187" t="inlineStr">
        <is>
          <t>SOLLEFTEÅ</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37735-2023</t>
        </is>
      </c>
      <c r="B2188" s="1" t="n">
        <v>45156</v>
      </c>
      <c r="C2188" s="1" t="n">
        <v>45670</v>
      </c>
      <c r="D2188" t="inlineStr">
        <is>
          <t>VÄSTERNORRLANDS LÄN</t>
        </is>
      </c>
      <c r="E2188" t="inlineStr">
        <is>
          <t>SOLLEFTEÅ</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37486-2023</t>
        </is>
      </c>
      <c r="B2189" s="1" t="n">
        <v>45157</v>
      </c>
      <c r="C2189" s="1" t="n">
        <v>45670</v>
      </c>
      <c r="D2189" t="inlineStr">
        <is>
          <t>VÄSTERNORRLANDS LÄN</t>
        </is>
      </c>
      <c r="E2189" t="inlineStr">
        <is>
          <t>SOLLEFTEÅ</t>
        </is>
      </c>
      <c r="F2189" t="inlineStr">
        <is>
          <t>SCA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37691-2023</t>
        </is>
      </c>
      <c r="B2190" s="1" t="n">
        <v>45156</v>
      </c>
      <c r="C2190" s="1" t="n">
        <v>45670</v>
      </c>
      <c r="D2190" t="inlineStr">
        <is>
          <t>VÄSTERNORRLANDS LÄN</t>
        </is>
      </c>
      <c r="E2190" t="inlineStr">
        <is>
          <t>SOLLEFTEÅ</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37722-2023</t>
        </is>
      </c>
      <c r="B2191" s="1" t="n">
        <v>45156</v>
      </c>
      <c r="C2191" s="1" t="n">
        <v>45670</v>
      </c>
      <c r="D2191" t="inlineStr">
        <is>
          <t>VÄSTERNORRLANDS LÄN</t>
        </is>
      </c>
      <c r="E2191" t="inlineStr">
        <is>
          <t>SOLLEFTEÅ</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37611-2023</t>
        </is>
      </c>
      <c r="B2192" s="1" t="n">
        <v>45156</v>
      </c>
      <c r="C2192" s="1" t="n">
        <v>45670</v>
      </c>
      <c r="D2192" t="inlineStr">
        <is>
          <t>VÄSTERNORRLANDS LÄN</t>
        </is>
      </c>
      <c r="E2192" t="inlineStr">
        <is>
          <t>SOLLEFTEÅ</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37671-2023</t>
        </is>
      </c>
      <c r="B2193" s="1" t="n">
        <v>45156</v>
      </c>
      <c r="C2193" s="1" t="n">
        <v>45670</v>
      </c>
      <c r="D2193" t="inlineStr">
        <is>
          <t>VÄSTERNORRLANDS LÄN</t>
        </is>
      </c>
      <c r="E2193" t="inlineStr">
        <is>
          <t>SOLLEFTEÅ</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37696-2023</t>
        </is>
      </c>
      <c r="B2194" s="1" t="n">
        <v>45156</v>
      </c>
      <c r="C2194" s="1" t="n">
        <v>45670</v>
      </c>
      <c r="D2194" t="inlineStr">
        <is>
          <t>VÄSTERNORRLANDS LÄN</t>
        </is>
      </c>
      <c r="E2194" t="inlineStr">
        <is>
          <t>SOLLEFTEÅ</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37726-2023</t>
        </is>
      </c>
      <c r="B2195" s="1" t="n">
        <v>45156</v>
      </c>
      <c r="C2195" s="1" t="n">
        <v>45670</v>
      </c>
      <c r="D2195" t="inlineStr">
        <is>
          <t>VÄSTERNORRLANDS LÄN</t>
        </is>
      </c>
      <c r="E2195" t="inlineStr">
        <is>
          <t>SOLLEFTEÅ</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37483-2023</t>
        </is>
      </c>
      <c r="B2196" s="1" t="n">
        <v>45157</v>
      </c>
      <c r="C2196" s="1" t="n">
        <v>45670</v>
      </c>
      <c r="D2196" t="inlineStr">
        <is>
          <t>VÄSTERNORRLANDS LÄN</t>
        </is>
      </c>
      <c r="E2196" t="inlineStr">
        <is>
          <t>SOLLEFTEÅ</t>
        </is>
      </c>
      <c r="F2196" t="inlineStr">
        <is>
          <t>SCA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37487-2023</t>
        </is>
      </c>
      <c r="B2197" s="1" t="n">
        <v>45157</v>
      </c>
      <c r="C2197" s="1" t="n">
        <v>45670</v>
      </c>
      <c r="D2197" t="inlineStr">
        <is>
          <t>VÄSTERNORRLANDS LÄN</t>
        </is>
      </c>
      <c r="E2197" t="inlineStr">
        <is>
          <t>SOLLEFTEÅ</t>
        </is>
      </c>
      <c r="F2197" t="inlineStr">
        <is>
          <t>SCA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37699-2023</t>
        </is>
      </c>
      <c r="B2198" s="1" t="n">
        <v>45156</v>
      </c>
      <c r="C2198" s="1" t="n">
        <v>45670</v>
      </c>
      <c r="D2198" t="inlineStr">
        <is>
          <t>VÄSTERNORRLANDS LÄN</t>
        </is>
      </c>
      <c r="E2198" t="inlineStr">
        <is>
          <t>SOLLEFTEÅ</t>
        </is>
      </c>
      <c r="G2198" t="n">
        <v>0.1</v>
      </c>
      <c r="H2198" t="n">
        <v>0</v>
      </c>
      <c r="I2198" t="n">
        <v>0</v>
      </c>
      <c r="J2198" t="n">
        <v>0</v>
      </c>
      <c r="K2198" t="n">
        <v>0</v>
      </c>
      <c r="L2198" t="n">
        <v>0</v>
      </c>
      <c r="M2198" t="n">
        <v>0</v>
      </c>
      <c r="N2198" t="n">
        <v>0</v>
      </c>
      <c r="O2198" t="n">
        <v>0</v>
      </c>
      <c r="P2198" t="n">
        <v>0</v>
      </c>
      <c r="Q2198" t="n">
        <v>0</v>
      </c>
      <c r="R2198" s="2" t="inlineStr"/>
    </row>
    <row r="2199" ht="15" customHeight="1">
      <c r="A2199" t="inlineStr">
        <is>
          <t>A 37731-2023</t>
        </is>
      </c>
      <c r="B2199" s="1" t="n">
        <v>45156</v>
      </c>
      <c r="C2199" s="1" t="n">
        <v>45670</v>
      </c>
      <c r="D2199" t="inlineStr">
        <is>
          <t>VÄSTERNORRLANDS LÄN</t>
        </is>
      </c>
      <c r="E2199" t="inlineStr">
        <is>
          <t>SOLLEFTEÅ</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37807-2023</t>
        </is>
      </c>
      <c r="B2200" s="1" t="n">
        <v>45160</v>
      </c>
      <c r="C2200" s="1" t="n">
        <v>45670</v>
      </c>
      <c r="D2200" t="inlineStr">
        <is>
          <t>VÄSTERNORRLANDS LÄN</t>
        </is>
      </c>
      <c r="E2200" t="inlineStr">
        <is>
          <t>SOLLEFTEÅ</t>
        </is>
      </c>
      <c r="G2200" t="n">
        <v>6.9</v>
      </c>
      <c r="H2200" t="n">
        <v>0</v>
      </c>
      <c r="I2200" t="n">
        <v>0</v>
      </c>
      <c r="J2200" t="n">
        <v>0</v>
      </c>
      <c r="K2200" t="n">
        <v>0</v>
      </c>
      <c r="L2200" t="n">
        <v>0</v>
      </c>
      <c r="M2200" t="n">
        <v>0</v>
      </c>
      <c r="N2200" t="n">
        <v>0</v>
      </c>
      <c r="O2200" t="n">
        <v>0</v>
      </c>
      <c r="P2200" t="n">
        <v>0</v>
      </c>
      <c r="Q2200" t="n">
        <v>0</v>
      </c>
      <c r="R2200" s="2" t="inlineStr"/>
    </row>
    <row r="2201" ht="15" customHeight="1">
      <c r="A2201" t="inlineStr">
        <is>
          <t>A 38093-2023</t>
        </is>
      </c>
      <c r="B2201" s="1" t="n">
        <v>45160</v>
      </c>
      <c r="C2201" s="1" t="n">
        <v>45670</v>
      </c>
      <c r="D2201" t="inlineStr">
        <is>
          <t>VÄSTERNORRLANDS LÄN</t>
        </is>
      </c>
      <c r="E2201" t="inlineStr">
        <is>
          <t>SOLLEFTEÅ</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38097-2023</t>
        </is>
      </c>
      <c r="B2202" s="1" t="n">
        <v>45160</v>
      </c>
      <c r="C2202" s="1" t="n">
        <v>45670</v>
      </c>
      <c r="D2202" t="inlineStr">
        <is>
          <t>VÄSTERNORRLANDS LÄN</t>
        </is>
      </c>
      <c r="E2202" t="inlineStr">
        <is>
          <t>SOLLEFTEÅ</t>
        </is>
      </c>
      <c r="F2202" t="inlineStr">
        <is>
          <t>SCA</t>
        </is>
      </c>
      <c r="G2202" t="n">
        <v>47.1</v>
      </c>
      <c r="H2202" t="n">
        <v>0</v>
      </c>
      <c r="I2202" t="n">
        <v>0</v>
      </c>
      <c r="J2202" t="n">
        <v>0</v>
      </c>
      <c r="K2202" t="n">
        <v>0</v>
      </c>
      <c r="L2202" t="n">
        <v>0</v>
      </c>
      <c r="M2202" t="n">
        <v>0</v>
      </c>
      <c r="N2202" t="n">
        <v>0</v>
      </c>
      <c r="O2202" t="n">
        <v>0</v>
      </c>
      <c r="P2202" t="n">
        <v>0</v>
      </c>
      <c r="Q2202" t="n">
        <v>0</v>
      </c>
      <c r="R2202" s="2" t="inlineStr"/>
    </row>
    <row r="2203" ht="15" customHeight="1">
      <c r="A2203" t="inlineStr">
        <is>
          <t>A 38092-2023</t>
        </is>
      </c>
      <c r="B2203" s="1" t="n">
        <v>45161</v>
      </c>
      <c r="C2203" s="1" t="n">
        <v>45670</v>
      </c>
      <c r="D2203" t="inlineStr">
        <is>
          <t>VÄSTERNORRLANDS LÄN</t>
        </is>
      </c>
      <c r="E2203" t="inlineStr">
        <is>
          <t>SOLLEFTEÅ</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38100-2023</t>
        </is>
      </c>
      <c r="B2204" s="1" t="n">
        <v>45161</v>
      </c>
      <c r="C2204" s="1" t="n">
        <v>45670</v>
      </c>
      <c r="D2204" t="inlineStr">
        <is>
          <t>VÄSTERNORRLANDS LÄN</t>
        </is>
      </c>
      <c r="E2204" t="inlineStr">
        <is>
          <t>SOLLEFTEÅ</t>
        </is>
      </c>
      <c r="F2204" t="inlineStr">
        <is>
          <t>SCA</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39077-2023</t>
        </is>
      </c>
      <c r="B2205" s="1" t="n">
        <v>45164</v>
      </c>
      <c r="C2205" s="1" t="n">
        <v>45670</v>
      </c>
      <c r="D2205" t="inlineStr">
        <is>
          <t>VÄSTERNORRLANDS LÄN</t>
        </is>
      </c>
      <c r="E2205" t="inlineStr">
        <is>
          <t>SOLLEFTEÅ</t>
        </is>
      </c>
      <c r="F2205" t="inlineStr">
        <is>
          <t>SCA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39399-2023</t>
        </is>
      </c>
      <c r="B2206" s="1" t="n">
        <v>45163</v>
      </c>
      <c r="C2206" s="1" t="n">
        <v>45670</v>
      </c>
      <c r="D2206" t="inlineStr">
        <is>
          <t>VÄSTERNORRLANDS LÄN</t>
        </is>
      </c>
      <c r="E2206" t="inlineStr">
        <is>
          <t>SOLLEFTEÅ</t>
        </is>
      </c>
      <c r="F2206" t="inlineStr">
        <is>
          <t>SCA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39058-2023</t>
        </is>
      </c>
      <c r="B2207" s="1" t="n">
        <v>45164</v>
      </c>
      <c r="C2207" s="1" t="n">
        <v>45670</v>
      </c>
      <c r="D2207" t="inlineStr">
        <is>
          <t>VÄSTERNORRLANDS LÄN</t>
        </is>
      </c>
      <c r="E2207" t="inlineStr">
        <is>
          <t>SOLLEFTEÅ</t>
        </is>
      </c>
      <c r="F2207" t="inlineStr">
        <is>
          <t>SCA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39379-2023</t>
        </is>
      </c>
      <c r="B2208" s="1" t="n">
        <v>45163</v>
      </c>
      <c r="C2208" s="1" t="n">
        <v>45670</v>
      </c>
      <c r="D2208" t="inlineStr">
        <is>
          <t>VÄSTERNORRLANDS LÄN</t>
        </is>
      </c>
      <c r="E2208" t="inlineStr">
        <is>
          <t>SOLLEFTEÅ</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39496-2023</t>
        </is>
      </c>
      <c r="B2209" s="1" t="n">
        <v>45167</v>
      </c>
      <c r="C2209" s="1" t="n">
        <v>45670</v>
      </c>
      <c r="D2209" t="inlineStr">
        <is>
          <t>VÄSTERNORRLANDS LÄN</t>
        </is>
      </c>
      <c r="E2209" t="inlineStr">
        <is>
          <t>SOLLEFTEÅ</t>
        </is>
      </c>
      <c r="F2209" t="inlineStr">
        <is>
          <t>SCA</t>
        </is>
      </c>
      <c r="G2209" t="n">
        <v>9.4</v>
      </c>
      <c r="H2209" t="n">
        <v>0</v>
      </c>
      <c r="I2209" t="n">
        <v>0</v>
      </c>
      <c r="J2209" t="n">
        <v>0</v>
      </c>
      <c r="K2209" t="n">
        <v>0</v>
      </c>
      <c r="L2209" t="n">
        <v>0</v>
      </c>
      <c r="M2209" t="n">
        <v>0</v>
      </c>
      <c r="N2209" t="n">
        <v>0</v>
      </c>
      <c r="O2209" t="n">
        <v>0</v>
      </c>
      <c r="P2209" t="n">
        <v>0</v>
      </c>
      <c r="Q2209" t="n">
        <v>0</v>
      </c>
      <c r="R2209" s="2" t="inlineStr"/>
    </row>
    <row r="2210" ht="15" customHeight="1">
      <c r="A2210" t="inlineStr">
        <is>
          <t>A 39497-2023</t>
        </is>
      </c>
      <c r="B2210" s="1" t="n">
        <v>45167</v>
      </c>
      <c r="C2210" s="1" t="n">
        <v>45670</v>
      </c>
      <c r="D2210" t="inlineStr">
        <is>
          <t>VÄSTERNORRLANDS LÄN</t>
        </is>
      </c>
      <c r="E2210" t="inlineStr">
        <is>
          <t>SOLLEFTEÅ</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39727-2023</t>
        </is>
      </c>
      <c r="B2211" s="1" t="n">
        <v>45166</v>
      </c>
      <c r="C2211" s="1" t="n">
        <v>45670</v>
      </c>
      <c r="D2211" t="inlineStr">
        <is>
          <t>VÄSTERNORRLANDS LÄN</t>
        </is>
      </c>
      <c r="E2211" t="inlineStr">
        <is>
          <t>SOLLEFTEÅ</t>
        </is>
      </c>
      <c r="F2211" t="inlineStr">
        <is>
          <t>SCA</t>
        </is>
      </c>
      <c r="G2211" t="n">
        <v>45.3</v>
      </c>
      <c r="H2211" t="n">
        <v>0</v>
      </c>
      <c r="I2211" t="n">
        <v>0</v>
      </c>
      <c r="J2211" t="n">
        <v>0</v>
      </c>
      <c r="K2211" t="n">
        <v>0</v>
      </c>
      <c r="L2211" t="n">
        <v>0</v>
      </c>
      <c r="M2211" t="n">
        <v>0</v>
      </c>
      <c r="N2211" t="n">
        <v>0</v>
      </c>
      <c r="O2211" t="n">
        <v>0</v>
      </c>
      <c r="P2211" t="n">
        <v>0</v>
      </c>
      <c r="Q2211" t="n">
        <v>0</v>
      </c>
      <c r="R2211" s="2" t="inlineStr"/>
    </row>
    <row r="2212" ht="15" customHeight="1">
      <c r="A2212" t="inlineStr">
        <is>
          <t>A 39495-2023</t>
        </is>
      </c>
      <c r="B2212" s="1" t="n">
        <v>45167</v>
      </c>
      <c r="C2212" s="1" t="n">
        <v>45670</v>
      </c>
      <c r="D2212" t="inlineStr">
        <is>
          <t>VÄSTERNORRLANDS LÄN</t>
        </is>
      </c>
      <c r="E2212" t="inlineStr">
        <is>
          <t>SOLLEFTEÅ</t>
        </is>
      </c>
      <c r="F2212" t="inlineStr">
        <is>
          <t>SCA</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40098-2023</t>
        </is>
      </c>
      <c r="B2213" s="1" t="n">
        <v>45169</v>
      </c>
      <c r="C2213" s="1" t="n">
        <v>45670</v>
      </c>
      <c r="D2213" t="inlineStr">
        <is>
          <t>VÄSTERNORRLANDS LÄN</t>
        </is>
      </c>
      <c r="E2213" t="inlineStr">
        <is>
          <t>SOLLEFTEÅ</t>
        </is>
      </c>
      <c r="F2213" t="inlineStr">
        <is>
          <t>SCA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40099-2023</t>
        </is>
      </c>
      <c r="B2214" s="1" t="n">
        <v>45169</v>
      </c>
      <c r="C2214" s="1" t="n">
        <v>45670</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40115-2023</t>
        </is>
      </c>
      <c r="B2215" s="1" t="n">
        <v>45169</v>
      </c>
      <c r="C2215" s="1" t="n">
        <v>45670</v>
      </c>
      <c r="D2215" t="inlineStr">
        <is>
          <t>VÄSTERNORRLANDS LÄN</t>
        </is>
      </c>
      <c r="E2215" t="inlineStr">
        <is>
          <t>SOLLEFTEÅ</t>
        </is>
      </c>
      <c r="F2215" t="inlineStr">
        <is>
          <t>SCA</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40202-2023</t>
        </is>
      </c>
      <c r="B2216" s="1" t="n">
        <v>45169</v>
      </c>
      <c r="C2216" s="1" t="n">
        <v>45670</v>
      </c>
      <c r="D2216" t="inlineStr">
        <is>
          <t>VÄSTERNORRLANDS LÄN</t>
        </is>
      </c>
      <c r="E2216" t="inlineStr">
        <is>
          <t>SOLLEFTEÅ</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40403-2023</t>
        </is>
      </c>
      <c r="B2217" s="1" t="n">
        <v>45170</v>
      </c>
      <c r="C2217" s="1" t="n">
        <v>45670</v>
      </c>
      <c r="D2217" t="inlineStr">
        <is>
          <t>VÄSTERNORRLANDS LÄN</t>
        </is>
      </c>
      <c r="E2217" t="inlineStr">
        <is>
          <t>SOLLEFTEÅ</t>
        </is>
      </c>
      <c r="F2217" t="inlineStr">
        <is>
          <t>SCA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40404-2023</t>
        </is>
      </c>
      <c r="B2218" s="1" t="n">
        <v>45170</v>
      </c>
      <c r="C2218" s="1" t="n">
        <v>45670</v>
      </c>
      <c r="D2218" t="inlineStr">
        <is>
          <t>VÄSTERNORRLANDS LÄN</t>
        </is>
      </c>
      <c r="E2218" t="inlineStr">
        <is>
          <t>SOLLEFTEÅ</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40429-2023</t>
        </is>
      </c>
      <c r="B2219" s="1" t="n">
        <v>45169</v>
      </c>
      <c r="C2219" s="1" t="n">
        <v>45670</v>
      </c>
      <c r="D2219" t="inlineStr">
        <is>
          <t>VÄSTERNORRLANDS LÄN</t>
        </is>
      </c>
      <c r="E2219" t="inlineStr">
        <is>
          <t>SOLLEFTEÅ</t>
        </is>
      </c>
      <c r="F2219" t="inlineStr">
        <is>
          <t>SCA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40421-2023</t>
        </is>
      </c>
      <c r="B2220" s="1" t="n">
        <v>45170</v>
      </c>
      <c r="C2220" s="1" t="n">
        <v>45670</v>
      </c>
      <c r="D2220" t="inlineStr">
        <is>
          <t>VÄSTERNORRLANDS LÄN</t>
        </is>
      </c>
      <c r="E2220" t="inlineStr">
        <is>
          <t>SOLLEFTEÅ</t>
        </is>
      </c>
      <c r="F2220" t="inlineStr">
        <is>
          <t>SCA</t>
        </is>
      </c>
      <c r="G2220" t="n">
        <v>10.2</v>
      </c>
      <c r="H2220" t="n">
        <v>0</v>
      </c>
      <c r="I2220" t="n">
        <v>0</v>
      </c>
      <c r="J2220" t="n">
        <v>0</v>
      </c>
      <c r="K2220" t="n">
        <v>0</v>
      </c>
      <c r="L2220" t="n">
        <v>0</v>
      </c>
      <c r="M2220" t="n">
        <v>0</v>
      </c>
      <c r="N2220" t="n">
        <v>0</v>
      </c>
      <c r="O2220" t="n">
        <v>0</v>
      </c>
      <c r="P2220" t="n">
        <v>0</v>
      </c>
      <c r="Q2220" t="n">
        <v>0</v>
      </c>
      <c r="R2220" s="2" t="inlineStr"/>
    </row>
    <row r="2221" ht="15" customHeight="1">
      <c r="A2221" t="inlineStr">
        <is>
          <t>A 40766-2023</t>
        </is>
      </c>
      <c r="B2221" s="1" t="n">
        <v>45170</v>
      </c>
      <c r="C2221" s="1" t="n">
        <v>45670</v>
      </c>
      <c r="D2221" t="inlineStr">
        <is>
          <t>VÄSTERNORRLANDS LÄN</t>
        </is>
      </c>
      <c r="E2221" t="inlineStr">
        <is>
          <t>SOLLEFTEÅ</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40764-2023</t>
        </is>
      </c>
      <c r="B2222" s="1" t="n">
        <v>45170</v>
      </c>
      <c r="C2222" s="1" t="n">
        <v>45670</v>
      </c>
      <c r="D2222" t="inlineStr">
        <is>
          <t>VÄSTERNORRLANDS LÄN</t>
        </is>
      </c>
      <c r="E2222" t="inlineStr">
        <is>
          <t>SOLLEFTEÅ</t>
        </is>
      </c>
      <c r="F2222" t="inlineStr">
        <is>
          <t>SCA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41145-2023</t>
        </is>
      </c>
      <c r="B2223" s="1" t="n">
        <v>45174</v>
      </c>
      <c r="C2223" s="1" t="n">
        <v>45670</v>
      </c>
      <c r="D2223" t="inlineStr">
        <is>
          <t>VÄSTERNORRLANDS LÄN</t>
        </is>
      </c>
      <c r="E2223" t="inlineStr">
        <is>
          <t>SOLLEFTEÅ</t>
        </is>
      </c>
      <c r="F2223" t="inlineStr">
        <is>
          <t>SCA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41146-2023</t>
        </is>
      </c>
      <c r="B2224" s="1" t="n">
        <v>45174</v>
      </c>
      <c r="C2224" s="1" t="n">
        <v>45670</v>
      </c>
      <c r="D2224" t="inlineStr">
        <is>
          <t>VÄSTERNORRLANDS LÄN</t>
        </is>
      </c>
      <c r="E2224" t="inlineStr">
        <is>
          <t>SOLLEFTEÅ</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41143-2023</t>
        </is>
      </c>
      <c r="B2225" s="1" t="n">
        <v>45174</v>
      </c>
      <c r="C2225" s="1" t="n">
        <v>45670</v>
      </c>
      <c r="D2225" t="inlineStr">
        <is>
          <t>VÄSTERNORRLANDS LÄN</t>
        </is>
      </c>
      <c r="E2225" t="inlineStr">
        <is>
          <t>SOLLEFTEÅ</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41257-2023</t>
        </is>
      </c>
      <c r="B2226" s="1" t="n">
        <v>45174</v>
      </c>
      <c r="C2226" s="1" t="n">
        <v>45670</v>
      </c>
      <c r="D2226" t="inlineStr">
        <is>
          <t>VÄSTERNORRLANDS LÄN</t>
        </is>
      </c>
      <c r="E2226" t="inlineStr">
        <is>
          <t>SOLLEFTEÅ</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41655-2023</t>
        </is>
      </c>
      <c r="B2227" s="1" t="n">
        <v>45176</v>
      </c>
      <c r="C2227" s="1" t="n">
        <v>45670</v>
      </c>
      <c r="D2227" t="inlineStr">
        <is>
          <t>VÄSTERNORRLANDS LÄN</t>
        </is>
      </c>
      <c r="E2227" t="inlineStr">
        <is>
          <t>SOLLEFTEÅ</t>
        </is>
      </c>
      <c r="F2227" t="inlineStr">
        <is>
          <t>SCA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41933-2023</t>
        </is>
      </c>
      <c r="B2228" s="1" t="n">
        <v>45177</v>
      </c>
      <c r="C2228" s="1" t="n">
        <v>45670</v>
      </c>
      <c r="D2228" t="inlineStr">
        <is>
          <t>VÄSTERNORRLANDS LÄN</t>
        </is>
      </c>
      <c r="E2228" t="inlineStr">
        <is>
          <t>SOLLEFTEÅ</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41924-2023</t>
        </is>
      </c>
      <c r="B2229" s="1" t="n">
        <v>45176</v>
      </c>
      <c r="C2229" s="1" t="n">
        <v>45670</v>
      </c>
      <c r="D2229" t="inlineStr">
        <is>
          <t>VÄSTERNORRLANDS LÄN</t>
        </is>
      </c>
      <c r="E2229" t="inlineStr">
        <is>
          <t>SOLLEFTEÅ</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42150-2023</t>
        </is>
      </c>
      <c r="B2230" s="1" t="n">
        <v>45178</v>
      </c>
      <c r="C2230" s="1" t="n">
        <v>45670</v>
      </c>
      <c r="D2230" t="inlineStr">
        <is>
          <t>VÄSTERNORRLANDS LÄN</t>
        </is>
      </c>
      <c r="E2230" t="inlineStr">
        <is>
          <t>SOLLEFTEÅ</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42162-2023</t>
        </is>
      </c>
      <c r="B2231" s="1" t="n">
        <v>45178</v>
      </c>
      <c r="C2231" s="1" t="n">
        <v>45670</v>
      </c>
      <c r="D2231" t="inlineStr">
        <is>
          <t>VÄSTERNORRLANDS LÄN</t>
        </is>
      </c>
      <c r="E2231" t="inlineStr">
        <is>
          <t>SOLLEFTEÅ</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42140-2023</t>
        </is>
      </c>
      <c r="B2232" s="1" t="n">
        <v>45178</v>
      </c>
      <c r="C2232" s="1" t="n">
        <v>45670</v>
      </c>
      <c r="D2232" t="inlineStr">
        <is>
          <t>VÄSTERNORRLANDS LÄN</t>
        </is>
      </c>
      <c r="E2232" t="inlineStr">
        <is>
          <t>SOLLEFTEÅ</t>
        </is>
      </c>
      <c r="G2232" t="n">
        <v>13.3</v>
      </c>
      <c r="H2232" t="n">
        <v>0</v>
      </c>
      <c r="I2232" t="n">
        <v>0</v>
      </c>
      <c r="J2232" t="n">
        <v>0</v>
      </c>
      <c r="K2232" t="n">
        <v>0</v>
      </c>
      <c r="L2232" t="n">
        <v>0</v>
      </c>
      <c r="M2232" t="n">
        <v>0</v>
      </c>
      <c r="N2232" t="n">
        <v>0</v>
      </c>
      <c r="O2232" t="n">
        <v>0</v>
      </c>
      <c r="P2232" t="n">
        <v>0</v>
      </c>
      <c r="Q2232" t="n">
        <v>0</v>
      </c>
      <c r="R2232" s="2" t="inlineStr"/>
    </row>
    <row r="2233" ht="15" customHeight="1">
      <c r="A2233" t="inlineStr">
        <is>
          <t>A 42160-2023</t>
        </is>
      </c>
      <c r="B2233" s="1" t="n">
        <v>45177</v>
      </c>
      <c r="C2233" s="1" t="n">
        <v>45670</v>
      </c>
      <c r="D2233" t="inlineStr">
        <is>
          <t>VÄSTERNORRLANDS LÄN</t>
        </is>
      </c>
      <c r="E2233" t="inlineStr">
        <is>
          <t>SOLLEFTEÅ</t>
        </is>
      </c>
      <c r="F2233" t="inlineStr">
        <is>
          <t>SCA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42164-2023</t>
        </is>
      </c>
      <c r="B2234" s="1" t="n">
        <v>45178</v>
      </c>
      <c r="C2234" s="1" t="n">
        <v>45670</v>
      </c>
      <c r="D2234" t="inlineStr">
        <is>
          <t>VÄSTERNORRLANDS LÄN</t>
        </is>
      </c>
      <c r="E2234" t="inlineStr">
        <is>
          <t>SOLLEFTEÅ</t>
        </is>
      </c>
      <c r="F2234" t="inlineStr">
        <is>
          <t>SCA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42147-2023</t>
        </is>
      </c>
      <c r="B2235" s="1" t="n">
        <v>45177</v>
      </c>
      <c r="C2235" s="1" t="n">
        <v>45670</v>
      </c>
      <c r="D2235" t="inlineStr">
        <is>
          <t>VÄSTERNORRLANDS LÄN</t>
        </is>
      </c>
      <c r="E2235" t="inlineStr">
        <is>
          <t>SOLLEFTEÅ</t>
        </is>
      </c>
      <c r="G2235" t="n">
        <v>24.4</v>
      </c>
      <c r="H2235" t="n">
        <v>0</v>
      </c>
      <c r="I2235" t="n">
        <v>0</v>
      </c>
      <c r="J2235" t="n">
        <v>0</v>
      </c>
      <c r="K2235" t="n">
        <v>0</v>
      </c>
      <c r="L2235" t="n">
        <v>0</v>
      </c>
      <c r="M2235" t="n">
        <v>0</v>
      </c>
      <c r="N2235" t="n">
        <v>0</v>
      </c>
      <c r="O2235" t="n">
        <v>0</v>
      </c>
      <c r="P2235" t="n">
        <v>0</v>
      </c>
      <c r="Q2235" t="n">
        <v>0</v>
      </c>
      <c r="R2235" s="2" t="inlineStr"/>
    </row>
    <row r="2236" ht="15" customHeight="1">
      <c r="A2236" t="inlineStr">
        <is>
          <t>A 42440-2023</t>
        </is>
      </c>
      <c r="B2236" s="1" t="n">
        <v>45180</v>
      </c>
      <c r="C2236" s="1" t="n">
        <v>45670</v>
      </c>
      <c r="D2236" t="inlineStr">
        <is>
          <t>VÄSTERNORRLANDS LÄN</t>
        </is>
      </c>
      <c r="E2236" t="inlineStr">
        <is>
          <t>SOLLEFTEÅ</t>
        </is>
      </c>
      <c r="F2236" t="inlineStr">
        <is>
          <t>Holmen skog AB</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42514-2023</t>
        </is>
      </c>
      <c r="B2237" s="1" t="n">
        <v>45181</v>
      </c>
      <c r="C2237" s="1" t="n">
        <v>45670</v>
      </c>
      <c r="D2237" t="inlineStr">
        <is>
          <t>VÄSTERNORRLANDS LÄN</t>
        </is>
      </c>
      <c r="E2237" t="inlineStr">
        <is>
          <t>SOLLEFTEÅ</t>
        </is>
      </c>
      <c r="F2237" t="inlineStr">
        <is>
          <t>SCA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42512-2023</t>
        </is>
      </c>
      <c r="B2238" s="1" t="n">
        <v>45181</v>
      </c>
      <c r="C2238" s="1" t="n">
        <v>45670</v>
      </c>
      <c r="D2238" t="inlineStr">
        <is>
          <t>VÄSTERNORRLANDS LÄN</t>
        </is>
      </c>
      <c r="E2238" t="inlineStr">
        <is>
          <t>SOLLEFTEÅ</t>
        </is>
      </c>
      <c r="F2238" t="inlineStr">
        <is>
          <t>SCA</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43487-2023</t>
        </is>
      </c>
      <c r="B2239" s="1" t="n">
        <v>45181</v>
      </c>
      <c r="C2239" s="1" t="n">
        <v>45670</v>
      </c>
      <c r="D2239" t="inlineStr">
        <is>
          <t>VÄSTERNORRLANDS LÄN</t>
        </is>
      </c>
      <c r="E2239" t="inlineStr">
        <is>
          <t>SOLLEFTEÅ</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43177-2023</t>
        </is>
      </c>
      <c r="B2240" s="1" t="n">
        <v>45181</v>
      </c>
      <c r="C2240" s="1" t="n">
        <v>45670</v>
      </c>
      <c r="D2240" t="inlineStr">
        <is>
          <t>VÄSTERNORRLANDS LÄN</t>
        </is>
      </c>
      <c r="E2240" t="inlineStr">
        <is>
          <t>SOLLEFTEÅ</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43512-2023</t>
        </is>
      </c>
      <c r="B2241" s="1" t="n">
        <v>45181</v>
      </c>
      <c r="C2241" s="1" t="n">
        <v>45670</v>
      </c>
      <c r="D2241" t="inlineStr">
        <is>
          <t>VÄSTERNORRLANDS LÄN</t>
        </is>
      </c>
      <c r="E2241" t="inlineStr">
        <is>
          <t>SOLLEFTEÅ</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44533-2023</t>
        </is>
      </c>
      <c r="B2242" s="1" t="n">
        <v>45183</v>
      </c>
      <c r="C2242" s="1" t="n">
        <v>45670</v>
      </c>
      <c r="D2242" t="inlineStr">
        <is>
          <t>VÄSTERNORRLANDS LÄN</t>
        </is>
      </c>
      <c r="E2242" t="inlineStr">
        <is>
          <t>SOLLEFTEÅ</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43531-2023</t>
        </is>
      </c>
      <c r="B2243" s="1" t="n">
        <v>45184</v>
      </c>
      <c r="C2243" s="1" t="n">
        <v>45670</v>
      </c>
      <c r="D2243" t="inlineStr">
        <is>
          <t>VÄSTERNORRLANDS LÄN</t>
        </is>
      </c>
      <c r="E2243" t="inlineStr">
        <is>
          <t>SOLLEFTEÅ</t>
        </is>
      </c>
      <c r="F2243" t="inlineStr">
        <is>
          <t>Holmen skog AB</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43504-2023</t>
        </is>
      </c>
      <c r="B2244" s="1" t="n">
        <v>45184</v>
      </c>
      <c r="C2244" s="1" t="n">
        <v>45670</v>
      </c>
      <c r="D2244" t="inlineStr">
        <is>
          <t>VÄSTERNORRLANDS LÄN</t>
        </is>
      </c>
      <c r="E2244" t="inlineStr">
        <is>
          <t>SOLLEFTEÅ</t>
        </is>
      </c>
      <c r="F2244" t="inlineStr">
        <is>
          <t>Holmen skog AB</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45193-2023</t>
        </is>
      </c>
      <c r="B2245" s="1" t="n">
        <v>45187</v>
      </c>
      <c r="C2245" s="1" t="n">
        <v>45670</v>
      </c>
      <c r="D2245" t="inlineStr">
        <is>
          <t>VÄSTERNORRLANDS LÄN</t>
        </is>
      </c>
      <c r="E2245" t="inlineStr">
        <is>
          <t>SOLLEFTEÅ</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44389-2023</t>
        </is>
      </c>
      <c r="B2246" s="1" t="n">
        <v>45189</v>
      </c>
      <c r="C2246" s="1" t="n">
        <v>45670</v>
      </c>
      <c r="D2246" t="inlineStr">
        <is>
          <t>VÄSTERNORRLANDS LÄN</t>
        </is>
      </c>
      <c r="E2246" t="inlineStr">
        <is>
          <t>SOLLEFTEÅ</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44393-2023</t>
        </is>
      </c>
      <c r="B2247" s="1" t="n">
        <v>45189</v>
      </c>
      <c r="C2247" s="1" t="n">
        <v>45670</v>
      </c>
      <c r="D2247" t="inlineStr">
        <is>
          <t>VÄSTERNORRLANDS LÄN</t>
        </is>
      </c>
      <c r="E2247" t="inlineStr">
        <is>
          <t>SOLLEFTEÅ</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44388-2023</t>
        </is>
      </c>
      <c r="B2248" s="1" t="n">
        <v>45189</v>
      </c>
      <c r="C2248" s="1" t="n">
        <v>45670</v>
      </c>
      <c r="D2248" t="inlineStr">
        <is>
          <t>VÄSTERNORRLANDS LÄN</t>
        </is>
      </c>
      <c r="E2248" t="inlineStr">
        <is>
          <t>SOLLEFTEÅ</t>
        </is>
      </c>
      <c r="F2248" t="inlineStr">
        <is>
          <t>SCA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44392-2023</t>
        </is>
      </c>
      <c r="B2249" s="1" t="n">
        <v>45189</v>
      </c>
      <c r="C2249" s="1" t="n">
        <v>45670</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44408-2023</t>
        </is>
      </c>
      <c r="B2250" s="1" t="n">
        <v>45189</v>
      </c>
      <c r="C2250" s="1" t="n">
        <v>45670</v>
      </c>
      <c r="D2250" t="inlineStr">
        <is>
          <t>VÄSTERNORRLANDS LÄN</t>
        </is>
      </c>
      <c r="E2250" t="inlineStr">
        <is>
          <t>SOLLEFTEÅ</t>
        </is>
      </c>
      <c r="F2250" t="inlineStr">
        <is>
          <t>SCA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44391-2023</t>
        </is>
      </c>
      <c r="B2251" s="1" t="n">
        <v>45189</v>
      </c>
      <c r="C2251" s="1" t="n">
        <v>45670</v>
      </c>
      <c r="D2251" t="inlineStr">
        <is>
          <t>VÄSTERNORRLANDS LÄN</t>
        </is>
      </c>
      <c r="E2251" t="inlineStr">
        <is>
          <t>SOLLEFTEÅ</t>
        </is>
      </c>
      <c r="F2251" t="inlineStr">
        <is>
          <t>SCA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44407-2023</t>
        </is>
      </c>
      <c r="B2252" s="1" t="n">
        <v>45189</v>
      </c>
      <c r="C2252" s="1" t="n">
        <v>45670</v>
      </c>
      <c r="D2252" t="inlineStr">
        <is>
          <t>VÄSTERNORRLANDS LÄN</t>
        </is>
      </c>
      <c r="E2252" t="inlineStr">
        <is>
          <t>SOLLEFTEÅ</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45644-2023</t>
        </is>
      </c>
      <c r="B2253" s="1" t="n">
        <v>45188</v>
      </c>
      <c r="C2253" s="1" t="n">
        <v>45670</v>
      </c>
      <c r="D2253" t="inlineStr">
        <is>
          <t>VÄSTERNORRLANDS LÄN</t>
        </is>
      </c>
      <c r="E2253" t="inlineStr">
        <is>
          <t>SOLLEFTEÅ</t>
        </is>
      </c>
      <c r="F2253" t="inlineStr">
        <is>
          <t>SCA</t>
        </is>
      </c>
      <c r="G2253" t="n">
        <v>1</v>
      </c>
      <c r="H2253" t="n">
        <v>0</v>
      </c>
      <c r="I2253" t="n">
        <v>0</v>
      </c>
      <c r="J2253" t="n">
        <v>0</v>
      </c>
      <c r="K2253" t="n">
        <v>0</v>
      </c>
      <c r="L2253" t="n">
        <v>0</v>
      </c>
      <c r="M2253" t="n">
        <v>0</v>
      </c>
      <c r="N2253" t="n">
        <v>0</v>
      </c>
      <c r="O2253" t="n">
        <v>0</v>
      </c>
      <c r="P2253" t="n">
        <v>0</v>
      </c>
      <c r="Q2253" t="n">
        <v>0</v>
      </c>
      <c r="R2253" s="2" t="inlineStr"/>
      <c r="U2253">
        <f>HYPERLINK("https://klasma.github.io/Logging_2283/knärot/A 45644-2023 karta knärot.png", "A 45644-2023")</f>
        <v/>
      </c>
      <c r="V2253">
        <f>HYPERLINK("https://klasma.github.io/Logging_2283/klagomål/A 45644-2023 FSC-klagomål.docx", "A 45644-2023")</f>
        <v/>
      </c>
      <c r="W2253">
        <f>HYPERLINK("https://klasma.github.io/Logging_2283/klagomålsmail/A 45644-2023 FSC-klagomål mail.docx", "A 45644-2023")</f>
        <v/>
      </c>
      <c r="X2253">
        <f>HYPERLINK("https://klasma.github.io/Logging_2283/tillsyn/A 45644-2023 tillsynsbegäran.docx", "A 45644-2023")</f>
        <v/>
      </c>
      <c r="Y2253">
        <f>HYPERLINK("https://klasma.github.io/Logging_2283/tillsynsmail/A 45644-2023 tillsynsbegäran mail.docx", "A 45644-2023")</f>
        <v/>
      </c>
    </row>
    <row r="2254" ht="15" customHeight="1">
      <c r="A2254" t="inlineStr">
        <is>
          <t>A 44410-2023</t>
        </is>
      </c>
      <c r="B2254" s="1" t="n">
        <v>45189</v>
      </c>
      <c r="C2254" s="1" t="n">
        <v>45670</v>
      </c>
      <c r="D2254" t="inlineStr">
        <is>
          <t>VÄSTERNORRLANDS LÄN</t>
        </is>
      </c>
      <c r="E2254" t="inlineStr">
        <is>
          <t>SOLLEFTEÅ</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44905-2023</t>
        </is>
      </c>
      <c r="B2255" s="1" t="n">
        <v>45189</v>
      </c>
      <c r="C2255" s="1" t="n">
        <v>45670</v>
      </c>
      <c r="D2255" t="inlineStr">
        <is>
          <t>VÄSTERNORRLANDS LÄN</t>
        </is>
      </c>
      <c r="E2255" t="inlineStr">
        <is>
          <t>SOLLEFTEÅ</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44781-2023</t>
        </is>
      </c>
      <c r="B2256" s="1" t="n">
        <v>45190</v>
      </c>
      <c r="C2256" s="1" t="n">
        <v>45670</v>
      </c>
      <c r="D2256" t="inlineStr">
        <is>
          <t>VÄSTERNORRLANDS LÄN</t>
        </is>
      </c>
      <c r="E2256" t="inlineStr">
        <is>
          <t>SOLLEFTEÅ</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45007-2023</t>
        </is>
      </c>
      <c r="B2257" s="1" t="n">
        <v>45190</v>
      </c>
      <c r="C2257" s="1" t="n">
        <v>45670</v>
      </c>
      <c r="D2257" t="inlineStr">
        <is>
          <t>VÄSTERNORRLANDS LÄN</t>
        </is>
      </c>
      <c r="E2257" t="inlineStr">
        <is>
          <t>SOLLEFTEÅ</t>
        </is>
      </c>
      <c r="F2257" t="inlineStr">
        <is>
          <t>SCA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45015-2023</t>
        </is>
      </c>
      <c r="B2258" s="1" t="n">
        <v>45191</v>
      </c>
      <c r="C2258" s="1" t="n">
        <v>45670</v>
      </c>
      <c r="D2258" t="inlineStr">
        <is>
          <t>VÄSTERNORRLANDS LÄN</t>
        </is>
      </c>
      <c r="E2258" t="inlineStr">
        <is>
          <t>SOLLEFTEÅ</t>
        </is>
      </c>
      <c r="F2258" t="inlineStr">
        <is>
          <t>SCA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44984-2023</t>
        </is>
      </c>
      <c r="B2259" s="1" t="n">
        <v>45191</v>
      </c>
      <c r="C2259" s="1" t="n">
        <v>45670</v>
      </c>
      <c r="D2259" t="inlineStr">
        <is>
          <t>VÄSTERNORRLANDS LÄN</t>
        </is>
      </c>
      <c r="E2259" t="inlineStr">
        <is>
          <t>SOLLEFTEÅ</t>
        </is>
      </c>
      <c r="F2259" t="inlineStr">
        <is>
          <t>SCA</t>
        </is>
      </c>
      <c r="G2259" t="n">
        <v>8.1</v>
      </c>
      <c r="H2259" t="n">
        <v>0</v>
      </c>
      <c r="I2259" t="n">
        <v>0</v>
      </c>
      <c r="J2259" t="n">
        <v>0</v>
      </c>
      <c r="K2259" t="n">
        <v>0</v>
      </c>
      <c r="L2259" t="n">
        <v>0</v>
      </c>
      <c r="M2259" t="n">
        <v>0</v>
      </c>
      <c r="N2259" t="n">
        <v>0</v>
      </c>
      <c r="O2259" t="n">
        <v>0</v>
      </c>
      <c r="P2259" t="n">
        <v>0</v>
      </c>
      <c r="Q2259" t="n">
        <v>0</v>
      </c>
      <c r="R2259" s="2" t="inlineStr"/>
    </row>
    <row r="2260" ht="15" customHeight="1">
      <c r="A2260" t="inlineStr">
        <is>
          <t>A 45016-2023</t>
        </is>
      </c>
      <c r="B2260" s="1" t="n">
        <v>45191</v>
      </c>
      <c r="C2260" s="1" t="n">
        <v>45670</v>
      </c>
      <c r="D2260" t="inlineStr">
        <is>
          <t>VÄSTERNORRLANDS LÄN</t>
        </is>
      </c>
      <c r="E2260" t="inlineStr">
        <is>
          <t>SOLLEFTEÅ</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44986-2023</t>
        </is>
      </c>
      <c r="B2261" s="1" t="n">
        <v>45190</v>
      </c>
      <c r="C2261" s="1" t="n">
        <v>45670</v>
      </c>
      <c r="D2261" t="inlineStr">
        <is>
          <t>VÄSTERNORRLANDS LÄN</t>
        </is>
      </c>
      <c r="E2261" t="inlineStr">
        <is>
          <t>SOLLEFTEÅ</t>
        </is>
      </c>
      <c r="F2261" t="inlineStr">
        <is>
          <t>SCA</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44994-2023</t>
        </is>
      </c>
      <c r="B2262" s="1" t="n">
        <v>45190</v>
      </c>
      <c r="C2262" s="1" t="n">
        <v>45670</v>
      </c>
      <c r="D2262" t="inlineStr">
        <is>
          <t>VÄSTERNORRLANDS LÄN</t>
        </is>
      </c>
      <c r="E2262" t="inlineStr">
        <is>
          <t>SOLLEFTEÅ</t>
        </is>
      </c>
      <c r="F2262" t="inlineStr">
        <is>
          <t>SCA</t>
        </is>
      </c>
      <c r="G2262" t="n">
        <v>26.8</v>
      </c>
      <c r="H2262" t="n">
        <v>0</v>
      </c>
      <c r="I2262" t="n">
        <v>0</v>
      </c>
      <c r="J2262" t="n">
        <v>0</v>
      </c>
      <c r="K2262" t="n">
        <v>0</v>
      </c>
      <c r="L2262" t="n">
        <v>0</v>
      </c>
      <c r="M2262" t="n">
        <v>0</v>
      </c>
      <c r="N2262" t="n">
        <v>0</v>
      </c>
      <c r="O2262" t="n">
        <v>0</v>
      </c>
      <c r="P2262" t="n">
        <v>0</v>
      </c>
      <c r="Q2262" t="n">
        <v>0</v>
      </c>
      <c r="R2262" s="2" t="inlineStr"/>
    </row>
    <row r="2263" ht="15" customHeight="1">
      <c r="A2263" t="inlineStr">
        <is>
          <t>A 44998-2023</t>
        </is>
      </c>
      <c r="B2263" s="1" t="n">
        <v>45191</v>
      </c>
      <c r="C2263" s="1" t="n">
        <v>45670</v>
      </c>
      <c r="D2263" t="inlineStr">
        <is>
          <t>VÄSTERNORRLANDS LÄN</t>
        </is>
      </c>
      <c r="E2263" t="inlineStr">
        <is>
          <t>SOLLEFTEÅ</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45014-2023</t>
        </is>
      </c>
      <c r="B2264" s="1" t="n">
        <v>45191</v>
      </c>
      <c r="C2264" s="1" t="n">
        <v>45670</v>
      </c>
      <c r="D2264" t="inlineStr">
        <is>
          <t>VÄSTERNORRLANDS LÄN</t>
        </is>
      </c>
      <c r="E2264" t="inlineStr">
        <is>
          <t>SOLLEFTEÅ</t>
        </is>
      </c>
      <c r="F2264" t="inlineStr">
        <is>
          <t>SCA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45017-2023</t>
        </is>
      </c>
      <c r="B2265" s="1" t="n">
        <v>45190</v>
      </c>
      <c r="C2265" s="1" t="n">
        <v>45670</v>
      </c>
      <c r="D2265" t="inlineStr">
        <is>
          <t>VÄSTERNORRLANDS LÄN</t>
        </is>
      </c>
      <c r="E2265" t="inlineStr">
        <is>
          <t>SOLLEFTEÅ</t>
        </is>
      </c>
      <c r="F2265" t="inlineStr">
        <is>
          <t>SCA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46212-2023</t>
        </is>
      </c>
      <c r="B2266" s="1" t="n">
        <v>45190</v>
      </c>
      <c r="C2266" s="1" t="n">
        <v>45670</v>
      </c>
      <c r="D2266" t="inlineStr">
        <is>
          <t>VÄSTERNORRLANDS LÄN</t>
        </is>
      </c>
      <c r="E2266" t="inlineStr">
        <is>
          <t>SOLLEFTEÅ</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46207-2023</t>
        </is>
      </c>
      <c r="B2267" s="1" t="n">
        <v>45190</v>
      </c>
      <c r="C2267" s="1" t="n">
        <v>45670</v>
      </c>
      <c r="D2267" t="inlineStr">
        <is>
          <t>VÄSTERNORRLANDS LÄN</t>
        </is>
      </c>
      <c r="E2267" t="inlineStr">
        <is>
          <t>SOLLEFTEÅ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46357-2023</t>
        </is>
      </c>
      <c r="B2268" s="1" t="n">
        <v>45191</v>
      </c>
      <c r="C2268" s="1" t="n">
        <v>45670</v>
      </c>
      <c r="D2268" t="inlineStr">
        <is>
          <t>VÄSTERNORRLANDS LÄN</t>
        </is>
      </c>
      <c r="E2268" t="inlineStr">
        <is>
          <t>SOLLEFTEÅ</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46344-2023</t>
        </is>
      </c>
      <c r="B2269" s="1" t="n">
        <v>45191</v>
      </c>
      <c r="C2269" s="1" t="n">
        <v>45670</v>
      </c>
      <c r="D2269" t="inlineStr">
        <is>
          <t>VÄSTERNORRLANDS LÄN</t>
        </is>
      </c>
      <c r="E2269" t="inlineStr">
        <is>
          <t>SOLLEFTEÅ</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45570-2023</t>
        </is>
      </c>
      <c r="B2270" s="1" t="n">
        <v>45194</v>
      </c>
      <c r="C2270" s="1" t="n">
        <v>45670</v>
      </c>
      <c r="D2270" t="inlineStr">
        <is>
          <t>VÄSTERNORRLANDS LÄN</t>
        </is>
      </c>
      <c r="E2270" t="inlineStr">
        <is>
          <t>SOLLEFTEÅ</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45958-2023</t>
        </is>
      </c>
      <c r="B2271" s="1" t="n">
        <v>45195</v>
      </c>
      <c r="C2271" s="1" t="n">
        <v>45670</v>
      </c>
      <c r="D2271" t="inlineStr">
        <is>
          <t>VÄSTERNORRLANDS LÄN</t>
        </is>
      </c>
      <c r="E2271" t="inlineStr">
        <is>
          <t>SOLLEFTEÅ</t>
        </is>
      </c>
      <c r="F2271" t="inlineStr">
        <is>
          <t>SCA</t>
        </is>
      </c>
      <c r="G2271" t="n">
        <v>9.9</v>
      </c>
      <c r="H2271" t="n">
        <v>0</v>
      </c>
      <c r="I2271" t="n">
        <v>0</v>
      </c>
      <c r="J2271" t="n">
        <v>0</v>
      </c>
      <c r="K2271" t="n">
        <v>0</v>
      </c>
      <c r="L2271" t="n">
        <v>0</v>
      </c>
      <c r="M2271" t="n">
        <v>0</v>
      </c>
      <c r="N2271" t="n">
        <v>0</v>
      </c>
      <c r="O2271" t="n">
        <v>0</v>
      </c>
      <c r="P2271" t="n">
        <v>0</v>
      </c>
      <c r="Q2271" t="n">
        <v>0</v>
      </c>
      <c r="R2271" s="2" t="inlineStr"/>
    </row>
    <row r="2272" ht="15" customHeight="1">
      <c r="A2272" t="inlineStr">
        <is>
          <t>A 45973-2023</t>
        </is>
      </c>
      <c r="B2272" s="1" t="n">
        <v>45195</v>
      </c>
      <c r="C2272" s="1" t="n">
        <v>45670</v>
      </c>
      <c r="D2272" t="inlineStr">
        <is>
          <t>VÄSTERNORRLANDS LÄN</t>
        </is>
      </c>
      <c r="E2272" t="inlineStr">
        <is>
          <t>SOLLEFTEÅ</t>
        </is>
      </c>
      <c r="F2272" t="inlineStr">
        <is>
          <t>SCA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46256-2023</t>
        </is>
      </c>
      <c r="B2273" s="1" t="n">
        <v>45197</v>
      </c>
      <c r="C2273" s="1" t="n">
        <v>45670</v>
      </c>
      <c r="D2273" t="inlineStr">
        <is>
          <t>VÄSTERNORRLANDS LÄN</t>
        </is>
      </c>
      <c r="E2273" t="inlineStr">
        <is>
          <t>SOLLEFTEÅ</t>
        </is>
      </c>
      <c r="F2273" t="inlineStr">
        <is>
          <t>SCA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47329-2023</t>
        </is>
      </c>
      <c r="B2274" s="1" t="n">
        <v>45196</v>
      </c>
      <c r="C2274" s="1" t="n">
        <v>45670</v>
      </c>
      <c r="D2274" t="inlineStr">
        <is>
          <t>VÄSTERNORRLANDS LÄN</t>
        </is>
      </c>
      <c r="E2274" t="inlineStr">
        <is>
          <t>SOLLEFTEÅ</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47327-2023</t>
        </is>
      </c>
      <c r="B2275" s="1" t="n">
        <v>45196</v>
      </c>
      <c r="C2275" s="1" t="n">
        <v>45670</v>
      </c>
      <c r="D2275" t="inlineStr">
        <is>
          <t>VÄSTERNORRLANDS LÄN</t>
        </is>
      </c>
      <c r="E2275" t="inlineStr">
        <is>
          <t>SOLLEFTEÅ</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46553-2023</t>
        </is>
      </c>
      <c r="B2276" s="1" t="n">
        <v>45198</v>
      </c>
      <c r="C2276" s="1" t="n">
        <v>45670</v>
      </c>
      <c r="D2276" t="inlineStr">
        <is>
          <t>VÄSTERNORRLANDS LÄN</t>
        </is>
      </c>
      <c r="E2276" t="inlineStr">
        <is>
          <t>SOLLEFTEÅ</t>
        </is>
      </c>
      <c r="F2276" t="inlineStr">
        <is>
          <t>SCA</t>
        </is>
      </c>
      <c r="G2276" t="n">
        <v>8.300000000000001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46550-2023</t>
        </is>
      </c>
      <c r="B2277" s="1" t="n">
        <v>45198</v>
      </c>
      <c r="C2277" s="1" t="n">
        <v>45670</v>
      </c>
      <c r="D2277" t="inlineStr">
        <is>
          <t>VÄSTERNORRLANDS LÄN</t>
        </is>
      </c>
      <c r="E2277" t="inlineStr">
        <is>
          <t>SOLLEFTEÅ</t>
        </is>
      </c>
      <c r="F2277" t="inlineStr">
        <is>
          <t>SCA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46554-2023</t>
        </is>
      </c>
      <c r="B2278" s="1" t="n">
        <v>45198</v>
      </c>
      <c r="C2278" s="1" t="n">
        <v>45670</v>
      </c>
      <c r="D2278" t="inlineStr">
        <is>
          <t>VÄSTERNORRLANDS LÄN</t>
        </is>
      </c>
      <c r="E2278" t="inlineStr">
        <is>
          <t>SOLLEFTEÅ</t>
        </is>
      </c>
      <c r="F2278" t="inlineStr">
        <is>
          <t>SCA</t>
        </is>
      </c>
      <c r="G2278" t="n">
        <v>8.4</v>
      </c>
      <c r="H2278" t="n">
        <v>0</v>
      </c>
      <c r="I2278" t="n">
        <v>0</v>
      </c>
      <c r="J2278" t="n">
        <v>0</v>
      </c>
      <c r="K2278" t="n">
        <v>0</v>
      </c>
      <c r="L2278" t="n">
        <v>0</v>
      </c>
      <c r="M2278" t="n">
        <v>0</v>
      </c>
      <c r="N2278" t="n">
        <v>0</v>
      </c>
      <c r="O2278" t="n">
        <v>0</v>
      </c>
      <c r="P2278" t="n">
        <v>0</v>
      </c>
      <c r="Q2278" t="n">
        <v>0</v>
      </c>
      <c r="R2278" s="2" t="inlineStr"/>
    </row>
    <row r="2279" ht="15" customHeight="1">
      <c r="A2279" t="inlineStr">
        <is>
          <t>A 46555-2023</t>
        </is>
      </c>
      <c r="B2279" s="1" t="n">
        <v>45198</v>
      </c>
      <c r="C2279" s="1" t="n">
        <v>45670</v>
      </c>
      <c r="D2279" t="inlineStr">
        <is>
          <t>VÄSTERNORRLANDS LÄN</t>
        </is>
      </c>
      <c r="E2279" t="inlineStr">
        <is>
          <t>SOLLEFTEÅ</t>
        </is>
      </c>
      <c r="F2279" t="inlineStr">
        <is>
          <t>SCA</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46804-2023</t>
        </is>
      </c>
      <c r="B2280" s="1" t="n">
        <v>45198</v>
      </c>
      <c r="C2280" s="1" t="n">
        <v>45670</v>
      </c>
      <c r="D2280" t="inlineStr">
        <is>
          <t>VÄSTERNORRLANDS LÄN</t>
        </is>
      </c>
      <c r="E2280" t="inlineStr">
        <is>
          <t>SOLLEFTEÅ</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47741-2023</t>
        </is>
      </c>
      <c r="B2281" s="1" t="n">
        <v>45198</v>
      </c>
      <c r="C2281" s="1" t="n">
        <v>45670</v>
      </c>
      <c r="D2281" t="inlineStr">
        <is>
          <t>VÄSTERNORRLANDS LÄN</t>
        </is>
      </c>
      <c r="E2281" t="inlineStr">
        <is>
          <t>SOLLEFTEÅ</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47159-2023</t>
        </is>
      </c>
      <c r="B2282" s="1" t="n">
        <v>45201</v>
      </c>
      <c r="C2282" s="1" t="n">
        <v>45670</v>
      </c>
      <c r="D2282" t="inlineStr">
        <is>
          <t>VÄSTERNORRLANDS LÄN</t>
        </is>
      </c>
      <c r="E2282" t="inlineStr">
        <is>
          <t>SOLLEFTEÅ</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47167-2023</t>
        </is>
      </c>
      <c r="B2283" s="1" t="n">
        <v>45202</v>
      </c>
      <c r="C2283" s="1" t="n">
        <v>45670</v>
      </c>
      <c r="D2283" t="inlineStr">
        <is>
          <t>VÄSTERNORRLANDS LÄN</t>
        </is>
      </c>
      <c r="E2283" t="inlineStr">
        <is>
          <t>SOLLEFTEÅ</t>
        </is>
      </c>
      <c r="F2283" t="inlineStr">
        <is>
          <t>SCA</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47175-2023</t>
        </is>
      </c>
      <c r="B2284" s="1" t="n">
        <v>45202</v>
      </c>
      <c r="C2284" s="1" t="n">
        <v>45670</v>
      </c>
      <c r="D2284" t="inlineStr">
        <is>
          <t>VÄSTERNORRLANDS LÄN</t>
        </is>
      </c>
      <c r="E2284" t="inlineStr">
        <is>
          <t>SOLLEFTEÅ</t>
        </is>
      </c>
      <c r="F2284" t="inlineStr">
        <is>
          <t>SCA</t>
        </is>
      </c>
      <c r="G2284" t="n">
        <v>14.7</v>
      </c>
      <c r="H2284" t="n">
        <v>0</v>
      </c>
      <c r="I2284" t="n">
        <v>0</v>
      </c>
      <c r="J2284" t="n">
        <v>0</v>
      </c>
      <c r="K2284" t="n">
        <v>0</v>
      </c>
      <c r="L2284" t="n">
        <v>0</v>
      </c>
      <c r="M2284" t="n">
        <v>0</v>
      </c>
      <c r="N2284" t="n">
        <v>0</v>
      </c>
      <c r="O2284" t="n">
        <v>0</v>
      </c>
      <c r="P2284" t="n">
        <v>0</v>
      </c>
      <c r="Q2284" t="n">
        <v>0</v>
      </c>
      <c r="R2284" s="2" t="inlineStr"/>
    </row>
    <row r="2285" ht="15" customHeight="1">
      <c r="A2285" t="inlineStr">
        <is>
          <t>A 47170-2023</t>
        </is>
      </c>
      <c r="B2285" s="1" t="n">
        <v>45202</v>
      </c>
      <c r="C2285" s="1" t="n">
        <v>45670</v>
      </c>
      <c r="D2285" t="inlineStr">
        <is>
          <t>VÄSTERNORRLANDS LÄN</t>
        </is>
      </c>
      <c r="E2285" t="inlineStr">
        <is>
          <t>SOLLEFTEÅ</t>
        </is>
      </c>
      <c r="F2285" t="inlineStr">
        <is>
          <t>SCA</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47174-2023</t>
        </is>
      </c>
      <c r="B2286" s="1" t="n">
        <v>45202</v>
      </c>
      <c r="C2286" s="1" t="n">
        <v>45670</v>
      </c>
      <c r="D2286" t="inlineStr">
        <is>
          <t>VÄSTERNORRLANDS LÄN</t>
        </is>
      </c>
      <c r="E2286" t="inlineStr">
        <is>
          <t>SOLLEFTEÅ</t>
        </is>
      </c>
      <c r="F2286" t="inlineStr">
        <is>
          <t>SCA</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47177-2023</t>
        </is>
      </c>
      <c r="B2287" s="1" t="n">
        <v>45201</v>
      </c>
      <c r="C2287" s="1" t="n">
        <v>45670</v>
      </c>
      <c r="D2287" t="inlineStr">
        <is>
          <t>VÄSTERNORRLANDS LÄN</t>
        </is>
      </c>
      <c r="E2287" t="inlineStr">
        <is>
          <t>SOLLEFTEÅ</t>
        </is>
      </c>
      <c r="F2287" t="inlineStr">
        <is>
          <t>SCA</t>
        </is>
      </c>
      <c r="G2287" t="n">
        <v>7.8</v>
      </c>
      <c r="H2287" t="n">
        <v>0</v>
      </c>
      <c r="I2287" t="n">
        <v>0</v>
      </c>
      <c r="J2287" t="n">
        <v>0</v>
      </c>
      <c r="K2287" t="n">
        <v>0</v>
      </c>
      <c r="L2287" t="n">
        <v>0</v>
      </c>
      <c r="M2287" t="n">
        <v>0</v>
      </c>
      <c r="N2287" t="n">
        <v>0</v>
      </c>
      <c r="O2287" t="n">
        <v>0</v>
      </c>
      <c r="P2287" t="n">
        <v>0</v>
      </c>
      <c r="Q2287" t="n">
        <v>0</v>
      </c>
      <c r="R2287" s="2" t="inlineStr"/>
    </row>
    <row r="2288" ht="15" customHeight="1">
      <c r="A2288" t="inlineStr">
        <is>
          <t>A 47181-2023</t>
        </is>
      </c>
      <c r="B2288" s="1" t="n">
        <v>45202</v>
      </c>
      <c r="C2288" s="1" t="n">
        <v>45670</v>
      </c>
      <c r="D2288" t="inlineStr">
        <is>
          <t>VÄSTERNORRLANDS LÄN</t>
        </is>
      </c>
      <c r="E2288" t="inlineStr">
        <is>
          <t>SOLLEFTEÅ</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47185-2023</t>
        </is>
      </c>
      <c r="B2289" s="1" t="n">
        <v>45201</v>
      </c>
      <c r="C2289" s="1" t="n">
        <v>45670</v>
      </c>
      <c r="D2289" t="inlineStr">
        <is>
          <t>VÄSTERNORRLANDS LÄN</t>
        </is>
      </c>
      <c r="E2289" t="inlineStr">
        <is>
          <t>SOLLEFTEÅ</t>
        </is>
      </c>
      <c r="F2289" t="inlineStr">
        <is>
          <t>SCA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47490-2023</t>
        </is>
      </c>
      <c r="B2290" s="1" t="n">
        <v>45203</v>
      </c>
      <c r="C2290" s="1" t="n">
        <v>45670</v>
      </c>
      <c r="D2290" t="inlineStr">
        <is>
          <t>VÄSTERNORRLANDS LÄN</t>
        </is>
      </c>
      <c r="E2290" t="inlineStr">
        <is>
          <t>SOLLEFTEÅ</t>
        </is>
      </c>
      <c r="F2290" t="inlineStr">
        <is>
          <t>SCA</t>
        </is>
      </c>
      <c r="G2290" t="n">
        <v>12.6</v>
      </c>
      <c r="H2290" t="n">
        <v>0</v>
      </c>
      <c r="I2290" t="n">
        <v>0</v>
      </c>
      <c r="J2290" t="n">
        <v>0</v>
      </c>
      <c r="K2290" t="n">
        <v>0</v>
      </c>
      <c r="L2290" t="n">
        <v>0</v>
      </c>
      <c r="M2290" t="n">
        <v>0</v>
      </c>
      <c r="N2290" t="n">
        <v>0</v>
      </c>
      <c r="O2290" t="n">
        <v>0</v>
      </c>
      <c r="P2290" t="n">
        <v>0</v>
      </c>
      <c r="Q2290" t="n">
        <v>0</v>
      </c>
      <c r="R2290" s="2" t="inlineStr"/>
    </row>
    <row r="2291" ht="15" customHeight="1">
      <c r="A2291" t="inlineStr">
        <is>
          <t>A 47457-2023</t>
        </is>
      </c>
      <c r="B2291" s="1" t="n">
        <v>45202</v>
      </c>
      <c r="C2291" s="1" t="n">
        <v>45670</v>
      </c>
      <c r="D2291" t="inlineStr">
        <is>
          <t>VÄSTERNORRLANDS LÄN</t>
        </is>
      </c>
      <c r="E2291" t="inlineStr">
        <is>
          <t>SOLLEFTEÅ</t>
        </is>
      </c>
      <c r="F2291" t="inlineStr">
        <is>
          <t>Holmen skog AB</t>
        </is>
      </c>
      <c r="G2291" t="n">
        <v>10.7</v>
      </c>
      <c r="H2291" t="n">
        <v>0</v>
      </c>
      <c r="I2291" t="n">
        <v>0</v>
      </c>
      <c r="J2291" t="n">
        <v>0</v>
      </c>
      <c r="K2291" t="n">
        <v>0</v>
      </c>
      <c r="L2291" t="n">
        <v>0</v>
      </c>
      <c r="M2291" t="n">
        <v>0</v>
      </c>
      <c r="N2291" t="n">
        <v>0</v>
      </c>
      <c r="O2291" t="n">
        <v>0</v>
      </c>
      <c r="P2291" t="n">
        <v>0</v>
      </c>
      <c r="Q2291" t="n">
        <v>0</v>
      </c>
      <c r="R2291" s="2" t="inlineStr"/>
    </row>
    <row r="2292" ht="15" customHeight="1">
      <c r="A2292" t="inlineStr">
        <is>
          <t>A 47477-2023</t>
        </is>
      </c>
      <c r="B2292" s="1" t="n">
        <v>45203</v>
      </c>
      <c r="C2292" s="1" t="n">
        <v>45670</v>
      </c>
      <c r="D2292" t="inlineStr">
        <is>
          <t>VÄSTERNORRLANDS LÄN</t>
        </is>
      </c>
      <c r="E2292" t="inlineStr">
        <is>
          <t>SOLLEFTEÅ</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47794-2023</t>
        </is>
      </c>
      <c r="B2293" s="1" t="n">
        <v>45204</v>
      </c>
      <c r="C2293" s="1" t="n">
        <v>45670</v>
      </c>
      <c r="D2293" t="inlineStr">
        <is>
          <t>VÄSTERNORRLANDS LÄN</t>
        </is>
      </c>
      <c r="E2293" t="inlineStr">
        <is>
          <t>SOLLEFTEÅ</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48077-2023</t>
        </is>
      </c>
      <c r="B2294" s="1" t="n">
        <v>45205</v>
      </c>
      <c r="C2294" s="1" t="n">
        <v>45670</v>
      </c>
      <c r="D2294" t="inlineStr">
        <is>
          <t>VÄSTERNORRLANDS LÄN</t>
        </is>
      </c>
      <c r="E2294" t="inlineStr">
        <is>
          <t>SOLLEFTEÅ</t>
        </is>
      </c>
      <c r="F2294" t="inlineStr">
        <is>
          <t>SCA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48085-2023</t>
        </is>
      </c>
      <c r="B2295" s="1" t="n">
        <v>45205</v>
      </c>
      <c r="C2295" s="1" t="n">
        <v>45670</v>
      </c>
      <c r="D2295" t="inlineStr">
        <is>
          <t>VÄSTERNORRLANDS LÄN</t>
        </is>
      </c>
      <c r="E2295" t="inlineStr">
        <is>
          <t>SOLLEFTEÅ</t>
        </is>
      </c>
      <c r="F2295" t="inlineStr">
        <is>
          <t>SCA</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48089-2023</t>
        </is>
      </c>
      <c r="B2296" s="1" t="n">
        <v>45204</v>
      </c>
      <c r="C2296" s="1" t="n">
        <v>45670</v>
      </c>
      <c r="D2296" t="inlineStr">
        <is>
          <t>VÄSTERNORRLANDS LÄN</t>
        </is>
      </c>
      <c r="E2296" t="inlineStr">
        <is>
          <t>SOLLEFTEÅ</t>
        </is>
      </c>
      <c r="F2296" t="inlineStr">
        <is>
          <t>SCA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48083-2023</t>
        </is>
      </c>
      <c r="B2297" s="1" t="n">
        <v>45204</v>
      </c>
      <c r="C2297" s="1" t="n">
        <v>45670</v>
      </c>
      <c r="D2297" t="inlineStr">
        <is>
          <t>VÄSTERNORRLANDS LÄN</t>
        </is>
      </c>
      <c r="E2297" t="inlineStr">
        <is>
          <t>SOLLEFTEÅ</t>
        </is>
      </c>
      <c r="F2297" t="inlineStr">
        <is>
          <t>SCA</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48086-2023</t>
        </is>
      </c>
      <c r="B2298" s="1" t="n">
        <v>45205</v>
      </c>
      <c r="C2298" s="1" t="n">
        <v>45670</v>
      </c>
      <c r="D2298" t="inlineStr">
        <is>
          <t>VÄSTERNORRLANDS LÄN</t>
        </is>
      </c>
      <c r="E2298" t="inlineStr">
        <is>
          <t>SOLLEFTEÅ</t>
        </is>
      </c>
      <c r="F2298" t="inlineStr">
        <is>
          <t>SCA</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48090-2023</t>
        </is>
      </c>
      <c r="B2299" s="1" t="n">
        <v>45205</v>
      </c>
      <c r="C2299" s="1" t="n">
        <v>45670</v>
      </c>
      <c r="D2299" t="inlineStr">
        <is>
          <t>VÄSTERNORRLANDS LÄN</t>
        </is>
      </c>
      <c r="E2299" t="inlineStr">
        <is>
          <t>SOLLEFTEÅ</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48072-2023</t>
        </is>
      </c>
      <c r="B2300" s="1" t="n">
        <v>45205</v>
      </c>
      <c r="C2300" s="1" t="n">
        <v>45670</v>
      </c>
      <c r="D2300" t="inlineStr">
        <is>
          <t>VÄSTERNORRLANDS LÄN</t>
        </is>
      </c>
      <c r="E2300" t="inlineStr">
        <is>
          <t>SOLLEFTEÅ</t>
        </is>
      </c>
      <c r="F2300" t="inlineStr">
        <is>
          <t>SCA</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48088-2023</t>
        </is>
      </c>
      <c r="B2301" s="1" t="n">
        <v>45205</v>
      </c>
      <c r="C2301" s="1" t="n">
        <v>45670</v>
      </c>
      <c r="D2301" t="inlineStr">
        <is>
          <t>VÄSTERNORRLANDS LÄN</t>
        </is>
      </c>
      <c r="E2301" t="inlineStr">
        <is>
          <t>SOLLEFTEÅ</t>
        </is>
      </c>
      <c r="F2301" t="inlineStr">
        <is>
          <t>SCA</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48964-2023</t>
        </is>
      </c>
      <c r="B2302" s="1" t="n">
        <v>45204</v>
      </c>
      <c r="C2302" s="1" t="n">
        <v>45670</v>
      </c>
      <c r="D2302" t="inlineStr">
        <is>
          <t>VÄSTERNORRLANDS LÄN</t>
        </is>
      </c>
      <c r="E2302" t="inlineStr">
        <is>
          <t>SOLLEFTEÅ</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49417-2023</t>
        </is>
      </c>
      <c r="B2303" s="1" t="n">
        <v>45205</v>
      </c>
      <c r="C2303" s="1" t="n">
        <v>45670</v>
      </c>
      <c r="D2303" t="inlineStr">
        <is>
          <t>VÄSTERNORRLANDS LÄN</t>
        </is>
      </c>
      <c r="E2303" t="inlineStr">
        <is>
          <t>SOLLEFTEÅ</t>
        </is>
      </c>
      <c r="F2303" t="inlineStr">
        <is>
          <t>SCA</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48767-2023</t>
        </is>
      </c>
      <c r="B2304" s="1" t="n">
        <v>45208</v>
      </c>
      <c r="C2304" s="1" t="n">
        <v>45670</v>
      </c>
      <c r="D2304" t="inlineStr">
        <is>
          <t>VÄSTERNORRLANDS LÄN</t>
        </is>
      </c>
      <c r="E2304" t="inlineStr">
        <is>
          <t>SOLLEFTEÅ</t>
        </is>
      </c>
      <c r="F2304" t="inlineStr">
        <is>
          <t>SCA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48528-2023</t>
        </is>
      </c>
      <c r="B2305" s="1" t="n">
        <v>45208</v>
      </c>
      <c r="C2305" s="1" t="n">
        <v>45670</v>
      </c>
      <c r="D2305" t="inlineStr">
        <is>
          <t>VÄSTERNORRLANDS LÄN</t>
        </is>
      </c>
      <c r="E2305" t="inlineStr">
        <is>
          <t>SOLLEFTEÅ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48570-2023</t>
        </is>
      </c>
      <c r="B2306" s="1" t="n">
        <v>45208</v>
      </c>
      <c r="C2306" s="1" t="n">
        <v>45670</v>
      </c>
      <c r="D2306" t="inlineStr">
        <is>
          <t>VÄSTERNORRLANDS LÄN</t>
        </is>
      </c>
      <c r="E2306" t="inlineStr">
        <is>
          <t>SOLLEFTEÅ</t>
        </is>
      </c>
      <c r="G2306" t="n">
        <v>5.9</v>
      </c>
      <c r="H2306" t="n">
        <v>0</v>
      </c>
      <c r="I2306" t="n">
        <v>0</v>
      </c>
      <c r="J2306" t="n">
        <v>0</v>
      </c>
      <c r="K2306" t="n">
        <v>0</v>
      </c>
      <c r="L2306" t="n">
        <v>0</v>
      </c>
      <c r="M2306" t="n">
        <v>0</v>
      </c>
      <c r="N2306" t="n">
        <v>0</v>
      </c>
      <c r="O2306" t="n">
        <v>0</v>
      </c>
      <c r="P2306" t="n">
        <v>0</v>
      </c>
      <c r="Q2306" t="n">
        <v>0</v>
      </c>
      <c r="R2306" s="2" t="inlineStr"/>
    </row>
    <row r="2307" ht="15" customHeight="1">
      <c r="A2307" t="inlineStr">
        <is>
          <t>A 48999-2023</t>
        </is>
      </c>
      <c r="B2307" s="1" t="n">
        <v>45209</v>
      </c>
      <c r="C2307" s="1" t="n">
        <v>45670</v>
      </c>
      <c r="D2307" t="inlineStr">
        <is>
          <t>VÄSTERNORRLANDS LÄN</t>
        </is>
      </c>
      <c r="E2307" t="inlineStr">
        <is>
          <t>SOLLEFTEÅ</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49036-2023</t>
        </is>
      </c>
      <c r="B2308" s="1" t="n">
        <v>45210</v>
      </c>
      <c r="C2308" s="1" t="n">
        <v>45670</v>
      </c>
      <c r="D2308" t="inlineStr">
        <is>
          <t>VÄSTERNORRLANDS LÄN</t>
        </is>
      </c>
      <c r="E2308" t="inlineStr">
        <is>
          <t>SOLLEFTEÅ</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50313-2023</t>
        </is>
      </c>
      <c r="B2309" s="1" t="n">
        <v>45209</v>
      </c>
      <c r="C2309" s="1" t="n">
        <v>45670</v>
      </c>
      <c r="D2309" t="inlineStr">
        <is>
          <t>VÄSTERNORRLANDS LÄN</t>
        </is>
      </c>
      <c r="E2309" t="inlineStr">
        <is>
          <t>SOLLEFTEÅ</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49313-2023</t>
        </is>
      </c>
      <c r="B2310" s="1" t="n">
        <v>45211</v>
      </c>
      <c r="C2310" s="1" t="n">
        <v>45670</v>
      </c>
      <c r="D2310" t="inlineStr">
        <is>
          <t>VÄSTERNORRLANDS LÄN</t>
        </is>
      </c>
      <c r="E2310" t="inlineStr">
        <is>
          <t>SOLLEFTEÅ</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49317-2023</t>
        </is>
      </c>
      <c r="B2311" s="1" t="n">
        <v>45210</v>
      </c>
      <c r="C2311" s="1" t="n">
        <v>45670</v>
      </c>
      <c r="D2311" t="inlineStr">
        <is>
          <t>VÄSTERNORRLANDS LÄN</t>
        </is>
      </c>
      <c r="E2311" t="inlineStr">
        <is>
          <t>SOLLEFTEÅ</t>
        </is>
      </c>
      <c r="F2311" t="inlineStr">
        <is>
          <t>SCA</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49323-2023</t>
        </is>
      </c>
      <c r="B2312" s="1" t="n">
        <v>45211</v>
      </c>
      <c r="C2312" s="1" t="n">
        <v>45670</v>
      </c>
      <c r="D2312" t="inlineStr">
        <is>
          <t>VÄSTERNORRLANDS LÄN</t>
        </is>
      </c>
      <c r="E2312" t="inlineStr">
        <is>
          <t>SOLLEFTEÅ</t>
        </is>
      </c>
      <c r="F2312" t="inlineStr">
        <is>
          <t>SCA</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49324-2023</t>
        </is>
      </c>
      <c r="B2313" s="1" t="n">
        <v>45210</v>
      </c>
      <c r="C2313" s="1" t="n">
        <v>45670</v>
      </c>
      <c r="D2313" t="inlineStr">
        <is>
          <t>VÄSTERNORRLANDS LÄN</t>
        </is>
      </c>
      <c r="E2313" t="inlineStr">
        <is>
          <t>SOLLEFTEÅ</t>
        </is>
      </c>
      <c r="F2313" t="inlineStr">
        <is>
          <t>SCA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50698-2023</t>
        </is>
      </c>
      <c r="B2314" s="1" t="n">
        <v>45210</v>
      </c>
      <c r="C2314" s="1" t="n">
        <v>45670</v>
      </c>
      <c r="D2314" t="inlineStr">
        <is>
          <t>VÄSTERNORRLANDS LÄN</t>
        </is>
      </c>
      <c r="E2314" t="inlineStr">
        <is>
          <t>SOLLEFTEÅ</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50745-2023</t>
        </is>
      </c>
      <c r="B2315" s="1" t="n">
        <v>45210</v>
      </c>
      <c r="C2315" s="1" t="n">
        <v>45670</v>
      </c>
      <c r="D2315" t="inlineStr">
        <is>
          <t>VÄSTERNORRLANDS LÄN</t>
        </is>
      </c>
      <c r="E2315" t="inlineStr">
        <is>
          <t>SOLLEFTEÅ</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50716-2023</t>
        </is>
      </c>
      <c r="B2316" s="1" t="n">
        <v>45210</v>
      </c>
      <c r="C2316" s="1" t="n">
        <v>45670</v>
      </c>
      <c r="D2316" t="inlineStr">
        <is>
          <t>VÄSTERNORRLANDS LÄN</t>
        </is>
      </c>
      <c r="E2316" t="inlineStr">
        <is>
          <t>SOLLEFTEÅ</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50674-2023</t>
        </is>
      </c>
      <c r="B2317" s="1" t="n">
        <v>45210</v>
      </c>
      <c r="C2317" s="1" t="n">
        <v>45670</v>
      </c>
      <c r="D2317" t="inlineStr">
        <is>
          <t>VÄSTERNORRLANDS LÄN</t>
        </is>
      </c>
      <c r="E2317" t="inlineStr">
        <is>
          <t>SOLLEFTEÅ</t>
        </is>
      </c>
      <c r="G2317" t="n">
        <v>11.8</v>
      </c>
      <c r="H2317" t="n">
        <v>0</v>
      </c>
      <c r="I2317" t="n">
        <v>0</v>
      </c>
      <c r="J2317" t="n">
        <v>0</v>
      </c>
      <c r="K2317" t="n">
        <v>0</v>
      </c>
      <c r="L2317" t="n">
        <v>0</v>
      </c>
      <c r="M2317" t="n">
        <v>0</v>
      </c>
      <c r="N2317" t="n">
        <v>0</v>
      </c>
      <c r="O2317" t="n">
        <v>0</v>
      </c>
      <c r="P2317" t="n">
        <v>0</v>
      </c>
      <c r="Q2317" t="n">
        <v>0</v>
      </c>
      <c r="R2317" s="2" t="inlineStr"/>
    </row>
    <row r="2318" ht="15" customHeight="1">
      <c r="A2318" t="inlineStr">
        <is>
          <t>A 50688-2023</t>
        </is>
      </c>
      <c r="B2318" s="1" t="n">
        <v>45210</v>
      </c>
      <c r="C2318" s="1" t="n">
        <v>45670</v>
      </c>
      <c r="D2318" t="inlineStr">
        <is>
          <t>VÄSTERNORRLANDS LÄN</t>
        </is>
      </c>
      <c r="E2318" t="inlineStr">
        <is>
          <t>SOLLEFTEÅ</t>
        </is>
      </c>
      <c r="G2318" t="n">
        <v>15.6</v>
      </c>
      <c r="H2318" t="n">
        <v>0</v>
      </c>
      <c r="I2318" t="n">
        <v>0</v>
      </c>
      <c r="J2318" t="n">
        <v>0</v>
      </c>
      <c r="K2318" t="n">
        <v>0</v>
      </c>
      <c r="L2318" t="n">
        <v>0</v>
      </c>
      <c r="M2318" t="n">
        <v>0</v>
      </c>
      <c r="N2318" t="n">
        <v>0</v>
      </c>
      <c r="O2318" t="n">
        <v>0</v>
      </c>
      <c r="P2318" t="n">
        <v>0</v>
      </c>
      <c r="Q2318" t="n">
        <v>0</v>
      </c>
      <c r="R2318" s="2" t="inlineStr"/>
    </row>
    <row r="2319" ht="15" customHeight="1">
      <c r="A2319" t="inlineStr">
        <is>
          <t>A 50708-2023</t>
        </is>
      </c>
      <c r="B2319" s="1" t="n">
        <v>45210</v>
      </c>
      <c r="C2319" s="1" t="n">
        <v>45670</v>
      </c>
      <c r="D2319" t="inlineStr">
        <is>
          <t>VÄSTERNORRLANDS LÄN</t>
        </is>
      </c>
      <c r="E2319" t="inlineStr">
        <is>
          <t>SOLLEFTEÅ</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49649-2023</t>
        </is>
      </c>
      <c r="B2320" s="1" t="n">
        <v>45212</v>
      </c>
      <c r="C2320" s="1" t="n">
        <v>45670</v>
      </c>
      <c r="D2320" t="inlineStr">
        <is>
          <t>VÄSTERNORRLANDS LÄN</t>
        </is>
      </c>
      <c r="E2320" t="inlineStr">
        <is>
          <t>SOLLEFTEÅ</t>
        </is>
      </c>
      <c r="F2320" t="inlineStr">
        <is>
          <t>SCA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49810-2023</t>
        </is>
      </c>
      <c r="B2321" s="1" t="n">
        <v>45212</v>
      </c>
      <c r="C2321" s="1" t="n">
        <v>45670</v>
      </c>
      <c r="D2321" t="inlineStr">
        <is>
          <t>VÄSTERNORRLANDS LÄN</t>
        </is>
      </c>
      <c r="E2321" t="inlineStr">
        <is>
          <t>SOLLEFTEÅ</t>
        </is>
      </c>
      <c r="F2321" t="inlineStr">
        <is>
          <t>Holmen skog AB</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50226-2023</t>
        </is>
      </c>
      <c r="B2322" s="1" t="n">
        <v>45216</v>
      </c>
      <c r="C2322" s="1" t="n">
        <v>45670</v>
      </c>
      <c r="D2322" t="inlineStr">
        <is>
          <t>VÄSTERNORRLANDS LÄN</t>
        </is>
      </c>
      <c r="E2322" t="inlineStr">
        <is>
          <t>SOLLEFTEÅ</t>
        </is>
      </c>
      <c r="F2322" t="inlineStr">
        <is>
          <t>SCA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51522-2023</t>
        </is>
      </c>
      <c r="B2323" s="1" t="n">
        <v>45215</v>
      </c>
      <c r="C2323" s="1" t="n">
        <v>45670</v>
      </c>
      <c r="D2323" t="inlineStr">
        <is>
          <t>VÄSTERNORRLANDS LÄN</t>
        </is>
      </c>
      <c r="E2323" t="inlineStr">
        <is>
          <t>SOLLEFTEÅ</t>
        </is>
      </c>
      <c r="G2323" t="n">
        <v>7.3</v>
      </c>
      <c r="H2323" t="n">
        <v>0</v>
      </c>
      <c r="I2323" t="n">
        <v>0</v>
      </c>
      <c r="J2323" t="n">
        <v>0</v>
      </c>
      <c r="K2323" t="n">
        <v>0</v>
      </c>
      <c r="L2323" t="n">
        <v>0</v>
      </c>
      <c r="M2323" t="n">
        <v>0</v>
      </c>
      <c r="N2323" t="n">
        <v>0</v>
      </c>
      <c r="O2323" t="n">
        <v>0</v>
      </c>
      <c r="P2323" t="n">
        <v>0</v>
      </c>
      <c r="Q2323" t="n">
        <v>0</v>
      </c>
      <c r="R2323" s="2" t="inlineStr"/>
    </row>
    <row r="2324" ht="15" customHeight="1">
      <c r="A2324" t="inlineStr">
        <is>
          <t>A 51515-2023</t>
        </is>
      </c>
      <c r="B2324" s="1" t="n">
        <v>45215</v>
      </c>
      <c r="C2324" s="1" t="n">
        <v>45670</v>
      </c>
      <c r="D2324" t="inlineStr">
        <is>
          <t>VÄSTERNORRLANDS LÄN</t>
        </is>
      </c>
      <c r="E2324" t="inlineStr">
        <is>
          <t>SOLLEFTEÅ</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51681-2023</t>
        </is>
      </c>
      <c r="B2325" s="1" t="n">
        <v>45215</v>
      </c>
      <c r="C2325" s="1" t="n">
        <v>45670</v>
      </c>
      <c r="D2325" t="inlineStr">
        <is>
          <t>VÄSTERNORRLANDS LÄN</t>
        </is>
      </c>
      <c r="E2325" t="inlineStr">
        <is>
          <t>SOLLEFTEÅ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51677-2023</t>
        </is>
      </c>
      <c r="B2326" s="1" t="n">
        <v>45215</v>
      </c>
      <c r="C2326" s="1" t="n">
        <v>45670</v>
      </c>
      <c r="D2326" t="inlineStr">
        <is>
          <t>VÄSTERNORRLANDS LÄN</t>
        </is>
      </c>
      <c r="E2326" t="inlineStr">
        <is>
          <t>SOLLEFTEÅ</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51690-2023</t>
        </is>
      </c>
      <c r="B2327" s="1" t="n">
        <v>45215</v>
      </c>
      <c r="C2327" s="1" t="n">
        <v>45670</v>
      </c>
      <c r="D2327" t="inlineStr">
        <is>
          <t>VÄSTERNORRLANDS LÄN</t>
        </is>
      </c>
      <c r="E2327" t="inlineStr">
        <is>
          <t>SOLLEFTEÅ</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50507-2023</t>
        </is>
      </c>
      <c r="B2328" s="1" t="n">
        <v>45217</v>
      </c>
      <c r="C2328" s="1" t="n">
        <v>45670</v>
      </c>
      <c r="D2328" t="inlineStr">
        <is>
          <t>VÄSTERNORRLANDS LÄN</t>
        </is>
      </c>
      <c r="E2328" t="inlineStr">
        <is>
          <t>SOLLEFTEÅ</t>
        </is>
      </c>
      <c r="F2328" t="inlineStr">
        <is>
          <t>SCA</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50767-2023</t>
        </is>
      </c>
      <c r="B2329" s="1" t="n">
        <v>45217</v>
      </c>
      <c r="C2329" s="1" t="n">
        <v>45670</v>
      </c>
      <c r="D2329" t="inlineStr">
        <is>
          <t>VÄSTERNORRLANDS LÄN</t>
        </is>
      </c>
      <c r="E2329" t="inlineStr">
        <is>
          <t>SOLLEFTEÅ</t>
        </is>
      </c>
      <c r="F2329" t="inlineStr">
        <is>
          <t>Holmen skog AB</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50841-2023</t>
        </is>
      </c>
      <c r="B2330" s="1" t="n">
        <v>45217</v>
      </c>
      <c r="C2330" s="1" t="n">
        <v>45670</v>
      </c>
      <c r="D2330" t="inlineStr">
        <is>
          <t>VÄSTERNORRLANDS LÄN</t>
        </is>
      </c>
      <c r="E2330" t="inlineStr">
        <is>
          <t>SOLLEFTEÅ</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50615-2023</t>
        </is>
      </c>
      <c r="B2331" s="1" t="n">
        <v>45217</v>
      </c>
      <c r="C2331" s="1" t="n">
        <v>45670</v>
      </c>
      <c r="D2331" t="inlineStr">
        <is>
          <t>VÄSTERNORRLANDS LÄN</t>
        </is>
      </c>
      <c r="E2331" t="inlineStr">
        <is>
          <t>SOLLEFTEÅ</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50757-2023</t>
        </is>
      </c>
      <c r="B2332" s="1" t="n">
        <v>45217</v>
      </c>
      <c r="C2332" s="1" t="n">
        <v>45670</v>
      </c>
      <c r="D2332" t="inlineStr">
        <is>
          <t>VÄSTERNORRLANDS LÄN</t>
        </is>
      </c>
      <c r="E2332" t="inlineStr">
        <is>
          <t>SOLLEFTEÅ</t>
        </is>
      </c>
      <c r="F2332" t="inlineStr">
        <is>
          <t>Holmen skog AB</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50844-2023</t>
        </is>
      </c>
      <c r="B2333" s="1" t="n">
        <v>45217</v>
      </c>
      <c r="C2333" s="1" t="n">
        <v>45670</v>
      </c>
      <c r="D2333" t="inlineStr">
        <is>
          <t>VÄSTERNORRLANDS LÄN</t>
        </is>
      </c>
      <c r="E2333" t="inlineStr">
        <is>
          <t>SOLLEFTEÅ</t>
        </is>
      </c>
      <c r="F2333" t="inlineStr">
        <is>
          <t>SCA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52266-2023</t>
        </is>
      </c>
      <c r="B2334" s="1" t="n">
        <v>45217</v>
      </c>
      <c r="C2334" s="1" t="n">
        <v>45670</v>
      </c>
      <c r="D2334" t="inlineStr">
        <is>
          <t>VÄSTERNORRLANDS LÄN</t>
        </is>
      </c>
      <c r="E2334" t="inlineStr">
        <is>
          <t>SOLLEFTEÅ</t>
        </is>
      </c>
      <c r="F2334" t="inlineStr">
        <is>
          <t>SCA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52267-2023</t>
        </is>
      </c>
      <c r="B2335" s="1" t="n">
        <v>45217</v>
      </c>
      <c r="C2335" s="1" t="n">
        <v>45670</v>
      </c>
      <c r="D2335" t="inlineStr">
        <is>
          <t>VÄSTERNORRLANDS LÄN</t>
        </is>
      </c>
      <c r="E2335" t="inlineStr">
        <is>
          <t>SOLLEFTEÅ</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51107-2023</t>
        </is>
      </c>
      <c r="B2336" s="1" t="n">
        <v>45219</v>
      </c>
      <c r="C2336" s="1" t="n">
        <v>45670</v>
      </c>
      <c r="D2336" t="inlineStr">
        <is>
          <t>VÄSTERNORRLANDS LÄN</t>
        </is>
      </c>
      <c r="E2336" t="inlineStr">
        <is>
          <t>SOLLEFTEÅ</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51106-2023</t>
        </is>
      </c>
      <c r="B2337" s="1" t="n">
        <v>45219</v>
      </c>
      <c r="C2337" s="1" t="n">
        <v>45670</v>
      </c>
      <c r="D2337" t="inlineStr">
        <is>
          <t>VÄSTERNORRLANDS LÄN</t>
        </is>
      </c>
      <c r="E2337" t="inlineStr">
        <is>
          <t>SOLLEFTEÅ</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51800-2023</t>
        </is>
      </c>
      <c r="B2338" s="1" t="n">
        <v>45222</v>
      </c>
      <c r="C2338" s="1" t="n">
        <v>45670</v>
      </c>
      <c r="D2338" t="inlineStr">
        <is>
          <t>VÄSTERNORRLANDS LÄN</t>
        </is>
      </c>
      <c r="E2338" t="inlineStr">
        <is>
          <t>SOLLEFTEÅ</t>
        </is>
      </c>
      <c r="F2338" t="inlineStr">
        <is>
          <t>SCA</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51801-2023</t>
        </is>
      </c>
      <c r="B2339" s="1" t="n">
        <v>45222</v>
      </c>
      <c r="C2339" s="1" t="n">
        <v>45670</v>
      </c>
      <c r="D2339" t="inlineStr">
        <is>
          <t>VÄSTERNORRLANDS LÄN</t>
        </is>
      </c>
      <c r="E2339" t="inlineStr">
        <is>
          <t>SOLLEFTEÅ</t>
        </is>
      </c>
      <c r="F2339" t="inlineStr">
        <is>
          <t>SCA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53375-2023</t>
        </is>
      </c>
      <c r="B2340" s="1" t="n">
        <v>45222</v>
      </c>
      <c r="C2340" s="1" t="n">
        <v>45670</v>
      </c>
      <c r="D2340" t="inlineStr">
        <is>
          <t>VÄSTERNORRLANDS LÄN</t>
        </is>
      </c>
      <c r="E2340" t="inlineStr">
        <is>
          <t>SOLLEFTEÅ</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53224-2023</t>
        </is>
      </c>
      <c r="B2341" s="1" t="n">
        <v>45222</v>
      </c>
      <c r="C2341" s="1" t="n">
        <v>45670</v>
      </c>
      <c r="D2341" t="inlineStr">
        <is>
          <t>VÄSTERNORRLANDS LÄN</t>
        </is>
      </c>
      <c r="E2341" t="inlineStr">
        <is>
          <t>SOLLEFTEÅ</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53231-2023</t>
        </is>
      </c>
      <c r="B2342" s="1" t="n">
        <v>45222</v>
      </c>
      <c r="C2342" s="1" t="n">
        <v>45670</v>
      </c>
      <c r="D2342" t="inlineStr">
        <is>
          <t>VÄSTERNORRLANDS LÄN</t>
        </is>
      </c>
      <c r="E2342" t="inlineStr">
        <is>
          <t>SOLLEFTEÅ</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53379-2023</t>
        </is>
      </c>
      <c r="B2343" s="1" t="n">
        <v>45222</v>
      </c>
      <c r="C2343" s="1" t="n">
        <v>45670</v>
      </c>
      <c r="D2343" t="inlineStr">
        <is>
          <t>VÄSTERNORRLANDS LÄN</t>
        </is>
      </c>
      <c r="E2343" t="inlineStr">
        <is>
          <t>SOLLEFTEÅ</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51802-2023</t>
        </is>
      </c>
      <c r="B2344" s="1" t="n">
        <v>45223</v>
      </c>
      <c r="C2344" s="1" t="n">
        <v>45670</v>
      </c>
      <c r="D2344" t="inlineStr">
        <is>
          <t>VÄSTERNORRLANDS LÄN</t>
        </is>
      </c>
      <c r="E2344" t="inlineStr">
        <is>
          <t>SOLLEFTEÅ</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53394-2023</t>
        </is>
      </c>
      <c r="B2345" s="1" t="n">
        <v>45222</v>
      </c>
      <c r="C2345" s="1" t="n">
        <v>45670</v>
      </c>
      <c r="D2345" t="inlineStr">
        <is>
          <t>VÄSTERNORRLANDS LÄN</t>
        </is>
      </c>
      <c r="E2345" t="inlineStr">
        <is>
          <t>SOLLEFTEÅ</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52136-2023</t>
        </is>
      </c>
      <c r="B2346" s="1" t="n">
        <v>45224</v>
      </c>
      <c r="C2346" s="1" t="n">
        <v>45670</v>
      </c>
      <c r="D2346" t="inlineStr">
        <is>
          <t>VÄSTERNORRLANDS LÄN</t>
        </is>
      </c>
      <c r="E2346" t="inlineStr">
        <is>
          <t>SOLLEFTEÅ</t>
        </is>
      </c>
      <c r="F2346" t="inlineStr">
        <is>
          <t>SCA</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52087-2023</t>
        </is>
      </c>
      <c r="B2347" s="1" t="n">
        <v>45223</v>
      </c>
      <c r="C2347" s="1" t="n">
        <v>45670</v>
      </c>
      <c r="D2347" t="inlineStr">
        <is>
          <t>VÄSTERNORRLANDS LÄN</t>
        </is>
      </c>
      <c r="E2347" t="inlineStr">
        <is>
          <t>SOLLEFTEÅ</t>
        </is>
      </c>
      <c r="G2347" t="n">
        <v>10.7</v>
      </c>
      <c r="H2347" t="n">
        <v>0</v>
      </c>
      <c r="I2347" t="n">
        <v>0</v>
      </c>
      <c r="J2347" t="n">
        <v>0</v>
      </c>
      <c r="K2347" t="n">
        <v>0</v>
      </c>
      <c r="L2347" t="n">
        <v>0</v>
      </c>
      <c r="M2347" t="n">
        <v>0</v>
      </c>
      <c r="N2347" t="n">
        <v>0</v>
      </c>
      <c r="O2347" t="n">
        <v>0</v>
      </c>
      <c r="P2347" t="n">
        <v>0</v>
      </c>
      <c r="Q2347" t="n">
        <v>0</v>
      </c>
      <c r="R2347" s="2" t="inlineStr"/>
    </row>
    <row r="2348" ht="15" customHeight="1">
      <c r="A2348" t="inlineStr">
        <is>
          <t>A 53550-2023</t>
        </is>
      </c>
      <c r="B2348" s="1" t="n">
        <v>45223</v>
      </c>
      <c r="C2348" s="1" t="n">
        <v>45670</v>
      </c>
      <c r="D2348" t="inlineStr">
        <is>
          <t>VÄSTERNORRLANDS LÄN</t>
        </is>
      </c>
      <c r="E2348" t="inlineStr">
        <is>
          <t>SOLLEFTEÅ</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53855-2023</t>
        </is>
      </c>
      <c r="B2349" s="1" t="n">
        <v>45224</v>
      </c>
      <c r="C2349" s="1" t="n">
        <v>45670</v>
      </c>
      <c r="D2349" t="inlineStr">
        <is>
          <t>VÄSTERNORRLANDS LÄN</t>
        </is>
      </c>
      <c r="E2349" t="inlineStr">
        <is>
          <t>SOLLEFTEÅ</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53850-2023</t>
        </is>
      </c>
      <c r="B2350" s="1" t="n">
        <v>45224</v>
      </c>
      <c r="C2350" s="1" t="n">
        <v>45670</v>
      </c>
      <c r="D2350" t="inlineStr">
        <is>
          <t>VÄSTERNORRLANDS LÄN</t>
        </is>
      </c>
      <c r="E2350" t="inlineStr">
        <is>
          <t>SOLLEFTEÅ</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53939-2023</t>
        </is>
      </c>
      <c r="B2351" s="1" t="n">
        <v>45224</v>
      </c>
      <c r="C2351" s="1" t="n">
        <v>45670</v>
      </c>
      <c r="D2351" t="inlineStr">
        <is>
          <t>VÄSTERNORRLANDS LÄN</t>
        </is>
      </c>
      <c r="E2351" t="inlineStr">
        <is>
          <t>SOLLEFTEÅ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52445-2023</t>
        </is>
      </c>
      <c r="B2352" s="1" t="n">
        <v>45225</v>
      </c>
      <c r="C2352" s="1" t="n">
        <v>45670</v>
      </c>
      <c r="D2352" t="inlineStr">
        <is>
          <t>VÄSTERNORRLANDS LÄN</t>
        </is>
      </c>
      <c r="E2352" t="inlineStr">
        <is>
          <t>SOLLEFTEÅ</t>
        </is>
      </c>
      <c r="F2352" t="inlineStr">
        <is>
          <t>Holmen skog AB</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54307-2023</t>
        </is>
      </c>
      <c r="B2353" s="1" t="n">
        <v>45225</v>
      </c>
      <c r="C2353" s="1" t="n">
        <v>45670</v>
      </c>
      <c r="D2353" t="inlineStr">
        <is>
          <t>VÄSTERNORRLANDS LÄN</t>
        </is>
      </c>
      <c r="E2353" t="inlineStr">
        <is>
          <t>SOLLEFTEÅ</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53040-2023</t>
        </is>
      </c>
      <c r="B2354" s="1" t="n">
        <v>45226</v>
      </c>
      <c r="C2354" s="1" t="n">
        <v>45670</v>
      </c>
      <c r="D2354" t="inlineStr">
        <is>
          <t>VÄSTERNORRLANDS LÄN</t>
        </is>
      </c>
      <c r="E2354" t="inlineStr">
        <is>
          <t>SOLLEFTEÅ</t>
        </is>
      </c>
      <c r="F2354" t="inlineStr">
        <is>
          <t>SCA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54526-2023</t>
        </is>
      </c>
      <c r="B2355" s="1" t="n">
        <v>45226</v>
      </c>
      <c r="C2355" s="1" t="n">
        <v>45670</v>
      </c>
      <c r="D2355" t="inlineStr">
        <is>
          <t>VÄSTERNORRLANDS LÄN</t>
        </is>
      </c>
      <c r="E2355" t="inlineStr">
        <is>
          <t>SOLLEFTEÅ</t>
        </is>
      </c>
      <c r="G2355" t="n">
        <v>23.8</v>
      </c>
      <c r="H2355" t="n">
        <v>0</v>
      </c>
      <c r="I2355" t="n">
        <v>0</v>
      </c>
      <c r="J2355" t="n">
        <v>0</v>
      </c>
      <c r="K2355" t="n">
        <v>0</v>
      </c>
      <c r="L2355" t="n">
        <v>0</v>
      </c>
      <c r="M2355" t="n">
        <v>0</v>
      </c>
      <c r="N2355" t="n">
        <v>0</v>
      </c>
      <c r="O2355" t="n">
        <v>0</v>
      </c>
      <c r="P2355" t="n">
        <v>0</v>
      </c>
      <c r="Q2355" t="n">
        <v>0</v>
      </c>
      <c r="R2355" s="2" t="inlineStr"/>
    </row>
    <row r="2356" ht="15" customHeight="1">
      <c r="A2356" t="inlineStr">
        <is>
          <t>A 53057-2023</t>
        </is>
      </c>
      <c r="B2356" s="1" t="n">
        <v>45226</v>
      </c>
      <c r="C2356" s="1" t="n">
        <v>45670</v>
      </c>
      <c r="D2356" t="inlineStr">
        <is>
          <t>VÄSTERNORRLANDS LÄN</t>
        </is>
      </c>
      <c r="E2356" t="inlineStr">
        <is>
          <t>SOLLEFTEÅ</t>
        </is>
      </c>
      <c r="F2356" t="inlineStr">
        <is>
          <t>SCA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53041-2023</t>
        </is>
      </c>
      <c r="B2357" s="1" t="n">
        <v>45226</v>
      </c>
      <c r="C2357" s="1" t="n">
        <v>45670</v>
      </c>
      <c r="D2357" t="inlineStr">
        <is>
          <t>VÄSTERNORRLANDS LÄN</t>
        </is>
      </c>
      <c r="E2357" t="inlineStr">
        <is>
          <t>SOLLEFTEÅ</t>
        </is>
      </c>
      <c r="F2357" t="inlineStr">
        <is>
          <t>SCA</t>
        </is>
      </c>
      <c r="G2357" t="n">
        <v>50.2</v>
      </c>
      <c r="H2357" t="n">
        <v>0</v>
      </c>
      <c r="I2357" t="n">
        <v>0</v>
      </c>
      <c r="J2357" t="n">
        <v>0</v>
      </c>
      <c r="K2357" t="n">
        <v>0</v>
      </c>
      <c r="L2357" t="n">
        <v>0</v>
      </c>
      <c r="M2357" t="n">
        <v>0</v>
      </c>
      <c r="N2357" t="n">
        <v>0</v>
      </c>
      <c r="O2357" t="n">
        <v>0</v>
      </c>
      <c r="P2357" t="n">
        <v>0</v>
      </c>
      <c r="Q2357" t="n">
        <v>0</v>
      </c>
      <c r="R2357" s="2" t="inlineStr"/>
    </row>
    <row r="2358" ht="15" customHeight="1">
      <c r="A2358" t="inlineStr">
        <is>
          <t>A 53048-2023</t>
        </is>
      </c>
      <c r="B2358" s="1" t="n">
        <v>45226</v>
      </c>
      <c r="C2358" s="1" t="n">
        <v>45670</v>
      </c>
      <c r="D2358" t="inlineStr">
        <is>
          <t>VÄSTERNORRLANDS LÄN</t>
        </is>
      </c>
      <c r="E2358" t="inlineStr">
        <is>
          <t>SOLLEFTEÅ</t>
        </is>
      </c>
      <c r="F2358" t="inlineStr">
        <is>
          <t>SCA</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53452-2023</t>
        </is>
      </c>
      <c r="B2359" s="1" t="n">
        <v>45229</v>
      </c>
      <c r="C2359" s="1" t="n">
        <v>45670</v>
      </c>
      <c r="D2359" t="inlineStr">
        <is>
          <t>VÄSTERNORRLANDS LÄN</t>
        </is>
      </c>
      <c r="E2359" t="inlineStr">
        <is>
          <t>SOLLEFTEÅ</t>
        </is>
      </c>
      <c r="F2359" t="inlineStr">
        <is>
          <t>SCA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53453-2023</t>
        </is>
      </c>
      <c r="B2360" s="1" t="n">
        <v>45230</v>
      </c>
      <c r="C2360" s="1" t="n">
        <v>45670</v>
      </c>
      <c r="D2360" t="inlineStr">
        <is>
          <t>VÄSTERNORRLANDS LÄN</t>
        </is>
      </c>
      <c r="E2360" t="inlineStr">
        <is>
          <t>SOLLEFTEÅ</t>
        </is>
      </c>
      <c r="F2360" t="inlineStr">
        <is>
          <t>SCA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53669-2023</t>
        </is>
      </c>
      <c r="B2361" s="1" t="n">
        <v>45230</v>
      </c>
      <c r="C2361" s="1" t="n">
        <v>45670</v>
      </c>
      <c r="D2361" t="inlineStr">
        <is>
          <t>VÄSTERNORRLANDS LÄN</t>
        </is>
      </c>
      <c r="E2361" t="inlineStr">
        <is>
          <t>SOLLEFTEÅ</t>
        </is>
      </c>
      <c r="G2361" t="n">
        <v>11.2</v>
      </c>
      <c r="H2361" t="n">
        <v>0</v>
      </c>
      <c r="I2361" t="n">
        <v>0</v>
      </c>
      <c r="J2361" t="n">
        <v>0</v>
      </c>
      <c r="K2361" t="n">
        <v>0</v>
      </c>
      <c r="L2361" t="n">
        <v>0</v>
      </c>
      <c r="M2361" t="n">
        <v>0</v>
      </c>
      <c r="N2361" t="n">
        <v>0</v>
      </c>
      <c r="O2361" t="n">
        <v>0</v>
      </c>
      <c r="P2361" t="n">
        <v>0</v>
      </c>
      <c r="Q2361" t="n">
        <v>0</v>
      </c>
      <c r="R2361" s="2" t="inlineStr"/>
    </row>
    <row r="2362" ht="15" customHeight="1">
      <c r="A2362" t="inlineStr">
        <is>
          <t>A 54016-2023</t>
        </is>
      </c>
      <c r="B2362" s="1" t="n">
        <v>45231</v>
      </c>
      <c r="C2362" s="1" t="n">
        <v>45670</v>
      </c>
      <c r="D2362" t="inlineStr">
        <is>
          <t>VÄSTERNORRLANDS LÄN</t>
        </is>
      </c>
      <c r="E2362" t="inlineStr">
        <is>
          <t>SOLLEFTEÅ</t>
        </is>
      </c>
      <c r="F2362" t="inlineStr">
        <is>
          <t>Holmen skog AB</t>
        </is>
      </c>
      <c r="G2362" t="n">
        <v>6.9</v>
      </c>
      <c r="H2362" t="n">
        <v>0</v>
      </c>
      <c r="I2362" t="n">
        <v>0</v>
      </c>
      <c r="J2362" t="n">
        <v>0</v>
      </c>
      <c r="K2362" t="n">
        <v>0</v>
      </c>
      <c r="L2362" t="n">
        <v>0</v>
      </c>
      <c r="M2362" t="n">
        <v>0</v>
      </c>
      <c r="N2362" t="n">
        <v>0</v>
      </c>
      <c r="O2362" t="n">
        <v>0</v>
      </c>
      <c r="P2362" t="n">
        <v>0</v>
      </c>
      <c r="Q2362" t="n">
        <v>0</v>
      </c>
      <c r="R2362" s="2" t="inlineStr"/>
    </row>
    <row r="2363" ht="15" customHeight="1">
      <c r="A2363" t="inlineStr">
        <is>
          <t>A 54020-2023</t>
        </is>
      </c>
      <c r="B2363" s="1" t="n">
        <v>45231</v>
      </c>
      <c r="C2363" s="1" t="n">
        <v>45670</v>
      </c>
      <c r="D2363" t="inlineStr">
        <is>
          <t>VÄSTERNORRLANDS LÄN</t>
        </is>
      </c>
      <c r="E2363" t="inlineStr">
        <is>
          <t>SOLLEFTEÅ</t>
        </is>
      </c>
      <c r="F2363" t="inlineStr">
        <is>
          <t>Holmen skog AB</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54034-2023</t>
        </is>
      </c>
      <c r="B2364" s="1" t="n">
        <v>45231</v>
      </c>
      <c r="C2364" s="1" t="n">
        <v>45670</v>
      </c>
      <c r="D2364" t="inlineStr">
        <is>
          <t>VÄSTERNORRLANDS LÄN</t>
        </is>
      </c>
      <c r="E2364" t="inlineStr">
        <is>
          <t>SOLLEFTEÅ</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54033-2023</t>
        </is>
      </c>
      <c r="B2365" s="1" t="n">
        <v>45231</v>
      </c>
      <c r="C2365" s="1" t="n">
        <v>45670</v>
      </c>
      <c r="D2365" t="inlineStr">
        <is>
          <t>VÄSTERNORRLANDS LÄN</t>
        </is>
      </c>
      <c r="E2365" t="inlineStr">
        <is>
          <t>SOLLEFTEÅ</t>
        </is>
      </c>
      <c r="G2365" t="n">
        <v>13.2</v>
      </c>
      <c r="H2365" t="n">
        <v>0</v>
      </c>
      <c r="I2365" t="n">
        <v>0</v>
      </c>
      <c r="J2365" t="n">
        <v>0</v>
      </c>
      <c r="K2365" t="n">
        <v>0</v>
      </c>
      <c r="L2365" t="n">
        <v>0</v>
      </c>
      <c r="M2365" t="n">
        <v>0</v>
      </c>
      <c r="N2365" t="n">
        <v>0</v>
      </c>
      <c r="O2365" t="n">
        <v>0</v>
      </c>
      <c r="P2365" t="n">
        <v>0</v>
      </c>
      <c r="Q2365" t="n">
        <v>0</v>
      </c>
      <c r="R2365" s="2" t="inlineStr"/>
    </row>
    <row r="2366" ht="15" customHeight="1">
      <c r="A2366" t="inlineStr">
        <is>
          <t>A 54035-2023</t>
        </is>
      </c>
      <c r="B2366" s="1" t="n">
        <v>45231</v>
      </c>
      <c r="C2366" s="1" t="n">
        <v>45670</v>
      </c>
      <c r="D2366" t="inlineStr">
        <is>
          <t>VÄSTERNORRLANDS LÄN</t>
        </is>
      </c>
      <c r="E2366" t="inlineStr">
        <is>
          <t>SOLLEFTEÅ</t>
        </is>
      </c>
      <c r="G2366" t="n">
        <v>12.7</v>
      </c>
      <c r="H2366" t="n">
        <v>0</v>
      </c>
      <c r="I2366" t="n">
        <v>0</v>
      </c>
      <c r="J2366" t="n">
        <v>0</v>
      </c>
      <c r="K2366" t="n">
        <v>0</v>
      </c>
      <c r="L2366" t="n">
        <v>0</v>
      </c>
      <c r="M2366" t="n">
        <v>0</v>
      </c>
      <c r="N2366" t="n">
        <v>0</v>
      </c>
      <c r="O2366" t="n">
        <v>0</v>
      </c>
      <c r="P2366" t="n">
        <v>0</v>
      </c>
      <c r="Q2366" t="n">
        <v>0</v>
      </c>
      <c r="R2366" s="2" t="inlineStr"/>
    </row>
    <row r="2367" ht="15" customHeight="1">
      <c r="A2367" t="inlineStr">
        <is>
          <t>A 54048-2023</t>
        </is>
      </c>
      <c r="B2367" s="1" t="n">
        <v>45232</v>
      </c>
      <c r="C2367" s="1" t="n">
        <v>45670</v>
      </c>
      <c r="D2367" t="inlineStr">
        <is>
          <t>VÄSTERNORRLANDS LÄN</t>
        </is>
      </c>
      <c r="E2367" t="inlineStr">
        <is>
          <t>SOLLEFTEÅ</t>
        </is>
      </c>
      <c r="F2367" t="inlineStr">
        <is>
          <t>SCA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54036-2023</t>
        </is>
      </c>
      <c r="B2368" s="1" t="n">
        <v>45231</v>
      </c>
      <c r="C2368" s="1" t="n">
        <v>45670</v>
      </c>
      <c r="D2368" t="inlineStr">
        <is>
          <t>VÄSTERNORRLANDS LÄN</t>
        </is>
      </c>
      <c r="E2368" t="inlineStr">
        <is>
          <t>SOLLEFTEÅ</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54045-2023</t>
        </is>
      </c>
      <c r="B2369" s="1" t="n">
        <v>45232</v>
      </c>
      <c r="C2369" s="1" t="n">
        <v>45670</v>
      </c>
      <c r="D2369" t="inlineStr">
        <is>
          <t>VÄSTERNORRLANDS LÄN</t>
        </is>
      </c>
      <c r="E2369" t="inlineStr">
        <is>
          <t>SOLLEFTEÅ</t>
        </is>
      </c>
      <c r="F2369" t="inlineStr">
        <is>
          <t>SCA</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54092-2023</t>
        </is>
      </c>
      <c r="B2370" s="1" t="n">
        <v>45232</v>
      </c>
      <c r="C2370" s="1" t="n">
        <v>45670</v>
      </c>
      <c r="D2370" t="inlineStr">
        <is>
          <t>VÄSTERNORRLANDS LÄN</t>
        </is>
      </c>
      <c r="E2370" t="inlineStr">
        <is>
          <t>SOLLEFTEÅ</t>
        </is>
      </c>
      <c r="F2370" t="inlineStr">
        <is>
          <t>Holmen skog AB</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54088-2023</t>
        </is>
      </c>
      <c r="B2371" s="1" t="n">
        <v>45232</v>
      </c>
      <c r="C2371" s="1" t="n">
        <v>45670</v>
      </c>
      <c r="D2371" t="inlineStr">
        <is>
          <t>VÄSTERNORRLANDS LÄN</t>
        </is>
      </c>
      <c r="E2371" t="inlineStr">
        <is>
          <t>SOLLEFTEÅ</t>
        </is>
      </c>
      <c r="F2371" t="inlineStr">
        <is>
          <t>Holmen skog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54198-2023</t>
        </is>
      </c>
      <c r="B2372" s="1" t="n">
        <v>45232</v>
      </c>
      <c r="C2372" s="1" t="n">
        <v>45670</v>
      </c>
      <c r="D2372" t="inlineStr">
        <is>
          <t>VÄSTERNORRLANDS LÄN</t>
        </is>
      </c>
      <c r="E2372" t="inlineStr">
        <is>
          <t>SOLLEFTEÅ</t>
        </is>
      </c>
      <c r="G2372" t="n">
        <v>7.9</v>
      </c>
      <c r="H2372" t="n">
        <v>0</v>
      </c>
      <c r="I2372" t="n">
        <v>0</v>
      </c>
      <c r="J2372" t="n">
        <v>0</v>
      </c>
      <c r="K2372" t="n">
        <v>0</v>
      </c>
      <c r="L2372" t="n">
        <v>0</v>
      </c>
      <c r="M2372" t="n">
        <v>0</v>
      </c>
      <c r="N2372" t="n">
        <v>0</v>
      </c>
      <c r="O2372" t="n">
        <v>0</v>
      </c>
      <c r="P2372" t="n">
        <v>0</v>
      </c>
      <c r="Q2372" t="n">
        <v>0</v>
      </c>
      <c r="R2372" s="2" t="inlineStr"/>
    </row>
    <row r="2373" ht="15" customHeight="1">
      <c r="A2373" t="inlineStr">
        <is>
          <t>A 54330-2023</t>
        </is>
      </c>
      <c r="B2373" s="1" t="n">
        <v>45232</v>
      </c>
      <c r="C2373" s="1" t="n">
        <v>45670</v>
      </c>
      <c r="D2373" t="inlineStr">
        <is>
          <t>VÄSTERNORRLANDS LÄN</t>
        </is>
      </c>
      <c r="E2373" t="inlineStr">
        <is>
          <t>SOLLEFTEÅ</t>
        </is>
      </c>
      <c r="F2373" t="inlineStr">
        <is>
          <t>SCA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54351-2023</t>
        </is>
      </c>
      <c r="B2374" s="1" t="n">
        <v>45232</v>
      </c>
      <c r="C2374" s="1" t="n">
        <v>45670</v>
      </c>
      <c r="D2374" t="inlineStr">
        <is>
          <t>VÄSTERNORRLANDS LÄN</t>
        </is>
      </c>
      <c r="E2374" t="inlineStr">
        <is>
          <t>SOLLEFTEÅ</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54195-2023</t>
        </is>
      </c>
      <c r="B2375" s="1" t="n">
        <v>45232</v>
      </c>
      <c r="C2375" s="1" t="n">
        <v>45670</v>
      </c>
      <c r="D2375" t="inlineStr">
        <is>
          <t>VÄSTERNORRLANDS LÄN</t>
        </is>
      </c>
      <c r="E2375" t="inlineStr">
        <is>
          <t>SOLLEFTEÅ</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54620-2023</t>
        </is>
      </c>
      <c r="B2376" s="1" t="n">
        <v>45233</v>
      </c>
      <c r="C2376" s="1" t="n">
        <v>45670</v>
      </c>
      <c r="D2376" t="inlineStr">
        <is>
          <t>VÄSTERNORRLANDS LÄN</t>
        </is>
      </c>
      <c r="E2376" t="inlineStr">
        <is>
          <t>SOLLEFTEÅ</t>
        </is>
      </c>
      <c r="F2376" t="inlineStr">
        <is>
          <t>SCA</t>
        </is>
      </c>
      <c r="G2376" t="n">
        <v>11.8</v>
      </c>
      <c r="H2376" t="n">
        <v>0</v>
      </c>
      <c r="I2376" t="n">
        <v>0</v>
      </c>
      <c r="J2376" t="n">
        <v>0</v>
      </c>
      <c r="K2376" t="n">
        <v>0</v>
      </c>
      <c r="L2376" t="n">
        <v>0</v>
      </c>
      <c r="M2376" t="n">
        <v>0</v>
      </c>
      <c r="N2376" t="n">
        <v>0</v>
      </c>
      <c r="O2376" t="n">
        <v>0</v>
      </c>
      <c r="P2376" t="n">
        <v>0</v>
      </c>
      <c r="Q2376" t="n">
        <v>0</v>
      </c>
      <c r="R2376" s="2" t="inlineStr"/>
    </row>
    <row r="2377" ht="15" customHeight="1">
      <c r="A2377" t="inlineStr">
        <is>
          <t>A 54617-2023</t>
        </is>
      </c>
      <c r="B2377" s="1" t="n">
        <v>45234</v>
      </c>
      <c r="C2377" s="1" t="n">
        <v>45670</v>
      </c>
      <c r="D2377" t="inlineStr">
        <is>
          <t>VÄSTERNORRLANDS LÄN</t>
        </is>
      </c>
      <c r="E2377" t="inlineStr">
        <is>
          <t>SOLLEFTEÅ</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54607-2023</t>
        </is>
      </c>
      <c r="B2378" s="1" t="n">
        <v>45233</v>
      </c>
      <c r="C2378" s="1" t="n">
        <v>45670</v>
      </c>
      <c r="D2378" t="inlineStr">
        <is>
          <t>VÄSTERNORRLANDS LÄN</t>
        </is>
      </c>
      <c r="E2378" t="inlineStr">
        <is>
          <t>SOLLEFTEÅ</t>
        </is>
      </c>
      <c r="F2378" t="inlineStr">
        <is>
          <t>SCA</t>
        </is>
      </c>
      <c r="G2378" t="n">
        <v>9.300000000000001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54622-2023</t>
        </is>
      </c>
      <c r="B2379" s="1" t="n">
        <v>45233</v>
      </c>
      <c r="C2379" s="1" t="n">
        <v>45670</v>
      </c>
      <c r="D2379" t="inlineStr">
        <is>
          <t>VÄSTERNORRLANDS LÄN</t>
        </is>
      </c>
      <c r="E2379" t="inlineStr">
        <is>
          <t>SOLLEFTEÅ</t>
        </is>
      </c>
      <c r="F2379" t="inlineStr">
        <is>
          <t>SCA</t>
        </is>
      </c>
      <c r="G2379" t="n">
        <v>7.8</v>
      </c>
      <c r="H2379" t="n">
        <v>0</v>
      </c>
      <c r="I2379" t="n">
        <v>0</v>
      </c>
      <c r="J2379" t="n">
        <v>0</v>
      </c>
      <c r="K2379" t="n">
        <v>0</v>
      </c>
      <c r="L2379" t="n">
        <v>0</v>
      </c>
      <c r="M2379" t="n">
        <v>0</v>
      </c>
      <c r="N2379" t="n">
        <v>0</v>
      </c>
      <c r="O2379" t="n">
        <v>0</v>
      </c>
      <c r="P2379" t="n">
        <v>0</v>
      </c>
      <c r="Q2379" t="n">
        <v>0</v>
      </c>
      <c r="R2379" s="2" t="inlineStr"/>
    </row>
    <row r="2380" ht="15" customHeight="1">
      <c r="A2380" t="inlineStr">
        <is>
          <t>A 54618-2023</t>
        </is>
      </c>
      <c r="B2380" s="1" t="n">
        <v>45233</v>
      </c>
      <c r="C2380" s="1" t="n">
        <v>45670</v>
      </c>
      <c r="D2380" t="inlineStr">
        <is>
          <t>VÄSTERNORRLANDS LÄN</t>
        </is>
      </c>
      <c r="E2380" t="inlineStr">
        <is>
          <t>SOLLEFTEÅ</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54642-2023</t>
        </is>
      </c>
      <c r="B2381" s="1" t="n">
        <v>45234</v>
      </c>
      <c r="C2381" s="1" t="n">
        <v>45670</v>
      </c>
      <c r="D2381" t="inlineStr">
        <is>
          <t>VÄSTERNORRLANDS LÄN</t>
        </is>
      </c>
      <c r="E2381" t="inlineStr">
        <is>
          <t>SOLLEFTEÅ</t>
        </is>
      </c>
      <c r="F2381" t="inlineStr">
        <is>
          <t>SCA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54641-2023</t>
        </is>
      </c>
      <c r="B2382" s="1" t="n">
        <v>45234</v>
      </c>
      <c r="C2382" s="1" t="n">
        <v>45670</v>
      </c>
      <c r="D2382" t="inlineStr">
        <is>
          <t>VÄSTERNORRLANDS LÄN</t>
        </is>
      </c>
      <c r="E2382" t="inlineStr">
        <is>
          <t>SOLLEFTEÅ</t>
        </is>
      </c>
      <c r="F2382" t="inlineStr">
        <is>
          <t>SCA</t>
        </is>
      </c>
      <c r="G2382" t="n">
        <v>7.8</v>
      </c>
      <c r="H2382" t="n">
        <v>0</v>
      </c>
      <c r="I2382" t="n">
        <v>0</v>
      </c>
      <c r="J2382" t="n">
        <v>0</v>
      </c>
      <c r="K2382" t="n">
        <v>0</v>
      </c>
      <c r="L2382" t="n">
        <v>0</v>
      </c>
      <c r="M2382" t="n">
        <v>0</v>
      </c>
      <c r="N2382" t="n">
        <v>0</v>
      </c>
      <c r="O2382" t="n">
        <v>0</v>
      </c>
      <c r="P2382" t="n">
        <v>0</v>
      </c>
      <c r="Q2382" t="n">
        <v>0</v>
      </c>
      <c r="R2382" s="2" t="inlineStr"/>
    </row>
    <row r="2383" ht="15" customHeight="1">
      <c r="A2383" t="inlineStr">
        <is>
          <t>A 54979-2023</t>
        </is>
      </c>
      <c r="B2383" s="1" t="n">
        <v>45236</v>
      </c>
      <c r="C2383" s="1" t="n">
        <v>45670</v>
      </c>
      <c r="D2383" t="inlineStr">
        <is>
          <t>VÄSTERNORRLANDS LÄN</t>
        </is>
      </c>
      <c r="E2383" t="inlineStr">
        <is>
          <t>SOLLEFTEÅ</t>
        </is>
      </c>
      <c r="F2383" t="inlineStr">
        <is>
          <t>SCA</t>
        </is>
      </c>
      <c r="G2383" t="n">
        <v>11.8</v>
      </c>
      <c r="H2383" t="n">
        <v>0</v>
      </c>
      <c r="I2383" t="n">
        <v>0</v>
      </c>
      <c r="J2383" t="n">
        <v>0</v>
      </c>
      <c r="K2383" t="n">
        <v>0</v>
      </c>
      <c r="L2383" t="n">
        <v>0</v>
      </c>
      <c r="M2383" t="n">
        <v>0</v>
      </c>
      <c r="N2383" t="n">
        <v>0</v>
      </c>
      <c r="O2383" t="n">
        <v>0</v>
      </c>
      <c r="P2383" t="n">
        <v>0</v>
      </c>
      <c r="Q2383" t="n">
        <v>0</v>
      </c>
      <c r="R2383" s="2" t="inlineStr"/>
    </row>
    <row r="2384" ht="15" customHeight="1">
      <c r="A2384" t="inlineStr">
        <is>
          <t>A 56148-2023</t>
        </is>
      </c>
      <c r="B2384" s="1" t="n">
        <v>45236</v>
      </c>
      <c r="C2384" s="1" t="n">
        <v>45670</v>
      </c>
      <c r="D2384" t="inlineStr">
        <is>
          <t>VÄSTERNORRLANDS LÄN</t>
        </is>
      </c>
      <c r="E2384" t="inlineStr">
        <is>
          <t>SOLLEFTEÅ</t>
        </is>
      </c>
      <c r="G2384" t="n">
        <v>10</v>
      </c>
      <c r="H2384" t="n">
        <v>0</v>
      </c>
      <c r="I2384" t="n">
        <v>0</v>
      </c>
      <c r="J2384" t="n">
        <v>0</v>
      </c>
      <c r="K2384" t="n">
        <v>0</v>
      </c>
      <c r="L2384" t="n">
        <v>0</v>
      </c>
      <c r="M2384" t="n">
        <v>0</v>
      </c>
      <c r="N2384" t="n">
        <v>0</v>
      </c>
      <c r="O2384" t="n">
        <v>0</v>
      </c>
      <c r="P2384" t="n">
        <v>0</v>
      </c>
      <c r="Q2384" t="n">
        <v>0</v>
      </c>
      <c r="R2384" s="2" t="inlineStr"/>
    </row>
    <row r="2385" ht="15" customHeight="1">
      <c r="A2385" t="inlineStr">
        <is>
          <t>A 54978-2023</t>
        </is>
      </c>
      <c r="B2385" s="1" t="n">
        <v>45237</v>
      </c>
      <c r="C2385" s="1" t="n">
        <v>45670</v>
      </c>
      <c r="D2385" t="inlineStr">
        <is>
          <t>VÄSTERNORRLANDS LÄN</t>
        </is>
      </c>
      <c r="E2385" t="inlineStr">
        <is>
          <t>SOLLEFTEÅ</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55005-2023</t>
        </is>
      </c>
      <c r="B2386" s="1" t="n">
        <v>45236</v>
      </c>
      <c r="C2386" s="1" t="n">
        <v>45670</v>
      </c>
      <c r="D2386" t="inlineStr">
        <is>
          <t>VÄSTERNORRLANDS LÄN</t>
        </is>
      </c>
      <c r="E2386" t="inlineStr">
        <is>
          <t>SOLLEFTEÅ</t>
        </is>
      </c>
      <c r="F2386" t="inlineStr">
        <is>
          <t>SCA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56356-2023</t>
        </is>
      </c>
      <c r="B2387" s="1" t="n">
        <v>45236</v>
      </c>
      <c r="C2387" s="1" t="n">
        <v>45670</v>
      </c>
      <c r="D2387" t="inlineStr">
        <is>
          <t>VÄSTERNORRLANDS LÄN</t>
        </is>
      </c>
      <c r="E2387" t="inlineStr">
        <is>
          <t>SOLLEFTEÅ</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56416-2023</t>
        </is>
      </c>
      <c r="B2388" s="1" t="n">
        <v>45237</v>
      </c>
      <c r="C2388" s="1" t="n">
        <v>45670</v>
      </c>
      <c r="D2388" t="inlineStr">
        <is>
          <t>VÄSTERNORRLANDS LÄN</t>
        </is>
      </c>
      <c r="E2388" t="inlineStr">
        <is>
          <t>SOLLEFTEÅ</t>
        </is>
      </c>
      <c r="G2388" t="n">
        <v>11.2</v>
      </c>
      <c r="H2388" t="n">
        <v>0</v>
      </c>
      <c r="I2388" t="n">
        <v>0</v>
      </c>
      <c r="J2388" t="n">
        <v>0</v>
      </c>
      <c r="K2388" t="n">
        <v>0</v>
      </c>
      <c r="L2388" t="n">
        <v>0</v>
      </c>
      <c r="M2388" t="n">
        <v>0</v>
      </c>
      <c r="N2388" t="n">
        <v>0</v>
      </c>
      <c r="O2388" t="n">
        <v>0</v>
      </c>
      <c r="P2388" t="n">
        <v>0</v>
      </c>
      <c r="Q2388" t="n">
        <v>0</v>
      </c>
      <c r="R2388" s="2" t="inlineStr"/>
    </row>
    <row r="2389" ht="15" customHeight="1">
      <c r="A2389" t="inlineStr">
        <is>
          <t>A 56431-2023</t>
        </is>
      </c>
      <c r="B2389" s="1" t="n">
        <v>45237</v>
      </c>
      <c r="C2389" s="1" t="n">
        <v>45670</v>
      </c>
      <c r="D2389" t="inlineStr">
        <is>
          <t>VÄSTERNORRLANDS LÄN</t>
        </is>
      </c>
      <c r="E2389" t="inlineStr">
        <is>
          <t>SOLLEFTEÅ</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55338-2023</t>
        </is>
      </c>
      <c r="B2390" s="1" t="n">
        <v>45238</v>
      </c>
      <c r="C2390" s="1" t="n">
        <v>45670</v>
      </c>
      <c r="D2390" t="inlineStr">
        <is>
          <t>VÄSTERNORRLANDS LÄN</t>
        </is>
      </c>
      <c r="E2390" t="inlineStr">
        <is>
          <t>SOLLEFTEÅ</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56424-2023</t>
        </is>
      </c>
      <c r="B2391" s="1" t="n">
        <v>45237</v>
      </c>
      <c r="C2391" s="1" t="n">
        <v>45670</v>
      </c>
      <c r="D2391" t="inlineStr">
        <is>
          <t>VÄSTERNORRLANDS LÄN</t>
        </is>
      </c>
      <c r="E2391" t="inlineStr">
        <is>
          <t>SOLLEFTEÅ</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55637-2023</t>
        </is>
      </c>
      <c r="B2392" s="1" t="n">
        <v>45238</v>
      </c>
      <c r="C2392" s="1" t="n">
        <v>45670</v>
      </c>
      <c r="D2392" t="inlineStr">
        <is>
          <t>VÄSTERNORRLANDS LÄN</t>
        </is>
      </c>
      <c r="E2392" t="inlineStr">
        <is>
          <t>SOLLEFTEÅ</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55653-2023</t>
        </is>
      </c>
      <c r="B2393" s="1" t="n">
        <v>45239</v>
      </c>
      <c r="C2393" s="1" t="n">
        <v>45670</v>
      </c>
      <c r="D2393" t="inlineStr">
        <is>
          <t>VÄSTERNORRLANDS LÄN</t>
        </is>
      </c>
      <c r="E2393" t="inlineStr">
        <is>
          <t>SOLLEFTEÅ</t>
        </is>
      </c>
      <c r="F2393" t="inlineStr">
        <is>
          <t>SCA</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55622-2023</t>
        </is>
      </c>
      <c r="B2394" s="1" t="n">
        <v>45238</v>
      </c>
      <c r="C2394" s="1" t="n">
        <v>45670</v>
      </c>
      <c r="D2394" t="inlineStr">
        <is>
          <t>VÄSTERNORRLANDS LÄN</t>
        </is>
      </c>
      <c r="E2394" t="inlineStr">
        <is>
          <t>SOLLEFTEÅ</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55638-2023</t>
        </is>
      </c>
      <c r="B2395" s="1" t="n">
        <v>45238</v>
      </c>
      <c r="C2395" s="1" t="n">
        <v>45670</v>
      </c>
      <c r="D2395" t="inlineStr">
        <is>
          <t>VÄSTERNORRLANDS LÄN</t>
        </is>
      </c>
      <c r="E2395" t="inlineStr">
        <is>
          <t>SOLLEFTEÅ</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55650-2023</t>
        </is>
      </c>
      <c r="B2396" s="1" t="n">
        <v>45239</v>
      </c>
      <c r="C2396" s="1" t="n">
        <v>45670</v>
      </c>
      <c r="D2396" t="inlineStr">
        <is>
          <t>VÄSTERNORRLANDS LÄN</t>
        </is>
      </c>
      <c r="E2396" t="inlineStr">
        <is>
          <t>SOLLEFTEÅ</t>
        </is>
      </c>
      <c r="F2396" t="inlineStr">
        <is>
          <t>SCA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55654-2023</t>
        </is>
      </c>
      <c r="B2397" s="1" t="n">
        <v>45239</v>
      </c>
      <c r="C2397" s="1" t="n">
        <v>45670</v>
      </c>
      <c r="D2397" t="inlineStr">
        <is>
          <t>VÄSTERNORRLANDS LÄN</t>
        </is>
      </c>
      <c r="E2397" t="inlineStr">
        <is>
          <t>SOLLEFTEÅ</t>
        </is>
      </c>
      <c r="F2397" t="inlineStr">
        <is>
          <t>SCA</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55652-2023</t>
        </is>
      </c>
      <c r="B2398" s="1" t="n">
        <v>45238</v>
      </c>
      <c r="C2398" s="1" t="n">
        <v>45670</v>
      </c>
      <c r="D2398" t="inlineStr">
        <is>
          <t>VÄSTERNORRLANDS LÄN</t>
        </is>
      </c>
      <c r="E2398" t="inlineStr">
        <is>
          <t>SOLLEFTEÅ</t>
        </is>
      </c>
      <c r="F2398" t="inlineStr">
        <is>
          <t>SCA</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55651-2023</t>
        </is>
      </c>
      <c r="B2399" s="1" t="n">
        <v>45238</v>
      </c>
      <c r="C2399" s="1" t="n">
        <v>45670</v>
      </c>
      <c r="D2399" t="inlineStr">
        <is>
          <t>VÄSTERNORRLANDS LÄN</t>
        </is>
      </c>
      <c r="E2399" t="inlineStr">
        <is>
          <t>SOLLEFTEÅ</t>
        </is>
      </c>
      <c r="F2399" t="inlineStr">
        <is>
          <t>SCA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55687-2023</t>
        </is>
      </c>
      <c r="B2400" s="1" t="n">
        <v>45239</v>
      </c>
      <c r="C2400" s="1" t="n">
        <v>45670</v>
      </c>
      <c r="D2400" t="inlineStr">
        <is>
          <t>VÄSTERNORRLANDS LÄN</t>
        </is>
      </c>
      <c r="E2400" t="inlineStr">
        <is>
          <t>SOLLEFTEÅ</t>
        </is>
      </c>
      <c r="F2400" t="inlineStr">
        <is>
          <t>Holmen skog AB</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55859-2023</t>
        </is>
      </c>
      <c r="B2401" s="1" t="n">
        <v>45239</v>
      </c>
      <c r="C2401" s="1" t="n">
        <v>45670</v>
      </c>
      <c r="D2401" t="inlineStr">
        <is>
          <t>VÄSTERNORRLANDS LÄN</t>
        </is>
      </c>
      <c r="E2401" t="inlineStr">
        <is>
          <t>SOLLEFTEÅ</t>
        </is>
      </c>
      <c r="F2401" t="inlineStr">
        <is>
          <t>Kommuner</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55910-2023</t>
        </is>
      </c>
      <c r="B2402" s="1" t="n">
        <v>45239</v>
      </c>
      <c r="C2402" s="1" t="n">
        <v>45670</v>
      </c>
      <c r="D2402" t="inlineStr">
        <is>
          <t>VÄSTERNORRLANDS LÄN</t>
        </is>
      </c>
      <c r="E2402" t="inlineStr">
        <is>
          <t>SOLLEFTEÅ</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55912-2023</t>
        </is>
      </c>
      <c r="B2403" s="1" t="n">
        <v>45239</v>
      </c>
      <c r="C2403" s="1" t="n">
        <v>45670</v>
      </c>
      <c r="D2403" t="inlineStr">
        <is>
          <t>VÄSTERNORRLANDS LÄN</t>
        </is>
      </c>
      <c r="E2403" t="inlineStr">
        <is>
          <t>SOLLEFTEÅ</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55929-2023</t>
        </is>
      </c>
      <c r="B2404" s="1" t="n">
        <v>45239</v>
      </c>
      <c r="C2404" s="1" t="n">
        <v>45670</v>
      </c>
      <c r="D2404" t="inlineStr">
        <is>
          <t>VÄSTERNORRLANDS LÄN</t>
        </is>
      </c>
      <c r="E2404" t="inlineStr">
        <is>
          <t>SOLLEFTEÅ</t>
        </is>
      </c>
      <c r="F2404" t="inlineStr">
        <is>
          <t>SCA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57010-2023</t>
        </is>
      </c>
      <c r="B2405" s="1" t="n">
        <v>45239</v>
      </c>
      <c r="C2405" s="1" t="n">
        <v>45670</v>
      </c>
      <c r="D2405" t="inlineStr">
        <is>
          <t>VÄSTERNORRLANDS LÄN</t>
        </is>
      </c>
      <c r="E2405" t="inlineStr">
        <is>
          <t>SOLLEFTEÅ</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56261-2023</t>
        </is>
      </c>
      <c r="B2406" s="1" t="n">
        <v>45240</v>
      </c>
      <c r="C2406" s="1" t="n">
        <v>45670</v>
      </c>
      <c r="D2406" t="inlineStr">
        <is>
          <t>VÄSTERNORRLANDS LÄN</t>
        </is>
      </c>
      <c r="E2406" t="inlineStr">
        <is>
          <t>SOLLEFTEÅ</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56249-2023</t>
        </is>
      </c>
      <c r="B2407" s="1" t="n">
        <v>45240</v>
      </c>
      <c r="C2407" s="1" t="n">
        <v>45670</v>
      </c>
      <c r="D2407" t="inlineStr">
        <is>
          <t>VÄSTERNORRLANDS LÄN</t>
        </is>
      </c>
      <c r="E2407" t="inlineStr">
        <is>
          <t>SOLLEFTEÅ</t>
        </is>
      </c>
      <c r="F2407" t="inlineStr">
        <is>
          <t>SCA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56201-2023</t>
        </is>
      </c>
      <c r="B2408" s="1" t="n">
        <v>45240</v>
      </c>
      <c r="C2408" s="1" t="n">
        <v>45670</v>
      </c>
      <c r="D2408" t="inlineStr">
        <is>
          <t>VÄSTERNORRLANDS LÄN</t>
        </is>
      </c>
      <c r="E2408" t="inlineStr">
        <is>
          <t>SOLLEFTEÅ</t>
        </is>
      </c>
      <c r="G2408" t="n">
        <v>43.3</v>
      </c>
      <c r="H2408" t="n">
        <v>0</v>
      </c>
      <c r="I2408" t="n">
        <v>0</v>
      </c>
      <c r="J2408" t="n">
        <v>0</v>
      </c>
      <c r="K2408" t="n">
        <v>0</v>
      </c>
      <c r="L2408" t="n">
        <v>0</v>
      </c>
      <c r="M2408" t="n">
        <v>0</v>
      </c>
      <c r="N2408" t="n">
        <v>0</v>
      </c>
      <c r="O2408" t="n">
        <v>0</v>
      </c>
      <c r="P2408" t="n">
        <v>0</v>
      </c>
      <c r="Q2408" t="n">
        <v>0</v>
      </c>
      <c r="R2408" s="2" t="inlineStr"/>
    </row>
    <row r="2409" ht="15" customHeight="1">
      <c r="A2409" t="inlineStr">
        <is>
          <t>A 56262-2023</t>
        </is>
      </c>
      <c r="B2409" s="1" t="n">
        <v>45240</v>
      </c>
      <c r="C2409" s="1" t="n">
        <v>45670</v>
      </c>
      <c r="D2409" t="inlineStr">
        <is>
          <t>VÄSTERNORRLANDS LÄN</t>
        </is>
      </c>
      <c r="E2409" t="inlineStr">
        <is>
          <t>SOLLEFTEÅ</t>
        </is>
      </c>
      <c r="F2409" t="inlineStr">
        <is>
          <t>SCA</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56234-2023</t>
        </is>
      </c>
      <c r="B2410" s="1" t="n">
        <v>45240</v>
      </c>
      <c r="C2410" s="1" t="n">
        <v>45670</v>
      </c>
      <c r="D2410" t="inlineStr">
        <is>
          <t>VÄSTERNORRLANDS LÄN</t>
        </is>
      </c>
      <c r="E2410" t="inlineStr">
        <is>
          <t>SOLLEFTEÅ</t>
        </is>
      </c>
      <c r="G2410" t="n">
        <v>7.6</v>
      </c>
      <c r="H2410" t="n">
        <v>0</v>
      </c>
      <c r="I2410" t="n">
        <v>0</v>
      </c>
      <c r="J2410" t="n">
        <v>0</v>
      </c>
      <c r="K2410" t="n">
        <v>0</v>
      </c>
      <c r="L2410" t="n">
        <v>0</v>
      </c>
      <c r="M2410" t="n">
        <v>0</v>
      </c>
      <c r="N2410" t="n">
        <v>0</v>
      </c>
      <c r="O2410" t="n">
        <v>0</v>
      </c>
      <c r="P2410" t="n">
        <v>0</v>
      </c>
      <c r="Q2410" t="n">
        <v>0</v>
      </c>
      <c r="R2410" s="2" t="inlineStr"/>
    </row>
    <row r="2411" ht="15" customHeight="1">
      <c r="A2411" t="inlineStr">
        <is>
          <t>A 56260-2023</t>
        </is>
      </c>
      <c r="B2411" s="1" t="n">
        <v>45240</v>
      </c>
      <c r="C2411" s="1" t="n">
        <v>45670</v>
      </c>
      <c r="D2411" t="inlineStr">
        <is>
          <t>VÄSTERNORRLANDS LÄN</t>
        </is>
      </c>
      <c r="E2411" t="inlineStr">
        <is>
          <t>SOLLEFTEÅ</t>
        </is>
      </c>
      <c r="F2411" t="inlineStr">
        <is>
          <t>SCA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56256-2023</t>
        </is>
      </c>
      <c r="B2412" s="1" t="n">
        <v>45240</v>
      </c>
      <c r="C2412" s="1" t="n">
        <v>45670</v>
      </c>
      <c r="D2412" t="inlineStr">
        <is>
          <t>VÄSTERNORRLANDS LÄN</t>
        </is>
      </c>
      <c r="E2412" t="inlineStr">
        <is>
          <t>SOLLEFTEÅ</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56244-2023</t>
        </is>
      </c>
      <c r="B2413" s="1" t="n">
        <v>45240</v>
      </c>
      <c r="C2413" s="1" t="n">
        <v>45670</v>
      </c>
      <c r="D2413" t="inlineStr">
        <is>
          <t>VÄSTERNORRLANDS LÄN</t>
        </is>
      </c>
      <c r="E2413" t="inlineStr">
        <is>
          <t>SOLLEFTEÅ</t>
        </is>
      </c>
      <c r="F2413" t="inlineStr">
        <is>
          <t>SCA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56134-2023</t>
        </is>
      </c>
      <c r="B2414" s="1" t="n">
        <v>45240</v>
      </c>
      <c r="C2414" s="1" t="n">
        <v>45670</v>
      </c>
      <c r="D2414" t="inlineStr">
        <is>
          <t>VÄSTERNORRLANDS LÄN</t>
        </is>
      </c>
      <c r="E2414" t="inlineStr">
        <is>
          <t>SOLLEFTEÅ</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56137-2023</t>
        </is>
      </c>
      <c r="B2415" s="1" t="n">
        <v>45240</v>
      </c>
      <c r="C2415" s="1" t="n">
        <v>45670</v>
      </c>
      <c r="D2415" t="inlineStr">
        <is>
          <t>VÄSTERNORRLANDS LÄN</t>
        </is>
      </c>
      <c r="E2415" t="inlineStr">
        <is>
          <t>SOLLEFTEÅ</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56139-2023</t>
        </is>
      </c>
      <c r="B2416" s="1" t="n">
        <v>45240</v>
      </c>
      <c r="C2416" s="1" t="n">
        <v>45670</v>
      </c>
      <c r="D2416" t="inlineStr">
        <is>
          <t>VÄSTERNORRLANDS LÄN</t>
        </is>
      </c>
      <c r="E2416" t="inlineStr">
        <is>
          <t>SOLLEFTEÅ</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56310-2023</t>
        </is>
      </c>
      <c r="B2417" s="1" t="n">
        <v>45242</v>
      </c>
      <c r="C2417" s="1" t="n">
        <v>45670</v>
      </c>
      <c r="D2417" t="inlineStr">
        <is>
          <t>VÄSTERNORRLANDS LÄN</t>
        </is>
      </c>
      <c r="E2417" t="inlineStr">
        <is>
          <t>SOLLEFTEÅ</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57518-2023</t>
        </is>
      </c>
      <c r="B2418" s="1" t="n">
        <v>45242</v>
      </c>
      <c r="C2418" s="1" t="n">
        <v>45670</v>
      </c>
      <c r="D2418" t="inlineStr">
        <is>
          <t>VÄSTERNORRLANDS LÄN</t>
        </is>
      </c>
      <c r="E2418" t="inlineStr">
        <is>
          <t>SOLLEFTEÅ</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56311-2023</t>
        </is>
      </c>
      <c r="B2419" s="1" t="n">
        <v>45242</v>
      </c>
      <c r="C2419" s="1" t="n">
        <v>45670</v>
      </c>
      <c r="D2419" t="inlineStr">
        <is>
          <t>VÄSTERNORRLANDS LÄN</t>
        </is>
      </c>
      <c r="E2419" t="inlineStr">
        <is>
          <t>SOLLEFTEÅ</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56684-2023</t>
        </is>
      </c>
      <c r="B2420" s="1" t="n">
        <v>45244</v>
      </c>
      <c r="C2420" s="1" t="n">
        <v>45670</v>
      </c>
      <c r="D2420" t="inlineStr">
        <is>
          <t>VÄSTERNORRLANDS LÄN</t>
        </is>
      </c>
      <c r="E2420" t="inlineStr">
        <is>
          <t>SOLLEFTEÅ</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56685-2023</t>
        </is>
      </c>
      <c r="B2421" s="1" t="n">
        <v>45244</v>
      </c>
      <c r="C2421" s="1" t="n">
        <v>45670</v>
      </c>
      <c r="D2421" t="inlineStr">
        <is>
          <t>VÄSTERNORRLANDS LÄN</t>
        </is>
      </c>
      <c r="E2421" t="inlineStr">
        <is>
          <t>SOLLEFTEÅ</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57080-2023</t>
        </is>
      </c>
      <c r="B2422" s="1" t="n">
        <v>45244</v>
      </c>
      <c r="C2422" s="1" t="n">
        <v>45670</v>
      </c>
      <c r="D2422" t="inlineStr">
        <is>
          <t>VÄSTERNORRLANDS LÄN</t>
        </is>
      </c>
      <c r="E2422" t="inlineStr">
        <is>
          <t>SOLLEFTEÅ</t>
        </is>
      </c>
      <c r="F2422" t="inlineStr">
        <is>
          <t>SCA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57066-2023</t>
        </is>
      </c>
      <c r="B2423" s="1" t="n">
        <v>45245</v>
      </c>
      <c r="C2423" s="1" t="n">
        <v>45670</v>
      </c>
      <c r="D2423" t="inlineStr">
        <is>
          <t>VÄSTERNORRLANDS LÄN</t>
        </is>
      </c>
      <c r="E2423" t="inlineStr">
        <is>
          <t>SOLLEFTEÅ</t>
        </is>
      </c>
      <c r="F2423" t="inlineStr">
        <is>
          <t>SCA</t>
        </is>
      </c>
      <c r="G2423" t="n">
        <v>11.2</v>
      </c>
      <c r="H2423" t="n">
        <v>0</v>
      </c>
      <c r="I2423" t="n">
        <v>0</v>
      </c>
      <c r="J2423" t="n">
        <v>0</v>
      </c>
      <c r="K2423" t="n">
        <v>0</v>
      </c>
      <c r="L2423" t="n">
        <v>0</v>
      </c>
      <c r="M2423" t="n">
        <v>0</v>
      </c>
      <c r="N2423" t="n">
        <v>0</v>
      </c>
      <c r="O2423" t="n">
        <v>0</v>
      </c>
      <c r="P2423" t="n">
        <v>0</v>
      </c>
      <c r="Q2423" t="n">
        <v>0</v>
      </c>
      <c r="R2423" s="2" t="inlineStr"/>
    </row>
    <row r="2424" ht="15" customHeight="1">
      <c r="A2424" t="inlineStr">
        <is>
          <t>A 57837-2023</t>
        </is>
      </c>
      <c r="B2424" s="1" t="n">
        <v>45244</v>
      </c>
      <c r="C2424" s="1" t="n">
        <v>45670</v>
      </c>
      <c r="D2424" t="inlineStr">
        <is>
          <t>VÄSTERNORRLANDS LÄN</t>
        </is>
      </c>
      <c r="E2424" t="inlineStr">
        <is>
          <t>SOLLEFTEÅ</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57384-2023</t>
        </is>
      </c>
      <c r="B2425" s="1" t="n">
        <v>45245</v>
      </c>
      <c r="C2425" s="1" t="n">
        <v>45670</v>
      </c>
      <c r="D2425" t="inlineStr">
        <is>
          <t>VÄSTERNORRLANDS LÄN</t>
        </is>
      </c>
      <c r="E2425" t="inlineStr">
        <is>
          <t>SOLLEFTEÅ</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57394-2023</t>
        </is>
      </c>
      <c r="B2426" s="1" t="n">
        <v>45246</v>
      </c>
      <c r="C2426" s="1" t="n">
        <v>45670</v>
      </c>
      <c r="D2426" t="inlineStr">
        <is>
          <t>VÄSTERNORRLANDS LÄN</t>
        </is>
      </c>
      <c r="E2426" t="inlineStr">
        <is>
          <t>SOLLEFTEÅ</t>
        </is>
      </c>
      <c r="F2426" t="inlineStr">
        <is>
          <t>SCA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57395-2023</t>
        </is>
      </c>
      <c r="B2427" s="1" t="n">
        <v>45246</v>
      </c>
      <c r="C2427" s="1" t="n">
        <v>45670</v>
      </c>
      <c r="D2427" t="inlineStr">
        <is>
          <t>VÄSTERNORRLANDS LÄN</t>
        </is>
      </c>
      <c r="E2427" t="inlineStr">
        <is>
          <t>SOLLEFTEÅ</t>
        </is>
      </c>
      <c r="F2427" t="inlineStr">
        <is>
          <t>SCA</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57411-2023</t>
        </is>
      </c>
      <c r="B2428" s="1" t="n">
        <v>45245</v>
      </c>
      <c r="C2428" s="1" t="n">
        <v>45670</v>
      </c>
      <c r="D2428" t="inlineStr">
        <is>
          <t>VÄSTERNORRLANDS LÄN</t>
        </is>
      </c>
      <c r="E2428" t="inlineStr">
        <is>
          <t>SOLLEFTEÅ</t>
        </is>
      </c>
      <c r="F2428" t="inlineStr">
        <is>
          <t>SCA</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58298-2023</t>
        </is>
      </c>
      <c r="B2429" s="1" t="n">
        <v>45245</v>
      </c>
      <c r="C2429" s="1" t="n">
        <v>45670</v>
      </c>
      <c r="D2429" t="inlineStr">
        <is>
          <t>VÄSTERNORRLANDS LÄN</t>
        </is>
      </c>
      <c r="E2429" t="inlineStr">
        <is>
          <t>SOLLEFTEÅ</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57655-2023</t>
        </is>
      </c>
      <c r="B2430" s="1" t="n">
        <v>45246</v>
      </c>
      <c r="C2430" s="1" t="n">
        <v>45670</v>
      </c>
      <c r="D2430" t="inlineStr">
        <is>
          <t>VÄSTERNORRLANDS LÄN</t>
        </is>
      </c>
      <c r="E2430" t="inlineStr">
        <is>
          <t>SOLLEFTEÅ</t>
        </is>
      </c>
      <c r="G2430" t="n">
        <v>5.1</v>
      </c>
      <c r="H2430" t="n">
        <v>0</v>
      </c>
      <c r="I2430" t="n">
        <v>0</v>
      </c>
      <c r="J2430" t="n">
        <v>0</v>
      </c>
      <c r="K2430" t="n">
        <v>0</v>
      </c>
      <c r="L2430" t="n">
        <v>0</v>
      </c>
      <c r="M2430" t="n">
        <v>0</v>
      </c>
      <c r="N2430" t="n">
        <v>0</v>
      </c>
      <c r="O2430" t="n">
        <v>0</v>
      </c>
      <c r="P2430" t="n">
        <v>0</v>
      </c>
      <c r="Q2430" t="n">
        <v>0</v>
      </c>
      <c r="R2430" s="2" t="inlineStr"/>
    </row>
    <row r="2431" ht="15" customHeight="1">
      <c r="A2431" t="inlineStr">
        <is>
          <t>A 58085-2023</t>
        </is>
      </c>
      <c r="B2431" s="1" t="n">
        <v>45247</v>
      </c>
      <c r="C2431" s="1" t="n">
        <v>45670</v>
      </c>
      <c r="D2431" t="inlineStr">
        <is>
          <t>VÄSTERNORRLANDS LÄN</t>
        </is>
      </c>
      <c r="E2431" t="inlineStr">
        <is>
          <t>SOLLEFTEÅ</t>
        </is>
      </c>
      <c r="F2431" t="inlineStr">
        <is>
          <t>SCA</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58155-2023</t>
        </is>
      </c>
      <c r="B2432" s="1" t="n">
        <v>45250</v>
      </c>
      <c r="C2432" s="1" t="n">
        <v>45670</v>
      </c>
      <c r="D2432" t="inlineStr">
        <is>
          <t>VÄSTERNORRLANDS LÄN</t>
        </is>
      </c>
      <c r="E2432" t="inlineStr">
        <is>
          <t>SOLLEFTEÅ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58923-2023</t>
        </is>
      </c>
      <c r="B2433" s="1" t="n">
        <v>45250</v>
      </c>
      <c r="C2433" s="1" t="n">
        <v>45670</v>
      </c>
      <c r="D2433" t="inlineStr">
        <is>
          <t>VÄSTERNORRLANDS LÄN</t>
        </is>
      </c>
      <c r="E2433" t="inlineStr">
        <is>
          <t>SOLLEFTEÅ</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58938-2023</t>
        </is>
      </c>
      <c r="B2434" s="1" t="n">
        <v>45250</v>
      </c>
      <c r="C2434" s="1" t="n">
        <v>45670</v>
      </c>
      <c r="D2434" t="inlineStr">
        <is>
          <t>VÄSTERNORRLANDS LÄN</t>
        </is>
      </c>
      <c r="E2434" t="inlineStr">
        <is>
          <t>SOLLEFTEÅ</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58427-2023</t>
        </is>
      </c>
      <c r="B2435" s="1" t="n">
        <v>45250</v>
      </c>
      <c r="C2435" s="1" t="n">
        <v>45670</v>
      </c>
      <c r="D2435" t="inlineStr">
        <is>
          <t>VÄSTERNORRLANDS LÄN</t>
        </is>
      </c>
      <c r="E2435" t="inlineStr">
        <is>
          <t>SOLLEFTEÅ</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58891-2023</t>
        </is>
      </c>
      <c r="B2436" s="1" t="n">
        <v>45250</v>
      </c>
      <c r="C2436" s="1" t="n">
        <v>45670</v>
      </c>
      <c r="D2436" t="inlineStr">
        <is>
          <t>VÄSTERNORRLANDS LÄN</t>
        </is>
      </c>
      <c r="E2436" t="inlineStr">
        <is>
          <t>SOLLEFTEÅ</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58933-2023</t>
        </is>
      </c>
      <c r="B2437" s="1" t="n">
        <v>45250</v>
      </c>
      <c r="C2437" s="1" t="n">
        <v>45670</v>
      </c>
      <c r="D2437" t="inlineStr">
        <is>
          <t>VÄSTERNORRLANDS LÄN</t>
        </is>
      </c>
      <c r="E2437" t="inlineStr">
        <is>
          <t>SOLLEFTEÅ</t>
        </is>
      </c>
      <c r="G2437" t="n">
        <v>9.5</v>
      </c>
      <c r="H2437" t="n">
        <v>0</v>
      </c>
      <c r="I2437" t="n">
        <v>0</v>
      </c>
      <c r="J2437" t="n">
        <v>0</v>
      </c>
      <c r="K2437" t="n">
        <v>0</v>
      </c>
      <c r="L2437" t="n">
        <v>0</v>
      </c>
      <c r="M2437" t="n">
        <v>0</v>
      </c>
      <c r="N2437" t="n">
        <v>0</v>
      </c>
      <c r="O2437" t="n">
        <v>0</v>
      </c>
      <c r="P2437" t="n">
        <v>0</v>
      </c>
      <c r="Q2437" t="n">
        <v>0</v>
      </c>
      <c r="R2437" s="2" t="inlineStr"/>
    </row>
    <row r="2438" ht="15" customHeight="1">
      <c r="A2438" t="inlineStr">
        <is>
          <t>A 59098-2023</t>
        </is>
      </c>
      <c r="B2438" s="1" t="n">
        <v>45253</v>
      </c>
      <c r="C2438" s="1" t="n">
        <v>45670</v>
      </c>
      <c r="D2438" t="inlineStr">
        <is>
          <t>VÄSTERNORRLANDS LÄN</t>
        </is>
      </c>
      <c r="E2438" t="inlineStr">
        <is>
          <t>SOLLEFTEÅ</t>
        </is>
      </c>
      <c r="F2438" t="inlineStr">
        <is>
          <t>SCA</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59339-2023</t>
        </is>
      </c>
      <c r="B2439" s="1" t="n">
        <v>45253</v>
      </c>
      <c r="C2439" s="1" t="n">
        <v>45670</v>
      </c>
      <c r="D2439" t="inlineStr">
        <is>
          <t>VÄSTERNORRLANDS LÄN</t>
        </is>
      </c>
      <c r="E2439" t="inlineStr">
        <is>
          <t>SOLLEFTEÅ</t>
        </is>
      </c>
      <c r="F2439" t="inlineStr">
        <is>
          <t>Holmen skog AB</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59346-2023</t>
        </is>
      </c>
      <c r="B2440" s="1" t="n">
        <v>45253</v>
      </c>
      <c r="C2440" s="1" t="n">
        <v>45670</v>
      </c>
      <c r="D2440" t="inlineStr">
        <is>
          <t>VÄSTERNORRLANDS LÄN</t>
        </is>
      </c>
      <c r="E2440" t="inlineStr">
        <is>
          <t>SOLLEFTEÅ</t>
        </is>
      </c>
      <c r="F2440" t="inlineStr">
        <is>
          <t>Holmen skog AB</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59461-2023</t>
        </is>
      </c>
      <c r="B2441" s="1" t="n">
        <v>45253</v>
      </c>
      <c r="C2441" s="1" t="n">
        <v>45670</v>
      </c>
      <c r="D2441" t="inlineStr">
        <is>
          <t>VÄSTERNORRLANDS LÄN</t>
        </is>
      </c>
      <c r="E2441" t="inlineStr">
        <is>
          <t>SOLLEFTEÅ</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59579-2023</t>
        </is>
      </c>
      <c r="B2442" s="1" t="n">
        <v>45253</v>
      </c>
      <c r="C2442" s="1" t="n">
        <v>45670</v>
      </c>
      <c r="D2442" t="inlineStr">
        <is>
          <t>VÄSTERNORRLANDS LÄN</t>
        </is>
      </c>
      <c r="E2442" t="inlineStr">
        <is>
          <t>SOLLEFTEÅ</t>
        </is>
      </c>
      <c r="G2442" t="n">
        <v>6.2</v>
      </c>
      <c r="H2442" t="n">
        <v>0</v>
      </c>
      <c r="I2442" t="n">
        <v>0</v>
      </c>
      <c r="J2442" t="n">
        <v>0</v>
      </c>
      <c r="K2442" t="n">
        <v>0</v>
      </c>
      <c r="L2442" t="n">
        <v>0</v>
      </c>
      <c r="M2442" t="n">
        <v>0</v>
      </c>
      <c r="N2442" t="n">
        <v>0</v>
      </c>
      <c r="O2442" t="n">
        <v>0</v>
      </c>
      <c r="P2442" t="n">
        <v>0</v>
      </c>
      <c r="Q2442" t="n">
        <v>0</v>
      </c>
      <c r="R2442" s="2" t="inlineStr"/>
    </row>
    <row r="2443" ht="15" customHeight="1">
      <c r="A2443" t="inlineStr">
        <is>
          <t>A 59501-2023</t>
        </is>
      </c>
      <c r="B2443" s="1" t="n">
        <v>45254</v>
      </c>
      <c r="C2443" s="1" t="n">
        <v>45670</v>
      </c>
      <c r="D2443" t="inlineStr">
        <is>
          <t>VÄSTERNORRLANDS LÄN</t>
        </is>
      </c>
      <c r="E2443" t="inlineStr">
        <is>
          <t>SOLLEFTEÅ</t>
        </is>
      </c>
      <c r="F2443" t="inlineStr">
        <is>
          <t>Holmen skog AB</t>
        </is>
      </c>
      <c r="G2443" t="n">
        <v>7.1</v>
      </c>
      <c r="H2443" t="n">
        <v>0</v>
      </c>
      <c r="I2443" t="n">
        <v>0</v>
      </c>
      <c r="J2443" t="n">
        <v>0</v>
      </c>
      <c r="K2443" t="n">
        <v>0</v>
      </c>
      <c r="L2443" t="n">
        <v>0</v>
      </c>
      <c r="M2443" t="n">
        <v>0</v>
      </c>
      <c r="N2443" t="n">
        <v>0</v>
      </c>
      <c r="O2443" t="n">
        <v>0</v>
      </c>
      <c r="P2443" t="n">
        <v>0</v>
      </c>
      <c r="Q2443" t="n">
        <v>0</v>
      </c>
      <c r="R2443" s="2" t="inlineStr"/>
    </row>
    <row r="2444" ht="15" customHeight="1">
      <c r="A2444" t="inlineStr">
        <is>
          <t>A 59583-2023</t>
        </is>
      </c>
      <c r="B2444" s="1" t="n">
        <v>45254</v>
      </c>
      <c r="C2444" s="1" t="n">
        <v>45670</v>
      </c>
      <c r="D2444" t="inlineStr">
        <is>
          <t>VÄSTERNORRLANDS LÄN</t>
        </is>
      </c>
      <c r="E2444" t="inlineStr">
        <is>
          <t>SOLLEFTEÅ</t>
        </is>
      </c>
      <c r="F2444" t="inlineStr">
        <is>
          <t>Holmen skog AB</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59657-2023</t>
        </is>
      </c>
      <c r="B2445" s="1" t="n">
        <v>45255</v>
      </c>
      <c r="C2445" s="1" t="n">
        <v>45670</v>
      </c>
      <c r="D2445" t="inlineStr">
        <is>
          <t>VÄSTERNORRLANDS LÄN</t>
        </is>
      </c>
      <c r="E2445" t="inlineStr">
        <is>
          <t>SOLLEFTEÅ</t>
        </is>
      </c>
      <c r="F2445" t="inlineStr">
        <is>
          <t>SCA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59593-2023</t>
        </is>
      </c>
      <c r="B2446" s="1" t="n">
        <v>45254</v>
      </c>
      <c r="C2446" s="1" t="n">
        <v>45670</v>
      </c>
      <c r="D2446" t="inlineStr">
        <is>
          <t>VÄSTERNORRLANDS LÄN</t>
        </is>
      </c>
      <c r="E2446" t="inlineStr">
        <is>
          <t>SOLLEFTEÅ</t>
        </is>
      </c>
      <c r="F2446" t="inlineStr">
        <is>
          <t>Holmen skog AB</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59879-2023</t>
        </is>
      </c>
      <c r="B2447" s="1" t="n">
        <v>45254</v>
      </c>
      <c r="C2447" s="1" t="n">
        <v>45670</v>
      </c>
      <c r="D2447" t="inlineStr">
        <is>
          <t>VÄSTERNORRLANDS LÄN</t>
        </is>
      </c>
      <c r="E2447" t="inlineStr">
        <is>
          <t>SOLLEFTEÅ</t>
        </is>
      </c>
      <c r="G2447" t="n">
        <v>7.7</v>
      </c>
      <c r="H2447" t="n">
        <v>0</v>
      </c>
      <c r="I2447" t="n">
        <v>0</v>
      </c>
      <c r="J2447" t="n">
        <v>0</v>
      </c>
      <c r="K2447" t="n">
        <v>0</v>
      </c>
      <c r="L2447" t="n">
        <v>0</v>
      </c>
      <c r="M2447" t="n">
        <v>0</v>
      </c>
      <c r="N2447" t="n">
        <v>0</v>
      </c>
      <c r="O2447" t="n">
        <v>0</v>
      </c>
      <c r="P2447" t="n">
        <v>0</v>
      </c>
      <c r="Q2447" t="n">
        <v>0</v>
      </c>
      <c r="R2447" s="2" t="inlineStr"/>
    </row>
    <row r="2448" ht="15" customHeight="1">
      <c r="A2448" t="inlineStr">
        <is>
          <t>A 60039-2023</t>
        </is>
      </c>
      <c r="B2448" s="1" t="n">
        <v>45254</v>
      </c>
      <c r="C2448" s="1" t="n">
        <v>45670</v>
      </c>
      <c r="D2448" t="inlineStr">
        <is>
          <t>VÄSTERNORRLANDS LÄN</t>
        </is>
      </c>
      <c r="E2448" t="inlineStr">
        <is>
          <t>SOLLEFTEÅ</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59794-2023</t>
        </is>
      </c>
      <c r="B2449" s="1" t="n">
        <v>45257</v>
      </c>
      <c r="C2449" s="1" t="n">
        <v>45670</v>
      </c>
      <c r="D2449" t="inlineStr">
        <is>
          <t>VÄSTERNORRLANDS LÄN</t>
        </is>
      </c>
      <c r="E2449" t="inlineStr">
        <is>
          <t>SOLLEFTEÅ</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60099-2023</t>
        </is>
      </c>
      <c r="B2450" s="1" t="n">
        <v>45257</v>
      </c>
      <c r="C2450" s="1" t="n">
        <v>45670</v>
      </c>
      <c r="D2450" t="inlineStr">
        <is>
          <t>VÄSTERNORRLANDS LÄN</t>
        </is>
      </c>
      <c r="E2450" t="inlineStr">
        <is>
          <t>SOLLEFTEÅ</t>
        </is>
      </c>
      <c r="G2450" t="n">
        <v>8.5</v>
      </c>
      <c r="H2450" t="n">
        <v>0</v>
      </c>
      <c r="I2450" t="n">
        <v>0</v>
      </c>
      <c r="J2450" t="n">
        <v>0</v>
      </c>
      <c r="K2450" t="n">
        <v>0</v>
      </c>
      <c r="L2450" t="n">
        <v>0</v>
      </c>
      <c r="M2450" t="n">
        <v>0</v>
      </c>
      <c r="N2450" t="n">
        <v>0</v>
      </c>
      <c r="O2450" t="n">
        <v>0</v>
      </c>
      <c r="P2450" t="n">
        <v>0</v>
      </c>
      <c r="Q2450" t="n">
        <v>0</v>
      </c>
      <c r="R2450" s="2" t="inlineStr"/>
    </row>
    <row r="2451" ht="15" customHeight="1">
      <c r="A2451" t="inlineStr">
        <is>
          <t>A 60329-2023</t>
        </is>
      </c>
      <c r="B2451" s="1" t="n">
        <v>45258</v>
      </c>
      <c r="C2451" s="1" t="n">
        <v>45670</v>
      </c>
      <c r="D2451" t="inlineStr">
        <is>
          <t>VÄSTERNORRLANDS LÄN</t>
        </is>
      </c>
      <c r="E2451" t="inlineStr">
        <is>
          <t>SOLLEFTEÅ</t>
        </is>
      </c>
      <c r="F2451" t="inlineStr">
        <is>
          <t>SCA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60328-2023</t>
        </is>
      </c>
      <c r="B2452" s="1" t="n">
        <v>45258</v>
      </c>
      <c r="C2452" s="1" t="n">
        <v>45670</v>
      </c>
      <c r="D2452" t="inlineStr">
        <is>
          <t>VÄSTERNORRLANDS LÄN</t>
        </is>
      </c>
      <c r="E2452" t="inlineStr">
        <is>
          <t>SOLLEFTEÅ</t>
        </is>
      </c>
      <c r="F2452" t="inlineStr">
        <is>
          <t>SCA</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60462-2023</t>
        </is>
      </c>
      <c r="B2453" s="1" t="n">
        <v>45258</v>
      </c>
      <c r="C2453" s="1" t="n">
        <v>45670</v>
      </c>
      <c r="D2453" t="inlineStr">
        <is>
          <t>VÄSTERNORRLANDS LÄN</t>
        </is>
      </c>
      <c r="E2453" t="inlineStr">
        <is>
          <t>SOLLEFTEÅ</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60480-2023</t>
        </is>
      </c>
      <c r="B2454" s="1" t="n">
        <v>45258</v>
      </c>
      <c r="C2454" s="1" t="n">
        <v>45670</v>
      </c>
      <c r="D2454" t="inlineStr">
        <is>
          <t>VÄSTERNORRLANDS LÄN</t>
        </is>
      </c>
      <c r="E2454" t="inlineStr">
        <is>
          <t>SOLLEFTEÅ</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60883-2023</t>
        </is>
      </c>
      <c r="B2455" s="1" t="n">
        <v>45259</v>
      </c>
      <c r="C2455" s="1" t="n">
        <v>45670</v>
      </c>
      <c r="D2455" t="inlineStr">
        <is>
          <t>VÄSTERNORRLANDS LÄN</t>
        </is>
      </c>
      <c r="E2455" t="inlineStr">
        <is>
          <t>SOLLEFTEÅ</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61028-2023</t>
        </is>
      </c>
      <c r="B2456" s="1" t="n">
        <v>45259</v>
      </c>
      <c r="C2456" s="1" t="n">
        <v>45670</v>
      </c>
      <c r="D2456" t="inlineStr">
        <is>
          <t>VÄSTERNORRLANDS LÄN</t>
        </is>
      </c>
      <c r="E2456" t="inlineStr">
        <is>
          <t>SOLLEFTEÅ</t>
        </is>
      </c>
      <c r="G2456" t="n">
        <v>10.6</v>
      </c>
      <c r="H2456" t="n">
        <v>0</v>
      </c>
      <c r="I2456" t="n">
        <v>0</v>
      </c>
      <c r="J2456" t="n">
        <v>0</v>
      </c>
      <c r="K2456" t="n">
        <v>0</v>
      </c>
      <c r="L2456" t="n">
        <v>0</v>
      </c>
      <c r="M2456" t="n">
        <v>0</v>
      </c>
      <c r="N2456" t="n">
        <v>0</v>
      </c>
      <c r="O2456" t="n">
        <v>0</v>
      </c>
      <c r="P2456" t="n">
        <v>0</v>
      </c>
      <c r="Q2456" t="n">
        <v>0</v>
      </c>
      <c r="R2456" s="2" t="inlineStr"/>
    </row>
    <row r="2457" ht="15" customHeight="1">
      <c r="A2457" t="inlineStr">
        <is>
          <t>A 61034-2023</t>
        </is>
      </c>
      <c r="B2457" s="1" t="n">
        <v>45259</v>
      </c>
      <c r="C2457" s="1" t="n">
        <v>45670</v>
      </c>
      <c r="D2457" t="inlineStr">
        <is>
          <t>VÄSTERNORRLANDS LÄN</t>
        </is>
      </c>
      <c r="E2457" t="inlineStr">
        <is>
          <t>SOLLEFTEÅ</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60861-2023</t>
        </is>
      </c>
      <c r="B2458" s="1" t="n">
        <v>45260</v>
      </c>
      <c r="C2458" s="1" t="n">
        <v>45670</v>
      </c>
      <c r="D2458" t="inlineStr">
        <is>
          <t>VÄSTERNORRLANDS LÄN</t>
        </is>
      </c>
      <c r="E2458" t="inlineStr">
        <is>
          <t>SOLLEFTEÅ</t>
        </is>
      </c>
      <c r="F2458" t="inlineStr">
        <is>
          <t>SCA</t>
        </is>
      </c>
      <c r="G2458" t="n">
        <v>7.3</v>
      </c>
      <c r="H2458" t="n">
        <v>0</v>
      </c>
      <c r="I2458" t="n">
        <v>0</v>
      </c>
      <c r="J2458" t="n">
        <v>0</v>
      </c>
      <c r="K2458" t="n">
        <v>0</v>
      </c>
      <c r="L2458" t="n">
        <v>0</v>
      </c>
      <c r="M2458" t="n">
        <v>0</v>
      </c>
      <c r="N2458" t="n">
        <v>0</v>
      </c>
      <c r="O2458" t="n">
        <v>0</v>
      </c>
      <c r="P2458" t="n">
        <v>0</v>
      </c>
      <c r="Q2458" t="n">
        <v>0</v>
      </c>
      <c r="R2458" s="2" t="inlineStr"/>
    </row>
    <row r="2459" ht="15" customHeight="1">
      <c r="A2459" t="inlineStr">
        <is>
          <t>A 61213-2023</t>
        </is>
      </c>
      <c r="B2459" s="1" t="n">
        <v>45260</v>
      </c>
      <c r="C2459" s="1" t="n">
        <v>45670</v>
      </c>
      <c r="D2459" t="inlineStr">
        <is>
          <t>VÄSTERNORRLANDS LÄN</t>
        </is>
      </c>
      <c r="E2459" t="inlineStr">
        <is>
          <t>SOLLEFTEÅ</t>
        </is>
      </c>
      <c r="G2459" t="n">
        <v>12.5</v>
      </c>
      <c r="H2459" t="n">
        <v>0</v>
      </c>
      <c r="I2459" t="n">
        <v>0</v>
      </c>
      <c r="J2459" t="n">
        <v>0</v>
      </c>
      <c r="K2459" t="n">
        <v>0</v>
      </c>
      <c r="L2459" t="n">
        <v>0</v>
      </c>
      <c r="M2459" t="n">
        <v>0</v>
      </c>
      <c r="N2459" t="n">
        <v>0</v>
      </c>
      <c r="O2459" t="n">
        <v>0</v>
      </c>
      <c r="P2459" t="n">
        <v>0</v>
      </c>
      <c r="Q2459" t="n">
        <v>0</v>
      </c>
      <c r="R2459" s="2" t="inlineStr"/>
    </row>
    <row r="2460" ht="15" customHeight="1">
      <c r="A2460" t="inlineStr">
        <is>
          <t>A 61081-2023</t>
        </is>
      </c>
      <c r="B2460" s="1" t="n">
        <v>45261</v>
      </c>
      <c r="C2460" s="1" t="n">
        <v>45670</v>
      </c>
      <c r="D2460" t="inlineStr">
        <is>
          <t>VÄSTERNORRLANDS LÄN</t>
        </is>
      </c>
      <c r="E2460" t="inlineStr">
        <is>
          <t>SOLLEFTEÅ</t>
        </is>
      </c>
      <c r="F2460" t="inlineStr">
        <is>
          <t>Holmen skog AB</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61137-2023</t>
        </is>
      </c>
      <c r="B2461" s="1" t="n">
        <v>45261</v>
      </c>
      <c r="C2461" s="1" t="n">
        <v>45670</v>
      </c>
      <c r="D2461" t="inlineStr">
        <is>
          <t>VÄSTERNORRLANDS LÄN</t>
        </is>
      </c>
      <c r="E2461" t="inlineStr">
        <is>
          <t>SOLLEFTEÅ</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61138-2023</t>
        </is>
      </c>
      <c r="B2462" s="1" t="n">
        <v>45261</v>
      </c>
      <c r="C2462" s="1" t="n">
        <v>45670</v>
      </c>
      <c r="D2462" t="inlineStr">
        <is>
          <t>VÄSTERNORRLANDS LÄN</t>
        </is>
      </c>
      <c r="E2462" t="inlineStr">
        <is>
          <t>SOLLEFTEÅ</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61469-2023</t>
        </is>
      </c>
      <c r="B2463" s="1" t="n">
        <v>45264</v>
      </c>
      <c r="C2463" s="1" t="n">
        <v>45670</v>
      </c>
      <c r="D2463" t="inlineStr">
        <is>
          <t>VÄSTERNORRLANDS LÄN</t>
        </is>
      </c>
      <c r="E2463" t="inlineStr">
        <is>
          <t>SOLLEFTEÅ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61473-2023</t>
        </is>
      </c>
      <c r="B2464" s="1" t="n">
        <v>45264</v>
      </c>
      <c r="C2464" s="1" t="n">
        <v>45670</v>
      </c>
      <c r="D2464" t="inlineStr">
        <is>
          <t>VÄSTERNORRLANDS LÄN</t>
        </is>
      </c>
      <c r="E2464" t="inlineStr">
        <is>
          <t>SOLLEFTEÅ</t>
        </is>
      </c>
      <c r="G2464" t="n">
        <v>18.8</v>
      </c>
      <c r="H2464" t="n">
        <v>0</v>
      </c>
      <c r="I2464" t="n">
        <v>0</v>
      </c>
      <c r="J2464" t="n">
        <v>0</v>
      </c>
      <c r="K2464" t="n">
        <v>0</v>
      </c>
      <c r="L2464" t="n">
        <v>0</v>
      </c>
      <c r="M2464" t="n">
        <v>0</v>
      </c>
      <c r="N2464" t="n">
        <v>0</v>
      </c>
      <c r="O2464" t="n">
        <v>0</v>
      </c>
      <c r="P2464" t="n">
        <v>0</v>
      </c>
      <c r="Q2464" t="n">
        <v>0</v>
      </c>
      <c r="R2464" s="2" t="inlineStr"/>
    </row>
    <row r="2465" ht="15" customHeight="1">
      <c r="A2465" t="inlineStr">
        <is>
          <t>A 61462-2023</t>
        </is>
      </c>
      <c r="B2465" s="1" t="n">
        <v>45264</v>
      </c>
      <c r="C2465" s="1" t="n">
        <v>45670</v>
      </c>
      <c r="D2465" t="inlineStr">
        <is>
          <t>VÄSTERNORRLANDS LÄN</t>
        </is>
      </c>
      <c r="E2465" t="inlineStr">
        <is>
          <t>SOLLEFTEÅ</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61470-2023</t>
        </is>
      </c>
      <c r="B2466" s="1" t="n">
        <v>45264</v>
      </c>
      <c r="C2466" s="1" t="n">
        <v>45670</v>
      </c>
      <c r="D2466" t="inlineStr">
        <is>
          <t>VÄSTERNORRLANDS LÄN</t>
        </is>
      </c>
      <c r="E2466" t="inlineStr">
        <is>
          <t>SOLLEFTEÅ</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61809-2023</t>
        </is>
      </c>
      <c r="B2467" s="1" t="n">
        <v>45264</v>
      </c>
      <c r="C2467" s="1" t="n">
        <v>45670</v>
      </c>
      <c r="D2467" t="inlineStr">
        <is>
          <t>VÄSTERNORRLANDS LÄN</t>
        </is>
      </c>
      <c r="E2467" t="inlineStr">
        <is>
          <t>SOLLEFTEÅ</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61805-2023</t>
        </is>
      </c>
      <c r="B2468" s="1" t="n">
        <v>45264</v>
      </c>
      <c r="C2468" s="1" t="n">
        <v>45670</v>
      </c>
      <c r="D2468" t="inlineStr">
        <is>
          <t>VÄSTERNORRLANDS LÄN</t>
        </is>
      </c>
      <c r="E2468" t="inlineStr">
        <is>
          <t>SOLLEFTEÅ</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61485-2023</t>
        </is>
      </c>
      <c r="B2469" s="1" t="n">
        <v>45264</v>
      </c>
      <c r="C2469" s="1" t="n">
        <v>45670</v>
      </c>
      <c r="D2469" t="inlineStr">
        <is>
          <t>VÄSTERNORRLANDS LÄN</t>
        </is>
      </c>
      <c r="E2469" t="inlineStr">
        <is>
          <t>SOLLEFTEÅ</t>
        </is>
      </c>
      <c r="F2469" t="inlineStr">
        <is>
          <t>SCA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61784-2023</t>
        </is>
      </c>
      <c r="B2470" s="1" t="n">
        <v>45265</v>
      </c>
      <c r="C2470" s="1" t="n">
        <v>45670</v>
      </c>
      <c r="D2470" t="inlineStr">
        <is>
          <t>VÄSTERNORRLANDS LÄN</t>
        </is>
      </c>
      <c r="E2470" t="inlineStr">
        <is>
          <t>SOLLEFTEÅ</t>
        </is>
      </c>
      <c r="F2470" t="inlineStr">
        <is>
          <t>SCA</t>
        </is>
      </c>
      <c r="G2470" t="n">
        <v>9.1</v>
      </c>
      <c r="H2470" t="n">
        <v>0</v>
      </c>
      <c r="I2470" t="n">
        <v>0</v>
      </c>
      <c r="J2470" t="n">
        <v>0</v>
      </c>
      <c r="K2470" t="n">
        <v>0</v>
      </c>
      <c r="L2470" t="n">
        <v>0</v>
      </c>
      <c r="M2470" t="n">
        <v>0</v>
      </c>
      <c r="N2470" t="n">
        <v>0</v>
      </c>
      <c r="O2470" t="n">
        <v>0</v>
      </c>
      <c r="P2470" t="n">
        <v>0</v>
      </c>
      <c r="Q2470" t="n">
        <v>0</v>
      </c>
      <c r="R2470" s="2" t="inlineStr"/>
    </row>
    <row r="2471" ht="15" customHeight="1">
      <c r="A2471" t="inlineStr">
        <is>
          <t>A 62099-2023</t>
        </is>
      </c>
      <c r="B2471" s="1" t="n">
        <v>45266</v>
      </c>
      <c r="C2471" s="1" t="n">
        <v>45670</v>
      </c>
      <c r="D2471" t="inlineStr">
        <is>
          <t>VÄSTERNORRLANDS LÄN</t>
        </is>
      </c>
      <c r="E2471" t="inlineStr">
        <is>
          <t>SOLLEFTEÅ</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62098-2023</t>
        </is>
      </c>
      <c r="B2472" s="1" t="n">
        <v>45266</v>
      </c>
      <c r="C2472" s="1" t="n">
        <v>45670</v>
      </c>
      <c r="D2472" t="inlineStr">
        <is>
          <t>VÄSTERNORRLANDS LÄN</t>
        </is>
      </c>
      <c r="E2472" t="inlineStr">
        <is>
          <t>SOLLEFTEÅ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62096-2023</t>
        </is>
      </c>
      <c r="B2473" s="1" t="n">
        <v>45266</v>
      </c>
      <c r="C2473" s="1" t="n">
        <v>45670</v>
      </c>
      <c r="D2473" t="inlineStr">
        <is>
          <t>VÄSTERNORRLANDS LÄN</t>
        </is>
      </c>
      <c r="E2473" t="inlineStr">
        <is>
          <t>SOLLEFTEÅ</t>
        </is>
      </c>
      <c r="F2473" t="inlineStr">
        <is>
          <t>Kyrkan</t>
        </is>
      </c>
      <c r="G2473" t="n">
        <v>8.9</v>
      </c>
      <c r="H2473" t="n">
        <v>0</v>
      </c>
      <c r="I2473" t="n">
        <v>0</v>
      </c>
      <c r="J2473" t="n">
        <v>0</v>
      </c>
      <c r="K2473" t="n">
        <v>0</v>
      </c>
      <c r="L2473" t="n">
        <v>0</v>
      </c>
      <c r="M2473" t="n">
        <v>0</v>
      </c>
      <c r="N2473" t="n">
        <v>0</v>
      </c>
      <c r="O2473" t="n">
        <v>0</v>
      </c>
      <c r="P2473" t="n">
        <v>0</v>
      </c>
      <c r="Q2473" t="n">
        <v>0</v>
      </c>
      <c r="R2473" s="2" t="inlineStr"/>
    </row>
    <row r="2474" ht="15" customHeight="1">
      <c r="A2474" t="inlineStr">
        <is>
          <t>A 62100-2023</t>
        </is>
      </c>
      <c r="B2474" s="1" t="n">
        <v>45266</v>
      </c>
      <c r="C2474" s="1" t="n">
        <v>45670</v>
      </c>
      <c r="D2474" t="inlineStr">
        <is>
          <t>VÄSTERNORRLANDS LÄN</t>
        </is>
      </c>
      <c r="E2474" t="inlineStr">
        <is>
          <t>SOLLEFTEÅ</t>
        </is>
      </c>
      <c r="G2474" t="n">
        <v>16.6</v>
      </c>
      <c r="H2474" t="n">
        <v>0</v>
      </c>
      <c r="I2474" t="n">
        <v>0</v>
      </c>
      <c r="J2474" t="n">
        <v>0</v>
      </c>
      <c r="K2474" t="n">
        <v>0</v>
      </c>
      <c r="L2474" t="n">
        <v>0</v>
      </c>
      <c r="M2474" t="n">
        <v>0</v>
      </c>
      <c r="N2474" t="n">
        <v>0</v>
      </c>
      <c r="O2474" t="n">
        <v>0</v>
      </c>
      <c r="P2474" t="n">
        <v>0</v>
      </c>
      <c r="Q2474" t="n">
        <v>0</v>
      </c>
      <c r="R2474" s="2" t="inlineStr"/>
    </row>
    <row r="2475" ht="15" customHeight="1">
      <c r="A2475" t="inlineStr">
        <is>
          <t>A 62115-2023</t>
        </is>
      </c>
      <c r="B2475" s="1" t="n">
        <v>45266</v>
      </c>
      <c r="C2475" s="1" t="n">
        <v>45670</v>
      </c>
      <c r="D2475" t="inlineStr">
        <is>
          <t>VÄSTERNORRLANDS LÄN</t>
        </is>
      </c>
      <c r="E2475" t="inlineStr">
        <is>
          <t>SOLLEFTEÅ</t>
        </is>
      </c>
      <c r="F2475" t="inlineStr">
        <is>
          <t>SCA</t>
        </is>
      </c>
      <c r="G2475" t="n">
        <v>43.1</v>
      </c>
      <c r="H2475" t="n">
        <v>0</v>
      </c>
      <c r="I2475" t="n">
        <v>0</v>
      </c>
      <c r="J2475" t="n">
        <v>0</v>
      </c>
      <c r="K2475" t="n">
        <v>0</v>
      </c>
      <c r="L2475" t="n">
        <v>0</v>
      </c>
      <c r="M2475" t="n">
        <v>0</v>
      </c>
      <c r="N2475" t="n">
        <v>0</v>
      </c>
      <c r="O2475" t="n">
        <v>0</v>
      </c>
      <c r="P2475" t="n">
        <v>0</v>
      </c>
      <c r="Q2475" t="n">
        <v>0</v>
      </c>
      <c r="R2475" s="2" t="inlineStr"/>
    </row>
    <row r="2476" ht="15" customHeight="1">
      <c r="A2476" t="inlineStr">
        <is>
          <t>A 62097-2023</t>
        </is>
      </c>
      <c r="B2476" s="1" t="n">
        <v>45266</v>
      </c>
      <c r="C2476" s="1" t="n">
        <v>45670</v>
      </c>
      <c r="D2476" t="inlineStr">
        <is>
          <t>VÄSTERNORRLANDS LÄN</t>
        </is>
      </c>
      <c r="E2476" t="inlineStr">
        <is>
          <t>SOLLEFTEÅ</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62093-2023</t>
        </is>
      </c>
      <c r="B2477" s="1" t="n">
        <v>45266</v>
      </c>
      <c r="C2477" s="1" t="n">
        <v>45670</v>
      </c>
      <c r="D2477" t="inlineStr">
        <is>
          <t>VÄSTERNORRLANDS LÄN</t>
        </is>
      </c>
      <c r="E2477" t="inlineStr">
        <is>
          <t>SOLLEFTEÅ</t>
        </is>
      </c>
      <c r="G2477" t="n">
        <v>18.1</v>
      </c>
      <c r="H2477" t="n">
        <v>0</v>
      </c>
      <c r="I2477" t="n">
        <v>0</v>
      </c>
      <c r="J2477" t="n">
        <v>0</v>
      </c>
      <c r="K2477" t="n">
        <v>0</v>
      </c>
      <c r="L2477" t="n">
        <v>0</v>
      </c>
      <c r="M2477" t="n">
        <v>0</v>
      </c>
      <c r="N2477" t="n">
        <v>0</v>
      </c>
      <c r="O2477" t="n">
        <v>0</v>
      </c>
      <c r="P2477" t="n">
        <v>0</v>
      </c>
      <c r="Q2477" t="n">
        <v>0</v>
      </c>
      <c r="R2477" s="2" t="inlineStr"/>
    </row>
    <row r="2478" ht="15" customHeight="1">
      <c r="A2478" t="inlineStr">
        <is>
          <t>A 62343-2023</t>
        </is>
      </c>
      <c r="B2478" s="1" t="n">
        <v>45267</v>
      </c>
      <c r="C2478" s="1" t="n">
        <v>45670</v>
      </c>
      <c r="D2478" t="inlineStr">
        <is>
          <t>VÄSTERNORRLANDS LÄN</t>
        </is>
      </c>
      <c r="E2478" t="inlineStr">
        <is>
          <t>SOLLEFTEÅ</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62363-2023</t>
        </is>
      </c>
      <c r="B2479" s="1" t="n">
        <v>45267</v>
      </c>
      <c r="C2479" s="1" t="n">
        <v>45670</v>
      </c>
      <c r="D2479" t="inlineStr">
        <is>
          <t>VÄSTERNORRLANDS LÄN</t>
        </is>
      </c>
      <c r="E2479" t="inlineStr">
        <is>
          <t>SOLLEFTEÅ</t>
        </is>
      </c>
      <c r="F2479" t="inlineStr">
        <is>
          <t>SCA</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62364-2023</t>
        </is>
      </c>
      <c r="B2480" s="1" t="n">
        <v>45267</v>
      </c>
      <c r="C2480" s="1" t="n">
        <v>45670</v>
      </c>
      <c r="D2480" t="inlineStr">
        <is>
          <t>VÄSTERNORRLANDS LÄN</t>
        </is>
      </c>
      <c r="E2480" t="inlineStr">
        <is>
          <t>SOLLEFTEÅ</t>
        </is>
      </c>
      <c r="F2480" t="inlineStr">
        <is>
          <t>SCA</t>
        </is>
      </c>
      <c r="G2480" t="n">
        <v>22.1</v>
      </c>
      <c r="H2480" t="n">
        <v>0</v>
      </c>
      <c r="I2480" t="n">
        <v>0</v>
      </c>
      <c r="J2480" t="n">
        <v>0</v>
      </c>
      <c r="K2480" t="n">
        <v>0</v>
      </c>
      <c r="L2480" t="n">
        <v>0</v>
      </c>
      <c r="M2480" t="n">
        <v>0</v>
      </c>
      <c r="N2480" t="n">
        <v>0</v>
      </c>
      <c r="O2480" t="n">
        <v>0</v>
      </c>
      <c r="P2480" t="n">
        <v>0</v>
      </c>
      <c r="Q2480" t="n">
        <v>0</v>
      </c>
      <c r="R2480" s="2" t="inlineStr"/>
    </row>
    <row r="2481" ht="15" customHeight="1">
      <c r="A2481" t="inlineStr">
        <is>
          <t>A 62523-2023</t>
        </is>
      </c>
      <c r="B2481" s="1" t="n">
        <v>45267</v>
      </c>
      <c r="C2481" s="1" t="n">
        <v>45670</v>
      </c>
      <c r="D2481" t="inlineStr">
        <is>
          <t>VÄSTERNORRLANDS LÄN</t>
        </is>
      </c>
      <c r="E2481" t="inlineStr">
        <is>
          <t>SOLLEFTEÅ</t>
        </is>
      </c>
      <c r="G2481" t="n">
        <v>33.6</v>
      </c>
      <c r="H2481" t="n">
        <v>0</v>
      </c>
      <c r="I2481" t="n">
        <v>0</v>
      </c>
      <c r="J2481" t="n">
        <v>0</v>
      </c>
      <c r="K2481" t="n">
        <v>0</v>
      </c>
      <c r="L2481" t="n">
        <v>0</v>
      </c>
      <c r="M2481" t="n">
        <v>0</v>
      </c>
      <c r="N2481" t="n">
        <v>0</v>
      </c>
      <c r="O2481" t="n">
        <v>0</v>
      </c>
      <c r="P2481" t="n">
        <v>0</v>
      </c>
      <c r="Q2481" t="n">
        <v>0</v>
      </c>
      <c r="R2481" s="2" t="inlineStr"/>
    </row>
    <row r="2482" ht="15" customHeight="1">
      <c r="A2482" t="inlineStr">
        <is>
          <t>A 62357-2023</t>
        </is>
      </c>
      <c r="B2482" s="1" t="n">
        <v>45267</v>
      </c>
      <c r="C2482" s="1" t="n">
        <v>45670</v>
      </c>
      <c r="D2482" t="inlineStr">
        <is>
          <t>VÄSTERNORRLANDS LÄN</t>
        </is>
      </c>
      <c r="E2482" t="inlineStr">
        <is>
          <t>SOLLEFTEÅ</t>
        </is>
      </c>
      <c r="F2482" t="inlineStr">
        <is>
          <t>SCA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62527-2023</t>
        </is>
      </c>
      <c r="B2483" s="1" t="n">
        <v>45267</v>
      </c>
      <c r="C2483" s="1" t="n">
        <v>45670</v>
      </c>
      <c r="D2483" t="inlineStr">
        <is>
          <t>VÄSTERNORRLANDS LÄN</t>
        </is>
      </c>
      <c r="E2483" t="inlineStr">
        <is>
          <t>SOLLEFTEÅ</t>
        </is>
      </c>
      <c r="G2483" t="n">
        <v>10.7</v>
      </c>
      <c r="H2483" t="n">
        <v>0</v>
      </c>
      <c r="I2483" t="n">
        <v>0</v>
      </c>
      <c r="J2483" t="n">
        <v>0</v>
      </c>
      <c r="K2483" t="n">
        <v>0</v>
      </c>
      <c r="L2483" t="n">
        <v>0</v>
      </c>
      <c r="M2483" t="n">
        <v>0</v>
      </c>
      <c r="N2483" t="n">
        <v>0</v>
      </c>
      <c r="O2483" t="n">
        <v>0</v>
      </c>
      <c r="P2483" t="n">
        <v>0</v>
      </c>
      <c r="Q2483" t="n">
        <v>0</v>
      </c>
      <c r="R2483" s="2" t="inlineStr"/>
    </row>
    <row r="2484" ht="15" customHeight="1">
      <c r="A2484" t="inlineStr">
        <is>
          <t>A 62827-2023</t>
        </is>
      </c>
      <c r="B2484" s="1" t="n">
        <v>45271</v>
      </c>
      <c r="C2484" s="1" t="n">
        <v>45670</v>
      </c>
      <c r="D2484" t="inlineStr">
        <is>
          <t>VÄSTERNORRLANDS LÄN</t>
        </is>
      </c>
      <c r="E2484" t="inlineStr">
        <is>
          <t>SOLLEFTEÅ</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63138-2023</t>
        </is>
      </c>
      <c r="B2485" s="1" t="n">
        <v>45272</v>
      </c>
      <c r="C2485" s="1" t="n">
        <v>45670</v>
      </c>
      <c r="D2485" t="inlineStr">
        <is>
          <t>VÄSTERNORRLANDS LÄN</t>
        </is>
      </c>
      <c r="E2485" t="inlineStr">
        <is>
          <t>SOLLEFTEÅ</t>
        </is>
      </c>
      <c r="G2485" t="n">
        <v>6.2</v>
      </c>
      <c r="H2485" t="n">
        <v>0</v>
      </c>
      <c r="I2485" t="n">
        <v>0</v>
      </c>
      <c r="J2485" t="n">
        <v>0</v>
      </c>
      <c r="K2485" t="n">
        <v>0</v>
      </c>
      <c r="L2485" t="n">
        <v>0</v>
      </c>
      <c r="M2485" t="n">
        <v>0</v>
      </c>
      <c r="N2485" t="n">
        <v>0</v>
      </c>
      <c r="O2485" t="n">
        <v>0</v>
      </c>
      <c r="P2485" t="n">
        <v>0</v>
      </c>
      <c r="Q2485" t="n">
        <v>0</v>
      </c>
      <c r="R2485" s="2" t="inlineStr"/>
    </row>
    <row r="2486" ht="15" customHeight="1">
      <c r="A2486" t="inlineStr">
        <is>
          <t>A 63144-2023</t>
        </is>
      </c>
      <c r="B2486" s="1" t="n">
        <v>45272</v>
      </c>
      <c r="C2486" s="1" t="n">
        <v>45670</v>
      </c>
      <c r="D2486" t="inlineStr">
        <is>
          <t>VÄSTERNORRLANDS LÄN</t>
        </is>
      </c>
      <c r="E2486" t="inlineStr">
        <is>
          <t>SOLLEFTEÅ</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63261-2023</t>
        </is>
      </c>
      <c r="B2487" s="1" t="n">
        <v>45273</v>
      </c>
      <c r="C2487" s="1" t="n">
        <v>45670</v>
      </c>
      <c r="D2487" t="inlineStr">
        <is>
          <t>VÄSTERNORRLANDS LÄN</t>
        </is>
      </c>
      <c r="E2487" t="inlineStr">
        <is>
          <t>SOLLEFTEÅ</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63259-2023</t>
        </is>
      </c>
      <c r="B2488" s="1" t="n">
        <v>45273</v>
      </c>
      <c r="C2488" s="1" t="n">
        <v>45670</v>
      </c>
      <c r="D2488" t="inlineStr">
        <is>
          <t>VÄSTERNORRLANDS LÄN</t>
        </is>
      </c>
      <c r="E2488" t="inlineStr">
        <is>
          <t>SOLLEFTEÅ</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63529-2023</t>
        </is>
      </c>
      <c r="B2489" s="1" t="n">
        <v>45274</v>
      </c>
      <c r="C2489" s="1" t="n">
        <v>45670</v>
      </c>
      <c r="D2489" t="inlineStr">
        <is>
          <t>VÄSTERNORRLANDS LÄN</t>
        </is>
      </c>
      <c r="E2489" t="inlineStr">
        <is>
          <t>SOLLEFTEÅ</t>
        </is>
      </c>
      <c r="F2489" t="inlineStr">
        <is>
          <t>SCA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63422-2023</t>
        </is>
      </c>
      <c r="B2490" s="1" t="n">
        <v>45274</v>
      </c>
      <c r="C2490" s="1" t="n">
        <v>45670</v>
      </c>
      <c r="D2490" t="inlineStr">
        <is>
          <t>VÄSTERNORRLANDS LÄN</t>
        </is>
      </c>
      <c r="E2490" t="inlineStr">
        <is>
          <t>SOLLEFTEÅ</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63462-2023</t>
        </is>
      </c>
      <c r="B2491" s="1" t="n">
        <v>45274</v>
      </c>
      <c r="C2491" s="1" t="n">
        <v>45670</v>
      </c>
      <c r="D2491" t="inlineStr">
        <is>
          <t>VÄSTERNORRLANDS LÄN</t>
        </is>
      </c>
      <c r="E2491" t="inlineStr">
        <is>
          <t>SOLLEFTEÅ</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63413-2023</t>
        </is>
      </c>
      <c r="B2492" s="1" t="n">
        <v>45274</v>
      </c>
      <c r="C2492" s="1" t="n">
        <v>45670</v>
      </c>
      <c r="D2492" t="inlineStr">
        <is>
          <t>VÄSTERNORRLANDS LÄN</t>
        </is>
      </c>
      <c r="E2492" t="inlineStr">
        <is>
          <t>SOLLEFTEÅ</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63547-2023</t>
        </is>
      </c>
      <c r="B2493" s="1" t="n">
        <v>45274</v>
      </c>
      <c r="C2493" s="1" t="n">
        <v>45670</v>
      </c>
      <c r="D2493" t="inlineStr">
        <is>
          <t>VÄSTERNORRLANDS LÄN</t>
        </is>
      </c>
      <c r="E2493" t="inlineStr">
        <is>
          <t>SOLLEFTEÅ</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63652-2023</t>
        </is>
      </c>
      <c r="B2494" s="1" t="n">
        <v>45275</v>
      </c>
      <c r="C2494" s="1" t="n">
        <v>45670</v>
      </c>
      <c r="D2494" t="inlineStr">
        <is>
          <t>VÄSTERNORRLANDS LÄN</t>
        </is>
      </c>
      <c r="E2494" t="inlineStr">
        <is>
          <t>SOLLEFTEÅ</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63712-2023</t>
        </is>
      </c>
      <c r="B2495" s="1" t="n">
        <v>45275</v>
      </c>
      <c r="C2495" s="1" t="n">
        <v>45670</v>
      </c>
      <c r="D2495" t="inlineStr">
        <is>
          <t>VÄSTERNORRLANDS LÄN</t>
        </is>
      </c>
      <c r="E2495" t="inlineStr">
        <is>
          <t>SOLLEFTEÅ</t>
        </is>
      </c>
      <c r="F2495" t="inlineStr">
        <is>
          <t>SCA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63707-2023</t>
        </is>
      </c>
      <c r="B2496" s="1" t="n">
        <v>45275</v>
      </c>
      <c r="C2496" s="1" t="n">
        <v>45670</v>
      </c>
      <c r="D2496" t="inlineStr">
        <is>
          <t>VÄSTERNORRLANDS LÄN</t>
        </is>
      </c>
      <c r="E2496" t="inlineStr">
        <is>
          <t>SOLLEFTEÅ</t>
        </is>
      </c>
      <c r="F2496" t="inlineStr">
        <is>
          <t>SCA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64013-2023</t>
        </is>
      </c>
      <c r="B2497" s="1" t="n">
        <v>45278</v>
      </c>
      <c r="C2497" s="1" t="n">
        <v>45670</v>
      </c>
      <c r="D2497" t="inlineStr">
        <is>
          <t>VÄSTERNORRLANDS LÄN</t>
        </is>
      </c>
      <c r="E2497" t="inlineStr">
        <is>
          <t>SOLLEFTEÅ</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64014-2023</t>
        </is>
      </c>
      <c r="B2498" s="1" t="n">
        <v>45278</v>
      </c>
      <c r="C2498" s="1" t="n">
        <v>45670</v>
      </c>
      <c r="D2498" t="inlineStr">
        <is>
          <t>VÄSTERNORRLANDS LÄN</t>
        </is>
      </c>
      <c r="E2498" t="inlineStr">
        <is>
          <t>SOLLEFTEÅ</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63979-2023</t>
        </is>
      </c>
      <c r="B2499" s="1" t="n">
        <v>45278</v>
      </c>
      <c r="C2499" s="1" t="n">
        <v>45670</v>
      </c>
      <c r="D2499" t="inlineStr">
        <is>
          <t>VÄSTERNORRLANDS LÄN</t>
        </is>
      </c>
      <c r="E2499" t="inlineStr">
        <is>
          <t>SOLLEFTEÅ</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64111-2023</t>
        </is>
      </c>
      <c r="B2500" s="1" t="n">
        <v>45279</v>
      </c>
      <c r="C2500" s="1" t="n">
        <v>45670</v>
      </c>
      <c r="D2500" t="inlineStr">
        <is>
          <t>VÄSTERNORRLANDS LÄN</t>
        </is>
      </c>
      <c r="E2500" t="inlineStr">
        <is>
          <t>SOLLEFTEÅ</t>
        </is>
      </c>
      <c r="G2500" t="n">
        <v>19.9</v>
      </c>
      <c r="H2500" t="n">
        <v>0</v>
      </c>
      <c r="I2500" t="n">
        <v>0</v>
      </c>
      <c r="J2500" t="n">
        <v>0</v>
      </c>
      <c r="K2500" t="n">
        <v>0</v>
      </c>
      <c r="L2500" t="n">
        <v>0</v>
      </c>
      <c r="M2500" t="n">
        <v>0</v>
      </c>
      <c r="N2500" t="n">
        <v>0</v>
      </c>
      <c r="O2500" t="n">
        <v>0</v>
      </c>
      <c r="P2500" t="n">
        <v>0</v>
      </c>
      <c r="Q2500" t="n">
        <v>0</v>
      </c>
      <c r="R2500" s="2" t="inlineStr"/>
    </row>
    <row r="2501" ht="15" customHeight="1">
      <c r="A2501" t="inlineStr">
        <is>
          <t>A 64115-2023</t>
        </is>
      </c>
      <c r="B2501" s="1" t="n">
        <v>45279</v>
      </c>
      <c r="C2501" s="1" t="n">
        <v>45670</v>
      </c>
      <c r="D2501" t="inlineStr">
        <is>
          <t>VÄSTERNORRLANDS LÄN</t>
        </is>
      </c>
      <c r="E2501" t="inlineStr">
        <is>
          <t>SOLLEFTEÅ</t>
        </is>
      </c>
      <c r="G2501" t="n">
        <v>16.1</v>
      </c>
      <c r="H2501" t="n">
        <v>0</v>
      </c>
      <c r="I2501" t="n">
        <v>0</v>
      </c>
      <c r="J2501" t="n">
        <v>0</v>
      </c>
      <c r="K2501" t="n">
        <v>0</v>
      </c>
      <c r="L2501" t="n">
        <v>0</v>
      </c>
      <c r="M2501" t="n">
        <v>0</v>
      </c>
      <c r="N2501" t="n">
        <v>0</v>
      </c>
      <c r="O2501" t="n">
        <v>0</v>
      </c>
      <c r="P2501" t="n">
        <v>0</v>
      </c>
      <c r="Q2501" t="n">
        <v>0</v>
      </c>
      <c r="R2501" s="2" t="inlineStr"/>
    </row>
    <row r="2502" ht="15" customHeight="1">
      <c r="A2502" t="inlineStr">
        <is>
          <t>A 64120-2023</t>
        </is>
      </c>
      <c r="B2502" s="1" t="n">
        <v>45279</v>
      </c>
      <c r="C2502" s="1" t="n">
        <v>45670</v>
      </c>
      <c r="D2502" t="inlineStr">
        <is>
          <t>VÄSTERNORRLANDS LÄN</t>
        </is>
      </c>
      <c r="E2502" t="inlineStr">
        <is>
          <t>SOLLEFTEÅ</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64133-2023</t>
        </is>
      </c>
      <c r="B2503" s="1" t="n">
        <v>45279</v>
      </c>
      <c r="C2503" s="1" t="n">
        <v>45670</v>
      </c>
      <c r="D2503" t="inlineStr">
        <is>
          <t>VÄSTERNORRLANDS LÄN</t>
        </is>
      </c>
      <c r="E2503" t="inlineStr">
        <is>
          <t>SOLLEFTEÅ</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64502-2023</t>
        </is>
      </c>
      <c r="B2504" s="1" t="n">
        <v>45280</v>
      </c>
      <c r="C2504" s="1" t="n">
        <v>45670</v>
      </c>
      <c r="D2504" t="inlineStr">
        <is>
          <t>VÄSTERNORRLANDS LÄN</t>
        </is>
      </c>
      <c r="E2504" t="inlineStr">
        <is>
          <t>SOLLEFTEÅ</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64617-2023</t>
        </is>
      </c>
      <c r="B2505" s="1" t="n">
        <v>45281</v>
      </c>
      <c r="C2505" s="1" t="n">
        <v>45670</v>
      </c>
      <c r="D2505" t="inlineStr">
        <is>
          <t>VÄSTERNORRLANDS LÄN</t>
        </is>
      </c>
      <c r="E2505" t="inlineStr">
        <is>
          <t>SOLLEFTEÅ</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64891-2023</t>
        </is>
      </c>
      <c r="B2506" s="1" t="n">
        <v>45282</v>
      </c>
      <c r="C2506" s="1" t="n">
        <v>45670</v>
      </c>
      <c r="D2506" t="inlineStr">
        <is>
          <t>VÄSTERNORRLANDS LÄN</t>
        </is>
      </c>
      <c r="E2506" t="inlineStr">
        <is>
          <t>SOLLEFTEÅ</t>
        </is>
      </c>
      <c r="G2506" t="n">
        <v>10.2</v>
      </c>
      <c r="H2506" t="n">
        <v>0</v>
      </c>
      <c r="I2506" t="n">
        <v>0</v>
      </c>
      <c r="J2506" t="n">
        <v>0</v>
      </c>
      <c r="K2506" t="n">
        <v>0</v>
      </c>
      <c r="L2506" t="n">
        <v>0</v>
      </c>
      <c r="M2506" t="n">
        <v>0</v>
      </c>
      <c r="N2506" t="n">
        <v>0</v>
      </c>
      <c r="O2506" t="n">
        <v>0</v>
      </c>
      <c r="P2506" t="n">
        <v>0</v>
      </c>
      <c r="Q2506" t="n">
        <v>0</v>
      </c>
      <c r="R2506" s="2" t="inlineStr"/>
    </row>
    <row r="2507" ht="15" customHeight="1">
      <c r="A2507" t="inlineStr">
        <is>
          <t>A 64961-2023</t>
        </is>
      </c>
      <c r="B2507" s="1" t="n">
        <v>45282</v>
      </c>
      <c r="C2507" s="1" t="n">
        <v>45670</v>
      </c>
      <c r="D2507" t="inlineStr">
        <is>
          <t>VÄSTERNORRLANDS LÄN</t>
        </is>
      </c>
      <c r="E2507" t="inlineStr">
        <is>
          <t>SOLLEFTEÅ</t>
        </is>
      </c>
      <c r="F2507" t="inlineStr">
        <is>
          <t>SCA</t>
        </is>
      </c>
      <c r="G2507" t="n">
        <v>10.9</v>
      </c>
      <c r="H2507" t="n">
        <v>0</v>
      </c>
      <c r="I2507" t="n">
        <v>0</v>
      </c>
      <c r="J2507" t="n">
        <v>0</v>
      </c>
      <c r="K2507" t="n">
        <v>0</v>
      </c>
      <c r="L2507" t="n">
        <v>0</v>
      </c>
      <c r="M2507" t="n">
        <v>0</v>
      </c>
      <c r="N2507" t="n">
        <v>0</v>
      </c>
      <c r="O2507" t="n">
        <v>0</v>
      </c>
      <c r="P2507" t="n">
        <v>0</v>
      </c>
      <c r="Q2507" t="n">
        <v>0</v>
      </c>
      <c r="R2507" s="2" t="inlineStr"/>
    </row>
    <row r="2508" ht="15" customHeight="1">
      <c r="A2508" t="inlineStr">
        <is>
          <t>A 64959-2023</t>
        </is>
      </c>
      <c r="B2508" s="1" t="n">
        <v>45282</v>
      </c>
      <c r="C2508" s="1" t="n">
        <v>45670</v>
      </c>
      <c r="D2508" t="inlineStr">
        <is>
          <t>VÄSTERNORRLANDS LÄN</t>
        </is>
      </c>
      <c r="E2508" t="inlineStr">
        <is>
          <t>SOLLEFTEÅ</t>
        </is>
      </c>
      <c r="F2508" t="inlineStr">
        <is>
          <t>SCA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65148-2023</t>
        </is>
      </c>
      <c r="B2509" s="1" t="n">
        <v>45288</v>
      </c>
      <c r="C2509" s="1" t="n">
        <v>45670</v>
      </c>
      <c r="D2509" t="inlineStr">
        <is>
          <t>VÄSTERNORRLANDS LÄN</t>
        </is>
      </c>
      <c r="E2509" t="inlineStr">
        <is>
          <t>SOLLEFTEÅ</t>
        </is>
      </c>
      <c r="G2509" t="n">
        <v>6.7</v>
      </c>
      <c r="H2509" t="n">
        <v>0</v>
      </c>
      <c r="I2509" t="n">
        <v>0</v>
      </c>
      <c r="J2509" t="n">
        <v>0</v>
      </c>
      <c r="K2509" t="n">
        <v>0</v>
      </c>
      <c r="L2509" t="n">
        <v>0</v>
      </c>
      <c r="M2509" t="n">
        <v>0</v>
      </c>
      <c r="N2509" t="n">
        <v>0</v>
      </c>
      <c r="O2509" t="n">
        <v>0</v>
      </c>
      <c r="P2509" t="n">
        <v>0</v>
      </c>
      <c r="Q2509" t="n">
        <v>0</v>
      </c>
      <c r="R2509" s="2" t="inlineStr"/>
    </row>
    <row r="2510" ht="15" customHeight="1">
      <c r="A2510" t="inlineStr">
        <is>
          <t>A 388-2024</t>
        </is>
      </c>
      <c r="B2510" s="1" t="n">
        <v>45296</v>
      </c>
      <c r="C2510" s="1" t="n">
        <v>45670</v>
      </c>
      <c r="D2510" t="inlineStr">
        <is>
          <t>VÄSTERNORRLANDS LÄN</t>
        </is>
      </c>
      <c r="E2510" t="inlineStr">
        <is>
          <t>SOLLEFTEÅ</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394-2024</t>
        </is>
      </c>
      <c r="B2511" s="1" t="n">
        <v>45296</v>
      </c>
      <c r="C2511" s="1" t="n">
        <v>45670</v>
      </c>
      <c r="D2511" t="inlineStr">
        <is>
          <t>VÄSTERNORRLANDS LÄN</t>
        </is>
      </c>
      <c r="E2511" t="inlineStr">
        <is>
          <t>SOLLEFTEÅ</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457-2024</t>
        </is>
      </c>
      <c r="B2512" s="1" t="n">
        <v>45297</v>
      </c>
      <c r="C2512" s="1" t="n">
        <v>45670</v>
      </c>
      <c r="D2512" t="inlineStr">
        <is>
          <t>VÄSTERNORRLANDS LÄN</t>
        </is>
      </c>
      <c r="E2512" t="inlineStr">
        <is>
          <t>SOLLEFTEÅ</t>
        </is>
      </c>
      <c r="F2512" t="inlineStr">
        <is>
          <t>SCA</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656-2024</t>
        </is>
      </c>
      <c r="B2513" s="1" t="n">
        <v>45299</v>
      </c>
      <c r="C2513" s="1" t="n">
        <v>45670</v>
      </c>
      <c r="D2513" t="inlineStr">
        <is>
          <t>VÄSTERNORRLANDS LÄN</t>
        </is>
      </c>
      <c r="E2513" t="inlineStr">
        <is>
          <t>SOLLEFTEÅ</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858-2024</t>
        </is>
      </c>
      <c r="B2514" s="1" t="n">
        <v>45301</v>
      </c>
      <c r="C2514" s="1" t="n">
        <v>45670</v>
      </c>
      <c r="D2514" t="inlineStr">
        <is>
          <t>VÄSTERNORRLANDS LÄN</t>
        </is>
      </c>
      <c r="E2514" t="inlineStr">
        <is>
          <t>SOLLEFTEÅ</t>
        </is>
      </c>
      <c r="F2514" t="inlineStr">
        <is>
          <t>SCA</t>
        </is>
      </c>
      <c r="G2514" t="n">
        <v>56.2</v>
      </c>
      <c r="H2514" t="n">
        <v>0</v>
      </c>
      <c r="I2514" t="n">
        <v>0</v>
      </c>
      <c r="J2514" t="n">
        <v>0</v>
      </c>
      <c r="K2514" t="n">
        <v>0</v>
      </c>
      <c r="L2514" t="n">
        <v>0</v>
      </c>
      <c r="M2514" t="n">
        <v>0</v>
      </c>
      <c r="N2514" t="n">
        <v>0</v>
      </c>
      <c r="O2514" t="n">
        <v>0</v>
      </c>
      <c r="P2514" t="n">
        <v>0</v>
      </c>
      <c r="Q2514" t="n">
        <v>0</v>
      </c>
      <c r="R2514" s="2" t="inlineStr"/>
    </row>
    <row r="2515" ht="15" customHeight="1">
      <c r="A2515" t="inlineStr">
        <is>
          <t>A 1006-2024</t>
        </is>
      </c>
      <c r="B2515" s="1" t="n">
        <v>45301</v>
      </c>
      <c r="C2515" s="1" t="n">
        <v>45670</v>
      </c>
      <c r="D2515" t="inlineStr">
        <is>
          <t>VÄSTERNORRLANDS LÄN</t>
        </is>
      </c>
      <c r="E2515" t="inlineStr">
        <is>
          <t>SOLLEFTEÅ</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1047-2024</t>
        </is>
      </c>
      <c r="B2516" s="1" t="n">
        <v>45301</v>
      </c>
      <c r="C2516" s="1" t="n">
        <v>45670</v>
      </c>
      <c r="D2516" t="inlineStr">
        <is>
          <t>VÄSTERNORRLANDS LÄN</t>
        </is>
      </c>
      <c r="E2516" t="inlineStr">
        <is>
          <t>SOLLEFTEÅ</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1054-2024</t>
        </is>
      </c>
      <c r="B2517" s="1" t="n">
        <v>45302</v>
      </c>
      <c r="C2517" s="1" t="n">
        <v>45670</v>
      </c>
      <c r="D2517" t="inlineStr">
        <is>
          <t>VÄSTERNORRLANDS LÄN</t>
        </is>
      </c>
      <c r="E2517" t="inlineStr">
        <is>
          <t>SOLLEFTEÅ</t>
        </is>
      </c>
      <c r="F2517" t="inlineStr">
        <is>
          <t>SCA</t>
        </is>
      </c>
      <c r="G2517" t="n">
        <v>8.6</v>
      </c>
      <c r="H2517" t="n">
        <v>0</v>
      </c>
      <c r="I2517" t="n">
        <v>0</v>
      </c>
      <c r="J2517" t="n">
        <v>0</v>
      </c>
      <c r="K2517" t="n">
        <v>0</v>
      </c>
      <c r="L2517" t="n">
        <v>0</v>
      </c>
      <c r="M2517" t="n">
        <v>0</v>
      </c>
      <c r="N2517" t="n">
        <v>0</v>
      </c>
      <c r="O2517" t="n">
        <v>0</v>
      </c>
      <c r="P2517" t="n">
        <v>0</v>
      </c>
      <c r="Q2517" t="n">
        <v>0</v>
      </c>
      <c r="R2517" s="2" t="inlineStr"/>
    </row>
    <row r="2518" ht="15" customHeight="1">
      <c r="A2518" t="inlineStr">
        <is>
          <t>A 1269-2024</t>
        </is>
      </c>
      <c r="B2518" s="1" t="n">
        <v>45302</v>
      </c>
      <c r="C2518" s="1" t="n">
        <v>45670</v>
      </c>
      <c r="D2518" t="inlineStr">
        <is>
          <t>VÄSTERNORRLANDS LÄN</t>
        </is>
      </c>
      <c r="E2518" t="inlineStr">
        <is>
          <t>SOLLEFTEÅ</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1173-2024</t>
        </is>
      </c>
      <c r="B2519" s="1" t="n">
        <v>45302</v>
      </c>
      <c r="C2519" s="1" t="n">
        <v>45670</v>
      </c>
      <c r="D2519" t="inlineStr">
        <is>
          <t>VÄSTERNORRLANDS LÄN</t>
        </is>
      </c>
      <c r="E2519" t="inlineStr">
        <is>
          <t>SOLLEFTEÅ</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1268-2024</t>
        </is>
      </c>
      <c r="B2520" s="1" t="n">
        <v>45302</v>
      </c>
      <c r="C2520" s="1" t="n">
        <v>45670</v>
      </c>
      <c r="D2520" t="inlineStr">
        <is>
          <t>VÄSTERNORRLANDS LÄN</t>
        </is>
      </c>
      <c r="E2520" t="inlineStr">
        <is>
          <t>SOLLEFTEÅ</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1459-2024</t>
        </is>
      </c>
      <c r="B2521" s="1" t="n">
        <v>45303</v>
      </c>
      <c r="C2521" s="1" t="n">
        <v>45670</v>
      </c>
      <c r="D2521" t="inlineStr">
        <is>
          <t>VÄSTERNORRLANDS LÄN</t>
        </is>
      </c>
      <c r="E2521" t="inlineStr">
        <is>
          <t>SOLLEFTEÅ</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1678-2024</t>
        </is>
      </c>
      <c r="B2522" s="1" t="n">
        <v>45307</v>
      </c>
      <c r="C2522" s="1" t="n">
        <v>45670</v>
      </c>
      <c r="D2522" t="inlineStr">
        <is>
          <t>VÄSTERNORRLANDS LÄN</t>
        </is>
      </c>
      <c r="E2522" t="inlineStr">
        <is>
          <t>SOLLEFTEÅ</t>
        </is>
      </c>
      <c r="F2522" t="inlineStr">
        <is>
          <t>SCA</t>
        </is>
      </c>
      <c r="G2522" t="n">
        <v>7.1</v>
      </c>
      <c r="H2522" t="n">
        <v>0</v>
      </c>
      <c r="I2522" t="n">
        <v>0</v>
      </c>
      <c r="J2522" t="n">
        <v>0</v>
      </c>
      <c r="K2522" t="n">
        <v>0</v>
      </c>
      <c r="L2522" t="n">
        <v>0</v>
      </c>
      <c r="M2522" t="n">
        <v>0</v>
      </c>
      <c r="N2522" t="n">
        <v>0</v>
      </c>
      <c r="O2522" t="n">
        <v>0</v>
      </c>
      <c r="P2522" t="n">
        <v>0</v>
      </c>
      <c r="Q2522" t="n">
        <v>0</v>
      </c>
      <c r="R2522" s="2" t="inlineStr"/>
    </row>
    <row r="2523" ht="15" customHeight="1">
      <c r="A2523" t="inlineStr">
        <is>
          <t>A 1679-2024</t>
        </is>
      </c>
      <c r="B2523" s="1" t="n">
        <v>45306</v>
      </c>
      <c r="C2523" s="1" t="n">
        <v>45670</v>
      </c>
      <c r="D2523" t="inlineStr">
        <is>
          <t>VÄSTERNORRLANDS LÄN</t>
        </is>
      </c>
      <c r="E2523" t="inlineStr">
        <is>
          <t>SOLLEFTEÅ</t>
        </is>
      </c>
      <c r="F2523" t="inlineStr">
        <is>
          <t>SCA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1840-2024</t>
        </is>
      </c>
      <c r="B2524" s="1" t="n">
        <v>45307</v>
      </c>
      <c r="C2524" s="1" t="n">
        <v>45670</v>
      </c>
      <c r="D2524" t="inlineStr">
        <is>
          <t>VÄSTERNORRLANDS LÄN</t>
        </is>
      </c>
      <c r="E2524" t="inlineStr">
        <is>
          <t>SOLLEFTEÅ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1844-2024</t>
        </is>
      </c>
      <c r="B2525" s="1" t="n">
        <v>45307</v>
      </c>
      <c r="C2525" s="1" t="n">
        <v>45670</v>
      </c>
      <c r="D2525" t="inlineStr">
        <is>
          <t>VÄSTERNORRLANDS LÄN</t>
        </is>
      </c>
      <c r="E2525" t="inlineStr">
        <is>
          <t>SOLLEFTEÅ</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1848-2024</t>
        </is>
      </c>
      <c r="B2526" s="1" t="n">
        <v>45307</v>
      </c>
      <c r="C2526" s="1" t="n">
        <v>45670</v>
      </c>
      <c r="D2526" t="inlineStr">
        <is>
          <t>VÄSTERNORRLANDS LÄN</t>
        </is>
      </c>
      <c r="E2526" t="inlineStr">
        <is>
          <t>SOLLEFTEÅ</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1880-2024</t>
        </is>
      </c>
      <c r="B2527" s="1" t="n">
        <v>45307</v>
      </c>
      <c r="C2527" s="1" t="n">
        <v>45670</v>
      </c>
      <c r="D2527" t="inlineStr">
        <is>
          <t>VÄSTERNORRLANDS LÄN</t>
        </is>
      </c>
      <c r="E2527" t="inlineStr">
        <is>
          <t>SOLLEFTEÅ</t>
        </is>
      </c>
      <c r="F2527" t="inlineStr">
        <is>
          <t>SCA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1878-2024</t>
        </is>
      </c>
      <c r="B2528" s="1" t="n">
        <v>45307</v>
      </c>
      <c r="C2528" s="1" t="n">
        <v>45670</v>
      </c>
      <c r="D2528" t="inlineStr">
        <is>
          <t>VÄSTERNORRLANDS LÄN</t>
        </is>
      </c>
      <c r="E2528" t="inlineStr">
        <is>
          <t>SOLLEFTEÅ</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2223-2024</t>
        </is>
      </c>
      <c r="B2529" s="1" t="n">
        <v>45309</v>
      </c>
      <c r="C2529" s="1" t="n">
        <v>45670</v>
      </c>
      <c r="D2529" t="inlineStr">
        <is>
          <t>VÄSTERNORRLANDS LÄN</t>
        </is>
      </c>
      <c r="E2529" t="inlineStr">
        <is>
          <t>SOLLEFTEÅ</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2232-2024</t>
        </is>
      </c>
      <c r="B2530" s="1" t="n">
        <v>45309</v>
      </c>
      <c r="C2530" s="1" t="n">
        <v>45670</v>
      </c>
      <c r="D2530" t="inlineStr">
        <is>
          <t>VÄSTERNORRLANDS LÄN</t>
        </is>
      </c>
      <c r="E2530" t="inlineStr">
        <is>
          <t>SOLLEFTEÅ</t>
        </is>
      </c>
      <c r="F2530" t="inlineStr">
        <is>
          <t>SCA</t>
        </is>
      </c>
      <c r="G2530" t="n">
        <v>58.3</v>
      </c>
      <c r="H2530" t="n">
        <v>0</v>
      </c>
      <c r="I2530" t="n">
        <v>0</v>
      </c>
      <c r="J2530" t="n">
        <v>0</v>
      </c>
      <c r="K2530" t="n">
        <v>0</v>
      </c>
      <c r="L2530" t="n">
        <v>0</v>
      </c>
      <c r="M2530" t="n">
        <v>0</v>
      </c>
      <c r="N2530" t="n">
        <v>0</v>
      </c>
      <c r="O2530" t="n">
        <v>0</v>
      </c>
      <c r="P2530" t="n">
        <v>0</v>
      </c>
      <c r="Q2530" t="n">
        <v>0</v>
      </c>
      <c r="R2530" s="2" t="inlineStr"/>
    </row>
    <row r="2531" ht="15" customHeight="1">
      <c r="A2531" t="inlineStr">
        <is>
          <t>A 2229-2024</t>
        </is>
      </c>
      <c r="B2531" s="1" t="n">
        <v>45309</v>
      </c>
      <c r="C2531" s="1" t="n">
        <v>45670</v>
      </c>
      <c r="D2531" t="inlineStr">
        <is>
          <t>VÄSTERNORRLANDS LÄN</t>
        </is>
      </c>
      <c r="E2531" t="inlineStr">
        <is>
          <t>SOLLEFTEÅ</t>
        </is>
      </c>
      <c r="F2531" t="inlineStr">
        <is>
          <t>SCA</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2233-2024</t>
        </is>
      </c>
      <c r="B2532" s="1" t="n">
        <v>45309</v>
      </c>
      <c r="C2532" s="1" t="n">
        <v>45670</v>
      </c>
      <c r="D2532" t="inlineStr">
        <is>
          <t>VÄSTERNORRLANDS LÄN</t>
        </is>
      </c>
      <c r="E2532" t="inlineStr">
        <is>
          <t>SOLLEFTEÅ</t>
        </is>
      </c>
      <c r="F2532" t="inlineStr">
        <is>
          <t>SCA</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2425-2024</t>
        </is>
      </c>
      <c r="B2533" s="1" t="n">
        <v>45310</v>
      </c>
      <c r="C2533" s="1" t="n">
        <v>45670</v>
      </c>
      <c r="D2533" t="inlineStr">
        <is>
          <t>VÄSTERNORRLANDS LÄN</t>
        </is>
      </c>
      <c r="E2533" t="inlineStr">
        <is>
          <t>SOLLEFTEÅ</t>
        </is>
      </c>
      <c r="F2533" t="inlineStr">
        <is>
          <t>SCA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2703-2024</t>
        </is>
      </c>
      <c r="B2534" s="1" t="n">
        <v>45314</v>
      </c>
      <c r="C2534" s="1" t="n">
        <v>45670</v>
      </c>
      <c r="D2534" t="inlineStr">
        <is>
          <t>VÄSTERNORRLANDS LÄN</t>
        </is>
      </c>
      <c r="E2534" t="inlineStr">
        <is>
          <t>SOLLEFTEÅ</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2816-2024</t>
        </is>
      </c>
      <c r="B2535" s="1" t="n">
        <v>45314</v>
      </c>
      <c r="C2535" s="1" t="n">
        <v>45670</v>
      </c>
      <c r="D2535" t="inlineStr">
        <is>
          <t>VÄSTERNORRLANDS LÄN</t>
        </is>
      </c>
      <c r="E2535" t="inlineStr">
        <is>
          <t>SOLLEFTEÅ</t>
        </is>
      </c>
      <c r="F2535" t="inlineStr">
        <is>
          <t>Holmen skog AB</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2850-2024</t>
        </is>
      </c>
      <c r="B2536" s="1" t="n">
        <v>45315</v>
      </c>
      <c r="C2536" s="1" t="n">
        <v>45670</v>
      </c>
      <c r="D2536" t="inlineStr">
        <is>
          <t>VÄSTERNORRLANDS LÄN</t>
        </is>
      </c>
      <c r="E2536" t="inlineStr">
        <is>
          <t>SOLLEFTEÅ</t>
        </is>
      </c>
      <c r="G2536" t="n">
        <v>15.1</v>
      </c>
      <c r="H2536" t="n">
        <v>0</v>
      </c>
      <c r="I2536" t="n">
        <v>0</v>
      </c>
      <c r="J2536" t="n">
        <v>0</v>
      </c>
      <c r="K2536" t="n">
        <v>0</v>
      </c>
      <c r="L2536" t="n">
        <v>0</v>
      </c>
      <c r="M2536" t="n">
        <v>0</v>
      </c>
      <c r="N2536" t="n">
        <v>0</v>
      </c>
      <c r="O2536" t="n">
        <v>0</v>
      </c>
      <c r="P2536" t="n">
        <v>0</v>
      </c>
      <c r="Q2536" t="n">
        <v>0</v>
      </c>
      <c r="R2536" s="2" t="inlineStr"/>
    </row>
    <row r="2537" ht="15" customHeight="1">
      <c r="A2537" t="inlineStr">
        <is>
          <t>A 3211-2024</t>
        </is>
      </c>
      <c r="B2537" s="1" t="n">
        <v>45316</v>
      </c>
      <c r="C2537" s="1" t="n">
        <v>45670</v>
      </c>
      <c r="D2537" t="inlineStr">
        <is>
          <t>VÄSTERNORRLANDS LÄN</t>
        </is>
      </c>
      <c r="E2537" t="inlineStr">
        <is>
          <t>SOLLEFTEÅ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3231-2024</t>
        </is>
      </c>
      <c r="B2538" s="1" t="n">
        <v>45316</v>
      </c>
      <c r="C2538" s="1" t="n">
        <v>45670</v>
      </c>
      <c r="D2538" t="inlineStr">
        <is>
          <t>VÄSTERNORRLANDS LÄN</t>
        </is>
      </c>
      <c r="E2538" t="inlineStr">
        <is>
          <t>SOLLEFTEÅ</t>
        </is>
      </c>
      <c r="F2538" t="inlineStr">
        <is>
          <t>SCA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3234-2024</t>
        </is>
      </c>
      <c r="B2539" s="1" t="n">
        <v>45316</v>
      </c>
      <c r="C2539" s="1" t="n">
        <v>45670</v>
      </c>
      <c r="D2539" t="inlineStr">
        <is>
          <t>VÄSTERNORRLANDS LÄN</t>
        </is>
      </c>
      <c r="E2539" t="inlineStr">
        <is>
          <t>SOLLEFTEÅ</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3241-2024</t>
        </is>
      </c>
      <c r="B2540" s="1" t="n">
        <v>45316</v>
      </c>
      <c r="C2540" s="1" t="n">
        <v>45670</v>
      </c>
      <c r="D2540" t="inlineStr">
        <is>
          <t>VÄSTERNORRLANDS LÄN</t>
        </is>
      </c>
      <c r="E2540" t="inlineStr">
        <is>
          <t>SOLLEFTEÅ</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3252-2024</t>
        </is>
      </c>
      <c r="B2541" s="1" t="n">
        <v>45316</v>
      </c>
      <c r="C2541" s="1" t="n">
        <v>45670</v>
      </c>
      <c r="D2541" t="inlineStr">
        <is>
          <t>VÄSTERNORRLANDS LÄN</t>
        </is>
      </c>
      <c r="E2541" t="inlineStr">
        <is>
          <t>SOLLEFTEÅ</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3388-2024</t>
        </is>
      </c>
      <c r="B2542" s="1" t="n">
        <v>45317</v>
      </c>
      <c r="C2542" s="1" t="n">
        <v>45670</v>
      </c>
      <c r="D2542" t="inlineStr">
        <is>
          <t>VÄSTERNORRLANDS LÄN</t>
        </is>
      </c>
      <c r="E2542" t="inlineStr">
        <is>
          <t>SOLLEFTEÅ</t>
        </is>
      </c>
      <c r="F2542" t="inlineStr">
        <is>
          <t>SCA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3621-2024</t>
        </is>
      </c>
      <c r="B2543" s="1" t="n">
        <v>45320</v>
      </c>
      <c r="C2543" s="1" t="n">
        <v>45670</v>
      </c>
      <c r="D2543" t="inlineStr">
        <is>
          <t>VÄSTERNORRLANDS LÄN</t>
        </is>
      </c>
      <c r="E2543" t="inlineStr">
        <is>
          <t>SOLLEFTEÅ</t>
        </is>
      </c>
      <c r="F2543" t="inlineStr">
        <is>
          <t>SCA</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3633-2024</t>
        </is>
      </c>
      <c r="B2544" s="1" t="n">
        <v>45320</v>
      </c>
      <c r="C2544" s="1" t="n">
        <v>45670</v>
      </c>
      <c r="D2544" t="inlineStr">
        <is>
          <t>VÄSTERNORRLANDS LÄN</t>
        </is>
      </c>
      <c r="E2544" t="inlineStr">
        <is>
          <t>SOLLEFTEÅ</t>
        </is>
      </c>
      <c r="F2544" t="inlineStr">
        <is>
          <t>SCA</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3832-2024</t>
        </is>
      </c>
      <c r="B2545" s="1" t="n">
        <v>45321</v>
      </c>
      <c r="C2545" s="1" t="n">
        <v>45670</v>
      </c>
      <c r="D2545" t="inlineStr">
        <is>
          <t>VÄSTERNORRLANDS LÄN</t>
        </is>
      </c>
      <c r="E2545" t="inlineStr">
        <is>
          <t>SOLLEFTEÅ</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3847-2024</t>
        </is>
      </c>
      <c r="B2546" s="1" t="n">
        <v>45322</v>
      </c>
      <c r="C2546" s="1" t="n">
        <v>45670</v>
      </c>
      <c r="D2546" t="inlineStr">
        <is>
          <t>VÄSTERNORRLANDS LÄN</t>
        </is>
      </c>
      <c r="E2546" t="inlineStr">
        <is>
          <t>SOLLEFTEÅ</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3990-2024</t>
        </is>
      </c>
      <c r="B2547" s="1" t="n">
        <v>45322</v>
      </c>
      <c r="C2547" s="1" t="n">
        <v>45670</v>
      </c>
      <c r="D2547" t="inlineStr">
        <is>
          <t>VÄSTERNORRLANDS LÄN</t>
        </is>
      </c>
      <c r="E2547" t="inlineStr">
        <is>
          <t>SOLLEFTEÅ</t>
        </is>
      </c>
      <c r="F2547" t="inlineStr">
        <is>
          <t>SCA</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3998-2024</t>
        </is>
      </c>
      <c r="B2548" s="1" t="n">
        <v>45322</v>
      </c>
      <c r="C2548" s="1" t="n">
        <v>45670</v>
      </c>
      <c r="D2548" t="inlineStr">
        <is>
          <t>VÄSTERNORRLANDS LÄN</t>
        </is>
      </c>
      <c r="E2548" t="inlineStr">
        <is>
          <t>SOLLEFTEÅ</t>
        </is>
      </c>
      <c r="F2548" t="inlineStr">
        <is>
          <t>SCA</t>
        </is>
      </c>
      <c r="G2548" t="n">
        <v>23.9</v>
      </c>
      <c r="H2548" t="n">
        <v>0</v>
      </c>
      <c r="I2548" t="n">
        <v>0</v>
      </c>
      <c r="J2548" t="n">
        <v>0</v>
      </c>
      <c r="K2548" t="n">
        <v>0</v>
      </c>
      <c r="L2548" t="n">
        <v>0</v>
      </c>
      <c r="M2548" t="n">
        <v>0</v>
      </c>
      <c r="N2548" t="n">
        <v>0</v>
      </c>
      <c r="O2548" t="n">
        <v>0</v>
      </c>
      <c r="P2548" t="n">
        <v>0</v>
      </c>
      <c r="Q2548" t="n">
        <v>0</v>
      </c>
      <c r="R2548" s="2" t="inlineStr"/>
    </row>
    <row r="2549" ht="15" customHeight="1">
      <c r="A2549" t="inlineStr">
        <is>
          <t>A 3991-2024</t>
        </is>
      </c>
      <c r="B2549" s="1" t="n">
        <v>45322</v>
      </c>
      <c r="C2549" s="1" t="n">
        <v>45670</v>
      </c>
      <c r="D2549" t="inlineStr">
        <is>
          <t>VÄSTERNORRLANDS LÄN</t>
        </is>
      </c>
      <c r="E2549" t="inlineStr">
        <is>
          <t>SOLLEFTEÅ</t>
        </is>
      </c>
      <c r="F2549" t="inlineStr">
        <is>
          <t>SCA</t>
        </is>
      </c>
      <c r="G2549" t="n">
        <v>9.6</v>
      </c>
      <c r="H2549" t="n">
        <v>0</v>
      </c>
      <c r="I2549" t="n">
        <v>0</v>
      </c>
      <c r="J2549" t="n">
        <v>0</v>
      </c>
      <c r="K2549" t="n">
        <v>0</v>
      </c>
      <c r="L2549" t="n">
        <v>0</v>
      </c>
      <c r="M2549" t="n">
        <v>0</v>
      </c>
      <c r="N2549" t="n">
        <v>0</v>
      </c>
      <c r="O2549" t="n">
        <v>0</v>
      </c>
      <c r="P2549" t="n">
        <v>0</v>
      </c>
      <c r="Q2549" t="n">
        <v>0</v>
      </c>
      <c r="R2549" s="2" t="inlineStr"/>
    </row>
    <row r="2550" ht="15" customHeight="1">
      <c r="A2550" t="inlineStr">
        <is>
          <t>A 4061-2024</t>
        </is>
      </c>
      <c r="B2550" s="1" t="n">
        <v>45323</v>
      </c>
      <c r="C2550" s="1" t="n">
        <v>45670</v>
      </c>
      <c r="D2550" t="inlineStr">
        <is>
          <t>VÄSTERNORRLANDS LÄN</t>
        </is>
      </c>
      <c r="E2550" t="inlineStr">
        <is>
          <t>SOLLEFTEÅ</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4064-2024</t>
        </is>
      </c>
      <c r="B2551" s="1" t="n">
        <v>45323</v>
      </c>
      <c r="C2551" s="1" t="n">
        <v>45670</v>
      </c>
      <c r="D2551" t="inlineStr">
        <is>
          <t>VÄSTERNORRLANDS LÄN</t>
        </is>
      </c>
      <c r="E2551" t="inlineStr">
        <is>
          <t>SOLLEFTEÅ</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4167-2024</t>
        </is>
      </c>
      <c r="B2552" s="1" t="n">
        <v>45323</v>
      </c>
      <c r="C2552" s="1" t="n">
        <v>45670</v>
      </c>
      <c r="D2552" t="inlineStr">
        <is>
          <t>VÄSTERNORRLANDS LÄN</t>
        </is>
      </c>
      <c r="E2552" t="inlineStr">
        <is>
          <t>SOLLEFTEÅ</t>
        </is>
      </c>
      <c r="F2552" t="inlineStr">
        <is>
          <t>SCA</t>
        </is>
      </c>
      <c r="G2552" t="n">
        <v>13.7</v>
      </c>
      <c r="H2552" t="n">
        <v>0</v>
      </c>
      <c r="I2552" t="n">
        <v>0</v>
      </c>
      <c r="J2552" t="n">
        <v>0</v>
      </c>
      <c r="K2552" t="n">
        <v>0</v>
      </c>
      <c r="L2552" t="n">
        <v>0</v>
      </c>
      <c r="M2552" t="n">
        <v>0</v>
      </c>
      <c r="N2552" t="n">
        <v>0</v>
      </c>
      <c r="O2552" t="n">
        <v>0</v>
      </c>
      <c r="P2552" t="n">
        <v>0</v>
      </c>
      <c r="Q2552" t="n">
        <v>0</v>
      </c>
      <c r="R2552" s="2" t="inlineStr"/>
    </row>
    <row r="2553" ht="15" customHeight="1">
      <c r="A2553" t="inlineStr">
        <is>
          <t>A 4168-2024</t>
        </is>
      </c>
      <c r="B2553" s="1" t="n">
        <v>45323</v>
      </c>
      <c r="C2553" s="1" t="n">
        <v>45670</v>
      </c>
      <c r="D2553" t="inlineStr">
        <is>
          <t>VÄSTERNORRLANDS LÄN</t>
        </is>
      </c>
      <c r="E2553" t="inlineStr">
        <is>
          <t>SOLLEFTEÅ</t>
        </is>
      </c>
      <c r="F2553" t="inlineStr">
        <is>
          <t>SCA</t>
        </is>
      </c>
      <c r="G2553" t="n">
        <v>22.1</v>
      </c>
      <c r="H2553" t="n">
        <v>0</v>
      </c>
      <c r="I2553" t="n">
        <v>0</v>
      </c>
      <c r="J2553" t="n">
        <v>0</v>
      </c>
      <c r="K2553" t="n">
        <v>0</v>
      </c>
      <c r="L2553" t="n">
        <v>0</v>
      </c>
      <c r="M2553" t="n">
        <v>0</v>
      </c>
      <c r="N2553" t="n">
        <v>0</v>
      </c>
      <c r="O2553" t="n">
        <v>0</v>
      </c>
      <c r="P2553" t="n">
        <v>0</v>
      </c>
      <c r="Q2553" t="n">
        <v>0</v>
      </c>
      <c r="R2553" s="2" t="inlineStr"/>
    </row>
    <row r="2554" ht="15" customHeight="1">
      <c r="A2554" t="inlineStr">
        <is>
          <t>A 4348-2024</t>
        </is>
      </c>
      <c r="B2554" s="1" t="n">
        <v>45324</v>
      </c>
      <c r="C2554" s="1" t="n">
        <v>45670</v>
      </c>
      <c r="D2554" t="inlineStr">
        <is>
          <t>VÄSTERNORRLANDS LÄN</t>
        </is>
      </c>
      <c r="E2554" t="inlineStr">
        <is>
          <t>SOLLEFTEÅ</t>
        </is>
      </c>
      <c r="F2554" t="inlineStr">
        <is>
          <t>SCA</t>
        </is>
      </c>
      <c r="G2554" t="n">
        <v>14.4</v>
      </c>
      <c r="H2554" t="n">
        <v>0</v>
      </c>
      <c r="I2554" t="n">
        <v>0</v>
      </c>
      <c r="J2554" t="n">
        <v>0</v>
      </c>
      <c r="K2554" t="n">
        <v>0</v>
      </c>
      <c r="L2554" t="n">
        <v>0</v>
      </c>
      <c r="M2554" t="n">
        <v>0</v>
      </c>
      <c r="N2554" t="n">
        <v>0</v>
      </c>
      <c r="O2554" t="n">
        <v>0</v>
      </c>
      <c r="P2554" t="n">
        <v>0</v>
      </c>
      <c r="Q2554" t="n">
        <v>0</v>
      </c>
      <c r="R2554" s="2" t="inlineStr"/>
    </row>
    <row r="2555" ht="15" customHeight="1">
      <c r="A2555" t="inlineStr">
        <is>
          <t>A 4352-2024</t>
        </is>
      </c>
      <c r="B2555" s="1" t="n">
        <v>45324</v>
      </c>
      <c r="C2555" s="1" t="n">
        <v>45670</v>
      </c>
      <c r="D2555" t="inlineStr">
        <is>
          <t>VÄSTERNORRLANDS LÄN</t>
        </is>
      </c>
      <c r="E2555" t="inlineStr">
        <is>
          <t>SOLLEFTEÅ</t>
        </is>
      </c>
      <c r="F2555" t="inlineStr">
        <is>
          <t>SCA</t>
        </is>
      </c>
      <c r="G2555" t="n">
        <v>24.7</v>
      </c>
      <c r="H2555" t="n">
        <v>0</v>
      </c>
      <c r="I2555" t="n">
        <v>0</v>
      </c>
      <c r="J2555" t="n">
        <v>0</v>
      </c>
      <c r="K2555" t="n">
        <v>0</v>
      </c>
      <c r="L2555" t="n">
        <v>0</v>
      </c>
      <c r="M2555" t="n">
        <v>0</v>
      </c>
      <c r="N2555" t="n">
        <v>0</v>
      </c>
      <c r="O2555" t="n">
        <v>0</v>
      </c>
      <c r="P2555" t="n">
        <v>0</v>
      </c>
      <c r="Q2555" t="n">
        <v>0</v>
      </c>
      <c r="R2555" s="2" t="inlineStr"/>
    </row>
    <row r="2556" ht="15" customHeight="1">
      <c r="A2556" t="inlineStr">
        <is>
          <t>A 4347-2024</t>
        </is>
      </c>
      <c r="B2556" s="1" t="n">
        <v>45324</v>
      </c>
      <c r="C2556" s="1" t="n">
        <v>45670</v>
      </c>
      <c r="D2556" t="inlineStr">
        <is>
          <t>VÄSTERNORRLANDS LÄN</t>
        </is>
      </c>
      <c r="E2556" t="inlineStr">
        <is>
          <t>SOLLEFTEÅ</t>
        </is>
      </c>
      <c r="F2556" t="inlineStr">
        <is>
          <t>SCA</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4349-2024</t>
        </is>
      </c>
      <c r="B2557" s="1" t="n">
        <v>45324</v>
      </c>
      <c r="C2557" s="1" t="n">
        <v>45670</v>
      </c>
      <c r="D2557" t="inlineStr">
        <is>
          <t>VÄSTERNORRLANDS LÄN</t>
        </is>
      </c>
      <c r="E2557" t="inlineStr">
        <is>
          <t>SOLLEFTEÅ</t>
        </is>
      </c>
      <c r="F2557" t="inlineStr">
        <is>
          <t>SCA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4546-2024</t>
        </is>
      </c>
      <c r="B2558" s="1" t="n">
        <v>45327</v>
      </c>
      <c r="C2558" s="1" t="n">
        <v>45670</v>
      </c>
      <c r="D2558" t="inlineStr">
        <is>
          <t>VÄSTERNORRLANDS LÄN</t>
        </is>
      </c>
      <c r="E2558" t="inlineStr">
        <is>
          <t>SOLLEFTEÅ</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4595-2024</t>
        </is>
      </c>
      <c r="B2559" s="1" t="n">
        <v>45327</v>
      </c>
      <c r="C2559" s="1" t="n">
        <v>45670</v>
      </c>
      <c r="D2559" t="inlineStr">
        <is>
          <t>VÄSTERNORRLANDS LÄN</t>
        </is>
      </c>
      <c r="E2559" t="inlineStr">
        <is>
          <t>SOLLEFTEÅ</t>
        </is>
      </c>
      <c r="F2559" t="inlineStr">
        <is>
          <t>SCA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4809-2024</t>
        </is>
      </c>
      <c r="B2560" s="1" t="n">
        <v>45328</v>
      </c>
      <c r="C2560" s="1" t="n">
        <v>45670</v>
      </c>
      <c r="D2560" t="inlineStr">
        <is>
          <t>VÄSTERNORRLANDS LÄN</t>
        </is>
      </c>
      <c r="E2560" t="inlineStr">
        <is>
          <t>SOLLEFTEÅ</t>
        </is>
      </c>
      <c r="F2560" t="inlineStr">
        <is>
          <t>SCA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4813-2024</t>
        </is>
      </c>
      <c r="B2561" s="1" t="n">
        <v>45328</v>
      </c>
      <c r="C2561" s="1" t="n">
        <v>45670</v>
      </c>
      <c r="D2561" t="inlineStr">
        <is>
          <t>VÄSTERNORRLANDS LÄN</t>
        </is>
      </c>
      <c r="E2561" t="inlineStr">
        <is>
          <t>SOLLEFTEÅ</t>
        </is>
      </c>
      <c r="F2561" t="inlineStr">
        <is>
          <t>SCA</t>
        </is>
      </c>
      <c r="G2561" t="n">
        <v>26.6</v>
      </c>
      <c r="H2561" t="n">
        <v>0</v>
      </c>
      <c r="I2561" t="n">
        <v>0</v>
      </c>
      <c r="J2561" t="n">
        <v>0</v>
      </c>
      <c r="K2561" t="n">
        <v>0</v>
      </c>
      <c r="L2561" t="n">
        <v>0</v>
      </c>
      <c r="M2561" t="n">
        <v>0</v>
      </c>
      <c r="N2561" t="n">
        <v>0</v>
      </c>
      <c r="O2561" t="n">
        <v>0</v>
      </c>
      <c r="P2561" t="n">
        <v>0</v>
      </c>
      <c r="Q2561" t="n">
        <v>0</v>
      </c>
      <c r="R2561" s="2" t="inlineStr"/>
    </row>
    <row r="2562" ht="15" customHeight="1">
      <c r="A2562" t="inlineStr">
        <is>
          <t>A 4808-2024</t>
        </is>
      </c>
      <c r="B2562" s="1" t="n">
        <v>45328</v>
      </c>
      <c r="C2562" s="1" t="n">
        <v>45670</v>
      </c>
      <c r="D2562" t="inlineStr">
        <is>
          <t>VÄSTERNORRLANDS LÄN</t>
        </is>
      </c>
      <c r="E2562" t="inlineStr">
        <is>
          <t>SOLLEFTEÅ</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4812-2024</t>
        </is>
      </c>
      <c r="B2563" s="1" t="n">
        <v>45328</v>
      </c>
      <c r="C2563" s="1" t="n">
        <v>45670</v>
      </c>
      <c r="D2563" t="inlineStr">
        <is>
          <t>VÄSTERNORRLANDS LÄN</t>
        </is>
      </c>
      <c r="E2563" t="inlineStr">
        <is>
          <t>SOLLEFTEÅ</t>
        </is>
      </c>
      <c r="F2563" t="inlineStr">
        <is>
          <t>SCA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4857-2024</t>
        </is>
      </c>
      <c r="B2564" s="1" t="n">
        <v>45329</v>
      </c>
      <c r="C2564" s="1" t="n">
        <v>45670</v>
      </c>
      <c r="D2564" t="inlineStr">
        <is>
          <t>VÄSTERNORRLANDS LÄN</t>
        </is>
      </c>
      <c r="E2564" t="inlineStr">
        <is>
          <t>SOLLEFTEÅ</t>
        </is>
      </c>
      <c r="G2564" t="n">
        <v>8.699999999999999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5035-2024</t>
        </is>
      </c>
      <c r="B2565" s="1" t="n">
        <v>45329</v>
      </c>
      <c r="C2565" s="1" t="n">
        <v>45670</v>
      </c>
      <c r="D2565" t="inlineStr">
        <is>
          <t>VÄSTERNORRLANDS LÄN</t>
        </is>
      </c>
      <c r="E2565" t="inlineStr">
        <is>
          <t>SOLLEFTEÅ</t>
        </is>
      </c>
      <c r="F2565" t="inlineStr">
        <is>
          <t>Övriga Aktiebolag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5057-2024</t>
        </is>
      </c>
      <c r="B2566" s="1" t="n">
        <v>45329</v>
      </c>
      <c r="C2566" s="1" t="n">
        <v>45670</v>
      </c>
      <c r="D2566" t="inlineStr">
        <is>
          <t>VÄSTERNORRLANDS LÄN</t>
        </is>
      </c>
      <c r="E2566" t="inlineStr">
        <is>
          <t>SOLLEFTEÅ</t>
        </is>
      </c>
      <c r="F2566" t="inlineStr">
        <is>
          <t>SCA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5036-2024</t>
        </is>
      </c>
      <c r="B2567" s="1" t="n">
        <v>45329</v>
      </c>
      <c r="C2567" s="1" t="n">
        <v>45670</v>
      </c>
      <c r="D2567" t="inlineStr">
        <is>
          <t>VÄSTERNORRLANDS LÄN</t>
        </is>
      </c>
      <c r="E2567" t="inlineStr">
        <is>
          <t>SOLLEFTEÅ</t>
        </is>
      </c>
      <c r="F2567" t="inlineStr">
        <is>
          <t>Övriga Aktiebolag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5040-2024</t>
        </is>
      </c>
      <c r="B2568" s="1" t="n">
        <v>45329</v>
      </c>
      <c r="C2568" s="1" t="n">
        <v>45670</v>
      </c>
      <c r="D2568" t="inlineStr">
        <is>
          <t>VÄSTERNORRLANDS LÄN</t>
        </is>
      </c>
      <c r="E2568" t="inlineStr">
        <is>
          <t>SOLLEFTEÅ</t>
        </is>
      </c>
      <c r="F2568" t="inlineStr">
        <is>
          <t>Övriga Aktiebolag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5072-2024</t>
        </is>
      </c>
      <c r="B2569" s="1" t="n">
        <v>45330</v>
      </c>
      <c r="C2569" s="1" t="n">
        <v>45670</v>
      </c>
      <c r="D2569" t="inlineStr">
        <is>
          <t>VÄSTERNORRLANDS LÄN</t>
        </is>
      </c>
      <c r="E2569" t="inlineStr">
        <is>
          <t>SOLLEFTEÅ</t>
        </is>
      </c>
      <c r="F2569" t="inlineStr">
        <is>
          <t>Övriga Aktiebolag</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5064-2024</t>
        </is>
      </c>
      <c r="B2570" s="1" t="n">
        <v>45329</v>
      </c>
      <c r="C2570" s="1" t="n">
        <v>45670</v>
      </c>
      <c r="D2570" t="inlineStr">
        <is>
          <t>VÄSTERNORRLANDS LÄN</t>
        </is>
      </c>
      <c r="E2570" t="inlineStr">
        <is>
          <t>SOLLEFTEÅ</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5061-2024</t>
        </is>
      </c>
      <c r="B2571" s="1" t="n">
        <v>45329</v>
      </c>
      <c r="C2571" s="1" t="n">
        <v>45670</v>
      </c>
      <c r="D2571" t="inlineStr">
        <is>
          <t>VÄSTERNORRLANDS LÄN</t>
        </is>
      </c>
      <c r="E2571" t="inlineStr">
        <is>
          <t>SOLLEFTEÅ</t>
        </is>
      </c>
      <c r="F2571" t="inlineStr">
        <is>
          <t>SCA</t>
        </is>
      </c>
      <c r="G2571" t="n">
        <v>34.1</v>
      </c>
      <c r="H2571" t="n">
        <v>0</v>
      </c>
      <c r="I2571" t="n">
        <v>0</v>
      </c>
      <c r="J2571" t="n">
        <v>0</v>
      </c>
      <c r="K2571" t="n">
        <v>0</v>
      </c>
      <c r="L2571" t="n">
        <v>0</v>
      </c>
      <c r="M2571" t="n">
        <v>0</v>
      </c>
      <c r="N2571" t="n">
        <v>0</v>
      </c>
      <c r="O2571" t="n">
        <v>0</v>
      </c>
      <c r="P2571" t="n">
        <v>0</v>
      </c>
      <c r="Q2571" t="n">
        <v>0</v>
      </c>
      <c r="R2571" s="2" t="inlineStr"/>
    </row>
    <row r="2572" ht="15" customHeight="1">
      <c r="A2572" t="inlineStr">
        <is>
          <t>A 5073-2024</t>
        </is>
      </c>
      <c r="B2572" s="1" t="n">
        <v>45330</v>
      </c>
      <c r="C2572" s="1" t="n">
        <v>45670</v>
      </c>
      <c r="D2572" t="inlineStr">
        <is>
          <t>VÄSTERNORRLANDS LÄN</t>
        </is>
      </c>
      <c r="E2572" t="inlineStr">
        <is>
          <t>SOLLEFTEÅ</t>
        </is>
      </c>
      <c r="F2572" t="inlineStr">
        <is>
          <t>Övriga Aktiebolag</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5034-2024</t>
        </is>
      </c>
      <c r="B2573" s="1" t="n">
        <v>45329</v>
      </c>
      <c r="C2573" s="1" t="n">
        <v>45670</v>
      </c>
      <c r="D2573" t="inlineStr">
        <is>
          <t>VÄSTERNORRLANDS LÄN</t>
        </is>
      </c>
      <c r="E2573" t="inlineStr">
        <is>
          <t>SOLLEFTEÅ</t>
        </is>
      </c>
      <c r="F2573" t="inlineStr">
        <is>
          <t>Övriga Aktiebolag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5038-2024</t>
        </is>
      </c>
      <c r="B2574" s="1" t="n">
        <v>45329</v>
      </c>
      <c r="C2574" s="1" t="n">
        <v>45670</v>
      </c>
      <c r="D2574" t="inlineStr">
        <is>
          <t>VÄSTERNORRLANDS LÄN</t>
        </is>
      </c>
      <c r="E2574" t="inlineStr">
        <is>
          <t>SOLLEFTEÅ</t>
        </is>
      </c>
      <c r="F2574" t="inlineStr">
        <is>
          <t>Övriga Aktiebolag</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5062-2024</t>
        </is>
      </c>
      <c r="B2575" s="1" t="n">
        <v>45329</v>
      </c>
      <c r="C2575" s="1" t="n">
        <v>45670</v>
      </c>
      <c r="D2575" t="inlineStr">
        <is>
          <t>VÄSTERNORRLANDS LÄN</t>
        </is>
      </c>
      <c r="E2575" t="inlineStr">
        <is>
          <t>SOLLEFTEÅ</t>
        </is>
      </c>
      <c r="F2575" t="inlineStr">
        <is>
          <t>SCA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5058-2024</t>
        </is>
      </c>
      <c r="B2576" s="1" t="n">
        <v>45329</v>
      </c>
      <c r="C2576" s="1" t="n">
        <v>45670</v>
      </c>
      <c r="D2576" t="inlineStr">
        <is>
          <t>VÄSTERNORRLANDS LÄN</t>
        </is>
      </c>
      <c r="E2576" t="inlineStr">
        <is>
          <t>SOLLEFTEÅ</t>
        </is>
      </c>
      <c r="F2576" t="inlineStr">
        <is>
          <t>SCA</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5074-2024</t>
        </is>
      </c>
      <c r="B2577" s="1" t="n">
        <v>45330</v>
      </c>
      <c r="C2577" s="1" t="n">
        <v>45670</v>
      </c>
      <c r="D2577" t="inlineStr">
        <is>
          <t>VÄSTERNORRLANDS LÄN</t>
        </is>
      </c>
      <c r="E2577" t="inlineStr">
        <is>
          <t>SOLLEFTEÅ</t>
        </is>
      </c>
      <c r="F2577" t="inlineStr">
        <is>
          <t>Övriga Aktiebolag</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5059-2024</t>
        </is>
      </c>
      <c r="B2578" s="1" t="n">
        <v>45329</v>
      </c>
      <c r="C2578" s="1" t="n">
        <v>45670</v>
      </c>
      <c r="D2578" t="inlineStr">
        <is>
          <t>VÄSTERNORRLANDS LÄN</t>
        </is>
      </c>
      <c r="E2578" t="inlineStr">
        <is>
          <t>SOLLEFTEÅ</t>
        </is>
      </c>
      <c r="F2578" t="inlineStr">
        <is>
          <t>SCA</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5075-2024</t>
        </is>
      </c>
      <c r="B2579" s="1" t="n">
        <v>45329</v>
      </c>
      <c r="C2579" s="1" t="n">
        <v>45670</v>
      </c>
      <c r="D2579" t="inlineStr">
        <is>
          <t>VÄSTERNORRLANDS LÄN</t>
        </is>
      </c>
      <c r="E2579" t="inlineStr">
        <is>
          <t>SOLLEFTEÅ</t>
        </is>
      </c>
      <c r="F2579" t="inlineStr">
        <is>
          <t>Övriga Aktiebolag</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5063-2024</t>
        </is>
      </c>
      <c r="B2580" s="1" t="n">
        <v>45329</v>
      </c>
      <c r="C2580" s="1" t="n">
        <v>45670</v>
      </c>
      <c r="D2580" t="inlineStr">
        <is>
          <t>VÄSTERNORRLANDS LÄN</t>
        </is>
      </c>
      <c r="E2580" t="inlineStr">
        <is>
          <t>SOLLEFTEÅ</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5256-2024</t>
        </is>
      </c>
      <c r="B2581" s="1" t="n">
        <v>45330</v>
      </c>
      <c r="C2581" s="1" t="n">
        <v>45670</v>
      </c>
      <c r="D2581" t="inlineStr">
        <is>
          <t>VÄSTERNORRLANDS LÄN</t>
        </is>
      </c>
      <c r="E2581" t="inlineStr">
        <is>
          <t>SOLLEFTEÅ</t>
        </is>
      </c>
      <c r="F2581" t="inlineStr">
        <is>
          <t>SCA</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5255-2024</t>
        </is>
      </c>
      <c r="B2582" s="1" t="n">
        <v>45330</v>
      </c>
      <c r="C2582" s="1" t="n">
        <v>45670</v>
      </c>
      <c r="D2582" t="inlineStr">
        <is>
          <t>VÄSTERNORRLANDS LÄN</t>
        </is>
      </c>
      <c r="E2582" t="inlineStr">
        <is>
          <t>SOLLEFTEÅ</t>
        </is>
      </c>
      <c r="F2582" t="inlineStr">
        <is>
          <t>SCA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5254-2024</t>
        </is>
      </c>
      <c r="B2583" s="1" t="n">
        <v>45330</v>
      </c>
      <c r="C2583" s="1" t="n">
        <v>45670</v>
      </c>
      <c r="D2583" t="inlineStr">
        <is>
          <t>VÄSTERNORRLANDS LÄN</t>
        </is>
      </c>
      <c r="E2583" t="inlineStr">
        <is>
          <t>SOLLEFTEÅ</t>
        </is>
      </c>
      <c r="F2583" t="inlineStr">
        <is>
          <t>SCA</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5253-2024</t>
        </is>
      </c>
      <c r="B2584" s="1" t="n">
        <v>45330</v>
      </c>
      <c r="C2584" s="1" t="n">
        <v>45670</v>
      </c>
      <c r="D2584" t="inlineStr">
        <is>
          <t>VÄSTERNORRLANDS LÄN</t>
        </is>
      </c>
      <c r="E2584" t="inlineStr">
        <is>
          <t>SOLLEFTEÅ</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5446-2024</t>
        </is>
      </c>
      <c r="B2585" s="1" t="n">
        <v>45331</v>
      </c>
      <c r="C2585" s="1" t="n">
        <v>45670</v>
      </c>
      <c r="D2585" t="inlineStr">
        <is>
          <t>VÄSTERNORRLANDS LÄN</t>
        </is>
      </c>
      <c r="E2585" t="inlineStr">
        <is>
          <t>SOLLEFTEÅ</t>
        </is>
      </c>
      <c r="F2585" t="inlineStr">
        <is>
          <t>SCA</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5452-2024</t>
        </is>
      </c>
      <c r="B2586" s="1" t="n">
        <v>45331</v>
      </c>
      <c r="C2586" s="1" t="n">
        <v>45670</v>
      </c>
      <c r="D2586" t="inlineStr">
        <is>
          <t>VÄSTERNORRLANDS LÄN</t>
        </is>
      </c>
      <c r="E2586" t="inlineStr">
        <is>
          <t>SOLLEFTEÅ</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5854-2024</t>
        </is>
      </c>
      <c r="B2587" s="1" t="n">
        <v>45335</v>
      </c>
      <c r="C2587" s="1" t="n">
        <v>45670</v>
      </c>
      <c r="D2587" t="inlineStr">
        <is>
          <t>VÄSTERNORRLANDS LÄN</t>
        </is>
      </c>
      <c r="E2587" t="inlineStr">
        <is>
          <t>SOLLEFTEÅ</t>
        </is>
      </c>
      <c r="F2587" t="inlineStr">
        <is>
          <t>Övriga Aktiebolag</t>
        </is>
      </c>
      <c r="G2587" t="n">
        <v>24.9</v>
      </c>
      <c r="H2587" t="n">
        <v>0</v>
      </c>
      <c r="I2587" t="n">
        <v>0</v>
      </c>
      <c r="J2587" t="n">
        <v>0</v>
      </c>
      <c r="K2587" t="n">
        <v>0</v>
      </c>
      <c r="L2587" t="n">
        <v>0</v>
      </c>
      <c r="M2587" t="n">
        <v>0</v>
      </c>
      <c r="N2587" t="n">
        <v>0</v>
      </c>
      <c r="O2587" t="n">
        <v>0</v>
      </c>
      <c r="P2587" t="n">
        <v>0</v>
      </c>
      <c r="Q2587" t="n">
        <v>0</v>
      </c>
      <c r="R2587" s="2" t="inlineStr"/>
    </row>
    <row r="2588" ht="15" customHeight="1">
      <c r="A2588" t="inlineStr">
        <is>
          <t>A 5874-2024</t>
        </is>
      </c>
      <c r="B2588" s="1" t="n">
        <v>45335</v>
      </c>
      <c r="C2588" s="1" t="n">
        <v>45670</v>
      </c>
      <c r="D2588" t="inlineStr">
        <is>
          <t>VÄSTERNORRLANDS LÄN</t>
        </is>
      </c>
      <c r="E2588" t="inlineStr">
        <is>
          <t>SOLLEFTEÅ</t>
        </is>
      </c>
      <c r="F2588" t="inlineStr">
        <is>
          <t>Övriga Aktiebolag</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5867-2024</t>
        </is>
      </c>
      <c r="B2589" s="1" t="n">
        <v>45335</v>
      </c>
      <c r="C2589" s="1" t="n">
        <v>45670</v>
      </c>
      <c r="D2589" t="inlineStr">
        <is>
          <t>VÄSTERNORRLANDS LÄN</t>
        </is>
      </c>
      <c r="E2589" t="inlineStr">
        <is>
          <t>SOLLEFTEÅ</t>
        </is>
      </c>
      <c r="F2589" t="inlineStr">
        <is>
          <t>Övriga Aktiebolag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5871-2024</t>
        </is>
      </c>
      <c r="B2590" s="1" t="n">
        <v>45335</v>
      </c>
      <c r="C2590" s="1" t="n">
        <v>45670</v>
      </c>
      <c r="D2590" t="inlineStr">
        <is>
          <t>VÄSTERNORRLANDS LÄN</t>
        </is>
      </c>
      <c r="E2590" t="inlineStr">
        <is>
          <t>SOLLEFTEÅ</t>
        </is>
      </c>
      <c r="F2590" t="inlineStr">
        <is>
          <t>Övriga Aktiebolag</t>
        </is>
      </c>
      <c r="G2590" t="n">
        <v>8.5</v>
      </c>
      <c r="H2590" t="n">
        <v>0</v>
      </c>
      <c r="I2590" t="n">
        <v>0</v>
      </c>
      <c r="J2590" t="n">
        <v>0</v>
      </c>
      <c r="K2590" t="n">
        <v>0</v>
      </c>
      <c r="L2590" t="n">
        <v>0</v>
      </c>
      <c r="M2590" t="n">
        <v>0</v>
      </c>
      <c r="N2590" t="n">
        <v>0</v>
      </c>
      <c r="O2590" t="n">
        <v>0</v>
      </c>
      <c r="P2590" t="n">
        <v>0</v>
      </c>
      <c r="Q2590" t="n">
        <v>0</v>
      </c>
      <c r="R2590" s="2" t="inlineStr"/>
    </row>
    <row r="2591" ht="15" customHeight="1">
      <c r="A2591" t="inlineStr">
        <is>
          <t>A 5882-2024</t>
        </is>
      </c>
      <c r="B2591" s="1" t="n">
        <v>45335</v>
      </c>
      <c r="C2591" s="1" t="n">
        <v>45670</v>
      </c>
      <c r="D2591" t="inlineStr">
        <is>
          <t>VÄSTERNORRLANDS LÄN</t>
        </is>
      </c>
      <c r="E2591" t="inlineStr">
        <is>
          <t>SOLLEFTEÅ</t>
        </is>
      </c>
      <c r="F2591" t="inlineStr">
        <is>
          <t>Övriga Aktiebolag</t>
        </is>
      </c>
      <c r="G2591" t="n">
        <v>13.2</v>
      </c>
      <c r="H2591" t="n">
        <v>0</v>
      </c>
      <c r="I2591" t="n">
        <v>0</v>
      </c>
      <c r="J2591" t="n">
        <v>0</v>
      </c>
      <c r="K2591" t="n">
        <v>0</v>
      </c>
      <c r="L2591" t="n">
        <v>0</v>
      </c>
      <c r="M2591" t="n">
        <v>0</v>
      </c>
      <c r="N2591" t="n">
        <v>0</v>
      </c>
      <c r="O2591" t="n">
        <v>0</v>
      </c>
      <c r="P2591" t="n">
        <v>0</v>
      </c>
      <c r="Q2591" t="n">
        <v>0</v>
      </c>
      <c r="R2591" s="2" t="inlineStr"/>
    </row>
    <row r="2592" ht="15" customHeight="1">
      <c r="A2592" t="inlineStr">
        <is>
          <t>A 5919-2024</t>
        </is>
      </c>
      <c r="B2592" s="1" t="n">
        <v>45335</v>
      </c>
      <c r="C2592" s="1" t="n">
        <v>45670</v>
      </c>
      <c r="D2592" t="inlineStr">
        <is>
          <t>VÄSTERNORRLANDS LÄN</t>
        </is>
      </c>
      <c r="E2592" t="inlineStr">
        <is>
          <t>SOLLEFTEÅ</t>
        </is>
      </c>
      <c r="F2592" t="inlineStr">
        <is>
          <t>SCA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5909-2024</t>
        </is>
      </c>
      <c r="B2593" s="1" t="n">
        <v>45335</v>
      </c>
      <c r="C2593" s="1" t="n">
        <v>45670</v>
      </c>
      <c r="D2593" t="inlineStr">
        <is>
          <t>VÄSTERNORRLANDS LÄN</t>
        </is>
      </c>
      <c r="E2593" t="inlineStr">
        <is>
          <t>SOLLEFTEÅ</t>
        </is>
      </c>
      <c r="F2593" t="inlineStr">
        <is>
          <t>SCA</t>
        </is>
      </c>
      <c r="G2593" t="n">
        <v>8.1</v>
      </c>
      <c r="H2593" t="n">
        <v>0</v>
      </c>
      <c r="I2593" t="n">
        <v>0</v>
      </c>
      <c r="J2593" t="n">
        <v>0</v>
      </c>
      <c r="K2593" t="n">
        <v>0</v>
      </c>
      <c r="L2593" t="n">
        <v>0</v>
      </c>
      <c r="M2593" t="n">
        <v>0</v>
      </c>
      <c r="N2593" t="n">
        <v>0</v>
      </c>
      <c r="O2593" t="n">
        <v>0</v>
      </c>
      <c r="P2593" t="n">
        <v>0</v>
      </c>
      <c r="Q2593" t="n">
        <v>0</v>
      </c>
      <c r="R2593" s="2" t="inlineStr"/>
    </row>
    <row r="2594" ht="15" customHeight="1">
      <c r="A2594" t="inlineStr">
        <is>
          <t>A 5917-2024</t>
        </is>
      </c>
      <c r="B2594" s="1" t="n">
        <v>45335</v>
      </c>
      <c r="C2594" s="1" t="n">
        <v>45670</v>
      </c>
      <c r="D2594" t="inlineStr">
        <is>
          <t>VÄSTERNORRLANDS LÄN</t>
        </is>
      </c>
      <c r="E2594" t="inlineStr">
        <is>
          <t>SOLLEFTEÅ</t>
        </is>
      </c>
      <c r="F2594" t="inlineStr">
        <is>
          <t>SCA</t>
        </is>
      </c>
      <c r="G2594" t="n">
        <v>21.2</v>
      </c>
      <c r="H2594" t="n">
        <v>0</v>
      </c>
      <c r="I2594" t="n">
        <v>0</v>
      </c>
      <c r="J2594" t="n">
        <v>0</v>
      </c>
      <c r="K2594" t="n">
        <v>0</v>
      </c>
      <c r="L2594" t="n">
        <v>0</v>
      </c>
      <c r="M2594" t="n">
        <v>0</v>
      </c>
      <c r="N2594" t="n">
        <v>0</v>
      </c>
      <c r="O2594" t="n">
        <v>0</v>
      </c>
      <c r="P2594" t="n">
        <v>0</v>
      </c>
      <c r="Q2594" t="n">
        <v>0</v>
      </c>
      <c r="R2594" s="2" t="inlineStr"/>
    </row>
    <row r="2595" ht="15" customHeight="1">
      <c r="A2595" t="inlineStr">
        <is>
          <t>A 5934-2024</t>
        </is>
      </c>
      <c r="B2595" s="1" t="n">
        <v>45336</v>
      </c>
      <c r="C2595" s="1" t="n">
        <v>45670</v>
      </c>
      <c r="D2595" t="inlineStr">
        <is>
          <t>VÄSTERNORRLANDS LÄN</t>
        </is>
      </c>
      <c r="E2595" t="inlineStr">
        <is>
          <t>SOLLEFTEÅ</t>
        </is>
      </c>
      <c r="F2595" t="inlineStr">
        <is>
          <t>Holmen skog AB</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6059-2024</t>
        </is>
      </c>
      <c r="B2596" s="1" t="n">
        <v>45336</v>
      </c>
      <c r="C2596" s="1" t="n">
        <v>45670</v>
      </c>
      <c r="D2596" t="inlineStr">
        <is>
          <t>VÄSTERNORRLANDS LÄN</t>
        </is>
      </c>
      <c r="E2596" t="inlineStr">
        <is>
          <t>SOLLEFTEÅ</t>
        </is>
      </c>
      <c r="F2596" t="inlineStr">
        <is>
          <t>Övriga Aktiebolag</t>
        </is>
      </c>
      <c r="G2596" t="n">
        <v>12.2</v>
      </c>
      <c r="H2596" t="n">
        <v>0</v>
      </c>
      <c r="I2596" t="n">
        <v>0</v>
      </c>
      <c r="J2596" t="n">
        <v>0</v>
      </c>
      <c r="K2596" t="n">
        <v>0</v>
      </c>
      <c r="L2596" t="n">
        <v>0</v>
      </c>
      <c r="M2596" t="n">
        <v>0</v>
      </c>
      <c r="N2596" t="n">
        <v>0</v>
      </c>
      <c r="O2596" t="n">
        <v>0</v>
      </c>
      <c r="P2596" t="n">
        <v>0</v>
      </c>
      <c r="Q2596" t="n">
        <v>0</v>
      </c>
      <c r="R2596" s="2" t="inlineStr"/>
    </row>
    <row r="2597" ht="15" customHeight="1">
      <c r="A2597" t="inlineStr">
        <is>
          <t>A 6063-2024</t>
        </is>
      </c>
      <c r="B2597" s="1" t="n">
        <v>45336</v>
      </c>
      <c r="C2597" s="1" t="n">
        <v>45670</v>
      </c>
      <c r="D2597" t="inlineStr">
        <is>
          <t>VÄSTERNORRLANDS LÄN</t>
        </is>
      </c>
      <c r="E2597" t="inlineStr">
        <is>
          <t>SOLLEFTEÅ</t>
        </is>
      </c>
      <c r="F2597" t="inlineStr">
        <is>
          <t>Övriga Aktiebolag</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6067-2024</t>
        </is>
      </c>
      <c r="B2598" s="1" t="n">
        <v>45336</v>
      </c>
      <c r="C2598" s="1" t="n">
        <v>45670</v>
      </c>
      <c r="D2598" t="inlineStr">
        <is>
          <t>VÄSTERNORRLANDS LÄN</t>
        </is>
      </c>
      <c r="E2598" t="inlineStr">
        <is>
          <t>SOLLEFTEÅ</t>
        </is>
      </c>
      <c r="F2598" t="inlineStr">
        <is>
          <t>Övriga Aktiebolag</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6058-2024</t>
        </is>
      </c>
      <c r="B2599" s="1" t="n">
        <v>45336</v>
      </c>
      <c r="C2599" s="1" t="n">
        <v>45670</v>
      </c>
      <c r="D2599" t="inlineStr">
        <is>
          <t>VÄSTERNORRLANDS LÄN</t>
        </is>
      </c>
      <c r="E2599" t="inlineStr">
        <is>
          <t>SOLLEFTEÅ</t>
        </is>
      </c>
      <c r="F2599" t="inlineStr">
        <is>
          <t>Övriga Aktiebolag</t>
        </is>
      </c>
      <c r="G2599" t="n">
        <v>5.2</v>
      </c>
      <c r="H2599" t="n">
        <v>0</v>
      </c>
      <c r="I2599" t="n">
        <v>0</v>
      </c>
      <c r="J2599" t="n">
        <v>0</v>
      </c>
      <c r="K2599" t="n">
        <v>0</v>
      </c>
      <c r="L2599" t="n">
        <v>0</v>
      </c>
      <c r="M2599" t="n">
        <v>0</v>
      </c>
      <c r="N2599" t="n">
        <v>0</v>
      </c>
      <c r="O2599" t="n">
        <v>0</v>
      </c>
      <c r="P2599" t="n">
        <v>0</v>
      </c>
      <c r="Q2599" t="n">
        <v>0</v>
      </c>
      <c r="R2599" s="2" t="inlineStr"/>
    </row>
    <row r="2600" ht="15" customHeight="1">
      <c r="A2600" t="inlineStr">
        <is>
          <t>A 6064-2024</t>
        </is>
      </c>
      <c r="B2600" s="1" t="n">
        <v>45336</v>
      </c>
      <c r="C2600" s="1" t="n">
        <v>45670</v>
      </c>
      <c r="D2600" t="inlineStr">
        <is>
          <t>VÄSTERNORRLANDS LÄN</t>
        </is>
      </c>
      <c r="E2600" t="inlineStr">
        <is>
          <t>SOLLEFTEÅ</t>
        </is>
      </c>
      <c r="F2600" t="inlineStr">
        <is>
          <t>Övriga Aktiebolag</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6066-2024</t>
        </is>
      </c>
      <c r="B2601" s="1" t="n">
        <v>45336</v>
      </c>
      <c r="C2601" s="1" t="n">
        <v>45670</v>
      </c>
      <c r="D2601" t="inlineStr">
        <is>
          <t>VÄSTERNORRLANDS LÄN</t>
        </is>
      </c>
      <c r="E2601" t="inlineStr">
        <is>
          <t>SOLLEFTEÅ</t>
        </is>
      </c>
      <c r="F2601" t="inlineStr">
        <is>
          <t>Övriga Aktiebolag</t>
        </is>
      </c>
      <c r="G2601" t="n">
        <v>14.8</v>
      </c>
      <c r="H2601" t="n">
        <v>0</v>
      </c>
      <c r="I2601" t="n">
        <v>0</v>
      </c>
      <c r="J2601" t="n">
        <v>0</v>
      </c>
      <c r="K2601" t="n">
        <v>0</v>
      </c>
      <c r="L2601" t="n">
        <v>0</v>
      </c>
      <c r="M2601" t="n">
        <v>0</v>
      </c>
      <c r="N2601" t="n">
        <v>0</v>
      </c>
      <c r="O2601" t="n">
        <v>0</v>
      </c>
      <c r="P2601" t="n">
        <v>0</v>
      </c>
      <c r="Q2601" t="n">
        <v>0</v>
      </c>
      <c r="R2601" s="2" t="inlineStr"/>
    </row>
    <row r="2602" ht="15" customHeight="1">
      <c r="A2602" t="inlineStr">
        <is>
          <t>A 6068-2024</t>
        </is>
      </c>
      <c r="B2602" s="1" t="n">
        <v>45336</v>
      </c>
      <c r="C2602" s="1" t="n">
        <v>45670</v>
      </c>
      <c r="D2602" t="inlineStr">
        <is>
          <t>VÄSTERNORRLANDS LÄN</t>
        </is>
      </c>
      <c r="E2602" t="inlineStr">
        <is>
          <t>SOLLEFTEÅ</t>
        </is>
      </c>
      <c r="F2602" t="inlineStr">
        <is>
          <t>Övriga Aktiebolag</t>
        </is>
      </c>
      <c r="G2602" t="n">
        <v>12.6</v>
      </c>
      <c r="H2602" t="n">
        <v>0</v>
      </c>
      <c r="I2602" t="n">
        <v>0</v>
      </c>
      <c r="J2602" t="n">
        <v>0</v>
      </c>
      <c r="K2602" t="n">
        <v>0</v>
      </c>
      <c r="L2602" t="n">
        <v>0</v>
      </c>
      <c r="M2602" t="n">
        <v>0</v>
      </c>
      <c r="N2602" t="n">
        <v>0</v>
      </c>
      <c r="O2602" t="n">
        <v>0</v>
      </c>
      <c r="P2602" t="n">
        <v>0</v>
      </c>
      <c r="Q2602" t="n">
        <v>0</v>
      </c>
      <c r="R2602" s="2" t="inlineStr"/>
    </row>
    <row r="2603" ht="15" customHeight="1">
      <c r="A2603" t="inlineStr">
        <is>
          <t>A 6057-2024</t>
        </is>
      </c>
      <c r="B2603" s="1" t="n">
        <v>45336</v>
      </c>
      <c r="C2603" s="1" t="n">
        <v>45670</v>
      </c>
      <c r="D2603" t="inlineStr">
        <is>
          <t>VÄSTERNORRLANDS LÄN</t>
        </is>
      </c>
      <c r="E2603" t="inlineStr">
        <is>
          <t>SOLLEFTEÅ</t>
        </is>
      </c>
      <c r="F2603" t="inlineStr">
        <is>
          <t>Övriga Aktiebolag</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6065-2024</t>
        </is>
      </c>
      <c r="B2604" s="1" t="n">
        <v>45336</v>
      </c>
      <c r="C2604" s="1" t="n">
        <v>45670</v>
      </c>
      <c r="D2604" t="inlineStr">
        <is>
          <t>VÄSTERNORRLANDS LÄN</t>
        </is>
      </c>
      <c r="E2604" t="inlineStr">
        <is>
          <t>SOLLEFTEÅ</t>
        </is>
      </c>
      <c r="F2604" t="inlineStr">
        <is>
          <t>Övriga Aktiebolag</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6139-2024</t>
        </is>
      </c>
      <c r="B2605" s="1" t="n">
        <v>45337</v>
      </c>
      <c r="C2605" s="1" t="n">
        <v>45670</v>
      </c>
      <c r="D2605" t="inlineStr">
        <is>
          <t>VÄSTERNORRLANDS LÄN</t>
        </is>
      </c>
      <c r="E2605" t="inlineStr">
        <is>
          <t>SOLLEFTEÅ</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6279-2024</t>
        </is>
      </c>
      <c r="B2606" s="1" t="n">
        <v>45337</v>
      </c>
      <c r="C2606" s="1" t="n">
        <v>45670</v>
      </c>
      <c r="D2606" t="inlineStr">
        <is>
          <t>VÄSTERNORRLANDS LÄN</t>
        </is>
      </c>
      <c r="E2606" t="inlineStr">
        <is>
          <t>SOLLEFTEÅ</t>
        </is>
      </c>
      <c r="F2606" t="inlineStr">
        <is>
          <t>SCA</t>
        </is>
      </c>
      <c r="G2606" t="n">
        <v>8</v>
      </c>
      <c r="H2606" t="n">
        <v>0</v>
      </c>
      <c r="I2606" t="n">
        <v>0</v>
      </c>
      <c r="J2606" t="n">
        <v>0</v>
      </c>
      <c r="K2606" t="n">
        <v>0</v>
      </c>
      <c r="L2606" t="n">
        <v>0</v>
      </c>
      <c r="M2606" t="n">
        <v>0</v>
      </c>
      <c r="N2606" t="n">
        <v>0</v>
      </c>
      <c r="O2606" t="n">
        <v>0</v>
      </c>
      <c r="P2606" t="n">
        <v>0</v>
      </c>
      <c r="Q2606" t="n">
        <v>0</v>
      </c>
      <c r="R2606" s="2" t="inlineStr"/>
    </row>
    <row r="2607" ht="15" customHeight="1">
      <c r="A2607" t="inlineStr">
        <is>
          <t>A 6125-2024</t>
        </is>
      </c>
      <c r="B2607" s="1" t="n">
        <v>45337</v>
      </c>
      <c r="C2607" s="1" t="n">
        <v>45670</v>
      </c>
      <c r="D2607" t="inlineStr">
        <is>
          <t>VÄSTERNORRLANDS LÄN</t>
        </is>
      </c>
      <c r="E2607" t="inlineStr">
        <is>
          <t>SOLLEFTEÅ</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6282-2024</t>
        </is>
      </c>
      <c r="B2608" s="1" t="n">
        <v>45337</v>
      </c>
      <c r="C2608" s="1" t="n">
        <v>45670</v>
      </c>
      <c r="D2608" t="inlineStr">
        <is>
          <t>VÄSTERNORRLANDS LÄN</t>
        </is>
      </c>
      <c r="E2608" t="inlineStr">
        <is>
          <t>SOLLEFTEÅ</t>
        </is>
      </c>
      <c r="F2608" t="inlineStr">
        <is>
          <t>SCA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6352-2024</t>
        </is>
      </c>
      <c r="B2609" s="1" t="n">
        <v>45338</v>
      </c>
      <c r="C2609" s="1" t="n">
        <v>45670</v>
      </c>
      <c r="D2609" t="inlineStr">
        <is>
          <t>VÄSTERNORRLANDS LÄN</t>
        </is>
      </c>
      <c r="E2609" t="inlineStr">
        <is>
          <t>SOLLEFTEÅ</t>
        </is>
      </c>
      <c r="F2609" t="inlineStr">
        <is>
          <t>Holmen skog AB</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6480-2024</t>
        </is>
      </c>
      <c r="B2610" s="1" t="n">
        <v>45338</v>
      </c>
      <c r="C2610" s="1" t="n">
        <v>45670</v>
      </c>
      <c r="D2610" t="inlineStr">
        <is>
          <t>VÄSTERNORRLANDS LÄN</t>
        </is>
      </c>
      <c r="E2610" t="inlineStr">
        <is>
          <t>SOLLEFTEÅ</t>
        </is>
      </c>
      <c r="F2610" t="inlineStr">
        <is>
          <t>SCA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6633-2024</t>
        </is>
      </c>
      <c r="B2611" s="1" t="n">
        <v>45341</v>
      </c>
      <c r="C2611" s="1" t="n">
        <v>45670</v>
      </c>
      <c r="D2611" t="inlineStr">
        <is>
          <t>VÄSTERNORRLANDS LÄN</t>
        </is>
      </c>
      <c r="E2611" t="inlineStr">
        <is>
          <t>SOLLEFTEÅ</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6692-2024</t>
        </is>
      </c>
      <c r="B2612" s="1" t="n">
        <v>45341</v>
      </c>
      <c r="C2612" s="1" t="n">
        <v>45670</v>
      </c>
      <c r="D2612" t="inlineStr">
        <is>
          <t>VÄSTERNORRLANDS LÄN</t>
        </is>
      </c>
      <c r="E2612" t="inlineStr">
        <is>
          <t>SOLLEFTEÅ</t>
        </is>
      </c>
      <c r="F2612" t="inlineStr">
        <is>
          <t>SCA</t>
        </is>
      </c>
      <c r="G2612" t="n">
        <v>15.4</v>
      </c>
      <c r="H2612" t="n">
        <v>0</v>
      </c>
      <c r="I2612" t="n">
        <v>0</v>
      </c>
      <c r="J2612" t="n">
        <v>0</v>
      </c>
      <c r="K2612" t="n">
        <v>0</v>
      </c>
      <c r="L2612" t="n">
        <v>0</v>
      </c>
      <c r="M2612" t="n">
        <v>0</v>
      </c>
      <c r="N2612" t="n">
        <v>0</v>
      </c>
      <c r="O2612" t="n">
        <v>0</v>
      </c>
      <c r="P2612" t="n">
        <v>0</v>
      </c>
      <c r="Q2612" t="n">
        <v>0</v>
      </c>
      <c r="R2612" s="2" t="inlineStr"/>
    </row>
    <row r="2613" ht="15" customHeight="1">
      <c r="A2613" t="inlineStr">
        <is>
          <t>A 6700-2024</t>
        </is>
      </c>
      <c r="B2613" s="1" t="n">
        <v>45341</v>
      </c>
      <c r="C2613" s="1" t="n">
        <v>45670</v>
      </c>
      <c r="D2613" t="inlineStr">
        <is>
          <t>VÄSTERNORRLANDS LÄN</t>
        </is>
      </c>
      <c r="E2613" t="inlineStr">
        <is>
          <t>SOLLEFTEÅ</t>
        </is>
      </c>
      <c r="F2613" t="inlineStr">
        <is>
          <t>SCA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6799-2024</t>
        </is>
      </c>
      <c r="B2614" s="1" t="n">
        <v>45342</v>
      </c>
      <c r="C2614" s="1" t="n">
        <v>45670</v>
      </c>
      <c r="D2614" t="inlineStr">
        <is>
          <t>VÄSTERNORRLANDS LÄN</t>
        </is>
      </c>
      <c r="E2614" t="inlineStr">
        <is>
          <t>SOLLEFTEÅ</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6857-2024</t>
        </is>
      </c>
      <c r="B2615" s="1" t="n">
        <v>45342</v>
      </c>
      <c r="C2615" s="1" t="n">
        <v>45670</v>
      </c>
      <c r="D2615" t="inlineStr">
        <is>
          <t>VÄSTERNORRLANDS LÄN</t>
        </is>
      </c>
      <c r="E2615" t="inlineStr">
        <is>
          <t>SOLLEFTEÅ</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6816-2024</t>
        </is>
      </c>
      <c r="B2616" s="1" t="n">
        <v>45342</v>
      </c>
      <c r="C2616" s="1" t="n">
        <v>45670</v>
      </c>
      <c r="D2616" t="inlineStr">
        <is>
          <t>VÄSTERNORRLANDS LÄN</t>
        </is>
      </c>
      <c r="E2616" t="inlineStr">
        <is>
          <t>SOLLEFTEÅ</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6891-2024</t>
        </is>
      </c>
      <c r="B2617" s="1" t="n">
        <v>45342</v>
      </c>
      <c r="C2617" s="1" t="n">
        <v>45670</v>
      </c>
      <c r="D2617" t="inlineStr">
        <is>
          <t>VÄSTERNORRLANDS LÄN</t>
        </is>
      </c>
      <c r="E2617" t="inlineStr">
        <is>
          <t>SOLLEFTEÅ</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6909-2024</t>
        </is>
      </c>
      <c r="B2618" s="1" t="n">
        <v>45342</v>
      </c>
      <c r="C2618" s="1" t="n">
        <v>45670</v>
      </c>
      <c r="D2618" t="inlineStr">
        <is>
          <t>VÄSTERNORRLANDS LÄN</t>
        </is>
      </c>
      <c r="E2618" t="inlineStr">
        <is>
          <t>SOLLEFTEÅ</t>
        </is>
      </c>
      <c r="F2618" t="inlineStr">
        <is>
          <t>SCA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6932-2024</t>
        </is>
      </c>
      <c r="B2619" s="1" t="n">
        <v>45343</v>
      </c>
      <c r="C2619" s="1" t="n">
        <v>45670</v>
      </c>
      <c r="D2619" t="inlineStr">
        <is>
          <t>VÄSTERNORRLANDS LÄN</t>
        </is>
      </c>
      <c r="E2619" t="inlineStr">
        <is>
          <t>SOLLEFTEÅ</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6934-2024</t>
        </is>
      </c>
      <c r="B2620" s="1" t="n">
        <v>45343</v>
      </c>
      <c r="C2620" s="1" t="n">
        <v>45670</v>
      </c>
      <c r="D2620" t="inlineStr">
        <is>
          <t>VÄSTERNORRLANDS LÄN</t>
        </is>
      </c>
      <c r="E2620" t="inlineStr">
        <is>
          <t>SOLLEFTEÅ</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7001-2024</t>
        </is>
      </c>
      <c r="B2621" s="1" t="n">
        <v>45343</v>
      </c>
      <c r="C2621" s="1" t="n">
        <v>45670</v>
      </c>
      <c r="D2621" t="inlineStr">
        <is>
          <t>VÄSTERNORRLANDS LÄN</t>
        </is>
      </c>
      <c r="E2621" t="inlineStr">
        <is>
          <t>SOLLEFTEÅ</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7107-2024</t>
        </is>
      </c>
      <c r="B2622" s="1" t="n">
        <v>45343</v>
      </c>
      <c r="C2622" s="1" t="n">
        <v>45670</v>
      </c>
      <c r="D2622" t="inlineStr">
        <is>
          <t>VÄSTERNORRLANDS LÄN</t>
        </is>
      </c>
      <c r="E2622" t="inlineStr">
        <is>
          <t>SOLLEFTEÅ</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7113-2024</t>
        </is>
      </c>
      <c r="B2623" s="1" t="n">
        <v>45343</v>
      </c>
      <c r="C2623" s="1" t="n">
        <v>45670</v>
      </c>
      <c r="D2623" t="inlineStr">
        <is>
          <t>VÄSTERNORRLANDS LÄN</t>
        </is>
      </c>
      <c r="E2623" t="inlineStr">
        <is>
          <t>SOLLEFTEÅ</t>
        </is>
      </c>
      <c r="F2623" t="inlineStr">
        <is>
          <t>SCA</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7106-2024</t>
        </is>
      </c>
      <c r="B2624" s="1" t="n">
        <v>45343</v>
      </c>
      <c r="C2624" s="1" t="n">
        <v>45670</v>
      </c>
      <c r="D2624" t="inlineStr">
        <is>
          <t>VÄSTERNORRLANDS LÄN</t>
        </is>
      </c>
      <c r="E2624" t="inlineStr">
        <is>
          <t>SOLLEFTEÅ</t>
        </is>
      </c>
      <c r="G2624" t="n">
        <v>16.6</v>
      </c>
      <c r="H2624" t="n">
        <v>0</v>
      </c>
      <c r="I2624" t="n">
        <v>0</v>
      </c>
      <c r="J2624" t="n">
        <v>0</v>
      </c>
      <c r="K2624" t="n">
        <v>0</v>
      </c>
      <c r="L2624" t="n">
        <v>0</v>
      </c>
      <c r="M2624" t="n">
        <v>0</v>
      </c>
      <c r="N2624" t="n">
        <v>0</v>
      </c>
      <c r="O2624" t="n">
        <v>0</v>
      </c>
      <c r="P2624" t="n">
        <v>0</v>
      </c>
      <c r="Q2624" t="n">
        <v>0</v>
      </c>
      <c r="R2624" s="2" t="inlineStr"/>
    </row>
    <row r="2625" ht="15" customHeight="1">
      <c r="A2625" t="inlineStr">
        <is>
          <t>A 7257-2024</t>
        </is>
      </c>
      <c r="B2625" s="1" t="n">
        <v>45344</v>
      </c>
      <c r="C2625" s="1" t="n">
        <v>45670</v>
      </c>
      <c r="D2625" t="inlineStr">
        <is>
          <t>VÄSTERNORRLANDS LÄN</t>
        </is>
      </c>
      <c r="E2625" t="inlineStr">
        <is>
          <t>SOLLEFTEÅ</t>
        </is>
      </c>
      <c r="G2625" t="n">
        <v>9.1</v>
      </c>
      <c r="H2625" t="n">
        <v>0</v>
      </c>
      <c r="I2625" t="n">
        <v>0</v>
      </c>
      <c r="J2625" t="n">
        <v>0</v>
      </c>
      <c r="K2625" t="n">
        <v>0</v>
      </c>
      <c r="L2625" t="n">
        <v>0</v>
      </c>
      <c r="M2625" t="n">
        <v>0</v>
      </c>
      <c r="N2625" t="n">
        <v>0</v>
      </c>
      <c r="O2625" t="n">
        <v>0</v>
      </c>
      <c r="P2625" t="n">
        <v>0</v>
      </c>
      <c r="Q2625" t="n">
        <v>0</v>
      </c>
      <c r="R2625" s="2" t="inlineStr"/>
    </row>
    <row r="2626" ht="15" customHeight="1">
      <c r="A2626" t="inlineStr">
        <is>
          <t>A 7261-2024</t>
        </is>
      </c>
      <c r="B2626" s="1" t="n">
        <v>45344</v>
      </c>
      <c r="C2626" s="1" t="n">
        <v>45670</v>
      </c>
      <c r="D2626" t="inlineStr">
        <is>
          <t>VÄSTERNORRLANDS LÄN</t>
        </is>
      </c>
      <c r="E2626" t="inlineStr">
        <is>
          <t>SOLLEFTEÅ</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7295-2024</t>
        </is>
      </c>
      <c r="B2627" s="1" t="n">
        <v>45344</v>
      </c>
      <c r="C2627" s="1" t="n">
        <v>45670</v>
      </c>
      <c r="D2627" t="inlineStr">
        <is>
          <t>VÄSTERNORRLANDS LÄN</t>
        </is>
      </c>
      <c r="E2627" t="inlineStr">
        <is>
          <t>SOLLEFTEÅ</t>
        </is>
      </c>
      <c r="F2627" t="inlineStr">
        <is>
          <t>SCA</t>
        </is>
      </c>
      <c r="G2627" t="n">
        <v>16.7</v>
      </c>
      <c r="H2627" t="n">
        <v>0</v>
      </c>
      <c r="I2627" t="n">
        <v>0</v>
      </c>
      <c r="J2627" t="n">
        <v>0</v>
      </c>
      <c r="K2627" t="n">
        <v>0</v>
      </c>
      <c r="L2627" t="n">
        <v>0</v>
      </c>
      <c r="M2627" t="n">
        <v>0</v>
      </c>
      <c r="N2627" t="n">
        <v>0</v>
      </c>
      <c r="O2627" t="n">
        <v>0</v>
      </c>
      <c r="P2627" t="n">
        <v>0</v>
      </c>
      <c r="Q2627" t="n">
        <v>0</v>
      </c>
      <c r="R2627" s="2" t="inlineStr"/>
    </row>
    <row r="2628" ht="15" customHeight="1">
      <c r="A2628" t="inlineStr">
        <is>
          <t>A 7234-2024</t>
        </is>
      </c>
      <c r="B2628" s="1" t="n">
        <v>45344</v>
      </c>
      <c r="C2628" s="1" t="n">
        <v>45670</v>
      </c>
      <c r="D2628" t="inlineStr">
        <is>
          <t>VÄSTERNORRLANDS LÄN</t>
        </is>
      </c>
      <c r="E2628" t="inlineStr">
        <is>
          <t>SOLLEFTEÅ</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7258-2024</t>
        </is>
      </c>
      <c r="B2629" s="1" t="n">
        <v>45344</v>
      </c>
      <c r="C2629" s="1" t="n">
        <v>45670</v>
      </c>
      <c r="D2629" t="inlineStr">
        <is>
          <t>VÄSTERNORRLANDS LÄN</t>
        </is>
      </c>
      <c r="E2629" t="inlineStr">
        <is>
          <t>SOLLEFTEÅ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7294-2024</t>
        </is>
      </c>
      <c r="B2630" s="1" t="n">
        <v>45344</v>
      </c>
      <c r="C2630" s="1" t="n">
        <v>45670</v>
      </c>
      <c r="D2630" t="inlineStr">
        <is>
          <t>VÄSTERNORRLANDS LÄN</t>
        </is>
      </c>
      <c r="E2630" t="inlineStr">
        <is>
          <t>SOLLEFTEÅ</t>
        </is>
      </c>
      <c r="F2630" t="inlineStr">
        <is>
          <t>SCA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7463-2024</t>
        </is>
      </c>
      <c r="B2631" s="1" t="n">
        <v>45345</v>
      </c>
      <c r="C2631" s="1" t="n">
        <v>45670</v>
      </c>
      <c r="D2631" t="inlineStr">
        <is>
          <t>VÄSTERNORRLANDS LÄN</t>
        </is>
      </c>
      <c r="E2631" t="inlineStr">
        <is>
          <t>SOLLEFTEÅ</t>
        </is>
      </c>
      <c r="F2631" t="inlineStr">
        <is>
          <t>SCA</t>
        </is>
      </c>
      <c r="G2631" t="n">
        <v>7.5</v>
      </c>
      <c r="H2631" t="n">
        <v>0</v>
      </c>
      <c r="I2631" t="n">
        <v>0</v>
      </c>
      <c r="J2631" t="n">
        <v>0</v>
      </c>
      <c r="K2631" t="n">
        <v>0</v>
      </c>
      <c r="L2631" t="n">
        <v>0</v>
      </c>
      <c r="M2631" t="n">
        <v>0</v>
      </c>
      <c r="N2631" t="n">
        <v>0</v>
      </c>
      <c r="O2631" t="n">
        <v>0</v>
      </c>
      <c r="P2631" t="n">
        <v>0</v>
      </c>
      <c r="Q2631" t="n">
        <v>0</v>
      </c>
      <c r="R2631" s="2" t="inlineStr"/>
    </row>
    <row r="2632" ht="15" customHeight="1">
      <c r="A2632" t="inlineStr">
        <is>
          <t>A 7467-2024</t>
        </is>
      </c>
      <c r="B2632" s="1" t="n">
        <v>45345</v>
      </c>
      <c r="C2632" s="1" t="n">
        <v>45670</v>
      </c>
      <c r="D2632" t="inlineStr">
        <is>
          <t>VÄSTERNORRLANDS LÄN</t>
        </is>
      </c>
      <c r="E2632" t="inlineStr">
        <is>
          <t>SOLLEFTEÅ</t>
        </is>
      </c>
      <c r="F2632" t="inlineStr">
        <is>
          <t>SCA</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7464-2024</t>
        </is>
      </c>
      <c r="B2633" s="1" t="n">
        <v>45345</v>
      </c>
      <c r="C2633" s="1" t="n">
        <v>45670</v>
      </c>
      <c r="D2633" t="inlineStr">
        <is>
          <t>VÄSTERNORRLANDS LÄN</t>
        </is>
      </c>
      <c r="E2633" t="inlineStr">
        <is>
          <t>SOLLEFTEÅ</t>
        </is>
      </c>
      <c r="F2633" t="inlineStr">
        <is>
          <t>SCA</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7475-2024</t>
        </is>
      </c>
      <c r="B2634" s="1" t="n">
        <v>45345</v>
      </c>
      <c r="C2634" s="1" t="n">
        <v>45670</v>
      </c>
      <c r="D2634" t="inlineStr">
        <is>
          <t>VÄSTERNORRLANDS LÄN</t>
        </is>
      </c>
      <c r="E2634" t="inlineStr">
        <is>
          <t>SOLLEFTEÅ</t>
        </is>
      </c>
      <c r="F2634" t="inlineStr">
        <is>
          <t>SCA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7462-2024</t>
        </is>
      </c>
      <c r="B2635" s="1" t="n">
        <v>45345</v>
      </c>
      <c r="C2635" s="1" t="n">
        <v>45670</v>
      </c>
      <c r="D2635" t="inlineStr">
        <is>
          <t>VÄSTERNORRLANDS LÄN</t>
        </is>
      </c>
      <c r="E2635" t="inlineStr">
        <is>
          <t>SOLLEFTEÅ</t>
        </is>
      </c>
      <c r="F2635" t="inlineStr">
        <is>
          <t>SCA</t>
        </is>
      </c>
      <c r="G2635" t="n">
        <v>42.1</v>
      </c>
      <c r="H2635" t="n">
        <v>0</v>
      </c>
      <c r="I2635" t="n">
        <v>0</v>
      </c>
      <c r="J2635" t="n">
        <v>0</v>
      </c>
      <c r="K2635" t="n">
        <v>0</v>
      </c>
      <c r="L2635" t="n">
        <v>0</v>
      </c>
      <c r="M2635" t="n">
        <v>0</v>
      </c>
      <c r="N2635" t="n">
        <v>0</v>
      </c>
      <c r="O2635" t="n">
        <v>0</v>
      </c>
      <c r="P2635" t="n">
        <v>0</v>
      </c>
      <c r="Q2635" t="n">
        <v>0</v>
      </c>
      <c r="R2635" s="2" t="inlineStr"/>
    </row>
    <row r="2636" ht="15" customHeight="1">
      <c r="A2636" t="inlineStr">
        <is>
          <t>A 7585-2024</t>
        </is>
      </c>
      <c r="B2636" s="1" t="n">
        <v>45348</v>
      </c>
      <c r="C2636" s="1" t="n">
        <v>45670</v>
      </c>
      <c r="D2636" t="inlineStr">
        <is>
          <t>VÄSTERNORRLANDS LÄN</t>
        </is>
      </c>
      <c r="E2636" t="inlineStr">
        <is>
          <t>SOLLEFTEÅ</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7704-2024</t>
        </is>
      </c>
      <c r="B2637" s="1" t="n">
        <v>45349</v>
      </c>
      <c r="C2637" s="1" t="n">
        <v>45670</v>
      </c>
      <c r="D2637" t="inlineStr">
        <is>
          <t>VÄSTERNORRLANDS LÄN</t>
        </is>
      </c>
      <c r="E2637" t="inlineStr">
        <is>
          <t>SOLLEFTEÅ</t>
        </is>
      </c>
      <c r="G2637" t="n">
        <v>12.2</v>
      </c>
      <c r="H2637" t="n">
        <v>0</v>
      </c>
      <c r="I2637" t="n">
        <v>0</v>
      </c>
      <c r="J2637" t="n">
        <v>0</v>
      </c>
      <c r="K2637" t="n">
        <v>0</v>
      </c>
      <c r="L2637" t="n">
        <v>0</v>
      </c>
      <c r="M2637" t="n">
        <v>0</v>
      </c>
      <c r="N2637" t="n">
        <v>0</v>
      </c>
      <c r="O2637" t="n">
        <v>0</v>
      </c>
      <c r="P2637" t="n">
        <v>0</v>
      </c>
      <c r="Q2637" t="n">
        <v>0</v>
      </c>
      <c r="R2637" s="2" t="inlineStr"/>
    </row>
    <row r="2638" ht="15" customHeight="1">
      <c r="A2638" t="inlineStr">
        <is>
          <t>A 7809-2024</t>
        </is>
      </c>
      <c r="B2638" s="1" t="n">
        <v>45349</v>
      </c>
      <c r="C2638" s="1" t="n">
        <v>45670</v>
      </c>
      <c r="D2638" t="inlineStr">
        <is>
          <t>VÄSTERNORRLANDS LÄN</t>
        </is>
      </c>
      <c r="E2638" t="inlineStr">
        <is>
          <t>SOLLEFTEÅ</t>
        </is>
      </c>
      <c r="G2638" t="n">
        <v>23.2</v>
      </c>
      <c r="H2638" t="n">
        <v>0</v>
      </c>
      <c r="I2638" t="n">
        <v>0</v>
      </c>
      <c r="J2638" t="n">
        <v>0</v>
      </c>
      <c r="K2638" t="n">
        <v>0</v>
      </c>
      <c r="L2638" t="n">
        <v>0</v>
      </c>
      <c r="M2638" t="n">
        <v>0</v>
      </c>
      <c r="N2638" t="n">
        <v>0</v>
      </c>
      <c r="O2638" t="n">
        <v>0</v>
      </c>
      <c r="P2638" t="n">
        <v>0</v>
      </c>
      <c r="Q2638" t="n">
        <v>0</v>
      </c>
      <c r="R2638" s="2" t="inlineStr"/>
    </row>
    <row r="2639" ht="15" customHeight="1">
      <c r="A2639" t="inlineStr">
        <is>
          <t>A 7825-2024</t>
        </is>
      </c>
      <c r="B2639" s="1" t="n">
        <v>45349</v>
      </c>
      <c r="C2639" s="1" t="n">
        <v>45670</v>
      </c>
      <c r="D2639" t="inlineStr">
        <is>
          <t>VÄSTERNORRLANDS LÄN</t>
        </is>
      </c>
      <c r="E2639" t="inlineStr">
        <is>
          <t>SOLLEFTEÅ</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7810-2024</t>
        </is>
      </c>
      <c r="B2640" s="1" t="n">
        <v>45349</v>
      </c>
      <c r="C2640" s="1" t="n">
        <v>45670</v>
      </c>
      <c r="D2640" t="inlineStr">
        <is>
          <t>VÄSTERNORRLANDS LÄN</t>
        </is>
      </c>
      <c r="E2640" t="inlineStr">
        <is>
          <t>SOLLEFTEÅ</t>
        </is>
      </c>
      <c r="F2640" t="inlineStr">
        <is>
          <t>Övriga Aktiebolag</t>
        </is>
      </c>
      <c r="G2640" t="n">
        <v>23.6</v>
      </c>
      <c r="H2640" t="n">
        <v>0</v>
      </c>
      <c r="I2640" t="n">
        <v>0</v>
      </c>
      <c r="J2640" t="n">
        <v>0</v>
      </c>
      <c r="K2640" t="n">
        <v>0</v>
      </c>
      <c r="L2640" t="n">
        <v>0</v>
      </c>
      <c r="M2640" t="n">
        <v>0</v>
      </c>
      <c r="N2640" t="n">
        <v>0</v>
      </c>
      <c r="O2640" t="n">
        <v>0</v>
      </c>
      <c r="P2640" t="n">
        <v>0</v>
      </c>
      <c r="Q2640" t="n">
        <v>0</v>
      </c>
      <c r="R2640" s="2" t="inlineStr"/>
    </row>
    <row r="2641" ht="15" customHeight="1">
      <c r="A2641" t="inlineStr">
        <is>
          <t>A 7858-2024</t>
        </is>
      </c>
      <c r="B2641" s="1" t="n">
        <v>45350</v>
      </c>
      <c r="C2641" s="1" t="n">
        <v>45670</v>
      </c>
      <c r="D2641" t="inlineStr">
        <is>
          <t>VÄSTERNORRLANDS LÄN</t>
        </is>
      </c>
      <c r="E2641" t="inlineStr">
        <is>
          <t>SOLLEFTEÅ</t>
        </is>
      </c>
      <c r="F2641" t="inlineStr">
        <is>
          <t>SCA</t>
        </is>
      </c>
      <c r="G2641" t="n">
        <v>38.8</v>
      </c>
      <c r="H2641" t="n">
        <v>0</v>
      </c>
      <c r="I2641" t="n">
        <v>0</v>
      </c>
      <c r="J2641" t="n">
        <v>0</v>
      </c>
      <c r="K2641" t="n">
        <v>0</v>
      </c>
      <c r="L2641" t="n">
        <v>0</v>
      </c>
      <c r="M2641" t="n">
        <v>0</v>
      </c>
      <c r="N2641" t="n">
        <v>0</v>
      </c>
      <c r="O2641" t="n">
        <v>0</v>
      </c>
      <c r="P2641" t="n">
        <v>0</v>
      </c>
      <c r="Q2641" t="n">
        <v>0</v>
      </c>
      <c r="R2641" s="2" t="inlineStr"/>
    </row>
    <row r="2642" ht="15" customHeight="1">
      <c r="A2642" t="inlineStr">
        <is>
          <t>A 8033-2024</t>
        </is>
      </c>
      <c r="B2642" s="1" t="n">
        <v>45350</v>
      </c>
      <c r="C2642" s="1" t="n">
        <v>45670</v>
      </c>
      <c r="D2642" t="inlineStr">
        <is>
          <t>VÄSTERNORRLANDS LÄN</t>
        </is>
      </c>
      <c r="E2642" t="inlineStr">
        <is>
          <t>SOLLEFTEÅ</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8038-2024</t>
        </is>
      </c>
      <c r="B2643" s="1" t="n">
        <v>45350</v>
      </c>
      <c r="C2643" s="1" t="n">
        <v>45670</v>
      </c>
      <c r="D2643" t="inlineStr">
        <is>
          <t>VÄSTERNORRLANDS LÄN</t>
        </is>
      </c>
      <c r="E2643" t="inlineStr">
        <is>
          <t>SOLLEFTEÅ</t>
        </is>
      </c>
      <c r="F2643" t="inlineStr">
        <is>
          <t>SCA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8039-2024</t>
        </is>
      </c>
      <c r="B2644" s="1" t="n">
        <v>45350</v>
      </c>
      <c r="C2644" s="1" t="n">
        <v>45670</v>
      </c>
      <c r="D2644" t="inlineStr">
        <is>
          <t>VÄSTERNORRLANDS LÄN</t>
        </is>
      </c>
      <c r="E2644" t="inlineStr">
        <is>
          <t>SOLLEFTEÅ</t>
        </is>
      </c>
      <c r="F2644" t="inlineStr">
        <is>
          <t>SCA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8236-2024</t>
        </is>
      </c>
      <c r="B2645" s="1" t="n">
        <v>45352</v>
      </c>
      <c r="C2645" s="1" t="n">
        <v>45670</v>
      </c>
      <c r="D2645" t="inlineStr">
        <is>
          <t>VÄSTERNORRLANDS LÄN</t>
        </is>
      </c>
      <c r="E2645" t="inlineStr">
        <is>
          <t>SOLLEFTEÅ</t>
        </is>
      </c>
      <c r="F2645" t="inlineStr">
        <is>
          <t>SCA</t>
        </is>
      </c>
      <c r="G2645" t="n">
        <v>13.6</v>
      </c>
      <c r="H2645" t="n">
        <v>0</v>
      </c>
      <c r="I2645" t="n">
        <v>0</v>
      </c>
      <c r="J2645" t="n">
        <v>0</v>
      </c>
      <c r="K2645" t="n">
        <v>0</v>
      </c>
      <c r="L2645" t="n">
        <v>0</v>
      </c>
      <c r="M2645" t="n">
        <v>0</v>
      </c>
      <c r="N2645" t="n">
        <v>0</v>
      </c>
      <c r="O2645" t="n">
        <v>0</v>
      </c>
      <c r="P2645" t="n">
        <v>0</v>
      </c>
      <c r="Q2645" t="n">
        <v>0</v>
      </c>
      <c r="R2645" s="2" t="inlineStr"/>
    </row>
    <row r="2646" ht="15" customHeight="1">
      <c r="A2646" t="inlineStr">
        <is>
          <t>A 8244-2024</t>
        </is>
      </c>
      <c r="B2646" s="1" t="n">
        <v>45351</v>
      </c>
      <c r="C2646" s="1" t="n">
        <v>45670</v>
      </c>
      <c r="D2646" t="inlineStr">
        <is>
          <t>VÄSTERNORRLANDS LÄN</t>
        </is>
      </c>
      <c r="E2646" t="inlineStr">
        <is>
          <t>SOLLEFTEÅ</t>
        </is>
      </c>
      <c r="F2646" t="inlineStr">
        <is>
          <t>SCA</t>
        </is>
      </c>
      <c r="G2646" t="n">
        <v>0.1</v>
      </c>
      <c r="H2646" t="n">
        <v>0</v>
      </c>
      <c r="I2646" t="n">
        <v>0</v>
      </c>
      <c r="J2646" t="n">
        <v>0</v>
      </c>
      <c r="K2646" t="n">
        <v>0</v>
      </c>
      <c r="L2646" t="n">
        <v>0</v>
      </c>
      <c r="M2646" t="n">
        <v>0</v>
      </c>
      <c r="N2646" t="n">
        <v>0</v>
      </c>
      <c r="O2646" t="n">
        <v>0</v>
      </c>
      <c r="P2646" t="n">
        <v>0</v>
      </c>
      <c r="Q2646" t="n">
        <v>0</v>
      </c>
      <c r="R2646" s="2" t="inlineStr"/>
    </row>
    <row r="2647" ht="15" customHeight="1">
      <c r="A2647" t="inlineStr">
        <is>
          <t>A 8234-2024</t>
        </is>
      </c>
      <c r="B2647" s="1" t="n">
        <v>45352</v>
      </c>
      <c r="C2647" s="1" t="n">
        <v>45670</v>
      </c>
      <c r="D2647" t="inlineStr">
        <is>
          <t>VÄSTERNORRLANDS LÄN</t>
        </is>
      </c>
      <c r="E2647" t="inlineStr">
        <is>
          <t>SOLLEFTEÅ</t>
        </is>
      </c>
      <c r="F2647" t="inlineStr">
        <is>
          <t>SCA</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8235-2024</t>
        </is>
      </c>
      <c r="B2648" s="1" t="n">
        <v>45352</v>
      </c>
      <c r="C2648" s="1" t="n">
        <v>45670</v>
      </c>
      <c r="D2648" t="inlineStr">
        <is>
          <t>VÄSTERNORRLANDS LÄN</t>
        </is>
      </c>
      <c r="E2648" t="inlineStr">
        <is>
          <t>SOLLEFTEÅ</t>
        </is>
      </c>
      <c r="F2648" t="inlineStr">
        <is>
          <t>SCA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8414-2024</t>
        </is>
      </c>
      <c r="B2649" s="1" t="n">
        <v>45352</v>
      </c>
      <c r="C2649" s="1" t="n">
        <v>45670</v>
      </c>
      <c r="D2649" t="inlineStr">
        <is>
          <t>VÄSTERNORRLANDS LÄN</t>
        </is>
      </c>
      <c r="E2649" t="inlineStr">
        <is>
          <t>SOLLEFTEÅ</t>
        </is>
      </c>
      <c r="F2649" t="inlineStr">
        <is>
          <t>SCA</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8608-2024</t>
        </is>
      </c>
      <c r="B2650" s="1" t="n">
        <v>45355</v>
      </c>
      <c r="C2650" s="1" t="n">
        <v>45670</v>
      </c>
      <c r="D2650" t="inlineStr">
        <is>
          <t>VÄSTERNORRLANDS LÄN</t>
        </is>
      </c>
      <c r="E2650" t="inlineStr">
        <is>
          <t>SOLLEFTEÅ</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8918-2024</t>
        </is>
      </c>
      <c r="B2651" s="1" t="n">
        <v>45355</v>
      </c>
      <c r="C2651" s="1" t="n">
        <v>45670</v>
      </c>
      <c r="D2651" t="inlineStr">
        <is>
          <t>VÄSTERNORRLANDS LÄN</t>
        </is>
      </c>
      <c r="E2651" t="inlineStr">
        <is>
          <t>SOLLEFTEÅ</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8653-2024</t>
        </is>
      </c>
      <c r="B2652" s="1" t="n">
        <v>45356</v>
      </c>
      <c r="C2652" s="1" t="n">
        <v>45670</v>
      </c>
      <c r="D2652" t="inlineStr">
        <is>
          <t>VÄSTERNORRLANDS LÄN</t>
        </is>
      </c>
      <c r="E2652" t="inlineStr">
        <is>
          <t>SOLLEFTEÅ</t>
        </is>
      </c>
      <c r="F2652" t="inlineStr">
        <is>
          <t>SCA</t>
        </is>
      </c>
      <c r="G2652" t="n">
        <v>67.8</v>
      </c>
      <c r="H2652" t="n">
        <v>0</v>
      </c>
      <c r="I2652" t="n">
        <v>0</v>
      </c>
      <c r="J2652" t="n">
        <v>0</v>
      </c>
      <c r="K2652" t="n">
        <v>0</v>
      </c>
      <c r="L2652" t="n">
        <v>0</v>
      </c>
      <c r="M2652" t="n">
        <v>0</v>
      </c>
      <c r="N2652" t="n">
        <v>0</v>
      </c>
      <c r="O2652" t="n">
        <v>0</v>
      </c>
      <c r="P2652" t="n">
        <v>0</v>
      </c>
      <c r="Q2652" t="n">
        <v>0</v>
      </c>
      <c r="R2652" s="2" t="inlineStr"/>
    </row>
    <row r="2653" ht="15" customHeight="1">
      <c r="A2653" t="inlineStr">
        <is>
          <t>A 8636-2024</t>
        </is>
      </c>
      <c r="B2653" s="1" t="n">
        <v>45356</v>
      </c>
      <c r="C2653" s="1" t="n">
        <v>45670</v>
      </c>
      <c r="D2653" t="inlineStr">
        <is>
          <t>VÄSTERNORRLANDS LÄN</t>
        </is>
      </c>
      <c r="E2653" t="inlineStr">
        <is>
          <t>SOLLEFTEÅ</t>
        </is>
      </c>
      <c r="F2653" t="inlineStr">
        <is>
          <t>SCA</t>
        </is>
      </c>
      <c r="G2653" t="n">
        <v>31.3</v>
      </c>
      <c r="H2653" t="n">
        <v>0</v>
      </c>
      <c r="I2653" t="n">
        <v>0</v>
      </c>
      <c r="J2653" t="n">
        <v>0</v>
      </c>
      <c r="K2653" t="n">
        <v>0</v>
      </c>
      <c r="L2653" t="n">
        <v>0</v>
      </c>
      <c r="M2653" t="n">
        <v>0</v>
      </c>
      <c r="N2653" t="n">
        <v>0</v>
      </c>
      <c r="O2653" t="n">
        <v>0</v>
      </c>
      <c r="P2653" t="n">
        <v>0</v>
      </c>
      <c r="Q2653" t="n">
        <v>0</v>
      </c>
      <c r="R2653" s="2" t="inlineStr"/>
    </row>
    <row r="2654" ht="15" customHeight="1">
      <c r="A2654" t="inlineStr">
        <is>
          <t>A 8729-2024</t>
        </is>
      </c>
      <c r="B2654" s="1" t="n">
        <v>45356</v>
      </c>
      <c r="C2654" s="1" t="n">
        <v>45670</v>
      </c>
      <c r="D2654" t="inlineStr">
        <is>
          <t>VÄSTERNORRLANDS LÄN</t>
        </is>
      </c>
      <c r="E2654" t="inlineStr">
        <is>
          <t>SOLLEFTEÅ</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8652-2024</t>
        </is>
      </c>
      <c r="B2655" s="1" t="n">
        <v>45356</v>
      </c>
      <c r="C2655" s="1" t="n">
        <v>45670</v>
      </c>
      <c r="D2655" t="inlineStr">
        <is>
          <t>VÄSTERNORRLANDS LÄN</t>
        </is>
      </c>
      <c r="E2655" t="inlineStr">
        <is>
          <t>SOLLEFTEÅ</t>
        </is>
      </c>
      <c r="F2655" t="inlineStr">
        <is>
          <t>SCA</t>
        </is>
      </c>
      <c r="G2655" t="n">
        <v>38.6</v>
      </c>
      <c r="H2655" t="n">
        <v>0</v>
      </c>
      <c r="I2655" t="n">
        <v>0</v>
      </c>
      <c r="J2655" t="n">
        <v>0</v>
      </c>
      <c r="K2655" t="n">
        <v>0</v>
      </c>
      <c r="L2655" t="n">
        <v>0</v>
      </c>
      <c r="M2655" t="n">
        <v>0</v>
      </c>
      <c r="N2655" t="n">
        <v>0</v>
      </c>
      <c r="O2655" t="n">
        <v>0</v>
      </c>
      <c r="P2655" t="n">
        <v>0</v>
      </c>
      <c r="Q2655" t="n">
        <v>0</v>
      </c>
      <c r="R2655" s="2" t="inlineStr"/>
    </row>
    <row r="2656" ht="15" customHeight="1">
      <c r="A2656" t="inlineStr">
        <is>
          <t>A 8656-2024</t>
        </is>
      </c>
      <c r="B2656" s="1" t="n">
        <v>45356</v>
      </c>
      <c r="C2656" s="1" t="n">
        <v>45670</v>
      </c>
      <c r="D2656" t="inlineStr">
        <is>
          <t>VÄSTERNORRLANDS LÄN</t>
        </is>
      </c>
      <c r="E2656" t="inlineStr">
        <is>
          <t>SOLLEFTEÅ</t>
        </is>
      </c>
      <c r="F2656" t="inlineStr">
        <is>
          <t>SCA</t>
        </is>
      </c>
      <c r="G2656" t="n">
        <v>18.4</v>
      </c>
      <c r="H2656" t="n">
        <v>0</v>
      </c>
      <c r="I2656" t="n">
        <v>0</v>
      </c>
      <c r="J2656" t="n">
        <v>0</v>
      </c>
      <c r="K2656" t="n">
        <v>0</v>
      </c>
      <c r="L2656" t="n">
        <v>0</v>
      </c>
      <c r="M2656" t="n">
        <v>0</v>
      </c>
      <c r="N2656" t="n">
        <v>0</v>
      </c>
      <c r="O2656" t="n">
        <v>0</v>
      </c>
      <c r="P2656" t="n">
        <v>0</v>
      </c>
      <c r="Q2656" t="n">
        <v>0</v>
      </c>
      <c r="R2656" s="2" t="inlineStr"/>
    </row>
    <row r="2657" ht="15" customHeight="1">
      <c r="A2657" t="inlineStr">
        <is>
          <t>A 8885-2024</t>
        </is>
      </c>
      <c r="B2657" s="1" t="n">
        <v>45357</v>
      </c>
      <c r="C2657" s="1" t="n">
        <v>45670</v>
      </c>
      <c r="D2657" t="inlineStr">
        <is>
          <t>VÄSTERNORRLANDS LÄN</t>
        </is>
      </c>
      <c r="E2657" t="inlineStr">
        <is>
          <t>SOLLEFTEÅ</t>
        </is>
      </c>
      <c r="F2657" t="inlineStr">
        <is>
          <t>SCA</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9145-2024</t>
        </is>
      </c>
      <c r="B2658" s="1" t="n">
        <v>45357</v>
      </c>
      <c r="C2658" s="1" t="n">
        <v>45670</v>
      </c>
      <c r="D2658" t="inlineStr">
        <is>
          <t>VÄSTERNORRLANDS LÄN</t>
        </is>
      </c>
      <c r="E2658" t="inlineStr">
        <is>
          <t>SOLLEFTEÅ</t>
        </is>
      </c>
      <c r="G2658" t="n">
        <v>8.5</v>
      </c>
      <c r="H2658" t="n">
        <v>0</v>
      </c>
      <c r="I2658" t="n">
        <v>0</v>
      </c>
      <c r="J2658" t="n">
        <v>0</v>
      </c>
      <c r="K2658" t="n">
        <v>0</v>
      </c>
      <c r="L2658" t="n">
        <v>0</v>
      </c>
      <c r="M2658" t="n">
        <v>0</v>
      </c>
      <c r="N2658" t="n">
        <v>0</v>
      </c>
      <c r="O2658" t="n">
        <v>0</v>
      </c>
      <c r="P2658" t="n">
        <v>0</v>
      </c>
      <c r="Q2658" t="n">
        <v>0</v>
      </c>
      <c r="R2658" s="2" t="inlineStr"/>
    </row>
    <row r="2659" ht="15" customHeight="1">
      <c r="A2659" t="inlineStr">
        <is>
          <t>A 9120-2024</t>
        </is>
      </c>
      <c r="B2659" s="1" t="n">
        <v>45358</v>
      </c>
      <c r="C2659" s="1" t="n">
        <v>45670</v>
      </c>
      <c r="D2659" t="inlineStr">
        <is>
          <t>VÄSTERNORRLANDS LÄN</t>
        </is>
      </c>
      <c r="E2659" t="inlineStr">
        <is>
          <t>SOLLEFTEÅ</t>
        </is>
      </c>
      <c r="F2659" t="inlineStr">
        <is>
          <t>SCA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9121-2024</t>
        </is>
      </c>
      <c r="B2660" s="1" t="n">
        <v>45358</v>
      </c>
      <c r="C2660" s="1" t="n">
        <v>45670</v>
      </c>
      <c r="D2660" t="inlineStr">
        <is>
          <t>VÄSTERNORRLANDS LÄN</t>
        </is>
      </c>
      <c r="E2660" t="inlineStr">
        <is>
          <t>SOLLEFTEÅ</t>
        </is>
      </c>
      <c r="F2660" t="inlineStr">
        <is>
          <t>SCA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9122-2024</t>
        </is>
      </c>
      <c r="B2661" s="1" t="n">
        <v>45358</v>
      </c>
      <c r="C2661" s="1" t="n">
        <v>45670</v>
      </c>
      <c r="D2661" t="inlineStr">
        <is>
          <t>VÄSTERNORRLANDS LÄN</t>
        </is>
      </c>
      <c r="E2661" t="inlineStr">
        <is>
          <t>SOLLEFTEÅ</t>
        </is>
      </c>
      <c r="F2661" t="inlineStr">
        <is>
          <t>SCA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9306-2024</t>
        </is>
      </c>
      <c r="B2662" s="1" t="n">
        <v>45358</v>
      </c>
      <c r="C2662" s="1" t="n">
        <v>45670</v>
      </c>
      <c r="D2662" t="inlineStr">
        <is>
          <t>VÄSTERNORRLANDS LÄN</t>
        </is>
      </c>
      <c r="E2662" t="inlineStr">
        <is>
          <t>SOLLEFTEÅ</t>
        </is>
      </c>
      <c r="G2662" t="n">
        <v>19.6</v>
      </c>
      <c r="H2662" t="n">
        <v>0</v>
      </c>
      <c r="I2662" t="n">
        <v>0</v>
      </c>
      <c r="J2662" t="n">
        <v>0</v>
      </c>
      <c r="K2662" t="n">
        <v>0</v>
      </c>
      <c r="L2662" t="n">
        <v>0</v>
      </c>
      <c r="M2662" t="n">
        <v>0</v>
      </c>
      <c r="N2662" t="n">
        <v>0</v>
      </c>
      <c r="O2662" t="n">
        <v>0</v>
      </c>
      <c r="P2662" t="n">
        <v>0</v>
      </c>
      <c r="Q2662" t="n">
        <v>0</v>
      </c>
      <c r="R2662" s="2" t="inlineStr"/>
    </row>
    <row r="2663" ht="15" customHeight="1">
      <c r="A2663" t="inlineStr">
        <is>
          <t>A 9342-2024</t>
        </is>
      </c>
      <c r="B2663" s="1" t="n">
        <v>45359</v>
      </c>
      <c r="C2663" s="1" t="n">
        <v>45670</v>
      </c>
      <c r="D2663" t="inlineStr">
        <is>
          <t>VÄSTERNORRLANDS LÄN</t>
        </is>
      </c>
      <c r="E2663" t="inlineStr">
        <is>
          <t>SOLLEFTEÅ</t>
        </is>
      </c>
      <c r="F2663" t="inlineStr">
        <is>
          <t>SCA</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9346-2024</t>
        </is>
      </c>
      <c r="B2664" s="1" t="n">
        <v>45359</v>
      </c>
      <c r="C2664" s="1" t="n">
        <v>45670</v>
      </c>
      <c r="D2664" t="inlineStr">
        <is>
          <t>VÄSTERNORRLANDS LÄN</t>
        </is>
      </c>
      <c r="E2664" t="inlineStr">
        <is>
          <t>SOLLEFTEÅ</t>
        </is>
      </c>
      <c r="F2664" t="inlineStr">
        <is>
          <t>SCA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9304-2024</t>
        </is>
      </c>
      <c r="B2665" s="1" t="n">
        <v>45358</v>
      </c>
      <c r="C2665" s="1" t="n">
        <v>45670</v>
      </c>
      <c r="D2665" t="inlineStr">
        <is>
          <t>VÄSTERNORRLANDS LÄN</t>
        </is>
      </c>
      <c r="E2665" t="inlineStr">
        <is>
          <t>SOLLEFTEÅ</t>
        </is>
      </c>
      <c r="G2665" t="n">
        <v>30.7</v>
      </c>
      <c r="H2665" t="n">
        <v>0</v>
      </c>
      <c r="I2665" t="n">
        <v>0</v>
      </c>
      <c r="J2665" t="n">
        <v>0</v>
      </c>
      <c r="K2665" t="n">
        <v>0</v>
      </c>
      <c r="L2665" t="n">
        <v>0</v>
      </c>
      <c r="M2665" t="n">
        <v>0</v>
      </c>
      <c r="N2665" t="n">
        <v>0</v>
      </c>
      <c r="O2665" t="n">
        <v>0</v>
      </c>
      <c r="P2665" t="n">
        <v>0</v>
      </c>
      <c r="Q2665" t="n">
        <v>0</v>
      </c>
      <c r="R2665" s="2" t="inlineStr"/>
    </row>
    <row r="2666" ht="15" customHeight="1">
      <c r="A2666" t="inlineStr">
        <is>
          <t>A 9328-2024</t>
        </is>
      </c>
      <c r="B2666" s="1" t="n">
        <v>45359</v>
      </c>
      <c r="C2666" s="1" t="n">
        <v>45670</v>
      </c>
      <c r="D2666" t="inlineStr">
        <is>
          <t>VÄSTERNORRLANDS LÄN</t>
        </is>
      </c>
      <c r="E2666" t="inlineStr">
        <is>
          <t>SOLLEFTEÅ</t>
        </is>
      </c>
      <c r="F2666" t="inlineStr">
        <is>
          <t>SCA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9309-2024</t>
        </is>
      </c>
      <c r="B2667" s="1" t="n">
        <v>45358</v>
      </c>
      <c r="C2667" s="1" t="n">
        <v>45670</v>
      </c>
      <c r="D2667" t="inlineStr">
        <is>
          <t>VÄSTERNORRLANDS LÄN</t>
        </is>
      </c>
      <c r="E2667" t="inlineStr">
        <is>
          <t>SOLLEFTEÅ</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9339-2024</t>
        </is>
      </c>
      <c r="B2668" s="1" t="n">
        <v>45358</v>
      </c>
      <c r="C2668" s="1" t="n">
        <v>45670</v>
      </c>
      <c r="D2668" t="inlineStr">
        <is>
          <t>VÄSTERNORRLANDS LÄN</t>
        </is>
      </c>
      <c r="E2668" t="inlineStr">
        <is>
          <t>SOLLEFTEÅ</t>
        </is>
      </c>
      <c r="F2668" t="inlineStr">
        <is>
          <t>SCA</t>
        </is>
      </c>
      <c r="G2668" t="n">
        <v>13.2</v>
      </c>
      <c r="H2668" t="n">
        <v>0</v>
      </c>
      <c r="I2668" t="n">
        <v>0</v>
      </c>
      <c r="J2668" t="n">
        <v>0</v>
      </c>
      <c r="K2668" t="n">
        <v>0</v>
      </c>
      <c r="L2668" t="n">
        <v>0</v>
      </c>
      <c r="M2668" t="n">
        <v>0</v>
      </c>
      <c r="N2668" t="n">
        <v>0</v>
      </c>
      <c r="O2668" t="n">
        <v>0</v>
      </c>
      <c r="P2668" t="n">
        <v>0</v>
      </c>
      <c r="Q2668" t="n">
        <v>0</v>
      </c>
      <c r="R2668" s="2" t="inlineStr"/>
    </row>
    <row r="2669" ht="15" customHeight="1">
      <c r="A2669" t="inlineStr">
        <is>
          <t>A 9341-2024</t>
        </is>
      </c>
      <c r="B2669" s="1" t="n">
        <v>45358</v>
      </c>
      <c r="C2669" s="1" t="n">
        <v>45670</v>
      </c>
      <c r="D2669" t="inlineStr">
        <is>
          <t>VÄSTERNORRLANDS LÄN</t>
        </is>
      </c>
      <c r="E2669" t="inlineStr">
        <is>
          <t>SOLLEFTEÅ</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9340-2024</t>
        </is>
      </c>
      <c r="B2670" s="1" t="n">
        <v>45359</v>
      </c>
      <c r="C2670" s="1" t="n">
        <v>45670</v>
      </c>
      <c r="D2670" t="inlineStr">
        <is>
          <t>VÄSTERNORRLANDS LÄN</t>
        </is>
      </c>
      <c r="E2670" t="inlineStr">
        <is>
          <t>SOLLEFTEÅ</t>
        </is>
      </c>
      <c r="F2670" t="inlineStr">
        <is>
          <t>SCA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9555-2024</t>
        </is>
      </c>
      <c r="B2671" s="1" t="n">
        <v>45360</v>
      </c>
      <c r="C2671" s="1" t="n">
        <v>45670</v>
      </c>
      <c r="D2671" t="inlineStr">
        <is>
          <t>VÄSTERNORRLANDS LÄN</t>
        </is>
      </c>
      <c r="E2671" t="inlineStr">
        <is>
          <t>SOLLEFTEÅ</t>
        </is>
      </c>
      <c r="F2671" t="inlineStr">
        <is>
          <t>SCA</t>
        </is>
      </c>
      <c r="G2671" t="n">
        <v>11.2</v>
      </c>
      <c r="H2671" t="n">
        <v>0</v>
      </c>
      <c r="I2671" t="n">
        <v>0</v>
      </c>
      <c r="J2671" t="n">
        <v>0</v>
      </c>
      <c r="K2671" t="n">
        <v>0</v>
      </c>
      <c r="L2671" t="n">
        <v>0</v>
      </c>
      <c r="M2671" t="n">
        <v>0</v>
      </c>
      <c r="N2671" t="n">
        <v>0</v>
      </c>
      <c r="O2671" t="n">
        <v>0</v>
      </c>
      <c r="P2671" t="n">
        <v>0</v>
      </c>
      <c r="Q2671" t="n">
        <v>0</v>
      </c>
      <c r="R2671" s="2" t="inlineStr"/>
    </row>
    <row r="2672" ht="15" customHeight="1">
      <c r="A2672" t="inlineStr">
        <is>
          <t>A 9557-2024</t>
        </is>
      </c>
      <c r="B2672" s="1" t="n">
        <v>45360</v>
      </c>
      <c r="C2672" s="1" t="n">
        <v>45670</v>
      </c>
      <c r="D2672" t="inlineStr">
        <is>
          <t>VÄSTERNORRLANDS LÄN</t>
        </is>
      </c>
      <c r="E2672" t="inlineStr">
        <is>
          <t>SOLLEFTEÅ</t>
        </is>
      </c>
      <c r="F2672" t="inlineStr">
        <is>
          <t>SCA</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9558-2024</t>
        </is>
      </c>
      <c r="B2673" s="1" t="n">
        <v>45360</v>
      </c>
      <c r="C2673" s="1" t="n">
        <v>45670</v>
      </c>
      <c r="D2673" t="inlineStr">
        <is>
          <t>VÄSTERNORRLANDS LÄN</t>
        </is>
      </c>
      <c r="E2673" t="inlineStr">
        <is>
          <t>SOLLEFTEÅ</t>
        </is>
      </c>
      <c r="F2673" t="inlineStr">
        <is>
          <t>SCA</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9689-2024</t>
        </is>
      </c>
      <c r="B2674" s="1" t="n">
        <v>45362</v>
      </c>
      <c r="C2674" s="1" t="n">
        <v>45670</v>
      </c>
      <c r="D2674" t="inlineStr">
        <is>
          <t>VÄSTERNORRLANDS LÄN</t>
        </is>
      </c>
      <c r="E2674" t="inlineStr">
        <is>
          <t>SOLLEFTEÅ</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9820-2024</t>
        </is>
      </c>
      <c r="B2675" s="1" t="n">
        <v>45363</v>
      </c>
      <c r="C2675" s="1" t="n">
        <v>45670</v>
      </c>
      <c r="D2675" t="inlineStr">
        <is>
          <t>VÄSTERNORRLANDS LÄN</t>
        </is>
      </c>
      <c r="E2675" t="inlineStr">
        <is>
          <t>SOLLEFTEÅ</t>
        </is>
      </c>
      <c r="F2675" t="inlineStr">
        <is>
          <t>Kyrkan</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9828-2024</t>
        </is>
      </c>
      <c r="B2676" s="1" t="n">
        <v>45363</v>
      </c>
      <c r="C2676" s="1" t="n">
        <v>45670</v>
      </c>
      <c r="D2676" t="inlineStr">
        <is>
          <t>VÄSTERNORRLANDS LÄN</t>
        </is>
      </c>
      <c r="E2676" t="inlineStr">
        <is>
          <t>SOLLEFTEÅ</t>
        </is>
      </c>
      <c r="F2676" t="inlineStr">
        <is>
          <t>SCA</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9822-2024</t>
        </is>
      </c>
      <c r="B2677" s="1" t="n">
        <v>45363</v>
      </c>
      <c r="C2677" s="1" t="n">
        <v>45670</v>
      </c>
      <c r="D2677" t="inlineStr">
        <is>
          <t>VÄSTERNORRLANDS LÄN</t>
        </is>
      </c>
      <c r="E2677" t="inlineStr">
        <is>
          <t>SOLLEFTEÅ</t>
        </is>
      </c>
      <c r="F2677" t="inlineStr">
        <is>
          <t>SCA</t>
        </is>
      </c>
      <c r="G2677" t="n">
        <v>9.9</v>
      </c>
      <c r="H2677" t="n">
        <v>0</v>
      </c>
      <c r="I2677" t="n">
        <v>0</v>
      </c>
      <c r="J2677" t="n">
        <v>0</v>
      </c>
      <c r="K2677" t="n">
        <v>0</v>
      </c>
      <c r="L2677" t="n">
        <v>0</v>
      </c>
      <c r="M2677" t="n">
        <v>0</v>
      </c>
      <c r="N2677" t="n">
        <v>0</v>
      </c>
      <c r="O2677" t="n">
        <v>0</v>
      </c>
      <c r="P2677" t="n">
        <v>0</v>
      </c>
      <c r="Q2677" t="n">
        <v>0</v>
      </c>
      <c r="R2677" s="2" t="inlineStr"/>
    </row>
    <row r="2678" ht="15" customHeight="1">
      <c r="A2678" t="inlineStr">
        <is>
          <t>A 9831-2024</t>
        </is>
      </c>
      <c r="B2678" s="1" t="n">
        <v>45363</v>
      </c>
      <c r="C2678" s="1" t="n">
        <v>45670</v>
      </c>
      <c r="D2678" t="inlineStr">
        <is>
          <t>VÄSTERNORRLANDS LÄN</t>
        </is>
      </c>
      <c r="E2678" t="inlineStr">
        <is>
          <t>SOLLEFTEÅ</t>
        </is>
      </c>
      <c r="F2678" t="inlineStr">
        <is>
          <t>SCA</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10038-2024</t>
        </is>
      </c>
      <c r="B2679" s="1" t="n">
        <v>45364</v>
      </c>
      <c r="C2679" s="1" t="n">
        <v>45670</v>
      </c>
      <c r="D2679" t="inlineStr">
        <is>
          <t>VÄSTERNORRLANDS LÄN</t>
        </is>
      </c>
      <c r="E2679" t="inlineStr">
        <is>
          <t>SOLLEFTEÅ</t>
        </is>
      </c>
      <c r="F2679" t="inlineStr">
        <is>
          <t>SCA</t>
        </is>
      </c>
      <c r="G2679" t="n">
        <v>7.5</v>
      </c>
      <c r="H2679" t="n">
        <v>0</v>
      </c>
      <c r="I2679" t="n">
        <v>0</v>
      </c>
      <c r="J2679" t="n">
        <v>0</v>
      </c>
      <c r="K2679" t="n">
        <v>0</v>
      </c>
      <c r="L2679" t="n">
        <v>0</v>
      </c>
      <c r="M2679" t="n">
        <v>0</v>
      </c>
      <c r="N2679" t="n">
        <v>0</v>
      </c>
      <c r="O2679" t="n">
        <v>0</v>
      </c>
      <c r="P2679" t="n">
        <v>0</v>
      </c>
      <c r="Q2679" t="n">
        <v>0</v>
      </c>
      <c r="R2679" s="2" t="inlineStr"/>
    </row>
    <row r="2680" ht="15" customHeight="1">
      <c r="A2680" t="inlineStr">
        <is>
          <t>A 10415-2024</t>
        </is>
      </c>
      <c r="B2680" s="1" t="n">
        <v>45365</v>
      </c>
      <c r="C2680" s="1" t="n">
        <v>45670</v>
      </c>
      <c r="D2680" t="inlineStr">
        <is>
          <t>VÄSTERNORRLANDS LÄN</t>
        </is>
      </c>
      <c r="E2680" t="inlineStr">
        <is>
          <t>SOLLEFTEÅ</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10526-2024</t>
        </is>
      </c>
      <c r="B2681" s="1" t="n">
        <v>45366</v>
      </c>
      <c r="C2681" s="1" t="n">
        <v>45670</v>
      </c>
      <c r="D2681" t="inlineStr">
        <is>
          <t>VÄSTERNORRLANDS LÄN</t>
        </is>
      </c>
      <c r="E2681" t="inlineStr">
        <is>
          <t>SOLLEFTEÅ</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10532-2024</t>
        </is>
      </c>
      <c r="B2682" s="1" t="n">
        <v>45366</v>
      </c>
      <c r="C2682" s="1" t="n">
        <v>45670</v>
      </c>
      <c r="D2682" t="inlineStr">
        <is>
          <t>VÄSTERNORRLANDS LÄN</t>
        </is>
      </c>
      <c r="E2682" t="inlineStr">
        <is>
          <t>SOLLEFTEÅ</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10539-2024</t>
        </is>
      </c>
      <c r="B2683" s="1" t="n">
        <v>45366</v>
      </c>
      <c r="C2683" s="1" t="n">
        <v>45670</v>
      </c>
      <c r="D2683" t="inlineStr">
        <is>
          <t>VÄSTERNORRLANDS LÄN</t>
        </is>
      </c>
      <c r="E2683" t="inlineStr">
        <is>
          <t>SOLLEFTEÅ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10537-2024</t>
        </is>
      </c>
      <c r="B2684" s="1" t="n">
        <v>45366</v>
      </c>
      <c r="C2684" s="1" t="n">
        <v>45670</v>
      </c>
      <c r="D2684" t="inlineStr">
        <is>
          <t>VÄSTERNORRLANDS LÄN</t>
        </is>
      </c>
      <c r="E2684" t="inlineStr">
        <is>
          <t>SOLLEFTEÅ</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10569-2024</t>
        </is>
      </c>
      <c r="B2685" s="1" t="n">
        <v>45366</v>
      </c>
      <c r="C2685" s="1" t="n">
        <v>45670</v>
      </c>
      <c r="D2685" t="inlineStr">
        <is>
          <t>VÄSTERNORRLANDS LÄN</t>
        </is>
      </c>
      <c r="E2685" t="inlineStr">
        <is>
          <t>SOLLEFTEÅ</t>
        </is>
      </c>
      <c r="F2685" t="inlineStr">
        <is>
          <t>Holmen skog AB</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10618-2024</t>
        </is>
      </c>
      <c r="B2686" s="1" t="n">
        <v>45367</v>
      </c>
      <c r="C2686" s="1" t="n">
        <v>45670</v>
      </c>
      <c r="D2686" t="inlineStr">
        <is>
          <t>VÄSTERNORRLANDS LÄN</t>
        </is>
      </c>
      <c r="E2686" t="inlineStr">
        <is>
          <t>SOLLEFTEÅ</t>
        </is>
      </c>
      <c r="F2686" t="inlineStr">
        <is>
          <t>SCA</t>
        </is>
      </c>
      <c r="G2686" t="n">
        <v>21.1</v>
      </c>
      <c r="H2686" t="n">
        <v>0</v>
      </c>
      <c r="I2686" t="n">
        <v>0</v>
      </c>
      <c r="J2686" t="n">
        <v>0</v>
      </c>
      <c r="K2686" t="n">
        <v>0</v>
      </c>
      <c r="L2686" t="n">
        <v>0</v>
      </c>
      <c r="M2686" t="n">
        <v>0</v>
      </c>
      <c r="N2686" t="n">
        <v>0</v>
      </c>
      <c r="O2686" t="n">
        <v>0</v>
      </c>
      <c r="P2686" t="n">
        <v>0</v>
      </c>
      <c r="Q2686" t="n">
        <v>0</v>
      </c>
      <c r="R2686" s="2" t="inlineStr"/>
    </row>
    <row r="2687" ht="15" customHeight="1">
      <c r="A2687" t="inlineStr">
        <is>
          <t>A 10687-2024</t>
        </is>
      </c>
      <c r="B2687" s="1" t="n">
        <v>45369</v>
      </c>
      <c r="C2687" s="1" t="n">
        <v>45670</v>
      </c>
      <c r="D2687" t="inlineStr">
        <is>
          <t>VÄSTERNORRLANDS LÄN</t>
        </is>
      </c>
      <c r="E2687" t="inlineStr">
        <is>
          <t>SOLLEFTEÅ</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10870-2024</t>
        </is>
      </c>
      <c r="B2688" s="1" t="n">
        <v>45370</v>
      </c>
      <c r="C2688" s="1" t="n">
        <v>45670</v>
      </c>
      <c r="D2688" t="inlineStr">
        <is>
          <t>VÄSTERNORRLANDS LÄN</t>
        </is>
      </c>
      <c r="E2688" t="inlineStr">
        <is>
          <t>SOLLEFTEÅ</t>
        </is>
      </c>
      <c r="F2688" t="inlineStr">
        <is>
          <t>SCA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10853-2024</t>
        </is>
      </c>
      <c r="B2689" s="1" t="n">
        <v>45370</v>
      </c>
      <c r="C2689" s="1" t="n">
        <v>45670</v>
      </c>
      <c r="D2689" t="inlineStr">
        <is>
          <t>VÄSTERNORRLANDS LÄN</t>
        </is>
      </c>
      <c r="E2689" t="inlineStr">
        <is>
          <t>SOLLEFTEÅ</t>
        </is>
      </c>
      <c r="F2689" t="inlineStr">
        <is>
          <t>SCA</t>
        </is>
      </c>
      <c r="G2689" t="n">
        <v>37.7</v>
      </c>
      <c r="H2689" t="n">
        <v>0</v>
      </c>
      <c r="I2689" t="n">
        <v>0</v>
      </c>
      <c r="J2689" t="n">
        <v>0</v>
      </c>
      <c r="K2689" t="n">
        <v>0</v>
      </c>
      <c r="L2689" t="n">
        <v>0</v>
      </c>
      <c r="M2689" t="n">
        <v>0</v>
      </c>
      <c r="N2689" t="n">
        <v>0</v>
      </c>
      <c r="O2689" t="n">
        <v>0</v>
      </c>
      <c r="P2689" t="n">
        <v>0</v>
      </c>
      <c r="Q2689" t="n">
        <v>0</v>
      </c>
      <c r="R2689" s="2" t="inlineStr"/>
    </row>
    <row r="2690" ht="15" customHeight="1">
      <c r="A2690" t="inlineStr">
        <is>
          <t>A 10869-2024</t>
        </is>
      </c>
      <c r="B2690" s="1" t="n">
        <v>45370</v>
      </c>
      <c r="C2690" s="1" t="n">
        <v>45670</v>
      </c>
      <c r="D2690" t="inlineStr">
        <is>
          <t>VÄSTERNORRLANDS LÄN</t>
        </is>
      </c>
      <c r="E2690" t="inlineStr">
        <is>
          <t>SOLLEFTEÅ</t>
        </is>
      </c>
      <c r="F2690" t="inlineStr">
        <is>
          <t>SCA</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11009-2024</t>
        </is>
      </c>
      <c r="B2691" s="1" t="n">
        <v>45370</v>
      </c>
      <c r="C2691" s="1" t="n">
        <v>45670</v>
      </c>
      <c r="D2691" t="inlineStr">
        <is>
          <t>VÄSTERNORRLANDS LÄN</t>
        </is>
      </c>
      <c r="E2691" t="inlineStr">
        <is>
          <t>SOLLEFTEÅ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11090-2024</t>
        </is>
      </c>
      <c r="B2692" s="1" t="n">
        <v>45370</v>
      </c>
      <c r="C2692" s="1" t="n">
        <v>45670</v>
      </c>
      <c r="D2692" t="inlineStr">
        <is>
          <t>VÄSTERNORRLANDS LÄN</t>
        </is>
      </c>
      <c r="E2692" t="inlineStr">
        <is>
          <t>SOLLEFTEÅ</t>
        </is>
      </c>
      <c r="F2692" t="inlineStr">
        <is>
          <t>SCA</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11083-2024</t>
        </is>
      </c>
      <c r="B2693" s="1" t="n">
        <v>45370</v>
      </c>
      <c r="C2693" s="1" t="n">
        <v>45670</v>
      </c>
      <c r="D2693" t="inlineStr">
        <is>
          <t>VÄSTERNORRLANDS LÄN</t>
        </is>
      </c>
      <c r="E2693" t="inlineStr">
        <is>
          <t>SOLLEFTEÅ</t>
        </is>
      </c>
      <c r="F2693" t="inlineStr">
        <is>
          <t>SCA</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11087-2024</t>
        </is>
      </c>
      <c r="B2694" s="1" t="n">
        <v>45370</v>
      </c>
      <c r="C2694" s="1" t="n">
        <v>45670</v>
      </c>
      <c r="D2694" t="inlineStr">
        <is>
          <t>VÄSTERNORRLANDS LÄN</t>
        </is>
      </c>
      <c r="E2694" t="inlineStr">
        <is>
          <t>SOLLEFTEÅ</t>
        </is>
      </c>
      <c r="F2694" t="inlineStr">
        <is>
          <t>SCA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11043-2024</t>
        </is>
      </c>
      <c r="B2695" s="1" t="n">
        <v>45370</v>
      </c>
      <c r="C2695" s="1" t="n">
        <v>45670</v>
      </c>
      <c r="D2695" t="inlineStr">
        <is>
          <t>VÄSTERNORRLANDS LÄN</t>
        </is>
      </c>
      <c r="E2695" t="inlineStr">
        <is>
          <t>SOLLEFTEÅ</t>
        </is>
      </c>
      <c r="G2695" t="n">
        <v>36.5</v>
      </c>
      <c r="H2695" t="n">
        <v>0</v>
      </c>
      <c r="I2695" t="n">
        <v>0</v>
      </c>
      <c r="J2695" t="n">
        <v>0</v>
      </c>
      <c r="K2695" t="n">
        <v>0</v>
      </c>
      <c r="L2695" t="n">
        <v>0</v>
      </c>
      <c r="M2695" t="n">
        <v>0</v>
      </c>
      <c r="N2695" t="n">
        <v>0</v>
      </c>
      <c r="O2695" t="n">
        <v>0</v>
      </c>
      <c r="P2695" t="n">
        <v>0</v>
      </c>
      <c r="Q2695" t="n">
        <v>0</v>
      </c>
      <c r="R2695" s="2" t="inlineStr"/>
    </row>
    <row r="2696" ht="15" customHeight="1">
      <c r="A2696" t="inlineStr">
        <is>
          <t>A 11089-2024</t>
        </is>
      </c>
      <c r="B2696" s="1" t="n">
        <v>45370</v>
      </c>
      <c r="C2696" s="1" t="n">
        <v>45670</v>
      </c>
      <c r="D2696" t="inlineStr">
        <is>
          <t>VÄSTERNORRLANDS LÄN</t>
        </is>
      </c>
      <c r="E2696" t="inlineStr">
        <is>
          <t>SOLLEFTEÅ</t>
        </is>
      </c>
      <c r="F2696" t="inlineStr">
        <is>
          <t>SCA</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11334-2024</t>
        </is>
      </c>
      <c r="B2697" s="1" t="n">
        <v>45372</v>
      </c>
      <c r="C2697" s="1" t="n">
        <v>45670</v>
      </c>
      <c r="D2697" t="inlineStr">
        <is>
          <t>VÄSTERNORRLANDS LÄN</t>
        </is>
      </c>
      <c r="E2697" t="inlineStr">
        <is>
          <t>SOLLEFTEÅ</t>
        </is>
      </c>
      <c r="F2697" t="inlineStr">
        <is>
          <t>SCA</t>
        </is>
      </c>
      <c r="G2697" t="n">
        <v>11.7</v>
      </c>
      <c r="H2697" t="n">
        <v>0</v>
      </c>
      <c r="I2697" t="n">
        <v>0</v>
      </c>
      <c r="J2697" t="n">
        <v>0</v>
      </c>
      <c r="K2697" t="n">
        <v>0</v>
      </c>
      <c r="L2697" t="n">
        <v>0</v>
      </c>
      <c r="M2697" t="n">
        <v>0</v>
      </c>
      <c r="N2697" t="n">
        <v>0</v>
      </c>
      <c r="O2697" t="n">
        <v>0</v>
      </c>
      <c r="P2697" t="n">
        <v>0</v>
      </c>
      <c r="Q2697" t="n">
        <v>0</v>
      </c>
      <c r="R2697" s="2" t="inlineStr"/>
    </row>
    <row r="2698" ht="15" customHeight="1">
      <c r="A2698" t="inlineStr">
        <is>
          <t>A 11332-2024</t>
        </is>
      </c>
      <c r="B2698" s="1" t="n">
        <v>45372</v>
      </c>
      <c r="C2698" s="1" t="n">
        <v>45670</v>
      </c>
      <c r="D2698" t="inlineStr">
        <is>
          <t>VÄSTERNORRLANDS LÄN</t>
        </is>
      </c>
      <c r="E2698" t="inlineStr">
        <is>
          <t>SOLLEFTEÅ</t>
        </is>
      </c>
      <c r="F2698" t="inlineStr">
        <is>
          <t>SCA</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11333-2024</t>
        </is>
      </c>
      <c r="B2699" s="1" t="n">
        <v>45372</v>
      </c>
      <c r="C2699" s="1" t="n">
        <v>45670</v>
      </c>
      <c r="D2699" t="inlineStr">
        <is>
          <t>VÄSTERNORRLANDS LÄN</t>
        </is>
      </c>
      <c r="E2699" t="inlineStr">
        <is>
          <t>SOLLEFTEÅ</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11394-2024</t>
        </is>
      </c>
      <c r="B2700" s="1" t="n">
        <v>45372</v>
      </c>
      <c r="C2700" s="1" t="n">
        <v>45670</v>
      </c>
      <c r="D2700" t="inlineStr">
        <is>
          <t>VÄSTERNORRLANDS LÄN</t>
        </is>
      </c>
      <c r="E2700" t="inlineStr">
        <is>
          <t>SOLLEFTEÅ</t>
        </is>
      </c>
      <c r="G2700" t="n">
        <v>10.9</v>
      </c>
      <c r="H2700" t="n">
        <v>0</v>
      </c>
      <c r="I2700" t="n">
        <v>0</v>
      </c>
      <c r="J2700" t="n">
        <v>0</v>
      </c>
      <c r="K2700" t="n">
        <v>0</v>
      </c>
      <c r="L2700" t="n">
        <v>0</v>
      </c>
      <c r="M2700" t="n">
        <v>0</v>
      </c>
      <c r="N2700" t="n">
        <v>0</v>
      </c>
      <c r="O2700" t="n">
        <v>0</v>
      </c>
      <c r="P2700" t="n">
        <v>0</v>
      </c>
      <c r="Q2700" t="n">
        <v>0</v>
      </c>
      <c r="R2700" s="2" t="inlineStr"/>
    </row>
    <row r="2701" ht="15" customHeight="1">
      <c r="A2701" t="inlineStr">
        <is>
          <t>A 11539-2024</t>
        </is>
      </c>
      <c r="B2701" s="1" t="n">
        <v>45372</v>
      </c>
      <c r="C2701" s="1" t="n">
        <v>45670</v>
      </c>
      <c r="D2701" t="inlineStr">
        <is>
          <t>VÄSTERNORRLANDS LÄN</t>
        </is>
      </c>
      <c r="E2701" t="inlineStr">
        <is>
          <t>SOLLEFTEÅ</t>
        </is>
      </c>
      <c r="F2701" t="inlineStr">
        <is>
          <t>SCA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11542-2024</t>
        </is>
      </c>
      <c r="B2702" s="1" t="n">
        <v>45372</v>
      </c>
      <c r="C2702" s="1" t="n">
        <v>45670</v>
      </c>
      <c r="D2702" t="inlineStr">
        <is>
          <t>VÄSTERNORRLANDS LÄN</t>
        </is>
      </c>
      <c r="E2702" t="inlineStr">
        <is>
          <t>SOLLEFTEÅ</t>
        </is>
      </c>
      <c r="F2702" t="inlineStr">
        <is>
          <t>SCA</t>
        </is>
      </c>
      <c r="G2702" t="n">
        <v>13.1</v>
      </c>
      <c r="H2702" t="n">
        <v>0</v>
      </c>
      <c r="I2702" t="n">
        <v>0</v>
      </c>
      <c r="J2702" t="n">
        <v>0</v>
      </c>
      <c r="K2702" t="n">
        <v>0</v>
      </c>
      <c r="L2702" t="n">
        <v>0</v>
      </c>
      <c r="M2702" t="n">
        <v>0</v>
      </c>
      <c r="N2702" t="n">
        <v>0</v>
      </c>
      <c r="O2702" t="n">
        <v>0</v>
      </c>
      <c r="P2702" t="n">
        <v>0</v>
      </c>
      <c r="Q2702" t="n">
        <v>0</v>
      </c>
      <c r="R2702" s="2" t="inlineStr"/>
    </row>
    <row r="2703" ht="15" customHeight="1">
      <c r="A2703" t="inlineStr">
        <is>
          <t>A 11767-2024</t>
        </is>
      </c>
      <c r="B2703" s="1" t="n">
        <v>45373</v>
      </c>
      <c r="C2703" s="1" t="n">
        <v>45670</v>
      </c>
      <c r="D2703" t="inlineStr">
        <is>
          <t>VÄSTERNORRLANDS LÄN</t>
        </is>
      </c>
      <c r="E2703" t="inlineStr">
        <is>
          <t>SOLLEFTEÅ</t>
        </is>
      </c>
      <c r="F2703" t="inlineStr">
        <is>
          <t>SCA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11749-2024</t>
        </is>
      </c>
      <c r="B2704" s="1" t="n">
        <v>45373</v>
      </c>
      <c r="C2704" s="1" t="n">
        <v>45670</v>
      </c>
      <c r="D2704" t="inlineStr">
        <is>
          <t>VÄSTERNORRLANDS LÄN</t>
        </is>
      </c>
      <c r="E2704" t="inlineStr">
        <is>
          <t>SOLLEFTEÅ</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11976-2024</t>
        </is>
      </c>
      <c r="B2705" s="1" t="n">
        <v>45376</v>
      </c>
      <c r="C2705" s="1" t="n">
        <v>45670</v>
      </c>
      <c r="D2705" t="inlineStr">
        <is>
          <t>VÄSTERNORRLANDS LÄN</t>
        </is>
      </c>
      <c r="E2705" t="inlineStr">
        <is>
          <t>SOLLEFTEÅ</t>
        </is>
      </c>
      <c r="F2705" t="inlineStr">
        <is>
          <t>SCA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11988-2024</t>
        </is>
      </c>
      <c r="B2706" s="1" t="n">
        <v>45376</v>
      </c>
      <c r="C2706" s="1" t="n">
        <v>45670</v>
      </c>
      <c r="D2706" t="inlineStr">
        <is>
          <t>VÄSTERNORRLANDS LÄN</t>
        </is>
      </c>
      <c r="E2706" t="inlineStr">
        <is>
          <t>SOLLEFTEÅ</t>
        </is>
      </c>
      <c r="F2706" t="inlineStr">
        <is>
          <t>SCA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12184-2024</t>
        </is>
      </c>
      <c r="B2707" s="1" t="n">
        <v>45377</v>
      </c>
      <c r="C2707" s="1" t="n">
        <v>45670</v>
      </c>
      <c r="D2707" t="inlineStr">
        <is>
          <t>VÄSTERNORRLANDS LÄN</t>
        </is>
      </c>
      <c r="E2707" t="inlineStr">
        <is>
          <t>SOLLEFTEÅ</t>
        </is>
      </c>
      <c r="F2707" t="inlineStr">
        <is>
          <t>SCA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12186-2024</t>
        </is>
      </c>
      <c r="B2708" s="1" t="n">
        <v>45377</v>
      </c>
      <c r="C2708" s="1" t="n">
        <v>45670</v>
      </c>
      <c r="D2708" t="inlineStr">
        <is>
          <t>VÄSTERNORRLANDS LÄN</t>
        </is>
      </c>
      <c r="E2708" t="inlineStr">
        <is>
          <t>SOLLEFTEÅ</t>
        </is>
      </c>
      <c r="F2708" t="inlineStr">
        <is>
          <t>SCA</t>
        </is>
      </c>
      <c r="G2708" t="n">
        <v>7.5</v>
      </c>
      <c r="H2708" t="n">
        <v>0</v>
      </c>
      <c r="I2708" t="n">
        <v>0</v>
      </c>
      <c r="J2708" t="n">
        <v>0</v>
      </c>
      <c r="K2708" t="n">
        <v>0</v>
      </c>
      <c r="L2708" t="n">
        <v>0</v>
      </c>
      <c r="M2708" t="n">
        <v>0</v>
      </c>
      <c r="N2708" t="n">
        <v>0</v>
      </c>
      <c r="O2708" t="n">
        <v>0</v>
      </c>
      <c r="P2708" t="n">
        <v>0</v>
      </c>
      <c r="Q2708" t="n">
        <v>0</v>
      </c>
      <c r="R2708" s="2" t="inlineStr"/>
    </row>
    <row r="2709" ht="15" customHeight="1">
      <c r="A2709" t="inlineStr">
        <is>
          <t>A 12187-2024</t>
        </is>
      </c>
      <c r="B2709" s="1" t="n">
        <v>45377</v>
      </c>
      <c r="C2709" s="1" t="n">
        <v>45670</v>
      </c>
      <c r="D2709" t="inlineStr">
        <is>
          <t>VÄSTERNORRLANDS LÄN</t>
        </is>
      </c>
      <c r="E2709" t="inlineStr">
        <is>
          <t>SOLLEFTEÅ</t>
        </is>
      </c>
      <c r="F2709" t="inlineStr">
        <is>
          <t>SCA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12354-2024</t>
        </is>
      </c>
      <c r="B2710" s="1" t="n">
        <v>45378</v>
      </c>
      <c r="C2710" s="1" t="n">
        <v>45670</v>
      </c>
      <c r="D2710" t="inlineStr">
        <is>
          <t>VÄSTERNORRLANDS LÄN</t>
        </is>
      </c>
      <c r="E2710" t="inlineStr">
        <is>
          <t>SOLLEFTEÅ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12368-2024</t>
        </is>
      </c>
      <c r="B2711" s="1" t="n">
        <v>45378</v>
      </c>
      <c r="C2711" s="1" t="n">
        <v>45670</v>
      </c>
      <c r="D2711" t="inlineStr">
        <is>
          <t>VÄSTERNORRLANDS LÄN</t>
        </is>
      </c>
      <c r="E2711" t="inlineStr">
        <is>
          <t>SOLLEFTEÅ</t>
        </is>
      </c>
      <c r="F2711" t="inlineStr">
        <is>
          <t>SCA</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12351-2024</t>
        </is>
      </c>
      <c r="B2712" s="1" t="n">
        <v>45378</v>
      </c>
      <c r="C2712" s="1" t="n">
        <v>45670</v>
      </c>
      <c r="D2712" t="inlineStr">
        <is>
          <t>VÄSTERNORRLANDS LÄN</t>
        </is>
      </c>
      <c r="E2712" t="inlineStr">
        <is>
          <t>SOLLEFTEÅ</t>
        </is>
      </c>
      <c r="G2712" t="n">
        <v>23.9</v>
      </c>
      <c r="H2712" t="n">
        <v>0</v>
      </c>
      <c r="I2712" t="n">
        <v>0</v>
      </c>
      <c r="J2712" t="n">
        <v>0</v>
      </c>
      <c r="K2712" t="n">
        <v>0</v>
      </c>
      <c r="L2712" t="n">
        <v>0</v>
      </c>
      <c r="M2712" t="n">
        <v>0</v>
      </c>
      <c r="N2712" t="n">
        <v>0</v>
      </c>
      <c r="O2712" t="n">
        <v>0</v>
      </c>
      <c r="P2712" t="n">
        <v>0</v>
      </c>
      <c r="Q2712" t="n">
        <v>0</v>
      </c>
      <c r="R2712" s="2" t="inlineStr"/>
    </row>
    <row r="2713" ht="15" customHeight="1">
      <c r="A2713" t="inlineStr">
        <is>
          <t>A 12355-2024</t>
        </is>
      </c>
      <c r="B2713" s="1" t="n">
        <v>45378</v>
      </c>
      <c r="C2713" s="1" t="n">
        <v>45670</v>
      </c>
      <c r="D2713" t="inlineStr">
        <is>
          <t>VÄSTERNORRLANDS LÄN</t>
        </is>
      </c>
      <c r="E2713" t="inlineStr">
        <is>
          <t>SOLLEFTEÅ</t>
        </is>
      </c>
      <c r="F2713" t="inlineStr">
        <is>
          <t>SCA</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12363-2024</t>
        </is>
      </c>
      <c r="B2714" s="1" t="n">
        <v>45378</v>
      </c>
      <c r="C2714" s="1" t="n">
        <v>45670</v>
      </c>
      <c r="D2714" t="inlineStr">
        <is>
          <t>VÄSTERNORRLANDS LÄN</t>
        </is>
      </c>
      <c r="E2714" t="inlineStr">
        <is>
          <t>SOLLEFTEÅ</t>
        </is>
      </c>
      <c r="F2714" t="inlineStr">
        <is>
          <t>SCA</t>
        </is>
      </c>
      <c r="G2714" t="n">
        <v>16.3</v>
      </c>
      <c r="H2714" t="n">
        <v>0</v>
      </c>
      <c r="I2714" t="n">
        <v>0</v>
      </c>
      <c r="J2714" t="n">
        <v>0</v>
      </c>
      <c r="K2714" t="n">
        <v>0</v>
      </c>
      <c r="L2714" t="n">
        <v>0</v>
      </c>
      <c r="M2714" t="n">
        <v>0</v>
      </c>
      <c r="N2714" t="n">
        <v>0</v>
      </c>
      <c r="O2714" t="n">
        <v>0</v>
      </c>
      <c r="P2714" t="n">
        <v>0</v>
      </c>
      <c r="Q2714" t="n">
        <v>0</v>
      </c>
      <c r="R2714" s="2" t="inlineStr"/>
    </row>
    <row r="2715" ht="15" customHeight="1">
      <c r="A2715" t="inlineStr">
        <is>
          <t>A 12590-2024</t>
        </is>
      </c>
      <c r="B2715" s="1" t="n">
        <v>45379</v>
      </c>
      <c r="C2715" s="1" t="n">
        <v>45670</v>
      </c>
      <c r="D2715" t="inlineStr">
        <is>
          <t>VÄSTERNORRLANDS LÄN</t>
        </is>
      </c>
      <c r="E2715" t="inlineStr">
        <is>
          <t>SOLLEFTEÅ</t>
        </is>
      </c>
      <c r="F2715" t="inlineStr">
        <is>
          <t>SCA</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12582-2024</t>
        </is>
      </c>
      <c r="B2716" s="1" t="n">
        <v>45379</v>
      </c>
      <c r="C2716" s="1" t="n">
        <v>45670</v>
      </c>
      <c r="D2716" t="inlineStr">
        <is>
          <t>VÄSTERNORRLANDS LÄN</t>
        </is>
      </c>
      <c r="E2716" t="inlineStr">
        <is>
          <t>SOLLEFTEÅ</t>
        </is>
      </c>
      <c r="F2716" t="inlineStr">
        <is>
          <t>SCA</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12865-2024</t>
        </is>
      </c>
      <c r="B2717" s="1" t="n">
        <v>45384</v>
      </c>
      <c r="C2717" s="1" t="n">
        <v>45670</v>
      </c>
      <c r="D2717" t="inlineStr">
        <is>
          <t>VÄSTERNORRLANDS LÄN</t>
        </is>
      </c>
      <c r="E2717" t="inlineStr">
        <is>
          <t>SOLLEFTEÅ</t>
        </is>
      </c>
      <c r="F2717" t="inlineStr">
        <is>
          <t>SCA</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13138-2024</t>
        </is>
      </c>
      <c r="B2718" s="1" t="n">
        <v>45386</v>
      </c>
      <c r="C2718" s="1" t="n">
        <v>45670</v>
      </c>
      <c r="D2718" t="inlineStr">
        <is>
          <t>VÄSTERNORRLANDS LÄN</t>
        </is>
      </c>
      <c r="E2718" t="inlineStr">
        <is>
          <t>SOLLEFTEÅ</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13154-2024</t>
        </is>
      </c>
      <c r="B2719" s="1" t="n">
        <v>45386</v>
      </c>
      <c r="C2719" s="1" t="n">
        <v>45670</v>
      </c>
      <c r="D2719" t="inlineStr">
        <is>
          <t>VÄSTERNORRLANDS LÄN</t>
        </is>
      </c>
      <c r="E2719" t="inlineStr">
        <is>
          <t>SOLLEFTEÅ</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13546-2024</t>
        </is>
      </c>
      <c r="B2720" s="1" t="n">
        <v>45388</v>
      </c>
      <c r="C2720" s="1" t="n">
        <v>45670</v>
      </c>
      <c r="D2720" t="inlineStr">
        <is>
          <t>VÄSTERNORRLANDS LÄN</t>
        </is>
      </c>
      <c r="E2720" t="inlineStr">
        <is>
          <t>SOLLEFTEÅ</t>
        </is>
      </c>
      <c r="F2720" t="inlineStr">
        <is>
          <t>SCA</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13539-2024</t>
        </is>
      </c>
      <c r="B2721" s="1" t="n">
        <v>45388</v>
      </c>
      <c r="C2721" s="1" t="n">
        <v>45670</v>
      </c>
      <c r="D2721" t="inlineStr">
        <is>
          <t>VÄSTERNORRLANDS LÄN</t>
        </is>
      </c>
      <c r="E2721" t="inlineStr">
        <is>
          <t>SOLLEFTEÅ</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13942-2024</t>
        </is>
      </c>
      <c r="B2722" s="1" t="n">
        <v>45392</v>
      </c>
      <c r="C2722" s="1" t="n">
        <v>45670</v>
      </c>
      <c r="D2722" t="inlineStr">
        <is>
          <t>VÄSTERNORRLANDS LÄN</t>
        </is>
      </c>
      <c r="E2722" t="inlineStr">
        <is>
          <t>SOLLEFTEÅ</t>
        </is>
      </c>
      <c r="F2722" t="inlineStr">
        <is>
          <t>SCA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14109-2024</t>
        </is>
      </c>
      <c r="B2723" s="1" t="n">
        <v>45392</v>
      </c>
      <c r="C2723" s="1" t="n">
        <v>45670</v>
      </c>
      <c r="D2723" t="inlineStr">
        <is>
          <t>VÄSTERNORRLANDS LÄN</t>
        </is>
      </c>
      <c r="E2723" t="inlineStr">
        <is>
          <t>SOLLEFTEÅ</t>
        </is>
      </c>
      <c r="F2723" t="inlineStr">
        <is>
          <t>Övriga Aktiebolag</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14110-2024</t>
        </is>
      </c>
      <c r="B2724" s="1" t="n">
        <v>45392</v>
      </c>
      <c r="C2724" s="1" t="n">
        <v>45670</v>
      </c>
      <c r="D2724" t="inlineStr">
        <is>
          <t>VÄSTERNORRLANDS LÄN</t>
        </is>
      </c>
      <c r="E2724" t="inlineStr">
        <is>
          <t>SOLLEFTEÅ</t>
        </is>
      </c>
      <c r="F2724" t="inlineStr">
        <is>
          <t>Övriga Aktiebolag</t>
        </is>
      </c>
      <c r="G2724" t="n">
        <v>11.6</v>
      </c>
      <c r="H2724" t="n">
        <v>0</v>
      </c>
      <c r="I2724" t="n">
        <v>0</v>
      </c>
      <c r="J2724" t="n">
        <v>0</v>
      </c>
      <c r="K2724" t="n">
        <v>0</v>
      </c>
      <c r="L2724" t="n">
        <v>0</v>
      </c>
      <c r="M2724" t="n">
        <v>0</v>
      </c>
      <c r="N2724" t="n">
        <v>0</v>
      </c>
      <c r="O2724" t="n">
        <v>0</v>
      </c>
      <c r="P2724" t="n">
        <v>0</v>
      </c>
      <c r="Q2724" t="n">
        <v>0</v>
      </c>
      <c r="R2724" s="2" t="inlineStr"/>
    </row>
    <row r="2725" ht="15" customHeight="1">
      <c r="A2725" t="inlineStr">
        <is>
          <t>A 14087-2024</t>
        </is>
      </c>
      <c r="B2725" s="1" t="n">
        <v>45392</v>
      </c>
      <c r="C2725" s="1" t="n">
        <v>45670</v>
      </c>
      <c r="D2725" t="inlineStr">
        <is>
          <t>VÄSTERNORRLANDS LÄN</t>
        </is>
      </c>
      <c r="E2725" t="inlineStr">
        <is>
          <t>SOLLEFTEÅ</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14165-2024</t>
        </is>
      </c>
      <c r="B2726" s="1" t="n">
        <v>45393</v>
      </c>
      <c r="C2726" s="1" t="n">
        <v>45670</v>
      </c>
      <c r="D2726" t="inlineStr">
        <is>
          <t>VÄSTERNORRLANDS LÄN</t>
        </is>
      </c>
      <c r="E2726" t="inlineStr">
        <is>
          <t>SOLLEFTEÅ</t>
        </is>
      </c>
      <c r="F2726" t="inlineStr">
        <is>
          <t>SCA</t>
        </is>
      </c>
      <c r="G2726" t="n">
        <v>10.5</v>
      </c>
      <c r="H2726" t="n">
        <v>0</v>
      </c>
      <c r="I2726" t="n">
        <v>0</v>
      </c>
      <c r="J2726" t="n">
        <v>0</v>
      </c>
      <c r="K2726" t="n">
        <v>0</v>
      </c>
      <c r="L2726" t="n">
        <v>0</v>
      </c>
      <c r="M2726" t="n">
        <v>0</v>
      </c>
      <c r="N2726" t="n">
        <v>0</v>
      </c>
      <c r="O2726" t="n">
        <v>0</v>
      </c>
      <c r="P2726" t="n">
        <v>0</v>
      </c>
      <c r="Q2726" t="n">
        <v>0</v>
      </c>
      <c r="R2726" s="2" t="inlineStr"/>
    </row>
    <row r="2727" ht="15" customHeight="1">
      <c r="A2727" t="inlineStr">
        <is>
          <t>A 14169-2024</t>
        </is>
      </c>
      <c r="B2727" s="1" t="n">
        <v>45393</v>
      </c>
      <c r="C2727" s="1" t="n">
        <v>45670</v>
      </c>
      <c r="D2727" t="inlineStr">
        <is>
          <t>VÄSTERNORRLANDS LÄN</t>
        </is>
      </c>
      <c r="E2727" t="inlineStr">
        <is>
          <t>SOLLEFTEÅ</t>
        </is>
      </c>
      <c r="F2727" t="inlineStr">
        <is>
          <t>SCA</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14344-2024</t>
        </is>
      </c>
      <c r="B2728" s="1" t="n">
        <v>45393</v>
      </c>
      <c r="C2728" s="1" t="n">
        <v>45670</v>
      </c>
      <c r="D2728" t="inlineStr">
        <is>
          <t>VÄSTERNORRLANDS LÄN</t>
        </is>
      </c>
      <c r="E2728" t="inlineStr">
        <is>
          <t>SOLLEFTEÅ</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14365-2024</t>
        </is>
      </c>
      <c r="B2729" s="1" t="n">
        <v>45394</v>
      </c>
      <c r="C2729" s="1" t="n">
        <v>45670</v>
      </c>
      <c r="D2729" t="inlineStr">
        <is>
          <t>VÄSTERNORRLANDS LÄN</t>
        </is>
      </c>
      <c r="E2729" t="inlineStr">
        <is>
          <t>SOLLEFTEÅ</t>
        </is>
      </c>
      <c r="F2729" t="inlineStr">
        <is>
          <t>SCA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14554-2024</t>
        </is>
      </c>
      <c r="B2730" s="1" t="n">
        <v>45394</v>
      </c>
      <c r="C2730" s="1" t="n">
        <v>45670</v>
      </c>
      <c r="D2730" t="inlineStr">
        <is>
          <t>VÄSTERNORRLANDS LÄN</t>
        </is>
      </c>
      <c r="E2730" t="inlineStr">
        <is>
          <t>SOLLEFTEÅ</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14581-2024</t>
        </is>
      </c>
      <c r="B2731" s="1" t="n">
        <v>45395</v>
      </c>
      <c r="C2731" s="1" t="n">
        <v>45670</v>
      </c>
      <c r="D2731" t="inlineStr">
        <is>
          <t>VÄSTERNORRLANDS LÄN</t>
        </is>
      </c>
      <c r="E2731" t="inlineStr">
        <is>
          <t>SOLLEFTEÅ</t>
        </is>
      </c>
      <c r="F2731" t="inlineStr">
        <is>
          <t>SCA</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14571-2024</t>
        </is>
      </c>
      <c r="B2732" s="1" t="n">
        <v>45394</v>
      </c>
      <c r="C2732" s="1" t="n">
        <v>45670</v>
      </c>
      <c r="D2732" t="inlineStr">
        <is>
          <t>VÄSTERNORRLANDS LÄN</t>
        </is>
      </c>
      <c r="E2732" t="inlineStr">
        <is>
          <t>SOLLEFTEÅ</t>
        </is>
      </c>
      <c r="F2732" t="inlineStr">
        <is>
          <t>SCA</t>
        </is>
      </c>
      <c r="G2732" t="n">
        <v>20.8</v>
      </c>
      <c r="H2732" t="n">
        <v>0</v>
      </c>
      <c r="I2732" t="n">
        <v>0</v>
      </c>
      <c r="J2732" t="n">
        <v>0</v>
      </c>
      <c r="K2732" t="n">
        <v>0</v>
      </c>
      <c r="L2732" t="n">
        <v>0</v>
      </c>
      <c r="M2732" t="n">
        <v>0</v>
      </c>
      <c r="N2732" t="n">
        <v>0</v>
      </c>
      <c r="O2732" t="n">
        <v>0</v>
      </c>
      <c r="P2732" t="n">
        <v>0</v>
      </c>
      <c r="Q2732" t="n">
        <v>0</v>
      </c>
      <c r="R2732" s="2" t="inlineStr"/>
    </row>
    <row r="2733" ht="15" customHeight="1">
      <c r="A2733" t="inlineStr">
        <is>
          <t>A 14577-2024</t>
        </is>
      </c>
      <c r="B2733" s="1" t="n">
        <v>45395</v>
      </c>
      <c r="C2733" s="1" t="n">
        <v>45670</v>
      </c>
      <c r="D2733" t="inlineStr">
        <is>
          <t>VÄSTERNORRLANDS LÄN</t>
        </is>
      </c>
      <c r="E2733" t="inlineStr">
        <is>
          <t>SOLLEFTEÅ</t>
        </is>
      </c>
      <c r="F2733" t="inlineStr">
        <is>
          <t>SCA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14819-2024</t>
        </is>
      </c>
      <c r="B2734" s="1" t="n">
        <v>45397</v>
      </c>
      <c r="C2734" s="1" t="n">
        <v>45670</v>
      </c>
      <c r="D2734" t="inlineStr">
        <is>
          <t>VÄSTERNORRLANDS LÄN</t>
        </is>
      </c>
      <c r="E2734" t="inlineStr">
        <is>
          <t>SOLLEFTEÅ</t>
        </is>
      </c>
      <c r="F2734" t="inlineStr">
        <is>
          <t>SCA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14970-2024</t>
        </is>
      </c>
      <c r="B2735" s="1" t="n">
        <v>45398</v>
      </c>
      <c r="C2735" s="1" t="n">
        <v>45670</v>
      </c>
      <c r="D2735" t="inlineStr">
        <is>
          <t>VÄSTERNORRLANDS LÄN</t>
        </is>
      </c>
      <c r="E2735" t="inlineStr">
        <is>
          <t>SOLLEFTEÅ</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14982-2024</t>
        </is>
      </c>
      <c r="B2736" s="1" t="n">
        <v>45399</v>
      </c>
      <c r="C2736" s="1" t="n">
        <v>45670</v>
      </c>
      <c r="D2736" t="inlineStr">
        <is>
          <t>VÄSTERNORRLANDS LÄN</t>
        </is>
      </c>
      <c r="E2736" t="inlineStr">
        <is>
          <t>SOLLEFTEÅ</t>
        </is>
      </c>
      <c r="F2736" t="inlineStr">
        <is>
          <t>SCA</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14971-2024</t>
        </is>
      </c>
      <c r="B2737" s="1" t="n">
        <v>45399</v>
      </c>
      <c r="C2737" s="1" t="n">
        <v>45670</v>
      </c>
      <c r="D2737" t="inlineStr">
        <is>
          <t>VÄSTERNORRLANDS LÄN</t>
        </is>
      </c>
      <c r="E2737" t="inlineStr">
        <is>
          <t>SOLLEFTEÅ</t>
        </is>
      </c>
      <c r="F2737" t="inlineStr">
        <is>
          <t>SCA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14975-2024</t>
        </is>
      </c>
      <c r="B2738" s="1" t="n">
        <v>45399</v>
      </c>
      <c r="C2738" s="1" t="n">
        <v>45670</v>
      </c>
      <c r="D2738" t="inlineStr">
        <is>
          <t>VÄSTERNORRLANDS LÄN</t>
        </is>
      </c>
      <c r="E2738" t="inlineStr">
        <is>
          <t>SOLLEFTEÅ</t>
        </is>
      </c>
      <c r="F2738" t="inlineStr">
        <is>
          <t>SCA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14983-2024</t>
        </is>
      </c>
      <c r="B2739" s="1" t="n">
        <v>45399</v>
      </c>
      <c r="C2739" s="1" t="n">
        <v>45670</v>
      </c>
      <c r="D2739" t="inlineStr">
        <is>
          <t>VÄSTERNORRLANDS LÄN</t>
        </is>
      </c>
      <c r="E2739" t="inlineStr">
        <is>
          <t>SOLLEFTEÅ</t>
        </is>
      </c>
      <c r="F2739" t="inlineStr">
        <is>
          <t>SCA</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15154-2024</t>
        </is>
      </c>
      <c r="B2740" s="1" t="n">
        <v>45400</v>
      </c>
      <c r="C2740" s="1" t="n">
        <v>45670</v>
      </c>
      <c r="D2740" t="inlineStr">
        <is>
          <t>VÄSTERNORRLANDS LÄN</t>
        </is>
      </c>
      <c r="E2740" t="inlineStr">
        <is>
          <t>SOLLEFTEÅ</t>
        </is>
      </c>
      <c r="F2740" t="inlineStr">
        <is>
          <t>SCA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15147-2024</t>
        </is>
      </c>
      <c r="B2741" s="1" t="n">
        <v>45400</v>
      </c>
      <c r="C2741" s="1" t="n">
        <v>45670</v>
      </c>
      <c r="D2741" t="inlineStr">
        <is>
          <t>VÄSTERNORRLANDS LÄN</t>
        </is>
      </c>
      <c r="E2741" t="inlineStr">
        <is>
          <t>SOLLEFTEÅ</t>
        </is>
      </c>
      <c r="F2741" t="inlineStr">
        <is>
          <t>SCA</t>
        </is>
      </c>
      <c r="G2741" t="n">
        <v>7.7</v>
      </c>
      <c r="H2741" t="n">
        <v>0</v>
      </c>
      <c r="I2741" t="n">
        <v>0</v>
      </c>
      <c r="J2741" t="n">
        <v>0</v>
      </c>
      <c r="K2741" t="n">
        <v>0</v>
      </c>
      <c r="L2741" t="n">
        <v>0</v>
      </c>
      <c r="M2741" t="n">
        <v>0</v>
      </c>
      <c r="N2741" t="n">
        <v>0</v>
      </c>
      <c r="O2741" t="n">
        <v>0</v>
      </c>
      <c r="P2741" t="n">
        <v>0</v>
      </c>
      <c r="Q2741" t="n">
        <v>0</v>
      </c>
      <c r="R2741" s="2" t="inlineStr"/>
    </row>
    <row r="2742" ht="15" customHeight="1">
      <c r="A2742" t="inlineStr">
        <is>
          <t>A 15380-2024</t>
        </is>
      </c>
      <c r="B2742" s="1" t="n">
        <v>45401</v>
      </c>
      <c r="C2742" s="1" t="n">
        <v>45670</v>
      </c>
      <c r="D2742" t="inlineStr">
        <is>
          <t>VÄSTERNORRLANDS LÄN</t>
        </is>
      </c>
      <c r="E2742" t="inlineStr">
        <is>
          <t>SOLLEFTEÅ</t>
        </is>
      </c>
      <c r="F2742" t="inlineStr">
        <is>
          <t>SCA</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15377-2024</t>
        </is>
      </c>
      <c r="B2743" s="1" t="n">
        <v>45400</v>
      </c>
      <c r="C2743" s="1" t="n">
        <v>45670</v>
      </c>
      <c r="D2743" t="inlineStr">
        <is>
          <t>VÄSTERNORRLANDS LÄN</t>
        </is>
      </c>
      <c r="E2743" t="inlineStr">
        <is>
          <t>SOLLEFTEÅ</t>
        </is>
      </c>
      <c r="F2743" t="inlineStr">
        <is>
          <t>SCA</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15616-2024</t>
        </is>
      </c>
      <c r="B2744" s="1" t="n">
        <v>45402</v>
      </c>
      <c r="C2744" s="1" t="n">
        <v>45670</v>
      </c>
      <c r="D2744" t="inlineStr">
        <is>
          <t>VÄSTERNORRLANDS LÄN</t>
        </is>
      </c>
      <c r="E2744" t="inlineStr">
        <is>
          <t>SOLLEFTEÅ</t>
        </is>
      </c>
      <c r="F2744" t="inlineStr">
        <is>
          <t>SCA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15614-2024</t>
        </is>
      </c>
      <c r="B2745" s="1" t="n">
        <v>45402</v>
      </c>
      <c r="C2745" s="1" t="n">
        <v>45670</v>
      </c>
      <c r="D2745" t="inlineStr">
        <is>
          <t>VÄSTERNORRLANDS LÄN</t>
        </is>
      </c>
      <c r="E2745" t="inlineStr">
        <is>
          <t>SOLLEFTEÅ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15613-2024</t>
        </is>
      </c>
      <c r="B2746" s="1" t="n">
        <v>45402</v>
      </c>
      <c r="C2746" s="1" t="n">
        <v>45670</v>
      </c>
      <c r="D2746" t="inlineStr">
        <is>
          <t>VÄSTERNORRLANDS LÄN</t>
        </is>
      </c>
      <c r="E2746" t="inlineStr">
        <is>
          <t>SOLLEFTEÅ</t>
        </is>
      </c>
      <c r="F2746" t="inlineStr">
        <is>
          <t>SCA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15859-2024</t>
        </is>
      </c>
      <c r="B2747" s="1" t="n">
        <v>45405</v>
      </c>
      <c r="C2747" s="1" t="n">
        <v>45670</v>
      </c>
      <c r="D2747" t="inlineStr">
        <is>
          <t>VÄSTERNORRLANDS LÄN</t>
        </is>
      </c>
      <c r="E2747" t="inlineStr">
        <is>
          <t>SOLLEFTEÅ</t>
        </is>
      </c>
      <c r="F2747" t="inlineStr">
        <is>
          <t>SCA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15863-2024</t>
        </is>
      </c>
      <c r="B2748" s="1" t="n">
        <v>45405</v>
      </c>
      <c r="C2748" s="1" t="n">
        <v>45670</v>
      </c>
      <c r="D2748" t="inlineStr">
        <is>
          <t>VÄSTERNORRLANDS LÄN</t>
        </is>
      </c>
      <c r="E2748" t="inlineStr">
        <is>
          <t>SOLLEFTEÅ</t>
        </is>
      </c>
      <c r="F2748" t="inlineStr">
        <is>
          <t>SCA</t>
        </is>
      </c>
      <c r="G2748" t="n">
        <v>32.2</v>
      </c>
      <c r="H2748" t="n">
        <v>0</v>
      </c>
      <c r="I2748" t="n">
        <v>0</v>
      </c>
      <c r="J2748" t="n">
        <v>0</v>
      </c>
      <c r="K2748" t="n">
        <v>0</v>
      </c>
      <c r="L2748" t="n">
        <v>0</v>
      </c>
      <c r="M2748" t="n">
        <v>0</v>
      </c>
      <c r="N2748" t="n">
        <v>0</v>
      </c>
      <c r="O2748" t="n">
        <v>0</v>
      </c>
      <c r="P2748" t="n">
        <v>0</v>
      </c>
      <c r="Q2748" t="n">
        <v>0</v>
      </c>
      <c r="R2748" s="2" t="inlineStr"/>
    </row>
    <row r="2749" ht="15" customHeight="1">
      <c r="A2749" t="inlineStr">
        <is>
          <t>A 15872-2024</t>
        </is>
      </c>
      <c r="B2749" s="1" t="n">
        <v>45405</v>
      </c>
      <c r="C2749" s="1" t="n">
        <v>45670</v>
      </c>
      <c r="D2749" t="inlineStr">
        <is>
          <t>VÄSTERNORRLANDS LÄN</t>
        </is>
      </c>
      <c r="E2749" t="inlineStr">
        <is>
          <t>SOLLEFTEÅ</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15875-2024</t>
        </is>
      </c>
      <c r="B2750" s="1" t="n">
        <v>45405</v>
      </c>
      <c r="C2750" s="1" t="n">
        <v>45670</v>
      </c>
      <c r="D2750" t="inlineStr">
        <is>
          <t>VÄSTERNORRLANDS LÄN</t>
        </is>
      </c>
      <c r="E2750" t="inlineStr">
        <is>
          <t>SOLLEFTEÅ</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15983-2024</t>
        </is>
      </c>
      <c r="B2751" s="1" t="n">
        <v>45405</v>
      </c>
      <c r="C2751" s="1" t="n">
        <v>45670</v>
      </c>
      <c r="D2751" t="inlineStr">
        <is>
          <t>VÄSTERNORRLANDS LÄN</t>
        </is>
      </c>
      <c r="E2751" t="inlineStr">
        <is>
          <t>SOLLEFTEÅ</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16052-2024</t>
        </is>
      </c>
      <c r="B2752" s="1" t="n">
        <v>45406</v>
      </c>
      <c r="C2752" s="1" t="n">
        <v>45670</v>
      </c>
      <c r="D2752" t="inlineStr">
        <is>
          <t>VÄSTERNORRLANDS LÄN</t>
        </is>
      </c>
      <c r="E2752" t="inlineStr">
        <is>
          <t>SOLLEFTEÅ</t>
        </is>
      </c>
      <c r="F2752" t="inlineStr">
        <is>
          <t>SCA</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16051-2024</t>
        </is>
      </c>
      <c r="B2753" s="1" t="n">
        <v>45406</v>
      </c>
      <c r="C2753" s="1" t="n">
        <v>45670</v>
      </c>
      <c r="D2753" t="inlineStr">
        <is>
          <t>VÄSTERNORRLANDS LÄN</t>
        </is>
      </c>
      <c r="E2753" t="inlineStr">
        <is>
          <t>SOLLEFTEÅ</t>
        </is>
      </c>
      <c r="F2753" t="inlineStr">
        <is>
          <t>SCA</t>
        </is>
      </c>
      <c r="G2753" t="n">
        <v>15.7</v>
      </c>
      <c r="H2753" t="n">
        <v>0</v>
      </c>
      <c r="I2753" t="n">
        <v>0</v>
      </c>
      <c r="J2753" t="n">
        <v>0</v>
      </c>
      <c r="K2753" t="n">
        <v>0</v>
      </c>
      <c r="L2753" t="n">
        <v>0</v>
      </c>
      <c r="M2753" t="n">
        <v>0</v>
      </c>
      <c r="N2753" t="n">
        <v>0</v>
      </c>
      <c r="O2753" t="n">
        <v>0</v>
      </c>
      <c r="P2753" t="n">
        <v>0</v>
      </c>
      <c r="Q2753" t="n">
        <v>0</v>
      </c>
      <c r="R2753" s="2" t="inlineStr"/>
    </row>
    <row r="2754" ht="15" customHeight="1">
      <c r="A2754" t="inlineStr">
        <is>
          <t>A 16165-2024</t>
        </is>
      </c>
      <c r="B2754" s="1" t="n">
        <v>45406</v>
      </c>
      <c r="C2754" s="1" t="n">
        <v>45670</v>
      </c>
      <c r="D2754" t="inlineStr">
        <is>
          <t>VÄSTERNORRLANDS LÄN</t>
        </is>
      </c>
      <c r="E2754" t="inlineStr">
        <is>
          <t>SOLLEFTEÅ</t>
        </is>
      </c>
      <c r="G2754" t="n">
        <v>15.2</v>
      </c>
      <c r="H2754" t="n">
        <v>0</v>
      </c>
      <c r="I2754" t="n">
        <v>0</v>
      </c>
      <c r="J2754" t="n">
        <v>0</v>
      </c>
      <c r="K2754" t="n">
        <v>0</v>
      </c>
      <c r="L2754" t="n">
        <v>0</v>
      </c>
      <c r="M2754" t="n">
        <v>0</v>
      </c>
      <c r="N2754" t="n">
        <v>0</v>
      </c>
      <c r="O2754" t="n">
        <v>0</v>
      </c>
      <c r="P2754" t="n">
        <v>0</v>
      </c>
      <c r="Q2754" t="n">
        <v>0</v>
      </c>
      <c r="R2754" s="2" t="inlineStr"/>
    </row>
    <row r="2755" ht="15" customHeight="1">
      <c r="A2755" t="inlineStr">
        <is>
          <t>A 16061-2024</t>
        </is>
      </c>
      <c r="B2755" s="1" t="n">
        <v>45406</v>
      </c>
      <c r="C2755" s="1" t="n">
        <v>45670</v>
      </c>
      <c r="D2755" t="inlineStr">
        <is>
          <t>VÄSTERNORRLANDS LÄN</t>
        </is>
      </c>
      <c r="E2755" t="inlineStr">
        <is>
          <t>SOLLEFTEÅ</t>
        </is>
      </c>
      <c r="F2755" t="inlineStr">
        <is>
          <t>SCA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16086-2024</t>
        </is>
      </c>
      <c r="B2756" s="1" t="n">
        <v>45406</v>
      </c>
      <c r="C2756" s="1" t="n">
        <v>45670</v>
      </c>
      <c r="D2756" t="inlineStr">
        <is>
          <t>VÄSTERNORRLANDS LÄN</t>
        </is>
      </c>
      <c r="E2756" t="inlineStr">
        <is>
          <t>SOLLEFTEÅ</t>
        </is>
      </c>
      <c r="G2756" t="n">
        <v>15.9</v>
      </c>
      <c r="H2756" t="n">
        <v>0</v>
      </c>
      <c r="I2756" t="n">
        <v>0</v>
      </c>
      <c r="J2756" t="n">
        <v>0</v>
      </c>
      <c r="K2756" t="n">
        <v>0</v>
      </c>
      <c r="L2756" t="n">
        <v>0</v>
      </c>
      <c r="M2756" t="n">
        <v>0</v>
      </c>
      <c r="N2756" t="n">
        <v>0</v>
      </c>
      <c r="O2756" t="n">
        <v>0</v>
      </c>
      <c r="P2756" t="n">
        <v>0</v>
      </c>
      <c r="Q2756" t="n">
        <v>0</v>
      </c>
      <c r="R2756" s="2" t="inlineStr"/>
    </row>
    <row r="2757" ht="15" customHeight="1">
      <c r="A2757" t="inlineStr">
        <is>
          <t>A 16238-2024</t>
        </is>
      </c>
      <c r="B2757" s="1" t="n">
        <v>45407</v>
      </c>
      <c r="C2757" s="1" t="n">
        <v>45670</v>
      </c>
      <c r="D2757" t="inlineStr">
        <is>
          <t>VÄSTERNORRLANDS LÄN</t>
        </is>
      </c>
      <c r="E2757" t="inlineStr">
        <is>
          <t>SOLLEFTEÅ</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16239-2024</t>
        </is>
      </c>
      <c r="B2758" s="1" t="n">
        <v>45407</v>
      </c>
      <c r="C2758" s="1" t="n">
        <v>45670</v>
      </c>
      <c r="D2758" t="inlineStr">
        <is>
          <t>VÄSTERNORRLANDS LÄN</t>
        </is>
      </c>
      <c r="E2758" t="inlineStr">
        <is>
          <t>SOLLEFTEÅ</t>
        </is>
      </c>
      <c r="F2758" t="inlineStr">
        <is>
          <t>SCA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16237-2024</t>
        </is>
      </c>
      <c r="B2759" s="1" t="n">
        <v>45407</v>
      </c>
      <c r="C2759" s="1" t="n">
        <v>45670</v>
      </c>
      <c r="D2759" t="inlineStr">
        <is>
          <t>VÄSTERNORRLANDS LÄN</t>
        </is>
      </c>
      <c r="E2759" t="inlineStr">
        <is>
          <t>SOLLEFTEÅ</t>
        </is>
      </c>
      <c r="F2759" t="inlineStr">
        <is>
          <t>SCA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16241-2024</t>
        </is>
      </c>
      <c r="B2760" s="1" t="n">
        <v>45407</v>
      </c>
      <c r="C2760" s="1" t="n">
        <v>45670</v>
      </c>
      <c r="D2760" t="inlineStr">
        <is>
          <t>VÄSTERNORRLANDS LÄN</t>
        </is>
      </c>
      <c r="E2760" t="inlineStr">
        <is>
          <t>SOLLEFTEÅ</t>
        </is>
      </c>
      <c r="F2760" t="inlineStr">
        <is>
          <t>SCA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16253-2024</t>
        </is>
      </c>
      <c r="B2761" s="1" t="n">
        <v>45407</v>
      </c>
      <c r="C2761" s="1" t="n">
        <v>45670</v>
      </c>
      <c r="D2761" t="inlineStr">
        <is>
          <t>VÄSTERNORRLANDS LÄN</t>
        </is>
      </c>
      <c r="E2761" t="inlineStr">
        <is>
          <t>SOLLEFTEÅ</t>
        </is>
      </c>
      <c r="F2761" t="inlineStr">
        <is>
          <t>SCA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16468-2024</t>
        </is>
      </c>
      <c r="B2762" s="1" t="n">
        <v>45408</v>
      </c>
      <c r="C2762" s="1" t="n">
        <v>45670</v>
      </c>
      <c r="D2762" t="inlineStr">
        <is>
          <t>VÄSTERNORRLANDS LÄN</t>
        </is>
      </c>
      <c r="E2762" t="inlineStr">
        <is>
          <t>SOLLEFTEÅ</t>
        </is>
      </c>
      <c r="F2762" t="inlineStr">
        <is>
          <t>SCA</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16463-2024</t>
        </is>
      </c>
      <c r="B2763" s="1" t="n">
        <v>45408</v>
      </c>
      <c r="C2763" s="1" t="n">
        <v>45670</v>
      </c>
      <c r="D2763" t="inlineStr">
        <is>
          <t>VÄSTERNORRLANDS LÄN</t>
        </is>
      </c>
      <c r="E2763" t="inlineStr">
        <is>
          <t>SOLLEFTEÅ</t>
        </is>
      </c>
      <c r="F2763" t="inlineStr">
        <is>
          <t>SCA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16467-2024</t>
        </is>
      </c>
      <c r="B2764" s="1" t="n">
        <v>45408</v>
      </c>
      <c r="C2764" s="1" t="n">
        <v>45670</v>
      </c>
      <c r="D2764" t="inlineStr">
        <is>
          <t>VÄSTERNORRLANDS LÄN</t>
        </is>
      </c>
      <c r="E2764" t="inlineStr">
        <is>
          <t>SOLLEFTEÅ</t>
        </is>
      </c>
      <c r="F2764" t="inlineStr">
        <is>
          <t>SCA</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16470-2024</t>
        </is>
      </c>
      <c r="B2765" s="1" t="n">
        <v>45408</v>
      </c>
      <c r="C2765" s="1" t="n">
        <v>45670</v>
      </c>
      <c r="D2765" t="inlineStr">
        <is>
          <t>VÄSTERNORRLANDS LÄN</t>
        </is>
      </c>
      <c r="E2765" t="inlineStr">
        <is>
          <t>SOLLEFTEÅ</t>
        </is>
      </c>
      <c r="F2765" t="inlineStr">
        <is>
          <t>SCA</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16691-2024</t>
        </is>
      </c>
      <c r="B2766" s="1" t="n">
        <v>45408</v>
      </c>
      <c r="C2766" s="1" t="n">
        <v>45670</v>
      </c>
      <c r="D2766" t="inlineStr">
        <is>
          <t>VÄSTERNORRLANDS LÄN</t>
        </is>
      </c>
      <c r="E2766" t="inlineStr">
        <is>
          <t>SOLLEFTEÅ</t>
        </is>
      </c>
      <c r="G2766" t="n">
        <v>12.3</v>
      </c>
      <c r="H2766" t="n">
        <v>0</v>
      </c>
      <c r="I2766" t="n">
        <v>0</v>
      </c>
      <c r="J2766" t="n">
        <v>0</v>
      </c>
      <c r="K2766" t="n">
        <v>0</v>
      </c>
      <c r="L2766" t="n">
        <v>0</v>
      </c>
      <c r="M2766" t="n">
        <v>0</v>
      </c>
      <c r="N2766" t="n">
        <v>0</v>
      </c>
      <c r="O2766" t="n">
        <v>0</v>
      </c>
      <c r="P2766" t="n">
        <v>0</v>
      </c>
      <c r="Q2766" t="n">
        <v>0</v>
      </c>
      <c r="R2766" s="2" t="inlineStr"/>
    </row>
    <row r="2767" ht="15" customHeight="1">
      <c r="A2767" t="inlineStr">
        <is>
          <t>A 16693-2024</t>
        </is>
      </c>
      <c r="B2767" s="1" t="n">
        <v>45408</v>
      </c>
      <c r="C2767" s="1" t="n">
        <v>45670</v>
      </c>
      <c r="D2767" t="inlineStr">
        <is>
          <t>VÄSTERNORRLANDS LÄN</t>
        </is>
      </c>
      <c r="E2767" t="inlineStr">
        <is>
          <t>SOLLEFTEÅ</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16710-2024</t>
        </is>
      </c>
      <c r="B2768" s="1" t="n">
        <v>45409</v>
      </c>
      <c r="C2768" s="1" t="n">
        <v>45670</v>
      </c>
      <c r="D2768" t="inlineStr">
        <is>
          <t>VÄSTERNORRLANDS LÄN</t>
        </is>
      </c>
      <c r="E2768" t="inlineStr">
        <is>
          <t>SOLLEFTEÅ</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16703-2024</t>
        </is>
      </c>
      <c r="B2769" s="1" t="n">
        <v>45409</v>
      </c>
      <c r="C2769" s="1" t="n">
        <v>45670</v>
      </c>
      <c r="D2769" t="inlineStr">
        <is>
          <t>VÄSTERNORRLANDS LÄN</t>
        </is>
      </c>
      <c r="E2769" t="inlineStr">
        <is>
          <t>SOLLEFTEÅ</t>
        </is>
      </c>
      <c r="F2769" t="inlineStr">
        <is>
          <t>SCA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16701-2024</t>
        </is>
      </c>
      <c r="B2770" s="1" t="n">
        <v>45409</v>
      </c>
      <c r="C2770" s="1" t="n">
        <v>45670</v>
      </c>
      <c r="D2770" t="inlineStr">
        <is>
          <t>VÄSTERNORRLANDS LÄN</t>
        </is>
      </c>
      <c r="E2770" t="inlineStr">
        <is>
          <t>SOLLEFTEÅ</t>
        </is>
      </c>
      <c r="F2770" t="inlineStr">
        <is>
          <t>SCA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16709-2024</t>
        </is>
      </c>
      <c r="B2771" s="1" t="n">
        <v>45409</v>
      </c>
      <c r="C2771" s="1" t="n">
        <v>45670</v>
      </c>
      <c r="D2771" t="inlineStr">
        <is>
          <t>VÄSTERNORRLANDS LÄN</t>
        </is>
      </c>
      <c r="E2771" t="inlineStr">
        <is>
          <t>SOLLEFTEÅ</t>
        </is>
      </c>
      <c r="F2771" t="inlineStr">
        <is>
          <t>SCA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16717-2024</t>
        </is>
      </c>
      <c r="B2772" s="1" t="n">
        <v>45409</v>
      </c>
      <c r="C2772" s="1" t="n">
        <v>45670</v>
      </c>
      <c r="D2772" t="inlineStr">
        <is>
          <t>VÄSTERNORRLANDS LÄN</t>
        </is>
      </c>
      <c r="E2772" t="inlineStr">
        <is>
          <t>SOLLEFTEÅ</t>
        </is>
      </c>
      <c r="F2772" t="inlineStr">
        <is>
          <t>SCA</t>
        </is>
      </c>
      <c r="G2772" t="n">
        <v>10.6</v>
      </c>
      <c r="H2772" t="n">
        <v>0</v>
      </c>
      <c r="I2772" t="n">
        <v>0</v>
      </c>
      <c r="J2772" t="n">
        <v>0</v>
      </c>
      <c r="K2772" t="n">
        <v>0</v>
      </c>
      <c r="L2772" t="n">
        <v>0</v>
      </c>
      <c r="M2772" t="n">
        <v>0</v>
      </c>
      <c r="N2772" t="n">
        <v>0</v>
      </c>
      <c r="O2772" t="n">
        <v>0</v>
      </c>
      <c r="P2772" t="n">
        <v>0</v>
      </c>
      <c r="Q2772" t="n">
        <v>0</v>
      </c>
      <c r="R2772" s="2" t="inlineStr"/>
    </row>
    <row r="2773" ht="15" customHeight="1">
      <c r="A2773" t="inlineStr">
        <is>
          <t>A 16726-2024</t>
        </is>
      </c>
      <c r="B2773" s="1" t="n">
        <v>45410</v>
      </c>
      <c r="C2773" s="1" t="n">
        <v>45670</v>
      </c>
      <c r="D2773" t="inlineStr">
        <is>
          <t>VÄSTERNORRLANDS LÄN</t>
        </is>
      </c>
      <c r="E2773" t="inlineStr">
        <is>
          <t>SOLLEFTEÅ</t>
        </is>
      </c>
      <c r="F2773" t="inlineStr">
        <is>
          <t>SCA</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17172-2024</t>
        </is>
      </c>
      <c r="B2774" s="1" t="n">
        <v>45413</v>
      </c>
      <c r="C2774" s="1" t="n">
        <v>45670</v>
      </c>
      <c r="D2774" t="inlineStr">
        <is>
          <t>VÄSTERNORRLANDS LÄN</t>
        </is>
      </c>
      <c r="E2774" t="inlineStr">
        <is>
          <t>SOLLEFTEÅ</t>
        </is>
      </c>
      <c r="F2774" t="inlineStr">
        <is>
          <t>SCA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17120-2024</t>
        </is>
      </c>
      <c r="B2775" s="1" t="n">
        <v>45412</v>
      </c>
      <c r="C2775" s="1" t="n">
        <v>45670</v>
      </c>
      <c r="D2775" t="inlineStr">
        <is>
          <t>VÄSTERNORRLANDS LÄN</t>
        </is>
      </c>
      <c r="E2775" t="inlineStr">
        <is>
          <t>SOLLEFTEÅ</t>
        </is>
      </c>
      <c r="G2775" t="n">
        <v>7.8</v>
      </c>
      <c r="H2775" t="n">
        <v>0</v>
      </c>
      <c r="I2775" t="n">
        <v>0</v>
      </c>
      <c r="J2775" t="n">
        <v>0</v>
      </c>
      <c r="K2775" t="n">
        <v>0</v>
      </c>
      <c r="L2775" t="n">
        <v>0</v>
      </c>
      <c r="M2775" t="n">
        <v>0</v>
      </c>
      <c r="N2775" t="n">
        <v>0</v>
      </c>
      <c r="O2775" t="n">
        <v>0</v>
      </c>
      <c r="P2775" t="n">
        <v>0</v>
      </c>
      <c r="Q2775" t="n">
        <v>0</v>
      </c>
      <c r="R2775" s="2" t="inlineStr"/>
    </row>
    <row r="2776" ht="15" customHeight="1">
      <c r="A2776" t="inlineStr">
        <is>
          <t>A 17173-2024</t>
        </is>
      </c>
      <c r="B2776" s="1" t="n">
        <v>45413</v>
      </c>
      <c r="C2776" s="1" t="n">
        <v>45670</v>
      </c>
      <c r="D2776" t="inlineStr">
        <is>
          <t>VÄSTERNORRLANDS LÄN</t>
        </is>
      </c>
      <c r="E2776" t="inlineStr">
        <is>
          <t>SOLLEFTEÅ</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17111-2024</t>
        </is>
      </c>
      <c r="B2777" s="1" t="n">
        <v>45412</v>
      </c>
      <c r="C2777" s="1" t="n">
        <v>45670</v>
      </c>
      <c r="D2777" t="inlineStr">
        <is>
          <t>VÄSTERNORRLANDS LÄN</t>
        </is>
      </c>
      <c r="E2777" t="inlineStr">
        <is>
          <t>SOLLEFTEÅ</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17170-2024</t>
        </is>
      </c>
      <c r="B2778" s="1" t="n">
        <v>45413</v>
      </c>
      <c r="C2778" s="1" t="n">
        <v>45670</v>
      </c>
      <c r="D2778" t="inlineStr">
        <is>
          <t>VÄSTERNORRLANDS LÄN</t>
        </is>
      </c>
      <c r="E2778" t="inlineStr">
        <is>
          <t>SOLLEFTEÅ</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17209-2024</t>
        </is>
      </c>
      <c r="B2779" s="1" t="n">
        <v>45414</v>
      </c>
      <c r="C2779" s="1" t="n">
        <v>45670</v>
      </c>
      <c r="D2779" t="inlineStr">
        <is>
          <t>VÄSTERNORRLANDS LÄN</t>
        </is>
      </c>
      <c r="E2779" t="inlineStr">
        <is>
          <t>SOLLEFTEÅ</t>
        </is>
      </c>
      <c r="F2779" t="inlineStr">
        <is>
          <t>SCA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17263-2024</t>
        </is>
      </c>
      <c r="B2780" s="1" t="n">
        <v>45414</v>
      </c>
      <c r="C2780" s="1" t="n">
        <v>45670</v>
      </c>
      <c r="D2780" t="inlineStr">
        <is>
          <t>VÄSTERNORRLANDS LÄN</t>
        </is>
      </c>
      <c r="E2780" t="inlineStr">
        <is>
          <t>SOLLEFTEÅ</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17585-2024</t>
        </is>
      </c>
      <c r="B2781" s="1" t="n">
        <v>45416</v>
      </c>
      <c r="C2781" s="1" t="n">
        <v>45670</v>
      </c>
      <c r="D2781" t="inlineStr">
        <is>
          <t>VÄSTERNORRLANDS LÄN</t>
        </is>
      </c>
      <c r="E2781" t="inlineStr">
        <is>
          <t>SOLLEFTEÅ</t>
        </is>
      </c>
      <c r="G2781" t="n">
        <v>18.8</v>
      </c>
      <c r="H2781" t="n">
        <v>0</v>
      </c>
      <c r="I2781" t="n">
        <v>0</v>
      </c>
      <c r="J2781" t="n">
        <v>0</v>
      </c>
      <c r="K2781" t="n">
        <v>0</v>
      </c>
      <c r="L2781" t="n">
        <v>0</v>
      </c>
      <c r="M2781" t="n">
        <v>0</v>
      </c>
      <c r="N2781" t="n">
        <v>0</v>
      </c>
      <c r="O2781" t="n">
        <v>0</v>
      </c>
      <c r="P2781" t="n">
        <v>0</v>
      </c>
      <c r="Q2781" t="n">
        <v>0</v>
      </c>
      <c r="R2781" s="2" t="inlineStr"/>
    </row>
    <row r="2782" ht="15" customHeight="1">
      <c r="A2782" t="inlineStr">
        <is>
          <t>A 17512-2024</t>
        </is>
      </c>
      <c r="B2782" s="1" t="n">
        <v>45415</v>
      </c>
      <c r="C2782" s="1" t="n">
        <v>45670</v>
      </c>
      <c r="D2782" t="inlineStr">
        <is>
          <t>VÄSTERNORRLANDS LÄN</t>
        </is>
      </c>
      <c r="E2782" t="inlineStr">
        <is>
          <t>SOLLEFTEÅ</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17822-2024</t>
        </is>
      </c>
      <c r="B2783" s="1" t="n">
        <v>45419</v>
      </c>
      <c r="C2783" s="1" t="n">
        <v>45670</v>
      </c>
      <c r="D2783" t="inlineStr">
        <is>
          <t>VÄSTERNORRLANDS LÄN</t>
        </is>
      </c>
      <c r="E2783" t="inlineStr">
        <is>
          <t>SOLLEFTEÅ</t>
        </is>
      </c>
      <c r="F2783" t="inlineStr">
        <is>
          <t>SCA</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17826-2024</t>
        </is>
      </c>
      <c r="B2784" s="1" t="n">
        <v>45419</v>
      </c>
      <c r="C2784" s="1" t="n">
        <v>45670</v>
      </c>
      <c r="D2784" t="inlineStr">
        <is>
          <t>VÄSTERNORRLANDS LÄN</t>
        </is>
      </c>
      <c r="E2784" t="inlineStr">
        <is>
          <t>SOLLEFTEÅ</t>
        </is>
      </c>
      <c r="G2784" t="n">
        <v>10</v>
      </c>
      <c r="H2784" t="n">
        <v>0</v>
      </c>
      <c r="I2784" t="n">
        <v>0</v>
      </c>
      <c r="J2784" t="n">
        <v>0</v>
      </c>
      <c r="K2784" t="n">
        <v>0</v>
      </c>
      <c r="L2784" t="n">
        <v>0</v>
      </c>
      <c r="M2784" t="n">
        <v>0</v>
      </c>
      <c r="N2784" t="n">
        <v>0</v>
      </c>
      <c r="O2784" t="n">
        <v>0</v>
      </c>
      <c r="P2784" t="n">
        <v>0</v>
      </c>
      <c r="Q2784" t="n">
        <v>0</v>
      </c>
      <c r="R2784" s="2" t="inlineStr"/>
    </row>
    <row r="2785" ht="15" customHeight="1">
      <c r="A2785" t="inlineStr">
        <is>
          <t>A 18003-2024</t>
        </is>
      </c>
      <c r="B2785" s="1" t="n">
        <v>45420</v>
      </c>
      <c r="C2785" s="1" t="n">
        <v>45670</v>
      </c>
      <c r="D2785" t="inlineStr">
        <is>
          <t>VÄSTERNORRLANDS LÄN</t>
        </is>
      </c>
      <c r="E2785" t="inlineStr">
        <is>
          <t>SOLLEFTEÅ</t>
        </is>
      </c>
      <c r="F2785" t="inlineStr">
        <is>
          <t>SCA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18226-2024</t>
        </is>
      </c>
      <c r="B2786" s="1" t="n">
        <v>45420</v>
      </c>
      <c r="C2786" s="1" t="n">
        <v>45670</v>
      </c>
      <c r="D2786" t="inlineStr">
        <is>
          <t>VÄSTERNORRLANDS LÄN</t>
        </is>
      </c>
      <c r="E2786" t="inlineStr">
        <is>
          <t>SOLLEFTEÅ</t>
        </is>
      </c>
      <c r="F2786" t="inlineStr">
        <is>
          <t>SCA</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18220-2024</t>
        </is>
      </c>
      <c r="B2787" s="1" t="n">
        <v>45420</v>
      </c>
      <c r="C2787" s="1" t="n">
        <v>45670</v>
      </c>
      <c r="D2787" t="inlineStr">
        <is>
          <t>VÄSTERNORRLANDS LÄN</t>
        </is>
      </c>
      <c r="E2787" t="inlineStr">
        <is>
          <t>SOLLEFTEÅ</t>
        </is>
      </c>
      <c r="G2787" t="n">
        <v>14.3</v>
      </c>
      <c r="H2787" t="n">
        <v>0</v>
      </c>
      <c r="I2787" t="n">
        <v>0</v>
      </c>
      <c r="J2787" t="n">
        <v>0</v>
      </c>
      <c r="K2787" t="n">
        <v>0</v>
      </c>
      <c r="L2787" t="n">
        <v>0</v>
      </c>
      <c r="M2787" t="n">
        <v>0</v>
      </c>
      <c r="N2787" t="n">
        <v>0</v>
      </c>
      <c r="O2787" t="n">
        <v>0</v>
      </c>
      <c r="P2787" t="n">
        <v>0</v>
      </c>
      <c r="Q2787" t="n">
        <v>0</v>
      </c>
      <c r="R2787" s="2" t="inlineStr"/>
    </row>
    <row r="2788" ht="15" customHeight="1">
      <c r="A2788" t="inlineStr">
        <is>
          <t>A 18224-2024</t>
        </is>
      </c>
      <c r="B2788" s="1" t="n">
        <v>45421</v>
      </c>
      <c r="C2788" s="1" t="n">
        <v>45670</v>
      </c>
      <c r="D2788" t="inlineStr">
        <is>
          <t>VÄSTERNORRLANDS LÄN</t>
        </is>
      </c>
      <c r="E2788" t="inlineStr">
        <is>
          <t>SOLLEFTEÅ</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18362-2024</t>
        </is>
      </c>
      <c r="B2789" s="1" t="n">
        <v>45422</v>
      </c>
      <c r="C2789" s="1" t="n">
        <v>45670</v>
      </c>
      <c r="D2789" t="inlineStr">
        <is>
          <t>VÄSTERNORRLANDS LÄN</t>
        </is>
      </c>
      <c r="E2789" t="inlineStr">
        <is>
          <t>SOLLEFTEÅ</t>
        </is>
      </c>
      <c r="G2789" t="n">
        <v>7.8</v>
      </c>
      <c r="H2789" t="n">
        <v>0</v>
      </c>
      <c r="I2789" t="n">
        <v>0</v>
      </c>
      <c r="J2789" t="n">
        <v>0</v>
      </c>
      <c r="K2789" t="n">
        <v>0</v>
      </c>
      <c r="L2789" t="n">
        <v>0</v>
      </c>
      <c r="M2789" t="n">
        <v>0</v>
      </c>
      <c r="N2789" t="n">
        <v>0</v>
      </c>
      <c r="O2789" t="n">
        <v>0</v>
      </c>
      <c r="P2789" t="n">
        <v>0</v>
      </c>
      <c r="Q2789" t="n">
        <v>0</v>
      </c>
      <c r="R2789" s="2" t="inlineStr"/>
    </row>
    <row r="2790" ht="15" customHeight="1">
      <c r="A2790" t="inlineStr">
        <is>
          <t>A 18366-2024</t>
        </is>
      </c>
      <c r="B2790" s="1" t="n">
        <v>45422</v>
      </c>
      <c r="C2790" s="1" t="n">
        <v>45670</v>
      </c>
      <c r="D2790" t="inlineStr">
        <is>
          <t>VÄSTERNORRLANDS LÄN</t>
        </is>
      </c>
      <c r="E2790" t="inlineStr">
        <is>
          <t>SOLLEFTEÅ</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18363-2024</t>
        </is>
      </c>
      <c r="B2791" s="1" t="n">
        <v>45422</v>
      </c>
      <c r="C2791" s="1" t="n">
        <v>45670</v>
      </c>
      <c r="D2791" t="inlineStr">
        <is>
          <t>VÄSTERNORRLANDS LÄN</t>
        </is>
      </c>
      <c r="E2791" t="inlineStr">
        <is>
          <t>SOLLEFTEÅ</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18299-2024</t>
        </is>
      </c>
      <c r="B2792" s="1" t="n">
        <v>45422</v>
      </c>
      <c r="C2792" s="1" t="n">
        <v>45670</v>
      </c>
      <c r="D2792" t="inlineStr">
        <is>
          <t>VÄSTERNORRLANDS LÄN</t>
        </is>
      </c>
      <c r="E2792" t="inlineStr">
        <is>
          <t>SOLLEFTEÅ</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18365-2024</t>
        </is>
      </c>
      <c r="B2793" s="1" t="n">
        <v>45422</v>
      </c>
      <c r="C2793" s="1" t="n">
        <v>45670</v>
      </c>
      <c r="D2793" t="inlineStr">
        <is>
          <t>VÄSTERNORRLANDS LÄN</t>
        </is>
      </c>
      <c r="E2793" t="inlineStr">
        <is>
          <t>SOLLEFTEÅ</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18364-2024</t>
        </is>
      </c>
      <c r="B2794" s="1" t="n">
        <v>45422</v>
      </c>
      <c r="C2794" s="1" t="n">
        <v>45670</v>
      </c>
      <c r="D2794" t="inlineStr">
        <is>
          <t>VÄSTERNORRLANDS LÄN</t>
        </is>
      </c>
      <c r="E2794" t="inlineStr">
        <is>
          <t>SOLLEFTEÅ</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18623-2024</t>
        </is>
      </c>
      <c r="B2795" s="1" t="n">
        <v>45426</v>
      </c>
      <c r="C2795" s="1" t="n">
        <v>45670</v>
      </c>
      <c r="D2795" t="inlineStr">
        <is>
          <t>VÄSTERNORRLANDS LÄN</t>
        </is>
      </c>
      <c r="E2795" t="inlineStr">
        <is>
          <t>SOLLEFTEÅ</t>
        </is>
      </c>
      <c r="F2795" t="inlineStr">
        <is>
          <t>SCA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18436-2024</t>
        </is>
      </c>
      <c r="B2796" s="1" t="n">
        <v>45425</v>
      </c>
      <c r="C2796" s="1" t="n">
        <v>45670</v>
      </c>
      <c r="D2796" t="inlineStr">
        <is>
          <t>VÄSTERNORRLANDS LÄN</t>
        </is>
      </c>
      <c r="E2796" t="inlineStr">
        <is>
          <t>SOLLEFTEÅ</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18587-2024</t>
        </is>
      </c>
      <c r="B2797" s="1" t="n">
        <v>45425</v>
      </c>
      <c r="C2797" s="1" t="n">
        <v>45670</v>
      </c>
      <c r="D2797" t="inlineStr">
        <is>
          <t>VÄSTERNORRLANDS LÄN</t>
        </is>
      </c>
      <c r="E2797" t="inlineStr">
        <is>
          <t>SOLLEFTEÅ</t>
        </is>
      </c>
      <c r="G2797" t="n">
        <v>15.7</v>
      </c>
      <c r="H2797" t="n">
        <v>0</v>
      </c>
      <c r="I2797" t="n">
        <v>0</v>
      </c>
      <c r="J2797" t="n">
        <v>0</v>
      </c>
      <c r="K2797" t="n">
        <v>0</v>
      </c>
      <c r="L2797" t="n">
        <v>0</v>
      </c>
      <c r="M2797" t="n">
        <v>0</v>
      </c>
      <c r="N2797" t="n">
        <v>0</v>
      </c>
      <c r="O2797" t="n">
        <v>0</v>
      </c>
      <c r="P2797" t="n">
        <v>0</v>
      </c>
      <c r="Q2797" t="n">
        <v>0</v>
      </c>
      <c r="R2797" s="2" t="inlineStr"/>
    </row>
    <row r="2798" ht="15" customHeight="1">
      <c r="A2798" t="inlineStr">
        <is>
          <t>A 18620-2024</t>
        </is>
      </c>
      <c r="B2798" s="1" t="n">
        <v>45425</v>
      </c>
      <c r="C2798" s="1" t="n">
        <v>45670</v>
      </c>
      <c r="D2798" t="inlineStr">
        <is>
          <t>VÄSTERNORRLANDS LÄN</t>
        </is>
      </c>
      <c r="E2798" t="inlineStr">
        <is>
          <t>SOLLEFTEÅ</t>
        </is>
      </c>
      <c r="F2798" t="inlineStr">
        <is>
          <t>SCA</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18648-2024</t>
        </is>
      </c>
      <c r="B2799" s="1" t="n">
        <v>45426</v>
      </c>
      <c r="C2799" s="1" t="n">
        <v>45670</v>
      </c>
      <c r="D2799" t="inlineStr">
        <is>
          <t>VÄSTERNORRLANDS LÄN</t>
        </is>
      </c>
      <c r="E2799" t="inlineStr">
        <is>
          <t>SOLLEFTEÅ</t>
        </is>
      </c>
      <c r="F2799" t="inlineStr">
        <is>
          <t>SCA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18621-2024</t>
        </is>
      </c>
      <c r="B2800" s="1" t="n">
        <v>45425</v>
      </c>
      <c r="C2800" s="1" t="n">
        <v>45670</v>
      </c>
      <c r="D2800" t="inlineStr">
        <is>
          <t>VÄSTERNORRLANDS LÄN</t>
        </is>
      </c>
      <c r="E2800" t="inlineStr">
        <is>
          <t>SOLLEFTEÅ</t>
        </is>
      </c>
      <c r="F2800" t="inlineStr">
        <is>
          <t>SCA</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18649-2024</t>
        </is>
      </c>
      <c r="B2801" s="1" t="n">
        <v>45426</v>
      </c>
      <c r="C2801" s="1" t="n">
        <v>45670</v>
      </c>
      <c r="D2801" t="inlineStr">
        <is>
          <t>VÄSTERNORRLANDS LÄN</t>
        </is>
      </c>
      <c r="E2801" t="inlineStr">
        <is>
          <t>SOLLEFTEÅ</t>
        </is>
      </c>
      <c r="F2801" t="inlineStr">
        <is>
          <t>SCA</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18622-2024</t>
        </is>
      </c>
      <c r="B2802" s="1" t="n">
        <v>45426</v>
      </c>
      <c r="C2802" s="1" t="n">
        <v>45670</v>
      </c>
      <c r="D2802" t="inlineStr">
        <is>
          <t>VÄSTERNORRLANDS LÄN</t>
        </is>
      </c>
      <c r="E2802" t="inlineStr">
        <is>
          <t>SOLLEFTEÅ</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18672-2024</t>
        </is>
      </c>
      <c r="B2803" s="1" t="n">
        <v>45425</v>
      </c>
      <c r="C2803" s="1" t="n">
        <v>45670</v>
      </c>
      <c r="D2803" t="inlineStr">
        <is>
          <t>VÄSTERNORRLANDS LÄN</t>
        </is>
      </c>
      <c r="E2803" t="inlineStr">
        <is>
          <t>SOLLEFTEÅ</t>
        </is>
      </c>
      <c r="G2803" t="n">
        <v>22.8</v>
      </c>
      <c r="H2803" t="n">
        <v>0</v>
      </c>
      <c r="I2803" t="n">
        <v>0</v>
      </c>
      <c r="J2803" t="n">
        <v>0</v>
      </c>
      <c r="K2803" t="n">
        <v>0</v>
      </c>
      <c r="L2803" t="n">
        <v>0</v>
      </c>
      <c r="M2803" t="n">
        <v>0</v>
      </c>
      <c r="N2803" t="n">
        <v>0</v>
      </c>
      <c r="O2803" t="n">
        <v>0</v>
      </c>
      <c r="P2803" t="n">
        <v>0</v>
      </c>
      <c r="Q2803" t="n">
        <v>0</v>
      </c>
      <c r="R2803" s="2" t="inlineStr"/>
    </row>
    <row r="2804" ht="15" customHeight="1">
      <c r="A2804" t="inlineStr">
        <is>
          <t>A 19067-2024</t>
        </is>
      </c>
      <c r="B2804" s="1" t="n">
        <v>45427</v>
      </c>
      <c r="C2804" s="1" t="n">
        <v>45670</v>
      </c>
      <c r="D2804" t="inlineStr">
        <is>
          <t>VÄSTERNORRLANDS LÄN</t>
        </is>
      </c>
      <c r="E2804" t="inlineStr">
        <is>
          <t>SOLLEFTEÅ</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19064-2024</t>
        </is>
      </c>
      <c r="B2805" s="1" t="n">
        <v>45427</v>
      </c>
      <c r="C2805" s="1" t="n">
        <v>45670</v>
      </c>
      <c r="D2805" t="inlineStr">
        <is>
          <t>VÄSTERNORRLANDS LÄN</t>
        </is>
      </c>
      <c r="E2805" t="inlineStr">
        <is>
          <t>SOLLEFTEÅ</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19065-2024</t>
        </is>
      </c>
      <c r="B2806" s="1" t="n">
        <v>45427</v>
      </c>
      <c r="C2806" s="1" t="n">
        <v>45670</v>
      </c>
      <c r="D2806" t="inlineStr">
        <is>
          <t>VÄSTERNORRLANDS LÄN</t>
        </is>
      </c>
      <c r="E2806" t="inlineStr">
        <is>
          <t>SOLLEFTEÅ</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19082-2024</t>
        </is>
      </c>
      <c r="B2807" s="1" t="n">
        <v>45428</v>
      </c>
      <c r="C2807" s="1" t="n">
        <v>45670</v>
      </c>
      <c r="D2807" t="inlineStr">
        <is>
          <t>VÄSTERNORRLANDS LÄN</t>
        </is>
      </c>
      <c r="E2807" t="inlineStr">
        <is>
          <t>SOLLEFTEÅ</t>
        </is>
      </c>
      <c r="F2807" t="inlineStr">
        <is>
          <t>SCA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19207-2024</t>
        </is>
      </c>
      <c r="B2808" s="1" t="n">
        <v>45428</v>
      </c>
      <c r="C2808" s="1" t="n">
        <v>45670</v>
      </c>
      <c r="D2808" t="inlineStr">
        <is>
          <t>VÄSTERNORRLANDS LÄN</t>
        </is>
      </c>
      <c r="E2808" t="inlineStr">
        <is>
          <t>SOLLEFTEÅ</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19347-2024</t>
        </is>
      </c>
      <c r="B2809" s="1" t="n">
        <v>45429</v>
      </c>
      <c r="C2809" s="1" t="n">
        <v>45670</v>
      </c>
      <c r="D2809" t="inlineStr">
        <is>
          <t>VÄSTERNORRLANDS LÄN</t>
        </is>
      </c>
      <c r="E2809" t="inlineStr">
        <is>
          <t>SOLLEFTEÅ</t>
        </is>
      </c>
      <c r="G2809" t="n">
        <v>14.5</v>
      </c>
      <c r="H2809" t="n">
        <v>0</v>
      </c>
      <c r="I2809" t="n">
        <v>0</v>
      </c>
      <c r="J2809" t="n">
        <v>0</v>
      </c>
      <c r="K2809" t="n">
        <v>0</v>
      </c>
      <c r="L2809" t="n">
        <v>0</v>
      </c>
      <c r="M2809" t="n">
        <v>0</v>
      </c>
      <c r="N2809" t="n">
        <v>0</v>
      </c>
      <c r="O2809" t="n">
        <v>0</v>
      </c>
      <c r="P2809" t="n">
        <v>0</v>
      </c>
      <c r="Q2809" t="n">
        <v>0</v>
      </c>
      <c r="R2809" s="2" t="inlineStr"/>
    </row>
    <row r="2810" ht="15" customHeight="1">
      <c r="A2810" t="inlineStr">
        <is>
          <t>A 19326-2024</t>
        </is>
      </c>
      <c r="B2810" s="1" t="n">
        <v>45428</v>
      </c>
      <c r="C2810" s="1" t="n">
        <v>45670</v>
      </c>
      <c r="D2810" t="inlineStr">
        <is>
          <t>VÄSTERNORRLANDS LÄN</t>
        </is>
      </c>
      <c r="E2810" t="inlineStr">
        <is>
          <t>SOLLEFTEÅ</t>
        </is>
      </c>
      <c r="G2810" t="n">
        <v>7.4</v>
      </c>
      <c r="H2810" t="n">
        <v>0</v>
      </c>
      <c r="I2810" t="n">
        <v>0</v>
      </c>
      <c r="J2810" t="n">
        <v>0</v>
      </c>
      <c r="K2810" t="n">
        <v>0</v>
      </c>
      <c r="L2810" t="n">
        <v>0</v>
      </c>
      <c r="M2810" t="n">
        <v>0</v>
      </c>
      <c r="N2810" t="n">
        <v>0</v>
      </c>
      <c r="O2810" t="n">
        <v>0</v>
      </c>
      <c r="P2810" t="n">
        <v>0</v>
      </c>
      <c r="Q2810" t="n">
        <v>0</v>
      </c>
      <c r="R2810" s="2" t="inlineStr"/>
    </row>
    <row r="2811" ht="15" customHeight="1">
      <c r="A2811" t="inlineStr">
        <is>
          <t>A 19429-2024</t>
        </is>
      </c>
      <c r="B2811" s="1" t="n">
        <v>45429</v>
      </c>
      <c r="C2811" s="1" t="n">
        <v>45670</v>
      </c>
      <c r="D2811" t="inlineStr">
        <is>
          <t>VÄSTERNORRLANDS LÄN</t>
        </is>
      </c>
      <c r="E2811" t="inlineStr">
        <is>
          <t>SOLLEFTEÅ</t>
        </is>
      </c>
      <c r="G2811" t="n">
        <v>10.6</v>
      </c>
      <c r="H2811" t="n">
        <v>0</v>
      </c>
      <c r="I2811" t="n">
        <v>0</v>
      </c>
      <c r="J2811" t="n">
        <v>0</v>
      </c>
      <c r="K2811" t="n">
        <v>0</v>
      </c>
      <c r="L2811" t="n">
        <v>0</v>
      </c>
      <c r="M2811" t="n">
        <v>0</v>
      </c>
      <c r="N2811" t="n">
        <v>0</v>
      </c>
      <c r="O2811" t="n">
        <v>0</v>
      </c>
      <c r="P2811" t="n">
        <v>0</v>
      </c>
      <c r="Q2811" t="n">
        <v>0</v>
      </c>
      <c r="R2811" s="2" t="inlineStr"/>
    </row>
    <row r="2812" ht="15" customHeight="1">
      <c r="A2812" t="inlineStr">
        <is>
          <t>A 19577-2024</t>
        </is>
      </c>
      <c r="B2812" s="1" t="n">
        <v>45429</v>
      </c>
      <c r="C2812" s="1" t="n">
        <v>45670</v>
      </c>
      <c r="D2812" t="inlineStr">
        <is>
          <t>VÄSTERNORRLANDS LÄN</t>
        </is>
      </c>
      <c r="E2812" t="inlineStr">
        <is>
          <t>SOLLEFTEÅ</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19556-2024</t>
        </is>
      </c>
      <c r="B2813" s="1" t="n">
        <v>45429</v>
      </c>
      <c r="C2813" s="1" t="n">
        <v>45670</v>
      </c>
      <c r="D2813" t="inlineStr">
        <is>
          <t>VÄSTERNORRLANDS LÄN</t>
        </is>
      </c>
      <c r="E2813" t="inlineStr">
        <is>
          <t>SOLLEFTEÅ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19580-2024</t>
        </is>
      </c>
      <c r="B2814" s="1" t="n">
        <v>45429</v>
      </c>
      <c r="C2814" s="1" t="n">
        <v>45670</v>
      </c>
      <c r="D2814" t="inlineStr">
        <is>
          <t>VÄSTERNORRLANDS LÄN</t>
        </is>
      </c>
      <c r="E2814" t="inlineStr">
        <is>
          <t>SOLLEFTEÅ</t>
        </is>
      </c>
      <c r="G2814" t="n">
        <v>6.6</v>
      </c>
      <c r="H2814" t="n">
        <v>0</v>
      </c>
      <c r="I2814" t="n">
        <v>0</v>
      </c>
      <c r="J2814" t="n">
        <v>0</v>
      </c>
      <c r="K2814" t="n">
        <v>0</v>
      </c>
      <c r="L2814" t="n">
        <v>0</v>
      </c>
      <c r="M2814" t="n">
        <v>0</v>
      </c>
      <c r="N2814" t="n">
        <v>0</v>
      </c>
      <c r="O2814" t="n">
        <v>0</v>
      </c>
      <c r="P2814" t="n">
        <v>0</v>
      </c>
      <c r="Q2814" t="n">
        <v>0</v>
      </c>
      <c r="R2814" s="2" t="inlineStr"/>
    </row>
    <row r="2815" ht="15" customHeight="1">
      <c r="A2815" t="inlineStr">
        <is>
          <t>A 19571-2024</t>
        </is>
      </c>
      <c r="B2815" s="1" t="n">
        <v>45429</v>
      </c>
      <c r="C2815" s="1" t="n">
        <v>45670</v>
      </c>
      <c r="D2815" t="inlineStr">
        <is>
          <t>VÄSTERNORRLANDS LÄN</t>
        </is>
      </c>
      <c r="E2815" t="inlineStr">
        <is>
          <t>SOLLEFTEÅ</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19602-2024</t>
        </is>
      </c>
      <c r="B2816" s="1" t="n">
        <v>45431</v>
      </c>
      <c r="C2816" s="1" t="n">
        <v>45670</v>
      </c>
      <c r="D2816" t="inlineStr">
        <is>
          <t>VÄSTERNORRLANDS LÄN</t>
        </is>
      </c>
      <c r="E2816" t="inlineStr">
        <is>
          <t>SOLLEFTEÅ</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19994-2024</t>
        </is>
      </c>
      <c r="B2817" s="1" t="n">
        <v>45434</v>
      </c>
      <c r="C2817" s="1" t="n">
        <v>45670</v>
      </c>
      <c r="D2817" t="inlineStr">
        <is>
          <t>VÄSTERNORRLANDS LÄN</t>
        </is>
      </c>
      <c r="E2817" t="inlineStr">
        <is>
          <t>SOLLEFTEÅ</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20002-2024</t>
        </is>
      </c>
      <c r="B2818" s="1" t="n">
        <v>45433</v>
      </c>
      <c r="C2818" s="1" t="n">
        <v>45670</v>
      </c>
      <c r="D2818" t="inlineStr">
        <is>
          <t>VÄSTERNORRLANDS LÄN</t>
        </is>
      </c>
      <c r="E2818" t="inlineStr">
        <is>
          <t>SOLLEFTEÅ</t>
        </is>
      </c>
      <c r="F2818" t="inlineStr">
        <is>
          <t>SCA</t>
        </is>
      </c>
      <c r="G2818" t="n">
        <v>6.4</v>
      </c>
      <c r="H2818" t="n">
        <v>0</v>
      </c>
      <c r="I2818" t="n">
        <v>0</v>
      </c>
      <c r="J2818" t="n">
        <v>0</v>
      </c>
      <c r="K2818" t="n">
        <v>0</v>
      </c>
      <c r="L2818" t="n">
        <v>0</v>
      </c>
      <c r="M2818" t="n">
        <v>0</v>
      </c>
      <c r="N2818" t="n">
        <v>0</v>
      </c>
      <c r="O2818" t="n">
        <v>0</v>
      </c>
      <c r="P2818" t="n">
        <v>0</v>
      </c>
      <c r="Q2818" t="n">
        <v>0</v>
      </c>
      <c r="R2818" s="2" t="inlineStr"/>
    </row>
    <row r="2819" ht="15" customHeight="1">
      <c r="A2819" t="inlineStr">
        <is>
          <t>A 20022-2024</t>
        </is>
      </c>
      <c r="B2819" s="1" t="n">
        <v>45434</v>
      </c>
      <c r="C2819" s="1" t="n">
        <v>45670</v>
      </c>
      <c r="D2819" t="inlineStr">
        <is>
          <t>VÄSTERNORRLANDS LÄN</t>
        </is>
      </c>
      <c r="E2819" t="inlineStr">
        <is>
          <t>SOLLEFTEÅ</t>
        </is>
      </c>
      <c r="F2819" t="inlineStr">
        <is>
          <t>Holmen skog AB</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20025-2024</t>
        </is>
      </c>
      <c r="B2820" s="1" t="n">
        <v>45434</v>
      </c>
      <c r="C2820" s="1" t="n">
        <v>45670</v>
      </c>
      <c r="D2820" t="inlineStr">
        <is>
          <t>VÄSTERNORRLANDS LÄN</t>
        </is>
      </c>
      <c r="E2820" t="inlineStr">
        <is>
          <t>SOLLEFTEÅ</t>
        </is>
      </c>
      <c r="F2820" t="inlineStr">
        <is>
          <t>Holmen skog AB</t>
        </is>
      </c>
      <c r="G2820" t="n">
        <v>10</v>
      </c>
      <c r="H2820" t="n">
        <v>0</v>
      </c>
      <c r="I2820" t="n">
        <v>0</v>
      </c>
      <c r="J2820" t="n">
        <v>0</v>
      </c>
      <c r="K2820" t="n">
        <v>0</v>
      </c>
      <c r="L2820" t="n">
        <v>0</v>
      </c>
      <c r="M2820" t="n">
        <v>0</v>
      </c>
      <c r="N2820" t="n">
        <v>0</v>
      </c>
      <c r="O2820" t="n">
        <v>0</v>
      </c>
      <c r="P2820" t="n">
        <v>0</v>
      </c>
      <c r="Q2820" t="n">
        <v>0</v>
      </c>
      <c r="R2820" s="2" t="inlineStr"/>
    </row>
    <row r="2821" ht="15" customHeight="1">
      <c r="A2821" t="inlineStr">
        <is>
          <t>A 20066-2024</t>
        </is>
      </c>
      <c r="B2821" s="1" t="n">
        <v>45434</v>
      </c>
      <c r="C2821" s="1" t="n">
        <v>45670</v>
      </c>
      <c r="D2821" t="inlineStr">
        <is>
          <t>VÄSTERNORRLANDS LÄN</t>
        </is>
      </c>
      <c r="E2821" t="inlineStr">
        <is>
          <t>SOLLEFTEÅ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20223-2024</t>
        </is>
      </c>
      <c r="B2822" s="1" t="n">
        <v>45434</v>
      </c>
      <c r="C2822" s="1" t="n">
        <v>45670</v>
      </c>
      <c r="D2822" t="inlineStr">
        <is>
          <t>VÄSTERNORRLANDS LÄN</t>
        </is>
      </c>
      <c r="E2822" t="inlineStr">
        <is>
          <t>SOLLEFTEÅ</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20281-2024</t>
        </is>
      </c>
      <c r="B2823" s="1" t="n">
        <v>45435</v>
      </c>
      <c r="C2823" s="1" t="n">
        <v>45670</v>
      </c>
      <c r="D2823" t="inlineStr">
        <is>
          <t>VÄSTERNORRLANDS LÄN</t>
        </is>
      </c>
      <c r="E2823" t="inlineStr">
        <is>
          <t>SOLLEFTEÅ</t>
        </is>
      </c>
      <c r="F2823" t="inlineStr">
        <is>
          <t>SCA</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20280-2024</t>
        </is>
      </c>
      <c r="B2824" s="1" t="n">
        <v>45435</v>
      </c>
      <c r="C2824" s="1" t="n">
        <v>45670</v>
      </c>
      <c r="D2824" t="inlineStr">
        <is>
          <t>VÄSTERNORRLANDS LÄN</t>
        </is>
      </c>
      <c r="E2824" t="inlineStr">
        <is>
          <t>SOLLEFTEÅ</t>
        </is>
      </c>
      <c r="F2824" t="inlineStr">
        <is>
          <t>SCA</t>
        </is>
      </c>
      <c r="G2824" t="n">
        <v>7.2</v>
      </c>
      <c r="H2824" t="n">
        <v>0</v>
      </c>
      <c r="I2824" t="n">
        <v>0</v>
      </c>
      <c r="J2824" t="n">
        <v>0</v>
      </c>
      <c r="K2824" t="n">
        <v>0</v>
      </c>
      <c r="L2824" t="n">
        <v>0</v>
      </c>
      <c r="M2824" t="n">
        <v>0</v>
      </c>
      <c r="N2824" t="n">
        <v>0</v>
      </c>
      <c r="O2824" t="n">
        <v>0</v>
      </c>
      <c r="P2824" t="n">
        <v>0</v>
      </c>
      <c r="Q2824" t="n">
        <v>0</v>
      </c>
      <c r="R2824" s="2" t="inlineStr"/>
    </row>
    <row r="2825" ht="15" customHeight="1">
      <c r="A2825" t="inlineStr">
        <is>
          <t>A 20506-2024</t>
        </is>
      </c>
      <c r="B2825" s="1" t="n">
        <v>45436</v>
      </c>
      <c r="C2825" s="1" t="n">
        <v>45670</v>
      </c>
      <c r="D2825" t="inlineStr">
        <is>
          <t>VÄSTERNORRLANDS LÄN</t>
        </is>
      </c>
      <c r="E2825" t="inlineStr">
        <is>
          <t>SOLLEFTEÅ</t>
        </is>
      </c>
      <c r="F2825" t="inlineStr">
        <is>
          <t>SCA</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20354-2024</t>
        </is>
      </c>
      <c r="B2826" s="1" t="n">
        <v>45435</v>
      </c>
      <c r="C2826" s="1" t="n">
        <v>45670</v>
      </c>
      <c r="D2826" t="inlineStr">
        <is>
          <t>VÄSTERNORRLANDS LÄN</t>
        </is>
      </c>
      <c r="E2826" t="inlineStr">
        <is>
          <t>SOLLEFTEÅ</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20516-2024</t>
        </is>
      </c>
      <c r="B2827" s="1" t="n">
        <v>45435</v>
      </c>
      <c r="C2827" s="1" t="n">
        <v>45670</v>
      </c>
      <c r="D2827" t="inlineStr">
        <is>
          <t>VÄSTERNORRLANDS LÄN</t>
        </is>
      </c>
      <c r="E2827" t="inlineStr">
        <is>
          <t>SOLLEFTEÅ</t>
        </is>
      </c>
      <c r="F2827" t="inlineStr">
        <is>
          <t>SCA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20507-2024</t>
        </is>
      </c>
      <c r="B2828" s="1" t="n">
        <v>45435</v>
      </c>
      <c r="C2828" s="1" t="n">
        <v>45670</v>
      </c>
      <c r="D2828" t="inlineStr">
        <is>
          <t>VÄSTERNORRLANDS LÄN</t>
        </is>
      </c>
      <c r="E2828" t="inlineStr">
        <is>
          <t>SOLLEFTEÅ</t>
        </is>
      </c>
      <c r="F2828" t="inlineStr">
        <is>
          <t>SCA</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20515-2024</t>
        </is>
      </c>
      <c r="B2829" s="1" t="n">
        <v>45435</v>
      </c>
      <c r="C2829" s="1" t="n">
        <v>45670</v>
      </c>
      <c r="D2829" t="inlineStr">
        <is>
          <t>VÄSTERNORRLANDS LÄN</t>
        </is>
      </c>
      <c r="E2829" t="inlineStr">
        <is>
          <t>SOLLEFTEÅ</t>
        </is>
      </c>
      <c r="F2829" t="inlineStr">
        <is>
          <t>SCA</t>
        </is>
      </c>
      <c r="G2829" t="n">
        <v>18.8</v>
      </c>
      <c r="H2829" t="n">
        <v>0</v>
      </c>
      <c r="I2829" t="n">
        <v>0</v>
      </c>
      <c r="J2829" t="n">
        <v>0</v>
      </c>
      <c r="K2829" t="n">
        <v>0</v>
      </c>
      <c r="L2829" t="n">
        <v>0</v>
      </c>
      <c r="M2829" t="n">
        <v>0</v>
      </c>
      <c r="N2829" t="n">
        <v>0</v>
      </c>
      <c r="O2829" t="n">
        <v>0</v>
      </c>
      <c r="P2829" t="n">
        <v>0</v>
      </c>
      <c r="Q2829" t="n">
        <v>0</v>
      </c>
      <c r="R2829" s="2" t="inlineStr"/>
    </row>
    <row r="2830" ht="15" customHeight="1">
      <c r="A2830" t="inlineStr">
        <is>
          <t>A 20520-2024</t>
        </is>
      </c>
      <c r="B2830" s="1" t="n">
        <v>45435</v>
      </c>
      <c r="C2830" s="1" t="n">
        <v>45670</v>
      </c>
      <c r="D2830" t="inlineStr">
        <is>
          <t>VÄSTERNORRLANDS LÄN</t>
        </is>
      </c>
      <c r="E2830" t="inlineStr">
        <is>
          <t>SOLLEFTEÅ</t>
        </is>
      </c>
      <c r="F2830" t="inlineStr">
        <is>
          <t>SCA</t>
        </is>
      </c>
      <c r="G2830" t="n">
        <v>8.199999999999999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20604-2024</t>
        </is>
      </c>
      <c r="B2831" s="1" t="n">
        <v>45436</v>
      </c>
      <c r="C2831" s="1" t="n">
        <v>45670</v>
      </c>
      <c r="D2831" t="inlineStr">
        <is>
          <t>VÄSTERNORRLANDS LÄN</t>
        </is>
      </c>
      <c r="E2831" t="inlineStr">
        <is>
          <t>SOLLEFTEÅ</t>
        </is>
      </c>
      <c r="G2831" t="n">
        <v>10.7</v>
      </c>
      <c r="H2831" t="n">
        <v>0</v>
      </c>
      <c r="I2831" t="n">
        <v>0</v>
      </c>
      <c r="J2831" t="n">
        <v>0</v>
      </c>
      <c r="K2831" t="n">
        <v>0</v>
      </c>
      <c r="L2831" t="n">
        <v>0</v>
      </c>
      <c r="M2831" t="n">
        <v>0</v>
      </c>
      <c r="N2831" t="n">
        <v>0</v>
      </c>
      <c r="O2831" t="n">
        <v>0</v>
      </c>
      <c r="P2831" t="n">
        <v>0</v>
      </c>
      <c r="Q2831" t="n">
        <v>0</v>
      </c>
      <c r="R2831" s="2" t="inlineStr"/>
    </row>
    <row r="2832" ht="15" customHeight="1">
      <c r="A2832" t="inlineStr">
        <is>
          <t>A 20764-2024</t>
        </is>
      </c>
      <c r="B2832" s="1" t="n">
        <v>45436</v>
      </c>
      <c r="C2832" s="1" t="n">
        <v>45670</v>
      </c>
      <c r="D2832" t="inlineStr">
        <is>
          <t>VÄSTERNORRLANDS LÄN</t>
        </is>
      </c>
      <c r="E2832" t="inlineStr">
        <is>
          <t>SOLLEFTEÅ</t>
        </is>
      </c>
      <c r="F2832" t="inlineStr">
        <is>
          <t>SCA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20799-2024</t>
        </is>
      </c>
      <c r="B2833" s="1" t="n">
        <v>45438</v>
      </c>
      <c r="C2833" s="1" t="n">
        <v>45670</v>
      </c>
      <c r="D2833" t="inlineStr">
        <is>
          <t>VÄSTERNORRLANDS LÄN</t>
        </is>
      </c>
      <c r="E2833" t="inlineStr">
        <is>
          <t>SOLLEFTEÅ</t>
        </is>
      </c>
      <c r="F2833" t="inlineStr">
        <is>
          <t>SCA</t>
        </is>
      </c>
      <c r="G2833" t="n">
        <v>0.1</v>
      </c>
      <c r="H2833" t="n">
        <v>0</v>
      </c>
      <c r="I2833" t="n">
        <v>0</v>
      </c>
      <c r="J2833" t="n">
        <v>0</v>
      </c>
      <c r="K2833" t="n">
        <v>0</v>
      </c>
      <c r="L2833" t="n">
        <v>0</v>
      </c>
      <c r="M2833" t="n">
        <v>0</v>
      </c>
      <c r="N2833" t="n">
        <v>0</v>
      </c>
      <c r="O2833" t="n">
        <v>0</v>
      </c>
      <c r="P2833" t="n">
        <v>0</v>
      </c>
      <c r="Q2833" t="n">
        <v>0</v>
      </c>
      <c r="R2833" s="2" t="inlineStr"/>
    </row>
    <row r="2834" ht="15" customHeight="1">
      <c r="A2834" t="inlineStr">
        <is>
          <t>A 21031-2024</t>
        </is>
      </c>
      <c r="B2834" s="1" t="n">
        <v>45439</v>
      </c>
      <c r="C2834" s="1" t="n">
        <v>45670</v>
      </c>
      <c r="D2834" t="inlineStr">
        <is>
          <t>VÄSTERNORRLANDS LÄN</t>
        </is>
      </c>
      <c r="E2834" t="inlineStr">
        <is>
          <t>SOLLEFTEÅ</t>
        </is>
      </c>
      <c r="F2834" t="inlineStr">
        <is>
          <t>Holmen skog AB</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21098-2024</t>
        </is>
      </c>
      <c r="B2835" s="1" t="n">
        <v>45440</v>
      </c>
      <c r="C2835" s="1" t="n">
        <v>45670</v>
      </c>
      <c r="D2835" t="inlineStr">
        <is>
          <t>VÄSTERNORRLANDS LÄN</t>
        </is>
      </c>
      <c r="E2835" t="inlineStr">
        <is>
          <t>SOLLEFTEÅ</t>
        </is>
      </c>
      <c r="F2835" t="inlineStr">
        <is>
          <t>SCA</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21106-2024</t>
        </is>
      </c>
      <c r="B2836" s="1" t="n">
        <v>45440</v>
      </c>
      <c r="C2836" s="1" t="n">
        <v>45670</v>
      </c>
      <c r="D2836" t="inlineStr">
        <is>
          <t>VÄSTERNORRLANDS LÄN</t>
        </is>
      </c>
      <c r="E2836" t="inlineStr">
        <is>
          <t>SOLLEFTEÅ</t>
        </is>
      </c>
      <c r="F2836" t="inlineStr">
        <is>
          <t>SCA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21096-2024</t>
        </is>
      </c>
      <c r="B2837" s="1" t="n">
        <v>45440</v>
      </c>
      <c r="C2837" s="1" t="n">
        <v>45670</v>
      </c>
      <c r="D2837" t="inlineStr">
        <is>
          <t>VÄSTERNORRLANDS LÄN</t>
        </is>
      </c>
      <c r="E2837" t="inlineStr">
        <is>
          <t>SOLLEFTEÅ</t>
        </is>
      </c>
      <c r="F2837" t="inlineStr">
        <is>
          <t>SCA</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21100-2024</t>
        </is>
      </c>
      <c r="B2838" s="1" t="n">
        <v>45440</v>
      </c>
      <c r="C2838" s="1" t="n">
        <v>45670</v>
      </c>
      <c r="D2838" t="inlineStr">
        <is>
          <t>VÄSTERNORRLANDS LÄN</t>
        </is>
      </c>
      <c r="E2838" t="inlineStr">
        <is>
          <t>SOLLEFTEÅ</t>
        </is>
      </c>
      <c r="F2838" t="inlineStr">
        <is>
          <t>SCA</t>
        </is>
      </c>
      <c r="G2838" t="n">
        <v>8.1</v>
      </c>
      <c r="H2838" t="n">
        <v>0</v>
      </c>
      <c r="I2838" t="n">
        <v>0</v>
      </c>
      <c r="J2838" t="n">
        <v>0</v>
      </c>
      <c r="K2838" t="n">
        <v>0</v>
      </c>
      <c r="L2838" t="n">
        <v>0</v>
      </c>
      <c r="M2838" t="n">
        <v>0</v>
      </c>
      <c r="N2838" t="n">
        <v>0</v>
      </c>
      <c r="O2838" t="n">
        <v>0</v>
      </c>
      <c r="P2838" t="n">
        <v>0</v>
      </c>
      <c r="Q2838" t="n">
        <v>0</v>
      </c>
      <c r="R2838" s="2" t="inlineStr"/>
    </row>
    <row r="2839" ht="15" customHeight="1">
      <c r="A2839" t="inlineStr">
        <is>
          <t>A 21092-2024</t>
        </is>
      </c>
      <c r="B2839" s="1" t="n">
        <v>45440</v>
      </c>
      <c r="C2839" s="1" t="n">
        <v>45670</v>
      </c>
      <c r="D2839" t="inlineStr">
        <is>
          <t>VÄSTERNORRLANDS LÄN</t>
        </is>
      </c>
      <c r="E2839" t="inlineStr">
        <is>
          <t>SOLLEFTEÅ</t>
        </is>
      </c>
      <c r="F2839" t="inlineStr">
        <is>
          <t>SCA</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21099-2024</t>
        </is>
      </c>
      <c r="B2840" s="1" t="n">
        <v>45439</v>
      </c>
      <c r="C2840" s="1" t="n">
        <v>45670</v>
      </c>
      <c r="D2840" t="inlineStr">
        <is>
          <t>VÄSTERNORRLANDS LÄN</t>
        </is>
      </c>
      <c r="E2840" t="inlineStr">
        <is>
          <t>SOLLEFTEÅ</t>
        </is>
      </c>
      <c r="F2840" t="inlineStr">
        <is>
          <t>SCA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21095-2024</t>
        </is>
      </c>
      <c r="B2841" s="1" t="n">
        <v>45440</v>
      </c>
      <c r="C2841" s="1" t="n">
        <v>45670</v>
      </c>
      <c r="D2841" t="inlineStr">
        <is>
          <t>VÄSTERNORRLANDS LÄN</t>
        </is>
      </c>
      <c r="E2841" t="inlineStr">
        <is>
          <t>SOLLEFTEÅ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21087-2024</t>
        </is>
      </c>
      <c r="B2842" s="1" t="n">
        <v>45440</v>
      </c>
      <c r="C2842" s="1" t="n">
        <v>45670</v>
      </c>
      <c r="D2842" t="inlineStr">
        <is>
          <t>VÄSTERNORRLANDS LÄN</t>
        </is>
      </c>
      <c r="E2842" t="inlineStr">
        <is>
          <t>SOLLEFTEÅ</t>
        </is>
      </c>
      <c r="F2842" t="inlineStr">
        <is>
          <t>SCA</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21101-2024</t>
        </is>
      </c>
      <c r="B2843" s="1" t="n">
        <v>45439</v>
      </c>
      <c r="C2843" s="1" t="n">
        <v>45670</v>
      </c>
      <c r="D2843" t="inlineStr">
        <is>
          <t>VÄSTERNORRLANDS LÄN</t>
        </is>
      </c>
      <c r="E2843" t="inlineStr">
        <is>
          <t>SOLLEFTEÅ</t>
        </is>
      </c>
      <c r="F2843" t="inlineStr">
        <is>
          <t>SCA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21137-2024</t>
        </is>
      </c>
      <c r="B2844" s="1" t="n">
        <v>45440</v>
      </c>
      <c r="C2844" s="1" t="n">
        <v>45670</v>
      </c>
      <c r="D2844" t="inlineStr">
        <is>
          <t>VÄSTERNORRLANDS LÄN</t>
        </is>
      </c>
      <c r="E2844" t="inlineStr">
        <is>
          <t>SOLLEFTEÅ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21364-2024</t>
        </is>
      </c>
      <c r="B2845" s="1" t="n">
        <v>45441</v>
      </c>
      <c r="C2845" s="1" t="n">
        <v>45670</v>
      </c>
      <c r="D2845" t="inlineStr">
        <is>
          <t>VÄSTERNORRLANDS LÄN</t>
        </is>
      </c>
      <c r="E2845" t="inlineStr">
        <is>
          <t>SOLLEFTEÅ</t>
        </is>
      </c>
      <c r="F2845" t="inlineStr">
        <is>
          <t>SCA</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21363-2024</t>
        </is>
      </c>
      <c r="B2846" s="1" t="n">
        <v>45441</v>
      </c>
      <c r="C2846" s="1" t="n">
        <v>45670</v>
      </c>
      <c r="D2846" t="inlineStr">
        <is>
          <t>VÄSTERNORRLANDS LÄN</t>
        </is>
      </c>
      <c r="E2846" t="inlineStr">
        <is>
          <t>SOLLEFTEÅ</t>
        </is>
      </c>
      <c r="F2846" t="inlineStr">
        <is>
          <t>SCA</t>
        </is>
      </c>
      <c r="G2846" t="n">
        <v>7.4</v>
      </c>
      <c r="H2846" t="n">
        <v>0</v>
      </c>
      <c r="I2846" t="n">
        <v>0</v>
      </c>
      <c r="J2846" t="n">
        <v>0</v>
      </c>
      <c r="K2846" t="n">
        <v>0</v>
      </c>
      <c r="L2846" t="n">
        <v>0</v>
      </c>
      <c r="M2846" t="n">
        <v>0</v>
      </c>
      <c r="N2846" t="n">
        <v>0</v>
      </c>
      <c r="O2846" t="n">
        <v>0</v>
      </c>
      <c r="P2846" t="n">
        <v>0</v>
      </c>
      <c r="Q2846" t="n">
        <v>0</v>
      </c>
      <c r="R2846" s="2" t="inlineStr"/>
    </row>
    <row r="2847" ht="15" customHeight="1">
      <c r="A2847" t="inlineStr">
        <is>
          <t>A 21384-2024</t>
        </is>
      </c>
      <c r="B2847" s="1" t="n">
        <v>45440</v>
      </c>
      <c r="C2847" s="1" t="n">
        <v>45670</v>
      </c>
      <c r="D2847" t="inlineStr">
        <is>
          <t>VÄSTERNORRLANDS LÄN</t>
        </is>
      </c>
      <c r="E2847" t="inlineStr">
        <is>
          <t>SOLLEFTEÅ</t>
        </is>
      </c>
      <c r="F2847" t="inlineStr">
        <is>
          <t>SCA</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21852-2024</t>
        </is>
      </c>
      <c r="B2848" s="1" t="n">
        <v>45443</v>
      </c>
      <c r="C2848" s="1" t="n">
        <v>45670</v>
      </c>
      <c r="D2848" t="inlineStr">
        <is>
          <t>VÄSTERNORRLANDS LÄN</t>
        </is>
      </c>
      <c r="E2848" t="inlineStr">
        <is>
          <t>SOLLEFTEÅ</t>
        </is>
      </c>
      <c r="F2848" t="inlineStr">
        <is>
          <t>SCA</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22100-2024</t>
        </is>
      </c>
      <c r="B2849" s="1" t="n">
        <v>45444</v>
      </c>
      <c r="C2849" s="1" t="n">
        <v>45670</v>
      </c>
      <c r="D2849" t="inlineStr">
        <is>
          <t>VÄSTERNORRLANDS LÄN</t>
        </is>
      </c>
      <c r="E2849" t="inlineStr">
        <is>
          <t>SOLLEFTEÅ</t>
        </is>
      </c>
      <c r="F2849" t="inlineStr">
        <is>
          <t>SCA</t>
        </is>
      </c>
      <c r="G2849" t="n">
        <v>5.7</v>
      </c>
      <c r="H2849" t="n">
        <v>0</v>
      </c>
      <c r="I2849" t="n">
        <v>0</v>
      </c>
      <c r="J2849" t="n">
        <v>0</v>
      </c>
      <c r="K2849" t="n">
        <v>0</v>
      </c>
      <c r="L2849" t="n">
        <v>0</v>
      </c>
      <c r="M2849" t="n">
        <v>0</v>
      </c>
      <c r="N2849" t="n">
        <v>0</v>
      </c>
      <c r="O2849" t="n">
        <v>0</v>
      </c>
      <c r="P2849" t="n">
        <v>0</v>
      </c>
      <c r="Q2849" t="n">
        <v>0</v>
      </c>
      <c r="R2849" s="2" t="inlineStr"/>
    </row>
    <row r="2850" ht="15" customHeight="1">
      <c r="A2850" t="inlineStr">
        <is>
          <t>A 22119-2024</t>
        </is>
      </c>
      <c r="B2850" s="1" t="n">
        <v>45443</v>
      </c>
      <c r="C2850" s="1" t="n">
        <v>45670</v>
      </c>
      <c r="D2850" t="inlineStr">
        <is>
          <t>VÄSTERNORRLANDS LÄN</t>
        </is>
      </c>
      <c r="E2850" t="inlineStr">
        <is>
          <t>SOLLEFTEÅ</t>
        </is>
      </c>
      <c r="F2850" t="inlineStr">
        <is>
          <t>SCA</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22118-2024</t>
        </is>
      </c>
      <c r="B2851" s="1" t="n">
        <v>45443</v>
      </c>
      <c r="C2851" s="1" t="n">
        <v>45670</v>
      </c>
      <c r="D2851" t="inlineStr">
        <is>
          <t>VÄSTERNORRLANDS LÄN</t>
        </is>
      </c>
      <c r="E2851" t="inlineStr">
        <is>
          <t>SOLLEFTEÅ</t>
        </is>
      </c>
      <c r="F2851" t="inlineStr">
        <is>
          <t>SCA</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22471-2024</t>
        </is>
      </c>
      <c r="B2852" s="1" t="n">
        <v>45446</v>
      </c>
      <c r="C2852" s="1" t="n">
        <v>45670</v>
      </c>
      <c r="D2852" t="inlineStr">
        <is>
          <t>VÄSTERNORRLANDS LÄN</t>
        </is>
      </c>
      <c r="E2852" t="inlineStr">
        <is>
          <t>SOLLEFTEÅ</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22475-2024</t>
        </is>
      </c>
      <c r="B2853" s="1" t="n">
        <v>45447</v>
      </c>
      <c r="C2853" s="1" t="n">
        <v>45670</v>
      </c>
      <c r="D2853" t="inlineStr">
        <is>
          <t>VÄSTERNORRLANDS LÄN</t>
        </is>
      </c>
      <c r="E2853" t="inlineStr">
        <is>
          <t>SOLLEFTEÅ</t>
        </is>
      </c>
      <c r="F2853" t="inlineStr">
        <is>
          <t>SCA</t>
        </is>
      </c>
      <c r="G2853" t="n">
        <v>18.5</v>
      </c>
      <c r="H2853" t="n">
        <v>0</v>
      </c>
      <c r="I2853" t="n">
        <v>0</v>
      </c>
      <c r="J2853" t="n">
        <v>0</v>
      </c>
      <c r="K2853" t="n">
        <v>0</v>
      </c>
      <c r="L2853" t="n">
        <v>0</v>
      </c>
      <c r="M2853" t="n">
        <v>0</v>
      </c>
      <c r="N2853" t="n">
        <v>0</v>
      </c>
      <c r="O2853" t="n">
        <v>0</v>
      </c>
      <c r="P2853" t="n">
        <v>0</v>
      </c>
      <c r="Q2853" t="n">
        <v>0</v>
      </c>
      <c r="R2853" s="2" t="inlineStr"/>
    </row>
    <row r="2854" ht="15" customHeight="1">
      <c r="A2854" t="inlineStr">
        <is>
          <t>A 22473-2024</t>
        </is>
      </c>
      <c r="B2854" s="1" t="n">
        <v>45446</v>
      </c>
      <c r="C2854" s="1" t="n">
        <v>45670</v>
      </c>
      <c r="D2854" t="inlineStr">
        <is>
          <t>VÄSTERNORRLANDS LÄN</t>
        </is>
      </c>
      <c r="E2854" t="inlineStr">
        <is>
          <t>SOLLEFTEÅ</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22457-2024</t>
        </is>
      </c>
      <c r="B2855" s="1" t="n">
        <v>45446</v>
      </c>
      <c r="C2855" s="1" t="n">
        <v>45670</v>
      </c>
      <c r="D2855" t="inlineStr">
        <is>
          <t>VÄSTERNORRLANDS LÄN</t>
        </is>
      </c>
      <c r="E2855" t="inlineStr">
        <is>
          <t>SOLLEFTEÅ</t>
        </is>
      </c>
      <c r="F2855" t="inlineStr">
        <is>
          <t>SCA</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22208-2024</t>
        </is>
      </c>
      <c r="B2856" s="1" t="n">
        <v>45446</v>
      </c>
      <c r="C2856" s="1" t="n">
        <v>45670</v>
      </c>
      <c r="D2856" t="inlineStr">
        <is>
          <t>VÄSTERNORRLANDS LÄN</t>
        </is>
      </c>
      <c r="E2856" t="inlineStr">
        <is>
          <t>SOLLEFTEÅ</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22456-2024</t>
        </is>
      </c>
      <c r="B2857" s="1" t="n">
        <v>45447</v>
      </c>
      <c r="C2857" s="1" t="n">
        <v>45670</v>
      </c>
      <c r="D2857" t="inlineStr">
        <is>
          <t>VÄSTERNORRLANDS LÄN</t>
        </is>
      </c>
      <c r="E2857" t="inlineStr">
        <is>
          <t>SOLLEFTEÅ</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22468-2024</t>
        </is>
      </c>
      <c r="B2858" s="1" t="n">
        <v>45447</v>
      </c>
      <c r="C2858" s="1" t="n">
        <v>45670</v>
      </c>
      <c r="D2858" t="inlineStr">
        <is>
          <t>VÄSTERNORRLANDS LÄN</t>
        </is>
      </c>
      <c r="E2858" t="inlineStr">
        <is>
          <t>SOLLEFTEÅ</t>
        </is>
      </c>
      <c r="F2858" t="inlineStr">
        <is>
          <t>SCA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22472-2024</t>
        </is>
      </c>
      <c r="B2859" s="1" t="n">
        <v>45447</v>
      </c>
      <c r="C2859" s="1" t="n">
        <v>45670</v>
      </c>
      <c r="D2859" t="inlineStr">
        <is>
          <t>VÄSTERNORRLANDS LÄN</t>
        </is>
      </c>
      <c r="E2859" t="inlineStr">
        <is>
          <t>SOLLEFTEÅ</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22476-2024</t>
        </is>
      </c>
      <c r="B2860" s="1" t="n">
        <v>45446</v>
      </c>
      <c r="C2860" s="1" t="n">
        <v>45670</v>
      </c>
      <c r="D2860" t="inlineStr">
        <is>
          <t>VÄSTERNORRLANDS LÄN</t>
        </is>
      </c>
      <c r="E2860" t="inlineStr">
        <is>
          <t>SOLLEFTEÅ</t>
        </is>
      </c>
      <c r="F2860" t="inlineStr">
        <is>
          <t>SCA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22462-2024</t>
        </is>
      </c>
      <c r="B2861" s="1" t="n">
        <v>45446</v>
      </c>
      <c r="C2861" s="1" t="n">
        <v>45670</v>
      </c>
      <c r="D2861" t="inlineStr">
        <is>
          <t>VÄSTERNORRLANDS LÄN</t>
        </is>
      </c>
      <c r="E2861" t="inlineStr">
        <is>
          <t>SOLLEFTEÅ</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22243-2024</t>
        </is>
      </c>
      <c r="B2862" s="1" t="n">
        <v>45446</v>
      </c>
      <c r="C2862" s="1" t="n">
        <v>45670</v>
      </c>
      <c r="D2862" t="inlineStr">
        <is>
          <t>VÄSTERNORRLANDS LÄN</t>
        </is>
      </c>
      <c r="E2862" t="inlineStr">
        <is>
          <t>SOLLEFTEÅ</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22235-2024</t>
        </is>
      </c>
      <c r="B2863" s="1" t="n">
        <v>45446</v>
      </c>
      <c r="C2863" s="1" t="n">
        <v>45670</v>
      </c>
      <c r="D2863" t="inlineStr">
        <is>
          <t>VÄSTERNORRLANDS LÄN</t>
        </is>
      </c>
      <c r="E2863" t="inlineStr">
        <is>
          <t>SOLLEFTEÅ</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22671-2024</t>
        </is>
      </c>
      <c r="B2864" s="1" t="n">
        <v>45448</v>
      </c>
      <c r="C2864" s="1" t="n">
        <v>45670</v>
      </c>
      <c r="D2864" t="inlineStr">
        <is>
          <t>VÄSTERNORRLANDS LÄN</t>
        </is>
      </c>
      <c r="E2864" t="inlineStr">
        <is>
          <t>SOLLEFTEÅ</t>
        </is>
      </c>
      <c r="F2864" t="inlineStr">
        <is>
          <t>SCA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22675-2024</t>
        </is>
      </c>
      <c r="B2865" s="1" t="n">
        <v>45448</v>
      </c>
      <c r="C2865" s="1" t="n">
        <v>45670</v>
      </c>
      <c r="D2865" t="inlineStr">
        <is>
          <t>VÄSTERNORRLANDS LÄN</t>
        </is>
      </c>
      <c r="E2865" t="inlineStr">
        <is>
          <t>SOLLEFTEÅ</t>
        </is>
      </c>
      <c r="F2865" t="inlineStr">
        <is>
          <t>SCA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22666-2024</t>
        </is>
      </c>
      <c r="B2866" s="1" t="n">
        <v>45447</v>
      </c>
      <c r="C2866" s="1" t="n">
        <v>45670</v>
      </c>
      <c r="D2866" t="inlineStr">
        <is>
          <t>VÄSTERNORRLANDS LÄN</t>
        </is>
      </c>
      <c r="E2866" t="inlineStr">
        <is>
          <t>SOLLEFTEÅ</t>
        </is>
      </c>
      <c r="F2866" t="inlineStr">
        <is>
          <t>SCA</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22661-2024</t>
        </is>
      </c>
      <c r="B2867" s="1" t="n">
        <v>45448</v>
      </c>
      <c r="C2867" s="1" t="n">
        <v>45670</v>
      </c>
      <c r="D2867" t="inlineStr">
        <is>
          <t>VÄSTERNORRLANDS LÄN</t>
        </is>
      </c>
      <c r="E2867" t="inlineStr">
        <is>
          <t>SOLLEFTEÅ</t>
        </is>
      </c>
      <c r="F2867" t="inlineStr">
        <is>
          <t>SCA</t>
        </is>
      </c>
      <c r="G2867" t="n">
        <v>10</v>
      </c>
      <c r="H2867" t="n">
        <v>0</v>
      </c>
      <c r="I2867" t="n">
        <v>0</v>
      </c>
      <c r="J2867" t="n">
        <v>0</v>
      </c>
      <c r="K2867" t="n">
        <v>0</v>
      </c>
      <c r="L2867" t="n">
        <v>0</v>
      </c>
      <c r="M2867" t="n">
        <v>0</v>
      </c>
      <c r="N2867" t="n">
        <v>0</v>
      </c>
      <c r="O2867" t="n">
        <v>0</v>
      </c>
      <c r="P2867" t="n">
        <v>0</v>
      </c>
      <c r="Q2867" t="n">
        <v>0</v>
      </c>
      <c r="R2867" s="2" t="inlineStr"/>
    </row>
    <row r="2868" ht="15" customHeight="1">
      <c r="A2868" t="inlineStr">
        <is>
          <t>A 22665-2024</t>
        </is>
      </c>
      <c r="B2868" s="1" t="n">
        <v>45448</v>
      </c>
      <c r="C2868" s="1" t="n">
        <v>45670</v>
      </c>
      <c r="D2868" t="inlineStr">
        <is>
          <t>VÄSTERNORRLANDS LÄN</t>
        </is>
      </c>
      <c r="E2868" t="inlineStr">
        <is>
          <t>SOLLEFTEÅ</t>
        </is>
      </c>
      <c r="F2868" t="inlineStr">
        <is>
          <t>SCA</t>
        </is>
      </c>
      <c r="G2868" t="n">
        <v>35.6</v>
      </c>
      <c r="H2868" t="n">
        <v>0</v>
      </c>
      <c r="I2868" t="n">
        <v>0</v>
      </c>
      <c r="J2868" t="n">
        <v>0</v>
      </c>
      <c r="K2868" t="n">
        <v>0</v>
      </c>
      <c r="L2868" t="n">
        <v>0</v>
      </c>
      <c r="M2868" t="n">
        <v>0</v>
      </c>
      <c r="N2868" t="n">
        <v>0</v>
      </c>
      <c r="O2868" t="n">
        <v>0</v>
      </c>
      <c r="P2868" t="n">
        <v>0</v>
      </c>
      <c r="Q2868" t="n">
        <v>0</v>
      </c>
      <c r="R2868" s="2" t="inlineStr"/>
    </row>
    <row r="2869" ht="15" customHeight="1">
      <c r="A2869" t="inlineStr">
        <is>
          <t>A 22664-2024</t>
        </is>
      </c>
      <c r="B2869" s="1" t="n">
        <v>45448</v>
      </c>
      <c r="C2869" s="1" t="n">
        <v>45670</v>
      </c>
      <c r="D2869" t="inlineStr">
        <is>
          <t>VÄSTERNORRLANDS LÄN</t>
        </is>
      </c>
      <c r="E2869" t="inlineStr">
        <is>
          <t>SOLLEFTEÅ</t>
        </is>
      </c>
      <c r="F2869" t="inlineStr">
        <is>
          <t>SCA</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22668-2024</t>
        </is>
      </c>
      <c r="B2870" s="1" t="n">
        <v>45448</v>
      </c>
      <c r="C2870" s="1" t="n">
        <v>45670</v>
      </c>
      <c r="D2870" t="inlineStr">
        <is>
          <t>VÄSTERNORRLANDS LÄN</t>
        </is>
      </c>
      <c r="E2870" t="inlineStr">
        <is>
          <t>SOLLEFTEÅ</t>
        </is>
      </c>
      <c r="F2870" t="inlineStr">
        <is>
          <t>SCA</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22673-2024</t>
        </is>
      </c>
      <c r="B2871" s="1" t="n">
        <v>45448</v>
      </c>
      <c r="C2871" s="1" t="n">
        <v>45670</v>
      </c>
      <c r="D2871" t="inlineStr">
        <is>
          <t>VÄSTERNORRLANDS LÄN</t>
        </is>
      </c>
      <c r="E2871" t="inlineStr">
        <is>
          <t>SOLLEFTEÅ</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22682-2024</t>
        </is>
      </c>
      <c r="B2872" s="1" t="n">
        <v>45447</v>
      </c>
      <c r="C2872" s="1" t="n">
        <v>45670</v>
      </c>
      <c r="D2872" t="inlineStr">
        <is>
          <t>VÄSTERNORRLANDS LÄN</t>
        </is>
      </c>
      <c r="E2872" t="inlineStr">
        <is>
          <t>SOLLEFTEÅ</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22672-2024</t>
        </is>
      </c>
      <c r="B2873" s="1" t="n">
        <v>45448</v>
      </c>
      <c r="C2873" s="1" t="n">
        <v>45670</v>
      </c>
      <c r="D2873" t="inlineStr">
        <is>
          <t>VÄSTERNORRLANDS LÄN</t>
        </is>
      </c>
      <c r="E2873" t="inlineStr">
        <is>
          <t>SOLLEFTEÅ</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22690-2024</t>
        </is>
      </c>
      <c r="B2874" s="1" t="n">
        <v>45448</v>
      </c>
      <c r="C2874" s="1" t="n">
        <v>45670</v>
      </c>
      <c r="D2874" t="inlineStr">
        <is>
          <t>VÄSTERNORRLANDS LÄN</t>
        </is>
      </c>
      <c r="E2874" t="inlineStr">
        <is>
          <t>SOLLEFTEÅ</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22938-2024</t>
        </is>
      </c>
      <c r="B2875" s="1" t="n">
        <v>45448</v>
      </c>
      <c r="C2875" s="1" t="n">
        <v>45670</v>
      </c>
      <c r="D2875" t="inlineStr">
        <is>
          <t>VÄSTERNORRLANDS LÄN</t>
        </is>
      </c>
      <c r="E2875" t="inlineStr">
        <is>
          <t>SOLLEFTEÅ</t>
        </is>
      </c>
      <c r="F2875" t="inlineStr">
        <is>
          <t>SCA</t>
        </is>
      </c>
      <c r="G2875" t="n">
        <v>10.4</v>
      </c>
      <c r="H2875" t="n">
        <v>0</v>
      </c>
      <c r="I2875" t="n">
        <v>0</v>
      </c>
      <c r="J2875" t="n">
        <v>0</v>
      </c>
      <c r="K2875" t="n">
        <v>0</v>
      </c>
      <c r="L2875" t="n">
        <v>0</v>
      </c>
      <c r="M2875" t="n">
        <v>0</v>
      </c>
      <c r="N2875" t="n">
        <v>0</v>
      </c>
      <c r="O2875" t="n">
        <v>0</v>
      </c>
      <c r="P2875" t="n">
        <v>0</v>
      </c>
      <c r="Q2875" t="n">
        <v>0</v>
      </c>
      <c r="R2875" s="2" t="inlineStr"/>
    </row>
    <row r="2876" ht="15" customHeight="1">
      <c r="A2876" t="inlineStr">
        <is>
          <t>A 22939-2024</t>
        </is>
      </c>
      <c r="B2876" s="1" t="n">
        <v>45449</v>
      </c>
      <c r="C2876" s="1" t="n">
        <v>45670</v>
      </c>
      <c r="D2876" t="inlineStr">
        <is>
          <t>VÄSTERNORRLANDS LÄN</t>
        </is>
      </c>
      <c r="E2876" t="inlineStr">
        <is>
          <t>SOLLEFTEÅ</t>
        </is>
      </c>
      <c r="F2876" t="inlineStr">
        <is>
          <t>SCA</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23021-2024</t>
        </is>
      </c>
      <c r="B2877" s="1" t="n">
        <v>45450</v>
      </c>
      <c r="C2877" s="1" t="n">
        <v>45670</v>
      </c>
      <c r="D2877" t="inlineStr">
        <is>
          <t>VÄSTERNORRLANDS LÄN</t>
        </is>
      </c>
      <c r="E2877" t="inlineStr">
        <is>
          <t>SOLLEFTEÅ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23025-2024</t>
        </is>
      </c>
      <c r="B2878" s="1" t="n">
        <v>45450</v>
      </c>
      <c r="C2878" s="1" t="n">
        <v>45670</v>
      </c>
      <c r="D2878" t="inlineStr">
        <is>
          <t>VÄSTERNORRLANDS LÄN</t>
        </is>
      </c>
      <c r="E2878" t="inlineStr">
        <is>
          <t>SOLLEFTEÅ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23175-2024</t>
        </is>
      </c>
      <c r="B2879" s="1" t="n">
        <v>45451</v>
      </c>
      <c r="C2879" s="1" t="n">
        <v>45670</v>
      </c>
      <c r="D2879" t="inlineStr">
        <is>
          <t>VÄSTERNORRLANDS LÄN</t>
        </is>
      </c>
      <c r="E2879" t="inlineStr">
        <is>
          <t>SOLLEFTEÅ</t>
        </is>
      </c>
      <c r="F2879" t="inlineStr">
        <is>
          <t>SCA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23542-2024</t>
        </is>
      </c>
      <c r="B2880" s="1" t="n">
        <v>45454</v>
      </c>
      <c r="C2880" s="1" t="n">
        <v>45670</v>
      </c>
      <c r="D2880" t="inlineStr">
        <is>
          <t>VÄSTERNORRLANDS LÄN</t>
        </is>
      </c>
      <c r="E2880" t="inlineStr">
        <is>
          <t>SOLLEFTEÅ</t>
        </is>
      </c>
      <c r="F2880" t="inlineStr">
        <is>
          <t>SCA</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23530-2024</t>
        </is>
      </c>
      <c r="B2881" s="1" t="n">
        <v>45454</v>
      </c>
      <c r="C2881" s="1" t="n">
        <v>45670</v>
      </c>
      <c r="D2881" t="inlineStr">
        <is>
          <t>VÄSTERNORRLANDS LÄN</t>
        </is>
      </c>
      <c r="E2881" t="inlineStr">
        <is>
          <t>SOLLEFTEÅ</t>
        </is>
      </c>
      <c r="F2881" t="inlineStr">
        <is>
          <t>SCA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23540-2024</t>
        </is>
      </c>
      <c r="B2882" s="1" t="n">
        <v>45454</v>
      </c>
      <c r="C2882" s="1" t="n">
        <v>45670</v>
      </c>
      <c r="D2882" t="inlineStr">
        <is>
          <t>VÄSTERNORRLANDS LÄN</t>
        </is>
      </c>
      <c r="E2882" t="inlineStr">
        <is>
          <t>SOLLEFTEÅ</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23532-2024</t>
        </is>
      </c>
      <c r="B2883" s="1" t="n">
        <v>45454</v>
      </c>
      <c r="C2883" s="1" t="n">
        <v>45670</v>
      </c>
      <c r="D2883" t="inlineStr">
        <is>
          <t>VÄSTERNORRLANDS LÄN</t>
        </is>
      </c>
      <c r="E2883" t="inlineStr">
        <is>
          <t>SOLLEFTEÅ</t>
        </is>
      </c>
      <c r="F2883" t="inlineStr">
        <is>
          <t>SCA</t>
        </is>
      </c>
      <c r="G2883" t="n">
        <v>15.6</v>
      </c>
      <c r="H2883" t="n">
        <v>0</v>
      </c>
      <c r="I2883" t="n">
        <v>0</v>
      </c>
      <c r="J2883" t="n">
        <v>0</v>
      </c>
      <c r="K2883" t="n">
        <v>0</v>
      </c>
      <c r="L2883" t="n">
        <v>0</v>
      </c>
      <c r="M2883" t="n">
        <v>0</v>
      </c>
      <c r="N2883" t="n">
        <v>0</v>
      </c>
      <c r="O2883" t="n">
        <v>0</v>
      </c>
      <c r="P2883" t="n">
        <v>0</v>
      </c>
      <c r="Q2883" t="n">
        <v>0</v>
      </c>
      <c r="R2883" s="2" t="inlineStr"/>
    </row>
    <row r="2884" ht="15" customHeight="1">
      <c r="A2884" t="inlineStr">
        <is>
          <t>A 23547-2024</t>
        </is>
      </c>
      <c r="B2884" s="1" t="n">
        <v>45454</v>
      </c>
      <c r="C2884" s="1" t="n">
        <v>45670</v>
      </c>
      <c r="D2884" t="inlineStr">
        <is>
          <t>VÄSTERNORRLANDS LÄN</t>
        </is>
      </c>
      <c r="E2884" t="inlineStr">
        <is>
          <t>SOLLEFTEÅ</t>
        </is>
      </c>
      <c r="F2884" t="inlineStr">
        <is>
          <t>SCA</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23529-2024</t>
        </is>
      </c>
      <c r="B2885" s="1" t="n">
        <v>45454</v>
      </c>
      <c r="C2885" s="1" t="n">
        <v>45670</v>
      </c>
      <c r="D2885" t="inlineStr">
        <is>
          <t>VÄSTERNORRLANDS LÄN</t>
        </is>
      </c>
      <c r="E2885" t="inlineStr">
        <is>
          <t>SOLLEFTEÅ</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23541-2024</t>
        </is>
      </c>
      <c r="B2886" s="1" t="n">
        <v>45454</v>
      </c>
      <c r="C2886" s="1" t="n">
        <v>45670</v>
      </c>
      <c r="D2886" t="inlineStr">
        <is>
          <t>VÄSTERNORRLANDS LÄN</t>
        </is>
      </c>
      <c r="E2886" t="inlineStr">
        <is>
          <t>SOLLEFTEÅ</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23731-2024</t>
        </is>
      </c>
      <c r="B2887" s="1" t="n">
        <v>45455</v>
      </c>
      <c r="C2887" s="1" t="n">
        <v>45670</v>
      </c>
      <c r="D2887" t="inlineStr">
        <is>
          <t>VÄSTERNORRLANDS LÄN</t>
        </is>
      </c>
      <c r="E2887" t="inlineStr">
        <is>
          <t>SOLLEFTEÅ</t>
        </is>
      </c>
      <c r="F2887" t="inlineStr">
        <is>
          <t>SCA</t>
        </is>
      </c>
      <c r="G2887" t="n">
        <v>7.5</v>
      </c>
      <c r="H2887" t="n">
        <v>0</v>
      </c>
      <c r="I2887" t="n">
        <v>0</v>
      </c>
      <c r="J2887" t="n">
        <v>0</v>
      </c>
      <c r="K2887" t="n">
        <v>0</v>
      </c>
      <c r="L2887" t="n">
        <v>0</v>
      </c>
      <c r="M2887" t="n">
        <v>0</v>
      </c>
      <c r="N2887" t="n">
        <v>0</v>
      </c>
      <c r="O2887" t="n">
        <v>0</v>
      </c>
      <c r="P2887" t="n">
        <v>0</v>
      </c>
      <c r="Q2887" t="n">
        <v>0</v>
      </c>
      <c r="R2887" s="2" t="inlineStr"/>
    </row>
    <row r="2888" ht="15" customHeight="1">
      <c r="A2888" t="inlineStr">
        <is>
          <t>A 23730-2024</t>
        </is>
      </c>
      <c r="B2888" s="1" t="n">
        <v>45455</v>
      </c>
      <c r="C2888" s="1" t="n">
        <v>45670</v>
      </c>
      <c r="D2888" t="inlineStr">
        <is>
          <t>VÄSTERNORRLANDS LÄN</t>
        </is>
      </c>
      <c r="E2888" t="inlineStr">
        <is>
          <t>SOLLEFTEÅ</t>
        </is>
      </c>
      <c r="F2888" t="inlineStr">
        <is>
          <t>SCA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23936-2024</t>
        </is>
      </c>
      <c r="B2889" s="1" t="n">
        <v>45456</v>
      </c>
      <c r="C2889" s="1" t="n">
        <v>45670</v>
      </c>
      <c r="D2889" t="inlineStr">
        <is>
          <t>VÄSTERNORRLANDS LÄN</t>
        </is>
      </c>
      <c r="E2889" t="inlineStr">
        <is>
          <t>SOLLEFTEÅ</t>
        </is>
      </c>
      <c r="F2889" t="inlineStr">
        <is>
          <t>SCA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23969-2024</t>
        </is>
      </c>
      <c r="B2890" s="1" t="n">
        <v>45456</v>
      </c>
      <c r="C2890" s="1" t="n">
        <v>45670</v>
      </c>
      <c r="D2890" t="inlineStr">
        <is>
          <t>VÄSTERNORRLANDS LÄN</t>
        </is>
      </c>
      <c r="E2890" t="inlineStr">
        <is>
          <t>SOLLEFTEÅ</t>
        </is>
      </c>
      <c r="F2890" t="inlineStr">
        <is>
          <t>SCA</t>
        </is>
      </c>
      <c r="G2890" t="n">
        <v>16.7</v>
      </c>
      <c r="H2890" t="n">
        <v>0</v>
      </c>
      <c r="I2890" t="n">
        <v>0</v>
      </c>
      <c r="J2890" t="n">
        <v>0</v>
      </c>
      <c r="K2890" t="n">
        <v>0</v>
      </c>
      <c r="L2890" t="n">
        <v>0</v>
      </c>
      <c r="M2890" t="n">
        <v>0</v>
      </c>
      <c r="N2890" t="n">
        <v>0</v>
      </c>
      <c r="O2890" t="n">
        <v>0</v>
      </c>
      <c r="P2890" t="n">
        <v>0</v>
      </c>
      <c r="Q2890" t="n">
        <v>0</v>
      </c>
      <c r="R2890" s="2" t="inlineStr"/>
    </row>
    <row r="2891" ht="15" customHeight="1">
      <c r="A2891" t="inlineStr">
        <is>
          <t>A 23935-2024</t>
        </is>
      </c>
      <c r="B2891" s="1" t="n">
        <v>45456</v>
      </c>
      <c r="C2891" s="1" t="n">
        <v>45670</v>
      </c>
      <c r="D2891" t="inlineStr">
        <is>
          <t>VÄSTERNORRLANDS LÄN</t>
        </is>
      </c>
      <c r="E2891" t="inlineStr">
        <is>
          <t>SOLLEFTEÅ</t>
        </is>
      </c>
      <c r="F2891" t="inlineStr">
        <is>
          <t>SCA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23968-2024</t>
        </is>
      </c>
      <c r="B2892" s="1" t="n">
        <v>45456</v>
      </c>
      <c r="C2892" s="1" t="n">
        <v>45670</v>
      </c>
      <c r="D2892" t="inlineStr">
        <is>
          <t>VÄSTERNORRLANDS LÄN</t>
        </is>
      </c>
      <c r="E2892" t="inlineStr">
        <is>
          <t>SOLLEFTEÅ</t>
        </is>
      </c>
      <c r="F2892" t="inlineStr">
        <is>
          <t>SCA</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24199-2024</t>
        </is>
      </c>
      <c r="B2893" s="1" t="n">
        <v>45457</v>
      </c>
      <c r="C2893" s="1" t="n">
        <v>45670</v>
      </c>
      <c r="D2893" t="inlineStr">
        <is>
          <t>VÄSTERNORRLANDS LÄN</t>
        </is>
      </c>
      <c r="E2893" t="inlineStr">
        <is>
          <t>SOLLEFTEÅ</t>
        </is>
      </c>
      <c r="F2893" t="inlineStr">
        <is>
          <t>SCA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24211-2024</t>
        </is>
      </c>
      <c r="B2894" s="1" t="n">
        <v>45457</v>
      </c>
      <c r="C2894" s="1" t="n">
        <v>45670</v>
      </c>
      <c r="D2894" t="inlineStr">
        <is>
          <t>VÄSTERNORRLANDS LÄN</t>
        </is>
      </c>
      <c r="E2894" t="inlineStr">
        <is>
          <t>SOLLEFTEÅ</t>
        </is>
      </c>
      <c r="F2894" t="inlineStr">
        <is>
          <t>SCA</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24209-2024</t>
        </is>
      </c>
      <c r="B2895" s="1" t="n">
        <v>45457</v>
      </c>
      <c r="C2895" s="1" t="n">
        <v>45670</v>
      </c>
      <c r="D2895" t="inlineStr">
        <is>
          <t>VÄSTERNORRLANDS LÄN</t>
        </is>
      </c>
      <c r="E2895" t="inlineStr">
        <is>
          <t>SOLLEFTEÅ</t>
        </is>
      </c>
      <c r="F2895" t="inlineStr">
        <is>
          <t>SCA</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24210-2024</t>
        </is>
      </c>
      <c r="B2896" s="1" t="n">
        <v>45457</v>
      </c>
      <c r="C2896" s="1" t="n">
        <v>45670</v>
      </c>
      <c r="D2896" t="inlineStr">
        <is>
          <t>VÄSTERNORRLANDS LÄN</t>
        </is>
      </c>
      <c r="E2896" t="inlineStr">
        <is>
          <t>SOLLEFTEÅ</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24208-2024</t>
        </is>
      </c>
      <c r="B2897" s="1" t="n">
        <v>45457</v>
      </c>
      <c r="C2897" s="1" t="n">
        <v>45670</v>
      </c>
      <c r="D2897" t="inlineStr">
        <is>
          <t>VÄSTERNORRLANDS LÄN</t>
        </is>
      </c>
      <c r="E2897" t="inlineStr">
        <is>
          <t>SOLLEFTEÅ</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24461-2024</t>
        </is>
      </c>
      <c r="B2898" s="1" t="n">
        <v>45458</v>
      </c>
      <c r="C2898" s="1" t="n">
        <v>45670</v>
      </c>
      <c r="D2898" t="inlineStr">
        <is>
          <t>VÄSTERNORRLANDS LÄN</t>
        </is>
      </c>
      <c r="E2898" t="inlineStr">
        <is>
          <t>SOLLEFTEÅ</t>
        </is>
      </c>
      <c r="F2898" t="inlineStr">
        <is>
          <t>SCA</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24239-2024</t>
        </is>
      </c>
      <c r="B2899" s="1" t="n">
        <v>45457</v>
      </c>
      <c r="C2899" s="1" t="n">
        <v>45670</v>
      </c>
      <c r="D2899" t="inlineStr">
        <is>
          <t>VÄSTERNORRLANDS LÄN</t>
        </is>
      </c>
      <c r="E2899" t="inlineStr">
        <is>
          <t>SOLLEFTEÅ</t>
        </is>
      </c>
      <c r="G2899" t="n">
        <v>10</v>
      </c>
      <c r="H2899" t="n">
        <v>0</v>
      </c>
      <c r="I2899" t="n">
        <v>0</v>
      </c>
      <c r="J2899" t="n">
        <v>0</v>
      </c>
      <c r="K2899" t="n">
        <v>0</v>
      </c>
      <c r="L2899" t="n">
        <v>0</v>
      </c>
      <c r="M2899" t="n">
        <v>0</v>
      </c>
      <c r="N2899" t="n">
        <v>0</v>
      </c>
      <c r="O2899" t="n">
        <v>0</v>
      </c>
      <c r="P2899" t="n">
        <v>0</v>
      </c>
      <c r="Q2899" t="n">
        <v>0</v>
      </c>
      <c r="R2899" s="2" t="inlineStr"/>
    </row>
    <row r="2900" ht="15" customHeight="1">
      <c r="A2900" t="inlineStr">
        <is>
          <t>A 24777-2024</t>
        </is>
      </c>
      <c r="B2900" s="1" t="n">
        <v>45460</v>
      </c>
      <c r="C2900" s="1" t="n">
        <v>45670</v>
      </c>
      <c r="D2900" t="inlineStr">
        <is>
          <t>VÄSTERNORRLANDS LÄN</t>
        </is>
      </c>
      <c r="E2900" t="inlineStr">
        <is>
          <t>SOLLEFTEÅ</t>
        </is>
      </c>
      <c r="G2900" t="n">
        <v>9.1</v>
      </c>
      <c r="H2900" t="n">
        <v>0</v>
      </c>
      <c r="I2900" t="n">
        <v>0</v>
      </c>
      <c r="J2900" t="n">
        <v>0</v>
      </c>
      <c r="K2900" t="n">
        <v>0</v>
      </c>
      <c r="L2900" t="n">
        <v>0</v>
      </c>
      <c r="M2900" t="n">
        <v>0</v>
      </c>
      <c r="N2900" t="n">
        <v>0</v>
      </c>
      <c r="O2900" t="n">
        <v>0</v>
      </c>
      <c r="P2900" t="n">
        <v>0</v>
      </c>
      <c r="Q2900" t="n">
        <v>0</v>
      </c>
      <c r="R2900" s="2" t="inlineStr"/>
    </row>
    <row r="2901" ht="15" customHeight="1">
      <c r="A2901" t="inlineStr">
        <is>
          <t>A 25023-2024</t>
        </is>
      </c>
      <c r="B2901" s="1" t="n">
        <v>45462</v>
      </c>
      <c r="C2901" s="1" t="n">
        <v>45670</v>
      </c>
      <c r="D2901" t="inlineStr">
        <is>
          <t>VÄSTERNORRLANDS LÄN</t>
        </is>
      </c>
      <c r="E2901" t="inlineStr">
        <is>
          <t>SOLLEFTEÅ</t>
        </is>
      </c>
      <c r="F2901" t="inlineStr">
        <is>
          <t>SCA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25035-2024</t>
        </is>
      </c>
      <c r="B2902" s="1" t="n">
        <v>45462</v>
      </c>
      <c r="C2902" s="1" t="n">
        <v>45670</v>
      </c>
      <c r="D2902" t="inlineStr">
        <is>
          <t>VÄSTERNORRLANDS LÄN</t>
        </is>
      </c>
      <c r="E2902" t="inlineStr">
        <is>
          <t>SOLLEFTEÅ</t>
        </is>
      </c>
      <c r="F2902" t="inlineStr">
        <is>
          <t>SCA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25026-2024</t>
        </is>
      </c>
      <c r="B2903" s="1" t="n">
        <v>45462</v>
      </c>
      <c r="C2903" s="1" t="n">
        <v>45670</v>
      </c>
      <c r="D2903" t="inlineStr">
        <is>
          <t>VÄSTERNORRLANDS LÄN</t>
        </is>
      </c>
      <c r="E2903" t="inlineStr">
        <is>
          <t>SOLLEFTEÅ</t>
        </is>
      </c>
      <c r="F2903" t="inlineStr">
        <is>
          <t>SCA</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25356-2024</t>
        </is>
      </c>
      <c r="B2904" s="1" t="n">
        <v>45463</v>
      </c>
      <c r="C2904" s="1" t="n">
        <v>45670</v>
      </c>
      <c r="D2904" t="inlineStr">
        <is>
          <t>VÄSTERNORRLANDS LÄN</t>
        </is>
      </c>
      <c r="E2904" t="inlineStr">
        <is>
          <t>SOLLEFTEÅ</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25364-2024</t>
        </is>
      </c>
      <c r="B2905" s="1" t="n">
        <v>45463</v>
      </c>
      <c r="C2905" s="1" t="n">
        <v>45670</v>
      </c>
      <c r="D2905" t="inlineStr">
        <is>
          <t>VÄSTERNORRLANDS LÄN</t>
        </is>
      </c>
      <c r="E2905" t="inlineStr">
        <is>
          <t>SOLLEFTEÅ</t>
        </is>
      </c>
      <c r="F2905" t="inlineStr">
        <is>
          <t>SCA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25363-2024</t>
        </is>
      </c>
      <c r="B2906" s="1" t="n">
        <v>45463</v>
      </c>
      <c r="C2906" s="1" t="n">
        <v>45670</v>
      </c>
      <c r="D2906" t="inlineStr">
        <is>
          <t>VÄSTERNORRLANDS LÄN</t>
        </is>
      </c>
      <c r="E2906" t="inlineStr">
        <is>
          <t>SOLLEFTEÅ</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25384-2024</t>
        </is>
      </c>
      <c r="B2907" s="1" t="n">
        <v>45463</v>
      </c>
      <c r="C2907" s="1" t="n">
        <v>45670</v>
      </c>
      <c r="D2907" t="inlineStr">
        <is>
          <t>VÄSTERNORRLANDS LÄN</t>
        </is>
      </c>
      <c r="E2907" t="inlineStr">
        <is>
          <t>SOLLEFTEÅ</t>
        </is>
      </c>
      <c r="F2907" t="inlineStr">
        <is>
          <t>SCA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25334-2024</t>
        </is>
      </c>
      <c r="B2908" s="1" t="n">
        <v>45462</v>
      </c>
      <c r="C2908" s="1" t="n">
        <v>45670</v>
      </c>
      <c r="D2908" t="inlineStr">
        <is>
          <t>VÄSTERNORRLANDS LÄN</t>
        </is>
      </c>
      <c r="E2908" t="inlineStr">
        <is>
          <t>SOLLEFTEÅ</t>
        </is>
      </c>
      <c r="G2908" t="n">
        <v>11.1</v>
      </c>
      <c r="H2908" t="n">
        <v>0</v>
      </c>
      <c r="I2908" t="n">
        <v>0</v>
      </c>
      <c r="J2908" t="n">
        <v>0</v>
      </c>
      <c r="K2908" t="n">
        <v>0</v>
      </c>
      <c r="L2908" t="n">
        <v>0</v>
      </c>
      <c r="M2908" t="n">
        <v>0</v>
      </c>
      <c r="N2908" t="n">
        <v>0</v>
      </c>
      <c r="O2908" t="n">
        <v>0</v>
      </c>
      <c r="P2908" t="n">
        <v>0</v>
      </c>
      <c r="Q2908" t="n">
        <v>0</v>
      </c>
      <c r="R2908" s="2" t="inlineStr"/>
    </row>
    <row r="2909" ht="15" customHeight="1">
      <c r="A2909" t="inlineStr">
        <is>
          <t>A 25357-2024</t>
        </is>
      </c>
      <c r="B2909" s="1" t="n">
        <v>45462</v>
      </c>
      <c r="C2909" s="1" t="n">
        <v>45670</v>
      </c>
      <c r="D2909" t="inlineStr">
        <is>
          <t>VÄSTERNORRLANDS LÄN</t>
        </is>
      </c>
      <c r="E2909" t="inlineStr">
        <is>
          <t>SOLLEFTEÅ</t>
        </is>
      </c>
      <c r="F2909" t="inlineStr">
        <is>
          <t>SCA</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25139-2024</t>
        </is>
      </c>
      <c r="B2910" s="1" t="n">
        <v>45462</v>
      </c>
      <c r="C2910" s="1" t="n">
        <v>45670</v>
      </c>
      <c r="D2910" t="inlineStr">
        <is>
          <t>VÄSTERNORRLANDS LÄN</t>
        </is>
      </c>
      <c r="E2910" t="inlineStr">
        <is>
          <t>SOLLEFTEÅ</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25131-2024</t>
        </is>
      </c>
      <c r="B2911" s="1" t="n">
        <v>45462</v>
      </c>
      <c r="C2911" s="1" t="n">
        <v>45670</v>
      </c>
      <c r="D2911" t="inlineStr">
        <is>
          <t>VÄSTERNORRLANDS LÄN</t>
        </is>
      </c>
      <c r="E2911" t="inlineStr">
        <is>
          <t>SOLLEFTEÅ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25703-2024</t>
        </is>
      </c>
      <c r="B2912" s="1" t="n">
        <v>45463</v>
      </c>
      <c r="C2912" s="1" t="n">
        <v>45670</v>
      </c>
      <c r="D2912" t="inlineStr">
        <is>
          <t>VÄSTERNORRLANDS LÄN</t>
        </is>
      </c>
      <c r="E2912" t="inlineStr">
        <is>
          <t>SOLLEFTEÅ</t>
        </is>
      </c>
      <c r="F2912" t="inlineStr">
        <is>
          <t>SCA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25711-2024</t>
        </is>
      </c>
      <c r="B2913" s="1" t="n">
        <v>45463</v>
      </c>
      <c r="C2913" s="1" t="n">
        <v>45670</v>
      </c>
      <c r="D2913" t="inlineStr">
        <is>
          <t>VÄSTERNORRLANDS LÄN</t>
        </is>
      </c>
      <c r="E2913" t="inlineStr">
        <is>
          <t>SOLLEFTEÅ</t>
        </is>
      </c>
      <c r="F2913" t="inlineStr">
        <is>
          <t>SCA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25704-2024</t>
        </is>
      </c>
      <c r="B2914" s="1" t="n">
        <v>45464</v>
      </c>
      <c r="C2914" s="1" t="n">
        <v>45670</v>
      </c>
      <c r="D2914" t="inlineStr">
        <is>
          <t>VÄSTERNORRLANDS LÄN</t>
        </is>
      </c>
      <c r="E2914" t="inlineStr">
        <is>
          <t>SOLLEFTEÅ</t>
        </is>
      </c>
      <c r="F2914" t="inlineStr">
        <is>
          <t>SCA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25702-2024</t>
        </is>
      </c>
      <c r="B2915" s="1" t="n">
        <v>45463</v>
      </c>
      <c r="C2915" s="1" t="n">
        <v>45670</v>
      </c>
      <c r="D2915" t="inlineStr">
        <is>
          <t>VÄSTERNORRLANDS LÄN</t>
        </is>
      </c>
      <c r="E2915" t="inlineStr">
        <is>
          <t>SOLLEFTEÅ</t>
        </is>
      </c>
      <c r="F2915" t="inlineStr">
        <is>
          <t>SCA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25514-2024</t>
        </is>
      </c>
      <c r="B2916" s="1" t="n">
        <v>45463</v>
      </c>
      <c r="C2916" s="1" t="n">
        <v>45670</v>
      </c>
      <c r="D2916" t="inlineStr">
        <is>
          <t>VÄSTERNORRLANDS LÄN</t>
        </is>
      </c>
      <c r="E2916" t="inlineStr">
        <is>
          <t>SOLLEFTEÅ</t>
        </is>
      </c>
      <c r="F2916" t="inlineStr">
        <is>
          <t>Kyrkan</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25799-2024</t>
        </is>
      </c>
      <c r="B2917" s="1" t="n">
        <v>45463</v>
      </c>
      <c r="C2917" s="1" t="n">
        <v>45670</v>
      </c>
      <c r="D2917" t="inlineStr">
        <is>
          <t>VÄSTERNORRLANDS LÄN</t>
        </is>
      </c>
      <c r="E2917" t="inlineStr">
        <is>
          <t>SOLLEFTEÅ</t>
        </is>
      </c>
      <c r="F2917" t="inlineStr">
        <is>
          <t>Kommuner</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25847-2024</t>
        </is>
      </c>
      <c r="B2918" s="1" t="n">
        <v>45467</v>
      </c>
      <c r="C2918" s="1" t="n">
        <v>45670</v>
      </c>
      <c r="D2918" t="inlineStr">
        <is>
          <t>VÄSTERNORRLANDS LÄN</t>
        </is>
      </c>
      <c r="E2918" t="inlineStr">
        <is>
          <t>SOLLEFTEÅ</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25851-2024</t>
        </is>
      </c>
      <c r="B2919" s="1" t="n">
        <v>45467</v>
      </c>
      <c r="C2919" s="1" t="n">
        <v>45670</v>
      </c>
      <c r="D2919" t="inlineStr">
        <is>
          <t>VÄSTERNORRLANDS LÄN</t>
        </is>
      </c>
      <c r="E2919" t="inlineStr">
        <is>
          <t>SOLLEFTEÅ</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25907-2024</t>
        </is>
      </c>
      <c r="B2920" s="1" t="n">
        <v>45467</v>
      </c>
      <c r="C2920" s="1" t="n">
        <v>45670</v>
      </c>
      <c r="D2920" t="inlineStr">
        <is>
          <t>VÄSTERNORRLANDS LÄN</t>
        </is>
      </c>
      <c r="E2920" t="inlineStr">
        <is>
          <t>SOLLEFTEÅ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26005-2024</t>
        </is>
      </c>
      <c r="B2921" s="1" t="n">
        <v>45468</v>
      </c>
      <c r="C2921" s="1" t="n">
        <v>45670</v>
      </c>
      <c r="D2921" t="inlineStr">
        <is>
          <t>VÄSTERNORRLANDS LÄN</t>
        </is>
      </c>
      <c r="E2921" t="inlineStr">
        <is>
          <t>SOLLEFTEÅ</t>
        </is>
      </c>
      <c r="F2921" t="inlineStr">
        <is>
          <t>SCA</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26022-2024</t>
        </is>
      </c>
      <c r="B2922" s="1" t="n">
        <v>45467</v>
      </c>
      <c r="C2922" s="1" t="n">
        <v>45670</v>
      </c>
      <c r="D2922" t="inlineStr">
        <is>
          <t>VÄSTERNORRLANDS LÄN</t>
        </is>
      </c>
      <c r="E2922" t="inlineStr">
        <is>
          <t>SOLLEFTEÅ</t>
        </is>
      </c>
      <c r="F2922" t="inlineStr">
        <is>
          <t>SCA</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26046-2024</t>
        </is>
      </c>
      <c r="B2923" s="1" t="n">
        <v>45467</v>
      </c>
      <c r="C2923" s="1" t="n">
        <v>45670</v>
      </c>
      <c r="D2923" t="inlineStr">
        <is>
          <t>VÄSTERNORRLANDS LÄN</t>
        </is>
      </c>
      <c r="E2923" t="inlineStr">
        <is>
          <t>SOLLEFTEÅ</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26023-2024</t>
        </is>
      </c>
      <c r="B2924" s="1" t="n">
        <v>45468</v>
      </c>
      <c r="C2924" s="1" t="n">
        <v>45670</v>
      </c>
      <c r="D2924" t="inlineStr">
        <is>
          <t>VÄSTERNORRLANDS LÄN</t>
        </is>
      </c>
      <c r="E2924" t="inlineStr">
        <is>
          <t>SOLLEFTEÅ</t>
        </is>
      </c>
      <c r="F2924" t="inlineStr">
        <is>
          <t>SCA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26391-2024</t>
        </is>
      </c>
      <c r="B2925" s="1" t="n">
        <v>45468</v>
      </c>
      <c r="C2925" s="1" t="n">
        <v>45670</v>
      </c>
      <c r="D2925" t="inlineStr">
        <is>
          <t>VÄSTERNORRLANDS LÄN</t>
        </is>
      </c>
      <c r="E2925" t="inlineStr">
        <is>
          <t>SOLLEFTEÅ</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26325-2024</t>
        </is>
      </c>
      <c r="B2926" s="1" t="n">
        <v>45468</v>
      </c>
      <c r="C2926" s="1" t="n">
        <v>45670</v>
      </c>
      <c r="D2926" t="inlineStr">
        <is>
          <t>VÄSTERNORRLANDS LÄN</t>
        </is>
      </c>
      <c r="E2926" t="inlineStr">
        <is>
          <t>SOLLEFTEÅ</t>
        </is>
      </c>
      <c r="F2926" t="inlineStr">
        <is>
          <t>SCA</t>
        </is>
      </c>
      <c r="G2926" t="n">
        <v>11.8</v>
      </c>
      <c r="H2926" t="n">
        <v>0</v>
      </c>
      <c r="I2926" t="n">
        <v>0</v>
      </c>
      <c r="J2926" t="n">
        <v>0</v>
      </c>
      <c r="K2926" t="n">
        <v>0</v>
      </c>
      <c r="L2926" t="n">
        <v>0</v>
      </c>
      <c r="M2926" t="n">
        <v>0</v>
      </c>
      <c r="N2926" t="n">
        <v>0</v>
      </c>
      <c r="O2926" t="n">
        <v>0</v>
      </c>
      <c r="P2926" t="n">
        <v>0</v>
      </c>
      <c r="Q2926" t="n">
        <v>0</v>
      </c>
      <c r="R2926" s="2" t="inlineStr"/>
    </row>
    <row r="2927" ht="15" customHeight="1">
      <c r="A2927" t="inlineStr">
        <is>
          <t>A 26323-2024</t>
        </is>
      </c>
      <c r="B2927" s="1" t="n">
        <v>45469</v>
      </c>
      <c r="C2927" s="1" t="n">
        <v>45670</v>
      </c>
      <c r="D2927" t="inlineStr">
        <is>
          <t>VÄSTERNORRLANDS LÄN</t>
        </is>
      </c>
      <c r="E2927" t="inlineStr">
        <is>
          <t>SOLLEFTEÅ</t>
        </is>
      </c>
      <c r="G2927" t="n">
        <v>8</v>
      </c>
      <c r="H2927" t="n">
        <v>0</v>
      </c>
      <c r="I2927" t="n">
        <v>0</v>
      </c>
      <c r="J2927" t="n">
        <v>0</v>
      </c>
      <c r="K2927" t="n">
        <v>0</v>
      </c>
      <c r="L2927" t="n">
        <v>0</v>
      </c>
      <c r="M2927" t="n">
        <v>0</v>
      </c>
      <c r="N2927" t="n">
        <v>0</v>
      </c>
      <c r="O2927" t="n">
        <v>0</v>
      </c>
      <c r="P2927" t="n">
        <v>0</v>
      </c>
      <c r="Q2927" t="n">
        <v>0</v>
      </c>
      <c r="R2927" s="2" t="inlineStr"/>
    </row>
    <row r="2928" ht="15" customHeight="1">
      <c r="A2928" t="inlineStr">
        <is>
          <t>A 26319-2024</t>
        </is>
      </c>
      <c r="B2928" s="1" t="n">
        <v>45469</v>
      </c>
      <c r="C2928" s="1" t="n">
        <v>45670</v>
      </c>
      <c r="D2928" t="inlineStr">
        <is>
          <t>VÄSTERNORRLANDS LÄN</t>
        </is>
      </c>
      <c r="E2928" t="inlineStr">
        <is>
          <t>SOLLEFTEÅ</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26172-2024</t>
        </is>
      </c>
      <c r="B2929" s="1" t="n">
        <v>45468</v>
      </c>
      <c r="C2929" s="1" t="n">
        <v>45670</v>
      </c>
      <c r="D2929" t="inlineStr">
        <is>
          <t>VÄSTERNORRLANDS LÄN</t>
        </is>
      </c>
      <c r="E2929" t="inlineStr">
        <is>
          <t>SOLLEFTEÅ</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26163-2024</t>
        </is>
      </c>
      <c r="B2930" s="1" t="n">
        <v>45468</v>
      </c>
      <c r="C2930" s="1" t="n">
        <v>45670</v>
      </c>
      <c r="D2930" t="inlineStr">
        <is>
          <t>VÄSTERNORRLANDS LÄN</t>
        </is>
      </c>
      <c r="E2930" t="inlineStr">
        <is>
          <t>SOLLEFTEÅ</t>
        </is>
      </c>
      <c r="G2930" t="n">
        <v>16.9</v>
      </c>
      <c r="H2930" t="n">
        <v>0</v>
      </c>
      <c r="I2930" t="n">
        <v>0</v>
      </c>
      <c r="J2930" t="n">
        <v>0</v>
      </c>
      <c r="K2930" t="n">
        <v>0</v>
      </c>
      <c r="L2930" t="n">
        <v>0</v>
      </c>
      <c r="M2930" t="n">
        <v>0</v>
      </c>
      <c r="N2930" t="n">
        <v>0</v>
      </c>
      <c r="O2930" t="n">
        <v>0</v>
      </c>
      <c r="P2930" t="n">
        <v>0</v>
      </c>
      <c r="Q2930" t="n">
        <v>0</v>
      </c>
      <c r="R2930" s="2" t="inlineStr"/>
    </row>
    <row r="2931" ht="15" customHeight="1">
      <c r="A2931" t="inlineStr">
        <is>
          <t>A 26296-2024</t>
        </is>
      </c>
      <c r="B2931" s="1" t="n">
        <v>45468</v>
      </c>
      <c r="C2931" s="1" t="n">
        <v>45670</v>
      </c>
      <c r="D2931" t="inlineStr">
        <is>
          <t>VÄSTERNORRLANDS LÄN</t>
        </is>
      </c>
      <c r="E2931" t="inlineStr">
        <is>
          <t>SOLLEFTEÅ</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26444-2024</t>
        </is>
      </c>
      <c r="B2932" s="1" t="n">
        <v>45469</v>
      </c>
      <c r="C2932" s="1" t="n">
        <v>45670</v>
      </c>
      <c r="D2932" t="inlineStr">
        <is>
          <t>VÄSTERNORRLANDS LÄN</t>
        </is>
      </c>
      <c r="E2932" t="inlineStr">
        <is>
          <t>SOLLEFTEÅ</t>
        </is>
      </c>
      <c r="F2932" t="inlineStr">
        <is>
          <t>Holmen skog AB</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26500-2024</t>
        </is>
      </c>
      <c r="B2933" s="1" t="n">
        <v>45469</v>
      </c>
      <c r="C2933" s="1" t="n">
        <v>45670</v>
      </c>
      <c r="D2933" t="inlineStr">
        <is>
          <t>VÄSTERNORRLANDS LÄN</t>
        </is>
      </c>
      <c r="E2933" t="inlineStr">
        <is>
          <t>SOLLEFTEÅ</t>
        </is>
      </c>
      <c r="F2933" t="inlineStr">
        <is>
          <t>Holmen skog AB</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26655-2024</t>
        </is>
      </c>
      <c r="B2934" s="1" t="n">
        <v>45469</v>
      </c>
      <c r="C2934" s="1" t="n">
        <v>45670</v>
      </c>
      <c r="D2934" t="inlineStr">
        <is>
          <t>VÄSTERNORRLANDS LÄN</t>
        </is>
      </c>
      <c r="E2934" t="inlineStr">
        <is>
          <t>SOLLEFTEÅ</t>
        </is>
      </c>
      <c r="F2934" t="inlineStr">
        <is>
          <t>SCA</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26962-2024</t>
        </is>
      </c>
      <c r="B2935" s="1" t="n">
        <v>45471</v>
      </c>
      <c r="C2935" s="1" t="n">
        <v>45670</v>
      </c>
      <c r="D2935" t="inlineStr">
        <is>
          <t>VÄSTERNORRLANDS LÄN</t>
        </is>
      </c>
      <c r="E2935" t="inlineStr">
        <is>
          <t>SOLLEFTEÅ</t>
        </is>
      </c>
      <c r="F2935" t="inlineStr">
        <is>
          <t>SCA</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26955-2024</t>
        </is>
      </c>
      <c r="B2936" s="1" t="n">
        <v>45471</v>
      </c>
      <c r="C2936" s="1" t="n">
        <v>45670</v>
      </c>
      <c r="D2936" t="inlineStr">
        <is>
          <t>VÄSTERNORRLANDS LÄN</t>
        </is>
      </c>
      <c r="E2936" t="inlineStr">
        <is>
          <t>SOLLEFTEÅ</t>
        </is>
      </c>
      <c r="F2936" t="inlineStr">
        <is>
          <t>SCA</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26963-2024</t>
        </is>
      </c>
      <c r="B2937" s="1" t="n">
        <v>45471</v>
      </c>
      <c r="C2937" s="1" t="n">
        <v>45670</v>
      </c>
      <c r="D2937" t="inlineStr">
        <is>
          <t>VÄSTERNORRLANDS LÄN</t>
        </is>
      </c>
      <c r="E2937" t="inlineStr">
        <is>
          <t>SOLLEFTEÅ</t>
        </is>
      </c>
      <c r="F2937" t="inlineStr">
        <is>
          <t>SCA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26890-2024</t>
        </is>
      </c>
      <c r="B2938" s="1" t="n">
        <v>45470</v>
      </c>
      <c r="C2938" s="1" t="n">
        <v>45670</v>
      </c>
      <c r="D2938" t="inlineStr">
        <is>
          <t>VÄSTERNORRLANDS LÄN</t>
        </is>
      </c>
      <c r="E2938" t="inlineStr">
        <is>
          <t>SOLLEFTEÅ</t>
        </is>
      </c>
      <c r="F2938" t="inlineStr">
        <is>
          <t>Holmen skog AB</t>
        </is>
      </c>
      <c r="G2938" t="n">
        <v>12.8</v>
      </c>
      <c r="H2938" t="n">
        <v>0</v>
      </c>
      <c r="I2938" t="n">
        <v>0</v>
      </c>
      <c r="J2938" t="n">
        <v>0</v>
      </c>
      <c r="K2938" t="n">
        <v>0</v>
      </c>
      <c r="L2938" t="n">
        <v>0</v>
      </c>
      <c r="M2938" t="n">
        <v>0</v>
      </c>
      <c r="N2938" t="n">
        <v>0</v>
      </c>
      <c r="O2938" t="n">
        <v>0</v>
      </c>
      <c r="P2938" t="n">
        <v>0</v>
      </c>
      <c r="Q2938" t="n">
        <v>0</v>
      </c>
      <c r="R2938" s="2" t="inlineStr"/>
    </row>
    <row r="2939" ht="15" customHeight="1">
      <c r="A2939" t="inlineStr">
        <is>
          <t>A 26936-2024</t>
        </is>
      </c>
      <c r="B2939" s="1" t="n">
        <v>45470</v>
      </c>
      <c r="C2939" s="1" t="n">
        <v>45670</v>
      </c>
      <c r="D2939" t="inlineStr">
        <is>
          <t>VÄSTERNORRLANDS LÄN</t>
        </is>
      </c>
      <c r="E2939" t="inlineStr">
        <is>
          <t>SOLLEFTEÅ</t>
        </is>
      </c>
      <c r="F2939" t="inlineStr">
        <is>
          <t>SCA</t>
        </is>
      </c>
      <c r="G2939" t="n">
        <v>10.7</v>
      </c>
      <c r="H2939" t="n">
        <v>0</v>
      </c>
      <c r="I2939" t="n">
        <v>0</v>
      </c>
      <c r="J2939" t="n">
        <v>0</v>
      </c>
      <c r="K2939" t="n">
        <v>0</v>
      </c>
      <c r="L2939" t="n">
        <v>0</v>
      </c>
      <c r="M2939" t="n">
        <v>0</v>
      </c>
      <c r="N2939" t="n">
        <v>0</v>
      </c>
      <c r="O2939" t="n">
        <v>0</v>
      </c>
      <c r="P2939" t="n">
        <v>0</v>
      </c>
      <c r="Q2939" t="n">
        <v>0</v>
      </c>
      <c r="R2939" s="2" t="inlineStr"/>
    </row>
    <row r="2940" ht="15" customHeight="1">
      <c r="A2940" t="inlineStr">
        <is>
          <t>A 26941-2024</t>
        </is>
      </c>
      <c r="B2940" s="1" t="n">
        <v>45470</v>
      </c>
      <c r="C2940" s="1" t="n">
        <v>45670</v>
      </c>
      <c r="D2940" t="inlineStr">
        <is>
          <t>VÄSTERNORRLANDS LÄN</t>
        </is>
      </c>
      <c r="E2940" t="inlineStr">
        <is>
          <t>SOLLEFTEÅ</t>
        </is>
      </c>
      <c r="F2940" t="inlineStr">
        <is>
          <t>SCA</t>
        </is>
      </c>
      <c r="G2940" t="n">
        <v>31.9</v>
      </c>
      <c r="H2940" t="n">
        <v>0</v>
      </c>
      <c r="I2940" t="n">
        <v>0</v>
      </c>
      <c r="J2940" t="n">
        <v>0</v>
      </c>
      <c r="K2940" t="n">
        <v>0</v>
      </c>
      <c r="L2940" t="n">
        <v>0</v>
      </c>
      <c r="M2940" t="n">
        <v>0</v>
      </c>
      <c r="N2940" t="n">
        <v>0</v>
      </c>
      <c r="O2940" t="n">
        <v>0</v>
      </c>
      <c r="P2940" t="n">
        <v>0</v>
      </c>
      <c r="Q2940" t="n">
        <v>0</v>
      </c>
      <c r="R2940" s="2" t="inlineStr"/>
    </row>
    <row r="2941" ht="15" customHeight="1">
      <c r="A2941" t="inlineStr">
        <is>
          <t>A 26937-2024</t>
        </is>
      </c>
      <c r="B2941" s="1" t="n">
        <v>45471</v>
      </c>
      <c r="C2941" s="1" t="n">
        <v>45670</v>
      </c>
      <c r="D2941" t="inlineStr">
        <is>
          <t>VÄSTERNORRLANDS LÄN</t>
        </is>
      </c>
      <c r="E2941" t="inlineStr">
        <is>
          <t>SOLLEFTEÅ</t>
        </is>
      </c>
      <c r="F2941" t="inlineStr">
        <is>
          <t>SCA</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27025-2024</t>
        </is>
      </c>
      <c r="B2942" s="1" t="n">
        <v>45471</v>
      </c>
      <c r="C2942" s="1" t="n">
        <v>45670</v>
      </c>
      <c r="D2942" t="inlineStr">
        <is>
          <t>VÄSTERNORRLANDS LÄN</t>
        </is>
      </c>
      <c r="E2942" t="inlineStr">
        <is>
          <t>SOLLEFTEÅ</t>
        </is>
      </c>
      <c r="F2942" t="inlineStr">
        <is>
          <t>Holmen skog AB</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27071-2024</t>
        </is>
      </c>
      <c r="B2943" s="1" t="n">
        <v>45471</v>
      </c>
      <c r="C2943" s="1" t="n">
        <v>45670</v>
      </c>
      <c r="D2943" t="inlineStr">
        <is>
          <t>VÄSTERNORRLANDS LÄN</t>
        </is>
      </c>
      <c r="E2943" t="inlineStr">
        <is>
          <t>SOLLEFTEÅ</t>
        </is>
      </c>
      <c r="F2943" t="inlineStr">
        <is>
          <t>Holmen skog AB</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27293-2024</t>
        </is>
      </c>
      <c r="B2944" s="1" t="n">
        <v>45472</v>
      </c>
      <c r="C2944" s="1" t="n">
        <v>45670</v>
      </c>
      <c r="D2944" t="inlineStr">
        <is>
          <t>VÄSTERNORRLANDS LÄN</t>
        </is>
      </c>
      <c r="E2944" t="inlineStr">
        <is>
          <t>SOLLEFTEÅ</t>
        </is>
      </c>
      <c r="F2944" t="inlineStr">
        <is>
          <t>SCA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27314-2024</t>
        </is>
      </c>
      <c r="B2945" s="1" t="n">
        <v>45472</v>
      </c>
      <c r="C2945" s="1" t="n">
        <v>45670</v>
      </c>
      <c r="D2945" t="inlineStr">
        <is>
          <t>VÄSTERNORRLANDS LÄN</t>
        </is>
      </c>
      <c r="E2945" t="inlineStr">
        <is>
          <t>SOLLEFTEÅ</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27377-2024</t>
        </is>
      </c>
      <c r="B2946" s="1" t="n">
        <v>45473</v>
      </c>
      <c r="C2946" s="1" t="n">
        <v>45670</v>
      </c>
      <c r="D2946" t="inlineStr">
        <is>
          <t>VÄSTERNORRLANDS LÄN</t>
        </is>
      </c>
      <c r="E2946" t="inlineStr">
        <is>
          <t>SOLLEFTEÅ</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27639-2024</t>
        </is>
      </c>
      <c r="B2947" s="1" t="n">
        <v>45474</v>
      </c>
      <c r="C2947" s="1" t="n">
        <v>45670</v>
      </c>
      <c r="D2947" t="inlineStr">
        <is>
          <t>VÄSTERNORRLANDS LÄN</t>
        </is>
      </c>
      <c r="E2947" t="inlineStr">
        <is>
          <t>SOLLEFTEÅ</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27634-2024</t>
        </is>
      </c>
      <c r="B2948" s="1" t="n">
        <v>45475</v>
      </c>
      <c r="C2948" s="1" t="n">
        <v>45670</v>
      </c>
      <c r="D2948" t="inlineStr">
        <is>
          <t>VÄSTERNORRLANDS LÄN</t>
        </is>
      </c>
      <c r="E2948" t="inlineStr">
        <is>
          <t>SOLLEFTEÅ</t>
        </is>
      </c>
      <c r="F2948" t="inlineStr">
        <is>
          <t>SCA</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27633-2024</t>
        </is>
      </c>
      <c r="B2949" s="1" t="n">
        <v>45475</v>
      </c>
      <c r="C2949" s="1" t="n">
        <v>45670</v>
      </c>
      <c r="D2949" t="inlineStr">
        <is>
          <t>VÄSTERNORRLANDS LÄN</t>
        </is>
      </c>
      <c r="E2949" t="inlineStr">
        <is>
          <t>SOLLEFTEÅ</t>
        </is>
      </c>
      <c r="F2949" t="inlineStr">
        <is>
          <t>SCA</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27641-2024</t>
        </is>
      </c>
      <c r="B2950" s="1" t="n">
        <v>45475</v>
      </c>
      <c r="C2950" s="1" t="n">
        <v>45670</v>
      </c>
      <c r="D2950" t="inlineStr">
        <is>
          <t>VÄSTERNORRLANDS LÄN</t>
        </is>
      </c>
      <c r="E2950" t="inlineStr">
        <is>
          <t>SOLLEFTEÅ</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27922-2024</t>
        </is>
      </c>
      <c r="B2951" s="1" t="n">
        <v>45476</v>
      </c>
      <c r="C2951" s="1" t="n">
        <v>45670</v>
      </c>
      <c r="D2951" t="inlineStr">
        <is>
          <t>VÄSTERNORRLANDS LÄN</t>
        </is>
      </c>
      <c r="E2951" t="inlineStr">
        <is>
          <t>SOLLEFTEÅ</t>
        </is>
      </c>
      <c r="F2951" t="inlineStr">
        <is>
          <t>SCA</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27927-2024</t>
        </is>
      </c>
      <c r="B2952" s="1" t="n">
        <v>45475</v>
      </c>
      <c r="C2952" s="1" t="n">
        <v>45670</v>
      </c>
      <c r="D2952" t="inlineStr">
        <is>
          <t>VÄSTERNORRLANDS LÄN</t>
        </is>
      </c>
      <c r="E2952" t="inlineStr">
        <is>
          <t>SOLLEFTEÅ</t>
        </is>
      </c>
      <c r="F2952" t="inlineStr">
        <is>
          <t>SCA</t>
        </is>
      </c>
      <c r="G2952" t="n">
        <v>6.9</v>
      </c>
      <c r="H2952" t="n">
        <v>0</v>
      </c>
      <c r="I2952" t="n">
        <v>0</v>
      </c>
      <c r="J2952" t="n">
        <v>0</v>
      </c>
      <c r="K2952" t="n">
        <v>0</v>
      </c>
      <c r="L2952" t="n">
        <v>0</v>
      </c>
      <c r="M2952" t="n">
        <v>0</v>
      </c>
      <c r="N2952" t="n">
        <v>0</v>
      </c>
      <c r="O2952" t="n">
        <v>0</v>
      </c>
      <c r="P2952" t="n">
        <v>0</v>
      </c>
      <c r="Q2952" t="n">
        <v>0</v>
      </c>
      <c r="R2952" s="2" t="inlineStr"/>
    </row>
    <row r="2953" ht="15" customHeight="1">
      <c r="A2953" t="inlineStr">
        <is>
          <t>A 27911-2024</t>
        </is>
      </c>
      <c r="B2953" s="1" t="n">
        <v>45475</v>
      </c>
      <c r="C2953" s="1" t="n">
        <v>45670</v>
      </c>
      <c r="D2953" t="inlineStr">
        <is>
          <t>VÄSTERNORRLANDS LÄN</t>
        </is>
      </c>
      <c r="E2953" t="inlineStr">
        <is>
          <t>SOLLEFTEÅ</t>
        </is>
      </c>
      <c r="F2953" t="inlineStr">
        <is>
          <t>SCA</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27908-2024</t>
        </is>
      </c>
      <c r="B2954" s="1" t="n">
        <v>45476</v>
      </c>
      <c r="C2954" s="1" t="n">
        <v>45670</v>
      </c>
      <c r="D2954" t="inlineStr">
        <is>
          <t>VÄSTERNORRLANDS LÄN</t>
        </is>
      </c>
      <c r="E2954" t="inlineStr">
        <is>
          <t>SOLLEFTEÅ</t>
        </is>
      </c>
      <c r="F2954" t="inlineStr">
        <is>
          <t>SCA</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27916-2024</t>
        </is>
      </c>
      <c r="B2955" s="1" t="n">
        <v>45476</v>
      </c>
      <c r="C2955" s="1" t="n">
        <v>45670</v>
      </c>
      <c r="D2955" t="inlineStr">
        <is>
          <t>VÄSTERNORRLANDS LÄN</t>
        </is>
      </c>
      <c r="E2955" t="inlineStr">
        <is>
          <t>SOLLEFTEÅ</t>
        </is>
      </c>
      <c r="F2955" t="inlineStr">
        <is>
          <t>SCA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27848-2024</t>
        </is>
      </c>
      <c r="B2956" s="1" t="n">
        <v>45475</v>
      </c>
      <c r="C2956" s="1" t="n">
        <v>45670</v>
      </c>
      <c r="D2956" t="inlineStr">
        <is>
          <t>VÄSTERNORRLANDS LÄN</t>
        </is>
      </c>
      <c r="E2956" t="inlineStr">
        <is>
          <t>SOLLEFTEÅ</t>
        </is>
      </c>
      <c r="F2956" t="inlineStr">
        <is>
          <t>Holmen skog AB</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27901-2024</t>
        </is>
      </c>
      <c r="B2957" s="1" t="n">
        <v>45476</v>
      </c>
      <c r="C2957" s="1" t="n">
        <v>45670</v>
      </c>
      <c r="D2957" t="inlineStr">
        <is>
          <t>VÄSTERNORRLANDS LÄN</t>
        </is>
      </c>
      <c r="E2957" t="inlineStr">
        <is>
          <t>SOLLEFTEÅ</t>
        </is>
      </c>
      <c r="G2957" t="n">
        <v>12.7</v>
      </c>
      <c r="H2957" t="n">
        <v>0</v>
      </c>
      <c r="I2957" t="n">
        <v>0</v>
      </c>
      <c r="J2957" t="n">
        <v>0</v>
      </c>
      <c r="K2957" t="n">
        <v>0</v>
      </c>
      <c r="L2957" t="n">
        <v>0</v>
      </c>
      <c r="M2957" t="n">
        <v>0</v>
      </c>
      <c r="N2957" t="n">
        <v>0</v>
      </c>
      <c r="O2957" t="n">
        <v>0</v>
      </c>
      <c r="P2957" t="n">
        <v>0</v>
      </c>
      <c r="Q2957" t="n">
        <v>0</v>
      </c>
      <c r="R2957" s="2" t="inlineStr"/>
    </row>
    <row r="2958" ht="15" customHeight="1">
      <c r="A2958" t="inlineStr">
        <is>
          <t>A 27925-2024</t>
        </is>
      </c>
      <c r="B2958" s="1" t="n">
        <v>45475</v>
      </c>
      <c r="C2958" s="1" t="n">
        <v>45670</v>
      </c>
      <c r="D2958" t="inlineStr">
        <is>
          <t>VÄSTERNORRLANDS LÄN</t>
        </is>
      </c>
      <c r="E2958" t="inlineStr">
        <is>
          <t>SOLLEFTEÅ</t>
        </is>
      </c>
      <c r="G2958" t="n">
        <v>19.8</v>
      </c>
      <c r="H2958" t="n">
        <v>0</v>
      </c>
      <c r="I2958" t="n">
        <v>0</v>
      </c>
      <c r="J2958" t="n">
        <v>0</v>
      </c>
      <c r="K2958" t="n">
        <v>0</v>
      </c>
      <c r="L2958" t="n">
        <v>0</v>
      </c>
      <c r="M2958" t="n">
        <v>0</v>
      </c>
      <c r="N2958" t="n">
        <v>0</v>
      </c>
      <c r="O2958" t="n">
        <v>0</v>
      </c>
      <c r="P2958" t="n">
        <v>0</v>
      </c>
      <c r="Q2958" t="n">
        <v>0</v>
      </c>
      <c r="R2958" s="2" t="inlineStr"/>
    </row>
    <row r="2959" ht="15" customHeight="1">
      <c r="A2959" t="inlineStr">
        <is>
          <t>A 27789-2024</t>
        </is>
      </c>
      <c r="B2959" s="1" t="n">
        <v>45475</v>
      </c>
      <c r="C2959" s="1" t="n">
        <v>45670</v>
      </c>
      <c r="D2959" t="inlineStr">
        <is>
          <t>VÄSTERNORRLANDS LÄN</t>
        </is>
      </c>
      <c r="E2959" t="inlineStr">
        <is>
          <t>SOLLEFTEÅ</t>
        </is>
      </c>
      <c r="F2959" t="inlineStr">
        <is>
          <t>SCA</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27924-2024</t>
        </is>
      </c>
      <c r="B2960" s="1" t="n">
        <v>45475</v>
      </c>
      <c r="C2960" s="1" t="n">
        <v>45670</v>
      </c>
      <c r="D2960" t="inlineStr">
        <is>
          <t>VÄSTERNORRLANDS LÄN</t>
        </is>
      </c>
      <c r="E2960" t="inlineStr">
        <is>
          <t>SOLLEFTEÅ</t>
        </is>
      </c>
      <c r="F2960" t="inlineStr">
        <is>
          <t>SCA</t>
        </is>
      </c>
      <c r="G2960" t="n">
        <v>23.5</v>
      </c>
      <c r="H2960" t="n">
        <v>0</v>
      </c>
      <c r="I2960" t="n">
        <v>0</v>
      </c>
      <c r="J2960" t="n">
        <v>0</v>
      </c>
      <c r="K2960" t="n">
        <v>0</v>
      </c>
      <c r="L2960" t="n">
        <v>0</v>
      </c>
      <c r="M2960" t="n">
        <v>0</v>
      </c>
      <c r="N2960" t="n">
        <v>0</v>
      </c>
      <c r="O2960" t="n">
        <v>0</v>
      </c>
      <c r="P2960" t="n">
        <v>0</v>
      </c>
      <c r="Q2960" t="n">
        <v>0</v>
      </c>
      <c r="R2960" s="2" t="inlineStr"/>
    </row>
    <row r="2961" ht="15" customHeight="1">
      <c r="A2961" t="inlineStr">
        <is>
          <t>A 27936-2024</t>
        </is>
      </c>
      <c r="B2961" s="1" t="n">
        <v>45476</v>
      </c>
      <c r="C2961" s="1" t="n">
        <v>45670</v>
      </c>
      <c r="D2961" t="inlineStr">
        <is>
          <t>VÄSTERNORRLANDS LÄN</t>
        </is>
      </c>
      <c r="E2961" t="inlineStr">
        <is>
          <t>SOLLEFTEÅ</t>
        </is>
      </c>
      <c r="F2961" t="inlineStr">
        <is>
          <t>SCA</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28159-2024</t>
        </is>
      </c>
      <c r="B2962" s="1" t="n">
        <v>45477</v>
      </c>
      <c r="C2962" s="1" t="n">
        <v>45670</v>
      </c>
      <c r="D2962" t="inlineStr">
        <is>
          <t>VÄSTERNORRLANDS LÄN</t>
        </is>
      </c>
      <c r="E2962" t="inlineStr">
        <is>
          <t>SOLLEFTEÅ</t>
        </is>
      </c>
      <c r="F2962" t="inlineStr">
        <is>
          <t>SCA</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28164-2024</t>
        </is>
      </c>
      <c r="B2963" s="1" t="n">
        <v>45476</v>
      </c>
      <c r="C2963" s="1" t="n">
        <v>45670</v>
      </c>
      <c r="D2963" t="inlineStr">
        <is>
          <t>VÄSTERNORRLANDS LÄN</t>
        </is>
      </c>
      <c r="E2963" t="inlineStr">
        <is>
          <t>SOLLEFTEÅ</t>
        </is>
      </c>
      <c r="F2963" t="inlineStr">
        <is>
          <t>SCA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28170-2024</t>
        </is>
      </c>
      <c r="B2964" s="1" t="n">
        <v>45477</v>
      </c>
      <c r="C2964" s="1" t="n">
        <v>45670</v>
      </c>
      <c r="D2964" t="inlineStr">
        <is>
          <t>VÄSTERNORRLANDS LÄN</t>
        </is>
      </c>
      <c r="E2964" t="inlineStr">
        <is>
          <t>SOLLEFTEÅ</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28162-2024</t>
        </is>
      </c>
      <c r="B2965" s="1" t="n">
        <v>45476</v>
      </c>
      <c r="C2965" s="1" t="n">
        <v>45670</v>
      </c>
      <c r="D2965" t="inlineStr">
        <is>
          <t>VÄSTERNORRLANDS LÄN</t>
        </is>
      </c>
      <c r="E2965" t="inlineStr">
        <is>
          <t>SOLLEFTEÅ</t>
        </is>
      </c>
      <c r="F2965" t="inlineStr">
        <is>
          <t>SCA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28327-2024</t>
        </is>
      </c>
      <c r="B2966" s="1" t="n">
        <v>45477</v>
      </c>
      <c r="C2966" s="1" t="n">
        <v>45670</v>
      </c>
      <c r="D2966" t="inlineStr">
        <is>
          <t>VÄSTERNORRLANDS LÄN</t>
        </is>
      </c>
      <c r="E2966" t="inlineStr">
        <is>
          <t>SOLLEFTEÅ</t>
        </is>
      </c>
      <c r="F2966" t="inlineStr">
        <is>
          <t>Holmen skog AB</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28269-2024</t>
        </is>
      </c>
      <c r="B2967" s="1" t="n">
        <v>45477</v>
      </c>
      <c r="C2967" s="1" t="n">
        <v>45670</v>
      </c>
      <c r="D2967" t="inlineStr">
        <is>
          <t>VÄSTERNORRLANDS LÄN</t>
        </is>
      </c>
      <c r="E2967" t="inlineStr">
        <is>
          <t>SOLLEFTEÅ</t>
        </is>
      </c>
      <c r="F2967" t="inlineStr">
        <is>
          <t>Holmen skog AB</t>
        </is>
      </c>
      <c r="G2967" t="n">
        <v>7.6</v>
      </c>
      <c r="H2967" t="n">
        <v>0</v>
      </c>
      <c r="I2967" t="n">
        <v>0</v>
      </c>
      <c r="J2967" t="n">
        <v>0</v>
      </c>
      <c r="K2967" t="n">
        <v>0</v>
      </c>
      <c r="L2967" t="n">
        <v>0</v>
      </c>
      <c r="M2967" t="n">
        <v>0</v>
      </c>
      <c r="N2967" t="n">
        <v>0</v>
      </c>
      <c r="O2967" t="n">
        <v>0</v>
      </c>
      <c r="P2967" t="n">
        <v>0</v>
      </c>
      <c r="Q2967" t="n">
        <v>0</v>
      </c>
      <c r="R2967" s="2" t="inlineStr"/>
    </row>
    <row r="2968" ht="15" customHeight="1">
      <c r="A2968" t="inlineStr">
        <is>
          <t>A 28499-2024</t>
        </is>
      </c>
      <c r="B2968" s="1" t="n">
        <v>45478</v>
      </c>
      <c r="C2968" s="1" t="n">
        <v>45670</v>
      </c>
      <c r="D2968" t="inlineStr">
        <is>
          <t>VÄSTERNORRLANDS LÄN</t>
        </is>
      </c>
      <c r="E2968" t="inlineStr">
        <is>
          <t>SOLLEFTEÅ</t>
        </is>
      </c>
      <c r="G2968" t="n">
        <v>8.699999999999999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28354-2024</t>
        </is>
      </c>
      <c r="B2969" s="1" t="n">
        <v>45477</v>
      </c>
      <c r="C2969" s="1" t="n">
        <v>45670</v>
      </c>
      <c r="D2969" t="inlineStr">
        <is>
          <t>VÄSTERNORRLANDS LÄN</t>
        </is>
      </c>
      <c r="E2969" t="inlineStr">
        <is>
          <t>SOLLEFTEÅ</t>
        </is>
      </c>
      <c r="F2969" t="inlineStr">
        <is>
          <t>Holmen skog AB</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28290-2024</t>
        </is>
      </c>
      <c r="B2970" s="1" t="n">
        <v>45477</v>
      </c>
      <c r="C2970" s="1" t="n">
        <v>45670</v>
      </c>
      <c r="D2970" t="inlineStr">
        <is>
          <t>VÄSTERNORRLANDS LÄN</t>
        </is>
      </c>
      <c r="E2970" t="inlineStr">
        <is>
          <t>SOLLEFTEÅ</t>
        </is>
      </c>
      <c r="F2970" t="inlineStr">
        <is>
          <t>Holmen skog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28579-2024</t>
        </is>
      </c>
      <c r="B2971" s="1" t="n">
        <v>45478</v>
      </c>
      <c r="C2971" s="1" t="n">
        <v>45670</v>
      </c>
      <c r="D2971" t="inlineStr">
        <is>
          <t>VÄSTERNORRLANDS LÄN</t>
        </is>
      </c>
      <c r="E2971" t="inlineStr">
        <is>
          <t>SOLLEFTEÅ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28576-2024</t>
        </is>
      </c>
      <c r="B2972" s="1" t="n">
        <v>45478</v>
      </c>
      <c r="C2972" s="1" t="n">
        <v>45670</v>
      </c>
      <c r="D2972" t="inlineStr">
        <is>
          <t>VÄSTERNORRLANDS LÄN</t>
        </is>
      </c>
      <c r="E2972" t="inlineStr">
        <is>
          <t>SOLLEFTEÅ</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28580-2024</t>
        </is>
      </c>
      <c r="B2973" s="1" t="n">
        <v>45478</v>
      </c>
      <c r="C2973" s="1" t="n">
        <v>45670</v>
      </c>
      <c r="D2973" t="inlineStr">
        <is>
          <t>VÄSTERNORRLANDS LÄN</t>
        </is>
      </c>
      <c r="E2973" t="inlineStr">
        <is>
          <t>SOLLEFTEÅ</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28866-2024</t>
        </is>
      </c>
      <c r="B2974" s="1" t="n">
        <v>45478</v>
      </c>
      <c r="C2974" s="1" t="n">
        <v>45670</v>
      </c>
      <c r="D2974" t="inlineStr">
        <is>
          <t>VÄSTERNORRLANDS LÄN</t>
        </is>
      </c>
      <c r="E2974" t="inlineStr">
        <is>
          <t>SOLLEFTEÅ</t>
        </is>
      </c>
      <c r="F2974" t="inlineStr">
        <is>
          <t>SCA</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28790-2024</t>
        </is>
      </c>
      <c r="B2975" s="1" t="n">
        <v>45478</v>
      </c>
      <c r="C2975" s="1" t="n">
        <v>45670</v>
      </c>
      <c r="D2975" t="inlineStr">
        <is>
          <t>VÄSTERNORRLANDS LÄN</t>
        </is>
      </c>
      <c r="E2975" t="inlineStr">
        <is>
          <t>SOLLEFTEÅ</t>
        </is>
      </c>
      <c r="F2975" t="inlineStr">
        <is>
          <t>Holmen skog AB</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29059-2024</t>
        </is>
      </c>
      <c r="B2976" s="1" t="n">
        <v>45481</v>
      </c>
      <c r="C2976" s="1" t="n">
        <v>45670</v>
      </c>
      <c r="D2976" t="inlineStr">
        <is>
          <t>VÄSTERNORRLANDS LÄN</t>
        </is>
      </c>
      <c r="E2976" t="inlineStr">
        <is>
          <t>SOLLEFTEÅ</t>
        </is>
      </c>
      <c r="F2976" t="inlineStr">
        <is>
          <t>Kyrkan</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29055-2024</t>
        </is>
      </c>
      <c r="B2977" s="1" t="n">
        <v>45481</v>
      </c>
      <c r="C2977" s="1" t="n">
        <v>45670</v>
      </c>
      <c r="D2977" t="inlineStr">
        <is>
          <t>VÄSTERNORRLANDS LÄN</t>
        </is>
      </c>
      <c r="E2977" t="inlineStr">
        <is>
          <t>SOLLEFTEÅ</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29054-2024</t>
        </is>
      </c>
      <c r="B2978" s="1" t="n">
        <v>45481</v>
      </c>
      <c r="C2978" s="1" t="n">
        <v>45670</v>
      </c>
      <c r="D2978" t="inlineStr">
        <is>
          <t>VÄSTERNORRLANDS LÄN</t>
        </is>
      </c>
      <c r="E2978" t="inlineStr">
        <is>
          <t>SOLLEFTEÅ</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29211-2024</t>
        </is>
      </c>
      <c r="B2979" s="1" t="n">
        <v>45482</v>
      </c>
      <c r="C2979" s="1" t="n">
        <v>45670</v>
      </c>
      <c r="D2979" t="inlineStr">
        <is>
          <t>VÄSTERNORRLANDS LÄN</t>
        </is>
      </c>
      <c r="E2979" t="inlineStr">
        <is>
          <t>SOLLEFTEÅ</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29258-2024</t>
        </is>
      </c>
      <c r="B2980" s="1" t="n">
        <v>45483</v>
      </c>
      <c r="C2980" s="1" t="n">
        <v>45670</v>
      </c>
      <c r="D2980" t="inlineStr">
        <is>
          <t>VÄSTERNORRLANDS LÄN</t>
        </is>
      </c>
      <c r="E2980" t="inlineStr">
        <is>
          <t>SOLLEFTEÅ</t>
        </is>
      </c>
      <c r="F2980" t="inlineStr">
        <is>
          <t>SCA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29248-2024</t>
        </is>
      </c>
      <c r="B2981" s="1" t="n">
        <v>45482</v>
      </c>
      <c r="C2981" s="1" t="n">
        <v>45670</v>
      </c>
      <c r="D2981" t="inlineStr">
        <is>
          <t>VÄSTERNORRLANDS LÄN</t>
        </is>
      </c>
      <c r="E2981" t="inlineStr">
        <is>
          <t>SOLLEFTEÅ</t>
        </is>
      </c>
      <c r="F2981" t="inlineStr">
        <is>
          <t>SCA</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29457-2024</t>
        </is>
      </c>
      <c r="B2982" s="1" t="n">
        <v>45484</v>
      </c>
      <c r="C2982" s="1" t="n">
        <v>45670</v>
      </c>
      <c r="D2982" t="inlineStr">
        <is>
          <t>VÄSTERNORRLANDS LÄN</t>
        </is>
      </c>
      <c r="E2982" t="inlineStr">
        <is>
          <t>SOLLEFTEÅ</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29459-2024</t>
        </is>
      </c>
      <c r="B2983" s="1" t="n">
        <v>45484</v>
      </c>
      <c r="C2983" s="1" t="n">
        <v>45670</v>
      </c>
      <c r="D2983" t="inlineStr">
        <is>
          <t>VÄSTERNORRLANDS LÄN</t>
        </is>
      </c>
      <c r="E2983" t="inlineStr">
        <is>
          <t>SOLLEFTEÅ</t>
        </is>
      </c>
      <c r="F2983" t="inlineStr">
        <is>
          <t>SCA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29693-2024</t>
        </is>
      </c>
      <c r="B2984" s="1" t="n">
        <v>45485</v>
      </c>
      <c r="C2984" s="1" t="n">
        <v>45670</v>
      </c>
      <c r="D2984" t="inlineStr">
        <is>
          <t>VÄSTERNORRLANDS LÄN</t>
        </is>
      </c>
      <c r="E2984" t="inlineStr">
        <is>
          <t>SOLLEFTEÅ</t>
        </is>
      </c>
      <c r="F2984" t="inlineStr">
        <is>
          <t>SCA</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29575-2024</t>
        </is>
      </c>
      <c r="B2985" s="1" t="n">
        <v>45484</v>
      </c>
      <c r="C2985" s="1" t="n">
        <v>45670</v>
      </c>
      <c r="D2985" t="inlineStr">
        <is>
          <t>VÄSTERNORRLANDS LÄN</t>
        </is>
      </c>
      <c r="E2985" t="inlineStr">
        <is>
          <t>SOLLEFTEÅ</t>
        </is>
      </c>
      <c r="G2985" t="n">
        <v>12.9</v>
      </c>
      <c r="H2985" t="n">
        <v>0</v>
      </c>
      <c r="I2985" t="n">
        <v>0</v>
      </c>
      <c r="J2985" t="n">
        <v>0</v>
      </c>
      <c r="K2985" t="n">
        <v>0</v>
      </c>
      <c r="L2985" t="n">
        <v>0</v>
      </c>
      <c r="M2985" t="n">
        <v>0</v>
      </c>
      <c r="N2985" t="n">
        <v>0</v>
      </c>
      <c r="O2985" t="n">
        <v>0</v>
      </c>
      <c r="P2985" t="n">
        <v>0</v>
      </c>
      <c r="Q2985" t="n">
        <v>0</v>
      </c>
      <c r="R2985" s="2" t="inlineStr"/>
    </row>
    <row r="2986" ht="15" customHeight="1">
      <c r="A2986" t="inlineStr">
        <is>
          <t>A 29871-2024</t>
        </is>
      </c>
      <c r="B2986" s="1" t="n">
        <v>45486</v>
      </c>
      <c r="C2986" s="1" t="n">
        <v>45670</v>
      </c>
      <c r="D2986" t="inlineStr">
        <is>
          <t>VÄSTERNORRLANDS LÄN</t>
        </is>
      </c>
      <c r="E2986" t="inlineStr">
        <is>
          <t>SOLLEFTEÅ</t>
        </is>
      </c>
      <c r="F2986" t="inlineStr">
        <is>
          <t>SCA</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29839-2024</t>
        </is>
      </c>
      <c r="B2987" s="1" t="n">
        <v>45485</v>
      </c>
      <c r="C2987" s="1" t="n">
        <v>45670</v>
      </c>
      <c r="D2987" t="inlineStr">
        <is>
          <t>VÄSTERNORRLANDS LÄN</t>
        </is>
      </c>
      <c r="E2987" t="inlineStr">
        <is>
          <t>SOLLEFTEÅ</t>
        </is>
      </c>
      <c r="F2987" t="inlineStr">
        <is>
          <t>Holmen skog AB</t>
        </is>
      </c>
      <c r="G2987" t="n">
        <v>16.1</v>
      </c>
      <c r="H2987" t="n">
        <v>0</v>
      </c>
      <c r="I2987" t="n">
        <v>0</v>
      </c>
      <c r="J2987" t="n">
        <v>0</v>
      </c>
      <c r="K2987" t="n">
        <v>0</v>
      </c>
      <c r="L2987" t="n">
        <v>0</v>
      </c>
      <c r="M2987" t="n">
        <v>0</v>
      </c>
      <c r="N2987" t="n">
        <v>0</v>
      </c>
      <c r="O2987" t="n">
        <v>0</v>
      </c>
      <c r="P2987" t="n">
        <v>0</v>
      </c>
      <c r="Q2987" t="n">
        <v>0</v>
      </c>
      <c r="R2987" s="2" t="inlineStr"/>
    </row>
    <row r="2988" ht="15" customHeight="1">
      <c r="A2988" t="inlineStr">
        <is>
          <t>A 29755-2024</t>
        </is>
      </c>
      <c r="B2988" s="1" t="n">
        <v>45485</v>
      </c>
      <c r="C2988" s="1" t="n">
        <v>45670</v>
      </c>
      <c r="D2988" t="inlineStr">
        <is>
          <t>VÄSTERNORRLANDS LÄN</t>
        </is>
      </c>
      <c r="E2988" t="inlineStr">
        <is>
          <t>SOLLEFTEÅ</t>
        </is>
      </c>
      <c r="F2988" t="inlineStr">
        <is>
          <t>Holmen skog AB</t>
        </is>
      </c>
      <c r="G2988" t="n">
        <v>9.199999999999999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29870-2024</t>
        </is>
      </c>
      <c r="B2989" s="1" t="n">
        <v>45486</v>
      </c>
      <c r="C2989" s="1" t="n">
        <v>45670</v>
      </c>
      <c r="D2989" t="inlineStr">
        <is>
          <t>VÄSTERNORRLANDS LÄN</t>
        </is>
      </c>
      <c r="E2989" t="inlineStr">
        <is>
          <t>SOLLEFTEÅ</t>
        </is>
      </c>
      <c r="F2989" t="inlineStr">
        <is>
          <t>SCA</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29869-2024</t>
        </is>
      </c>
      <c r="B2990" s="1" t="n">
        <v>45486</v>
      </c>
      <c r="C2990" s="1" t="n">
        <v>45670</v>
      </c>
      <c r="D2990" t="inlineStr">
        <is>
          <t>VÄSTERNORRLANDS LÄN</t>
        </is>
      </c>
      <c r="E2990" t="inlineStr">
        <is>
          <t>SOLLEFTEÅ</t>
        </is>
      </c>
      <c r="F2990" t="inlineStr">
        <is>
          <t>SCA</t>
        </is>
      </c>
      <c r="G2990" t="n">
        <v>6.4</v>
      </c>
      <c r="H2990" t="n">
        <v>0</v>
      </c>
      <c r="I2990" t="n">
        <v>0</v>
      </c>
      <c r="J2990" t="n">
        <v>0</v>
      </c>
      <c r="K2990" t="n">
        <v>0</v>
      </c>
      <c r="L2990" t="n">
        <v>0</v>
      </c>
      <c r="M2990" t="n">
        <v>0</v>
      </c>
      <c r="N2990" t="n">
        <v>0</v>
      </c>
      <c r="O2990" t="n">
        <v>0</v>
      </c>
      <c r="P2990" t="n">
        <v>0</v>
      </c>
      <c r="Q2990" t="n">
        <v>0</v>
      </c>
      <c r="R2990" s="2" t="inlineStr"/>
    </row>
    <row r="2991" ht="15" customHeight="1">
      <c r="A2991" t="inlineStr">
        <is>
          <t>A 29914-2024</t>
        </is>
      </c>
      <c r="B2991" s="1" t="n">
        <v>45488</v>
      </c>
      <c r="C2991" s="1" t="n">
        <v>45670</v>
      </c>
      <c r="D2991" t="inlineStr">
        <is>
          <t>VÄSTERNORRLANDS LÄN</t>
        </is>
      </c>
      <c r="E2991" t="inlineStr">
        <is>
          <t>SOLLEFTEÅ</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29915-2024</t>
        </is>
      </c>
      <c r="B2992" s="1" t="n">
        <v>45488</v>
      </c>
      <c r="C2992" s="1" t="n">
        <v>45670</v>
      </c>
      <c r="D2992" t="inlineStr">
        <is>
          <t>VÄSTERNORRLANDS LÄN</t>
        </is>
      </c>
      <c r="E2992" t="inlineStr">
        <is>
          <t>SOLLEFTEÅ</t>
        </is>
      </c>
      <c r="G2992" t="n">
        <v>10.5</v>
      </c>
      <c r="H2992" t="n">
        <v>0</v>
      </c>
      <c r="I2992" t="n">
        <v>0</v>
      </c>
      <c r="J2992" t="n">
        <v>0</v>
      </c>
      <c r="K2992" t="n">
        <v>0</v>
      </c>
      <c r="L2992" t="n">
        <v>0</v>
      </c>
      <c r="M2992" t="n">
        <v>0</v>
      </c>
      <c r="N2992" t="n">
        <v>0</v>
      </c>
      <c r="O2992" t="n">
        <v>0</v>
      </c>
      <c r="P2992" t="n">
        <v>0</v>
      </c>
      <c r="Q2992" t="n">
        <v>0</v>
      </c>
      <c r="R2992" s="2" t="inlineStr"/>
    </row>
    <row r="2993" ht="15" customHeight="1">
      <c r="A2993" t="inlineStr">
        <is>
          <t>A 29913-2024</t>
        </is>
      </c>
      <c r="B2993" s="1" t="n">
        <v>45488</v>
      </c>
      <c r="C2993" s="1" t="n">
        <v>45670</v>
      </c>
      <c r="D2993" t="inlineStr">
        <is>
          <t>VÄSTERNORRLANDS LÄN</t>
        </is>
      </c>
      <c r="E2993" t="inlineStr">
        <is>
          <t>SOLLEFTEÅ</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29916-2024</t>
        </is>
      </c>
      <c r="B2994" s="1" t="n">
        <v>45488</v>
      </c>
      <c r="C2994" s="1" t="n">
        <v>45670</v>
      </c>
      <c r="D2994" t="inlineStr">
        <is>
          <t>VÄSTERNORRLANDS LÄN</t>
        </is>
      </c>
      <c r="E2994" t="inlineStr">
        <is>
          <t>SOLLEFTEÅ</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30063-2024</t>
        </is>
      </c>
      <c r="B2995" s="1" t="n">
        <v>45489</v>
      </c>
      <c r="C2995" s="1" t="n">
        <v>45670</v>
      </c>
      <c r="D2995" t="inlineStr">
        <is>
          <t>VÄSTERNORRLANDS LÄN</t>
        </is>
      </c>
      <c r="E2995" t="inlineStr">
        <is>
          <t>SOLLEFTEÅ</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30060-2024</t>
        </is>
      </c>
      <c r="B2996" s="1" t="n">
        <v>45489</v>
      </c>
      <c r="C2996" s="1" t="n">
        <v>45670</v>
      </c>
      <c r="D2996" t="inlineStr">
        <is>
          <t>VÄSTERNORRLANDS LÄN</t>
        </is>
      </c>
      <c r="E2996" t="inlineStr">
        <is>
          <t>SOLLEFTEÅ</t>
        </is>
      </c>
      <c r="F2996" t="inlineStr">
        <is>
          <t>SCA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30068-2024</t>
        </is>
      </c>
      <c r="B2997" s="1" t="n">
        <v>45489</v>
      </c>
      <c r="C2997" s="1" t="n">
        <v>45670</v>
      </c>
      <c r="D2997" t="inlineStr">
        <is>
          <t>VÄSTERNORRLANDS LÄN</t>
        </is>
      </c>
      <c r="E2997" t="inlineStr">
        <is>
          <t>SOLLEFTEÅ</t>
        </is>
      </c>
      <c r="F2997" t="inlineStr">
        <is>
          <t>SCA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30061-2024</t>
        </is>
      </c>
      <c r="B2998" s="1" t="n">
        <v>45489</v>
      </c>
      <c r="C2998" s="1" t="n">
        <v>45670</v>
      </c>
      <c r="D2998" t="inlineStr">
        <is>
          <t>VÄSTERNORRLANDS LÄN</t>
        </is>
      </c>
      <c r="E2998" t="inlineStr">
        <is>
          <t>SOLLEFTEÅ</t>
        </is>
      </c>
      <c r="F2998" t="inlineStr">
        <is>
          <t>SCA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30069-2024</t>
        </is>
      </c>
      <c r="B2999" s="1" t="n">
        <v>45489</v>
      </c>
      <c r="C2999" s="1" t="n">
        <v>45670</v>
      </c>
      <c r="D2999" t="inlineStr">
        <is>
          <t>VÄSTERNORRLANDS LÄN</t>
        </is>
      </c>
      <c r="E2999" t="inlineStr">
        <is>
          <t>SOLLEFTEÅ</t>
        </is>
      </c>
      <c r="F2999" t="inlineStr">
        <is>
          <t>SCA</t>
        </is>
      </c>
      <c r="G2999" t="n">
        <v>7.2</v>
      </c>
      <c r="H2999" t="n">
        <v>0</v>
      </c>
      <c r="I2999" t="n">
        <v>0</v>
      </c>
      <c r="J2999" t="n">
        <v>0</v>
      </c>
      <c r="K2999" t="n">
        <v>0</v>
      </c>
      <c r="L2999" t="n">
        <v>0</v>
      </c>
      <c r="M2999" t="n">
        <v>0</v>
      </c>
      <c r="N2999" t="n">
        <v>0</v>
      </c>
      <c r="O2999" t="n">
        <v>0</v>
      </c>
      <c r="P2999" t="n">
        <v>0</v>
      </c>
      <c r="Q2999" t="n">
        <v>0</v>
      </c>
      <c r="R2999" s="2" t="inlineStr"/>
    </row>
    <row r="3000" ht="15" customHeight="1">
      <c r="A3000" t="inlineStr">
        <is>
          <t>A 30214-2024</t>
        </is>
      </c>
      <c r="B3000" s="1" t="n">
        <v>45490</v>
      </c>
      <c r="C3000" s="1" t="n">
        <v>45670</v>
      </c>
      <c r="D3000" t="inlineStr">
        <is>
          <t>VÄSTERNORRLANDS LÄN</t>
        </is>
      </c>
      <c r="E3000" t="inlineStr">
        <is>
          <t>SOLLEFTEÅ</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30327-2024</t>
        </is>
      </c>
      <c r="B3001" s="1" t="n">
        <v>45491</v>
      </c>
      <c r="C3001" s="1" t="n">
        <v>45670</v>
      </c>
      <c r="D3001" t="inlineStr">
        <is>
          <t>VÄSTERNORRLANDS LÄN</t>
        </is>
      </c>
      <c r="E3001" t="inlineStr">
        <is>
          <t>SOLLEFTEÅ</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30328-2024</t>
        </is>
      </c>
      <c r="B3002" s="1" t="n">
        <v>45491</v>
      </c>
      <c r="C3002" s="1" t="n">
        <v>45670</v>
      </c>
      <c r="D3002" t="inlineStr">
        <is>
          <t>VÄSTERNORRLANDS LÄN</t>
        </is>
      </c>
      <c r="E3002" t="inlineStr">
        <is>
          <t>SOLLEFTEÅ</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30329-2024</t>
        </is>
      </c>
      <c r="B3003" s="1" t="n">
        <v>45491</v>
      </c>
      <c r="C3003" s="1" t="n">
        <v>45670</v>
      </c>
      <c r="D3003" t="inlineStr">
        <is>
          <t>VÄSTERNORRLANDS LÄN</t>
        </is>
      </c>
      <c r="E3003" t="inlineStr">
        <is>
          <t>SOLLEFTEÅ</t>
        </is>
      </c>
      <c r="F3003" t="inlineStr">
        <is>
          <t>SCA</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30325-2024</t>
        </is>
      </c>
      <c r="B3004" s="1" t="n">
        <v>45491</v>
      </c>
      <c r="C3004" s="1" t="n">
        <v>45670</v>
      </c>
      <c r="D3004" t="inlineStr">
        <is>
          <t>VÄSTERNORRLANDS LÄN</t>
        </is>
      </c>
      <c r="E3004" t="inlineStr">
        <is>
          <t>SOLLEFTEÅ</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30466-2024</t>
        </is>
      </c>
      <c r="B3005" s="1" t="n">
        <v>45492</v>
      </c>
      <c r="C3005" s="1" t="n">
        <v>45670</v>
      </c>
      <c r="D3005" t="inlineStr">
        <is>
          <t>VÄSTERNORRLANDS LÄN</t>
        </is>
      </c>
      <c r="E3005" t="inlineStr">
        <is>
          <t>SOLLEFTEÅ</t>
        </is>
      </c>
      <c r="F3005" t="inlineStr">
        <is>
          <t>SCA</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30476-2024</t>
        </is>
      </c>
      <c r="B3006" s="1" t="n">
        <v>45492</v>
      </c>
      <c r="C3006" s="1" t="n">
        <v>45670</v>
      </c>
      <c r="D3006" t="inlineStr">
        <is>
          <t>VÄSTERNORRLANDS LÄN</t>
        </is>
      </c>
      <c r="E3006" t="inlineStr">
        <is>
          <t>SOLLEFTEÅ</t>
        </is>
      </c>
      <c r="F3006" t="inlineStr">
        <is>
          <t>SCA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30464-2024</t>
        </is>
      </c>
      <c r="B3007" s="1" t="n">
        <v>45492</v>
      </c>
      <c r="C3007" s="1" t="n">
        <v>45670</v>
      </c>
      <c r="D3007" t="inlineStr">
        <is>
          <t>VÄSTERNORRLANDS LÄN</t>
        </is>
      </c>
      <c r="E3007" t="inlineStr">
        <is>
          <t>SOLLEFTEÅ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30570-2024</t>
        </is>
      </c>
      <c r="B3008" s="1" t="n">
        <v>45493</v>
      </c>
      <c r="C3008" s="1" t="n">
        <v>45670</v>
      </c>
      <c r="D3008" t="inlineStr">
        <is>
          <t>VÄSTERNORRLANDS LÄN</t>
        </is>
      </c>
      <c r="E3008" t="inlineStr">
        <is>
          <t>SOLLEFTEÅ</t>
        </is>
      </c>
      <c r="F3008" t="inlineStr">
        <is>
          <t>SCA</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30812-2024</t>
        </is>
      </c>
      <c r="B3009" s="1" t="n">
        <v>45497</v>
      </c>
      <c r="C3009" s="1" t="n">
        <v>45670</v>
      </c>
      <c r="D3009" t="inlineStr">
        <is>
          <t>VÄSTERNORRLANDS LÄN</t>
        </is>
      </c>
      <c r="E3009" t="inlineStr">
        <is>
          <t>SOLLEFTEÅ</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31521-2024</t>
        </is>
      </c>
      <c r="B3010" s="1" t="n">
        <v>45505</v>
      </c>
      <c r="C3010" s="1" t="n">
        <v>45670</v>
      </c>
      <c r="D3010" t="inlineStr">
        <is>
          <t>VÄSTERNORRLANDS LÄN</t>
        </is>
      </c>
      <c r="E3010" t="inlineStr">
        <is>
          <t>SOLLEFTEÅ</t>
        </is>
      </c>
      <c r="F3010" t="inlineStr">
        <is>
          <t>SCA</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31482-2024</t>
        </is>
      </c>
      <c r="B3011" s="1" t="n">
        <v>45505</v>
      </c>
      <c r="C3011" s="1" t="n">
        <v>45670</v>
      </c>
      <c r="D3011" t="inlineStr">
        <is>
          <t>VÄSTERNORRLANDS LÄN</t>
        </is>
      </c>
      <c r="E3011" t="inlineStr">
        <is>
          <t>SOLLEFTEÅ</t>
        </is>
      </c>
      <c r="F3011" t="inlineStr">
        <is>
          <t>SCA</t>
        </is>
      </c>
      <c r="G3011" t="n">
        <v>8.9</v>
      </c>
      <c r="H3011" t="n">
        <v>0</v>
      </c>
      <c r="I3011" t="n">
        <v>0</v>
      </c>
      <c r="J3011" t="n">
        <v>0</v>
      </c>
      <c r="K3011" t="n">
        <v>0</v>
      </c>
      <c r="L3011" t="n">
        <v>0</v>
      </c>
      <c r="M3011" t="n">
        <v>0</v>
      </c>
      <c r="N3011" t="n">
        <v>0</v>
      </c>
      <c r="O3011" t="n">
        <v>0</v>
      </c>
      <c r="P3011" t="n">
        <v>0</v>
      </c>
      <c r="Q3011" t="n">
        <v>0</v>
      </c>
      <c r="R3011" s="2" t="inlineStr"/>
    </row>
    <row r="3012" ht="15" customHeight="1">
      <c r="A3012" t="inlineStr">
        <is>
          <t>A 31555-2024</t>
        </is>
      </c>
      <c r="B3012" s="1" t="n">
        <v>45506</v>
      </c>
      <c r="C3012" s="1" t="n">
        <v>45670</v>
      </c>
      <c r="D3012" t="inlineStr">
        <is>
          <t>VÄSTERNORRLANDS LÄN</t>
        </is>
      </c>
      <c r="E3012" t="inlineStr">
        <is>
          <t>SOLLEFTEÅ</t>
        </is>
      </c>
      <c r="F3012" t="inlineStr">
        <is>
          <t>SCA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31547-2024</t>
        </is>
      </c>
      <c r="B3013" s="1" t="n">
        <v>45506</v>
      </c>
      <c r="C3013" s="1" t="n">
        <v>45670</v>
      </c>
      <c r="D3013" t="inlineStr">
        <is>
          <t>VÄSTERNORRLANDS LÄN</t>
        </is>
      </c>
      <c r="E3013" t="inlineStr">
        <is>
          <t>SOLLEFTEÅ</t>
        </is>
      </c>
      <c r="F3013" t="inlineStr">
        <is>
          <t>SCA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31556-2024</t>
        </is>
      </c>
      <c r="B3014" s="1" t="n">
        <v>45505</v>
      </c>
      <c r="C3014" s="1" t="n">
        <v>45670</v>
      </c>
      <c r="D3014" t="inlineStr">
        <is>
          <t>VÄSTERNORRLANDS LÄN</t>
        </is>
      </c>
      <c r="E3014" t="inlineStr">
        <is>
          <t>SOLLEFTEÅ</t>
        </is>
      </c>
      <c r="F3014" t="inlineStr">
        <is>
          <t>SCA</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31480-2024</t>
        </is>
      </c>
      <c r="B3015" s="1" t="n">
        <v>45506</v>
      </c>
      <c r="C3015" s="1" t="n">
        <v>45670</v>
      </c>
      <c r="D3015" t="inlineStr">
        <is>
          <t>VÄSTERNORRLANDS LÄN</t>
        </is>
      </c>
      <c r="E3015" t="inlineStr">
        <is>
          <t>SOLLEFTEÅ</t>
        </is>
      </c>
      <c r="F3015" t="inlineStr">
        <is>
          <t>SCA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31496-2024</t>
        </is>
      </c>
      <c r="B3016" s="1" t="n">
        <v>45506</v>
      </c>
      <c r="C3016" s="1" t="n">
        <v>45670</v>
      </c>
      <c r="D3016" t="inlineStr">
        <is>
          <t>VÄSTERNORRLANDS LÄN</t>
        </is>
      </c>
      <c r="E3016" t="inlineStr">
        <is>
          <t>SOLLEFTEÅ</t>
        </is>
      </c>
      <c r="F3016" t="inlineStr">
        <is>
          <t>SCA</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31562-2024</t>
        </is>
      </c>
      <c r="B3017" s="1" t="n">
        <v>45505</v>
      </c>
      <c r="C3017" s="1" t="n">
        <v>45670</v>
      </c>
      <c r="D3017" t="inlineStr">
        <is>
          <t>VÄSTERNORRLANDS LÄN</t>
        </is>
      </c>
      <c r="E3017" t="inlineStr">
        <is>
          <t>SOLLEFTEÅ</t>
        </is>
      </c>
      <c r="F3017" t="inlineStr">
        <is>
          <t>SCA</t>
        </is>
      </c>
      <c r="G3017" t="n">
        <v>9.6</v>
      </c>
      <c r="H3017" t="n">
        <v>0</v>
      </c>
      <c r="I3017" t="n">
        <v>0</v>
      </c>
      <c r="J3017" t="n">
        <v>0</v>
      </c>
      <c r="K3017" t="n">
        <v>0</v>
      </c>
      <c r="L3017" t="n">
        <v>0</v>
      </c>
      <c r="M3017" t="n">
        <v>0</v>
      </c>
      <c r="N3017" t="n">
        <v>0</v>
      </c>
      <c r="O3017" t="n">
        <v>0</v>
      </c>
      <c r="P3017" t="n">
        <v>0</v>
      </c>
      <c r="Q3017" t="n">
        <v>0</v>
      </c>
      <c r="R3017" s="2" t="inlineStr"/>
    </row>
    <row r="3018" ht="15" customHeight="1">
      <c r="A3018" t="inlineStr">
        <is>
          <t>A 31549-2024</t>
        </is>
      </c>
      <c r="B3018" s="1" t="n">
        <v>45506</v>
      </c>
      <c r="C3018" s="1" t="n">
        <v>45670</v>
      </c>
      <c r="D3018" t="inlineStr">
        <is>
          <t>VÄSTERNORRLANDS LÄN</t>
        </is>
      </c>
      <c r="E3018" t="inlineStr">
        <is>
          <t>SOLLEFTEÅ</t>
        </is>
      </c>
      <c r="F3018" t="inlineStr">
        <is>
          <t>SCA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31537-2024</t>
        </is>
      </c>
      <c r="B3019" s="1" t="n">
        <v>45506</v>
      </c>
      <c r="C3019" s="1" t="n">
        <v>45670</v>
      </c>
      <c r="D3019" t="inlineStr">
        <is>
          <t>VÄSTERNORRLANDS LÄN</t>
        </is>
      </c>
      <c r="E3019" t="inlineStr">
        <is>
          <t>SOLLEFTEÅ</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31511-2024</t>
        </is>
      </c>
      <c r="B3020" s="1" t="n">
        <v>45506</v>
      </c>
      <c r="C3020" s="1" t="n">
        <v>45670</v>
      </c>
      <c r="D3020" t="inlineStr">
        <is>
          <t>VÄSTERNORRLANDS LÄN</t>
        </is>
      </c>
      <c r="E3020" t="inlineStr">
        <is>
          <t>SOLLEFTEÅ</t>
        </is>
      </c>
      <c r="F3020" t="inlineStr">
        <is>
          <t>SCA</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31481-2024</t>
        </is>
      </c>
      <c r="B3021" s="1" t="n">
        <v>45505</v>
      </c>
      <c r="C3021" s="1" t="n">
        <v>45670</v>
      </c>
      <c r="D3021" t="inlineStr">
        <is>
          <t>VÄSTERNORRLANDS LÄN</t>
        </is>
      </c>
      <c r="E3021" t="inlineStr">
        <is>
          <t>SOLLEFTEÅ</t>
        </is>
      </c>
      <c r="F3021" t="inlineStr">
        <is>
          <t>SCA</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31559-2024</t>
        </is>
      </c>
      <c r="B3022" s="1" t="n">
        <v>45506</v>
      </c>
      <c r="C3022" s="1" t="n">
        <v>45670</v>
      </c>
      <c r="D3022" t="inlineStr">
        <is>
          <t>VÄSTERNORRLANDS LÄN</t>
        </is>
      </c>
      <c r="E3022" t="inlineStr">
        <is>
          <t>SOLLEFTEÅ</t>
        </is>
      </c>
      <c r="F3022" t="inlineStr">
        <is>
          <t>SCA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31554-2024</t>
        </is>
      </c>
      <c r="B3023" s="1" t="n">
        <v>45506</v>
      </c>
      <c r="C3023" s="1" t="n">
        <v>45670</v>
      </c>
      <c r="D3023" t="inlineStr">
        <is>
          <t>VÄSTERNORRLANDS LÄN</t>
        </is>
      </c>
      <c r="E3023" t="inlineStr">
        <is>
          <t>SOLLEFTEÅ</t>
        </is>
      </c>
      <c r="F3023" t="inlineStr">
        <is>
          <t>SCA</t>
        </is>
      </c>
      <c r="G3023" t="n">
        <v>7.4</v>
      </c>
      <c r="H3023" t="n">
        <v>0</v>
      </c>
      <c r="I3023" t="n">
        <v>0</v>
      </c>
      <c r="J3023" t="n">
        <v>0</v>
      </c>
      <c r="K3023" t="n">
        <v>0</v>
      </c>
      <c r="L3023" t="n">
        <v>0</v>
      </c>
      <c r="M3023" t="n">
        <v>0</v>
      </c>
      <c r="N3023" t="n">
        <v>0</v>
      </c>
      <c r="O3023" t="n">
        <v>0</v>
      </c>
      <c r="P3023" t="n">
        <v>0</v>
      </c>
      <c r="Q3023" t="n">
        <v>0</v>
      </c>
      <c r="R3023" s="2" t="inlineStr"/>
    </row>
    <row r="3024" ht="15" customHeight="1">
      <c r="A3024" t="inlineStr">
        <is>
          <t>A 31550-2024</t>
        </is>
      </c>
      <c r="B3024" s="1" t="n">
        <v>45505</v>
      </c>
      <c r="C3024" s="1" t="n">
        <v>45670</v>
      </c>
      <c r="D3024" t="inlineStr">
        <is>
          <t>VÄSTERNORRLANDS LÄN</t>
        </is>
      </c>
      <c r="E3024" t="inlineStr">
        <is>
          <t>SOLLEFTEÅ</t>
        </is>
      </c>
      <c r="F3024" t="inlineStr">
        <is>
          <t>SCA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31477-2024</t>
        </is>
      </c>
      <c r="B3025" s="1" t="n">
        <v>45505</v>
      </c>
      <c r="C3025" s="1" t="n">
        <v>45670</v>
      </c>
      <c r="D3025" t="inlineStr">
        <is>
          <t>VÄSTERNORRLANDS LÄN</t>
        </is>
      </c>
      <c r="E3025" t="inlineStr">
        <is>
          <t>SOLLEFTEÅ</t>
        </is>
      </c>
      <c r="F3025" t="inlineStr">
        <is>
          <t>SCA</t>
        </is>
      </c>
      <c r="G3025" t="n">
        <v>7.3</v>
      </c>
      <c r="H3025" t="n">
        <v>0</v>
      </c>
      <c r="I3025" t="n">
        <v>0</v>
      </c>
      <c r="J3025" t="n">
        <v>0</v>
      </c>
      <c r="K3025" t="n">
        <v>0</v>
      </c>
      <c r="L3025" t="n">
        <v>0</v>
      </c>
      <c r="M3025" t="n">
        <v>0</v>
      </c>
      <c r="N3025" t="n">
        <v>0</v>
      </c>
      <c r="O3025" t="n">
        <v>0</v>
      </c>
      <c r="P3025" t="n">
        <v>0</v>
      </c>
      <c r="Q3025" t="n">
        <v>0</v>
      </c>
      <c r="R3025" s="2" t="inlineStr"/>
    </row>
    <row r="3026" ht="15" customHeight="1">
      <c r="A3026" t="inlineStr">
        <is>
          <t>A 31528-2024</t>
        </is>
      </c>
      <c r="B3026" s="1" t="n">
        <v>45505</v>
      </c>
      <c r="C3026" s="1" t="n">
        <v>45670</v>
      </c>
      <c r="D3026" t="inlineStr">
        <is>
          <t>VÄSTERNORRLANDS LÄN</t>
        </is>
      </c>
      <c r="E3026" t="inlineStr">
        <is>
          <t>SOLLEFTEÅ</t>
        </is>
      </c>
      <c r="F3026" t="inlineStr">
        <is>
          <t>SCA</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31520-2024</t>
        </is>
      </c>
      <c r="B3027" s="1" t="n">
        <v>45505</v>
      </c>
      <c r="C3027" s="1" t="n">
        <v>45670</v>
      </c>
      <c r="D3027" t="inlineStr">
        <is>
          <t>VÄSTERNORRLANDS LÄN</t>
        </is>
      </c>
      <c r="E3027" t="inlineStr">
        <is>
          <t>SOLLEFTEÅ</t>
        </is>
      </c>
      <c r="F3027" t="inlineStr">
        <is>
          <t>SCA</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31516-2024</t>
        </is>
      </c>
      <c r="B3028" s="1" t="n">
        <v>45505</v>
      </c>
      <c r="C3028" s="1" t="n">
        <v>45670</v>
      </c>
      <c r="D3028" t="inlineStr">
        <is>
          <t>VÄSTERNORRLANDS LÄN</t>
        </is>
      </c>
      <c r="E3028" t="inlineStr">
        <is>
          <t>SOLLEFTEÅ</t>
        </is>
      </c>
      <c r="F3028" t="inlineStr">
        <is>
          <t>SCA</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31569-2024</t>
        </is>
      </c>
      <c r="B3029" s="1" t="n">
        <v>45505</v>
      </c>
      <c r="C3029" s="1" t="n">
        <v>45670</v>
      </c>
      <c r="D3029" t="inlineStr">
        <is>
          <t>VÄSTERNORRLANDS LÄN</t>
        </is>
      </c>
      <c r="E3029" t="inlineStr">
        <is>
          <t>SOLLEFTEÅ</t>
        </is>
      </c>
      <c r="F3029" t="inlineStr">
        <is>
          <t>SCA</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31548-2024</t>
        </is>
      </c>
      <c r="B3030" s="1" t="n">
        <v>45506</v>
      </c>
      <c r="C3030" s="1" t="n">
        <v>45670</v>
      </c>
      <c r="D3030" t="inlineStr">
        <is>
          <t>VÄSTERNORRLANDS LÄN</t>
        </is>
      </c>
      <c r="E3030" t="inlineStr">
        <is>
          <t>SOLLEFTEÅ</t>
        </is>
      </c>
      <c r="F3030" t="inlineStr">
        <is>
          <t>SCA</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31680-2024</t>
        </is>
      </c>
      <c r="B3031" s="1" t="n">
        <v>45507</v>
      </c>
      <c r="C3031" s="1" t="n">
        <v>45670</v>
      </c>
      <c r="D3031" t="inlineStr">
        <is>
          <t>VÄSTERNORRLANDS LÄN</t>
        </is>
      </c>
      <c r="E3031" t="inlineStr">
        <is>
          <t>SOLLEFTEÅ</t>
        </is>
      </c>
      <c r="F3031" t="inlineStr">
        <is>
          <t>SCA</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31669-2024</t>
        </is>
      </c>
      <c r="B3032" s="1" t="n">
        <v>45507</v>
      </c>
      <c r="C3032" s="1" t="n">
        <v>45670</v>
      </c>
      <c r="D3032" t="inlineStr">
        <is>
          <t>VÄSTERNORRLANDS LÄN</t>
        </is>
      </c>
      <c r="E3032" t="inlineStr">
        <is>
          <t>SOLLEFTEÅ</t>
        </is>
      </c>
      <c r="F3032" t="inlineStr">
        <is>
          <t>SCA</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31614-2024</t>
        </is>
      </c>
      <c r="B3033" s="1" t="n">
        <v>45506</v>
      </c>
      <c r="C3033" s="1" t="n">
        <v>45670</v>
      </c>
      <c r="D3033" t="inlineStr">
        <is>
          <t>VÄSTERNORRLANDS LÄN</t>
        </is>
      </c>
      <c r="E3033" t="inlineStr">
        <is>
          <t>SOLLEFTEÅ</t>
        </is>
      </c>
      <c r="F3033" t="inlineStr">
        <is>
          <t>Kommuner</t>
        </is>
      </c>
      <c r="G3033" t="n">
        <v>11.5</v>
      </c>
      <c r="H3033" t="n">
        <v>0</v>
      </c>
      <c r="I3033" t="n">
        <v>0</v>
      </c>
      <c r="J3033" t="n">
        <v>0</v>
      </c>
      <c r="K3033" t="n">
        <v>0</v>
      </c>
      <c r="L3033" t="n">
        <v>0</v>
      </c>
      <c r="M3033" t="n">
        <v>0</v>
      </c>
      <c r="N3033" t="n">
        <v>0</v>
      </c>
      <c r="O3033" t="n">
        <v>0</v>
      </c>
      <c r="P3033" t="n">
        <v>0</v>
      </c>
      <c r="Q3033" t="n">
        <v>0</v>
      </c>
      <c r="R3033" s="2" t="inlineStr"/>
    </row>
    <row r="3034" ht="15" customHeight="1">
      <c r="A3034" t="inlineStr">
        <is>
          <t>A 31681-2024</t>
        </is>
      </c>
      <c r="B3034" s="1" t="n">
        <v>45507</v>
      </c>
      <c r="C3034" s="1" t="n">
        <v>45670</v>
      </c>
      <c r="D3034" t="inlineStr">
        <is>
          <t>VÄSTERNORRLANDS LÄN</t>
        </is>
      </c>
      <c r="E3034" t="inlineStr">
        <is>
          <t>SOLLEFTEÅ</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31658-2024</t>
        </is>
      </c>
      <c r="B3035" s="1" t="n">
        <v>45506</v>
      </c>
      <c r="C3035" s="1" t="n">
        <v>45670</v>
      </c>
      <c r="D3035" t="inlineStr">
        <is>
          <t>VÄSTERNORRLANDS LÄN</t>
        </is>
      </c>
      <c r="E3035" t="inlineStr">
        <is>
          <t>SOLLEFTEÅ</t>
        </is>
      </c>
      <c r="G3035" t="n">
        <v>15.5</v>
      </c>
      <c r="H3035" t="n">
        <v>0</v>
      </c>
      <c r="I3035" t="n">
        <v>0</v>
      </c>
      <c r="J3035" t="n">
        <v>0</v>
      </c>
      <c r="K3035" t="n">
        <v>0</v>
      </c>
      <c r="L3035" t="n">
        <v>0</v>
      </c>
      <c r="M3035" t="n">
        <v>0</v>
      </c>
      <c r="N3035" t="n">
        <v>0</v>
      </c>
      <c r="O3035" t="n">
        <v>0</v>
      </c>
      <c r="P3035" t="n">
        <v>0</v>
      </c>
      <c r="Q3035" t="n">
        <v>0</v>
      </c>
      <c r="R3035" s="2" t="inlineStr"/>
    </row>
    <row r="3036" ht="15" customHeight="1">
      <c r="A3036" t="inlineStr">
        <is>
          <t>A 31662-2024</t>
        </is>
      </c>
      <c r="B3036" s="1" t="n">
        <v>45507</v>
      </c>
      <c r="C3036" s="1" t="n">
        <v>45670</v>
      </c>
      <c r="D3036" t="inlineStr">
        <is>
          <t>VÄSTERNORRLANDS LÄN</t>
        </is>
      </c>
      <c r="E3036" t="inlineStr">
        <is>
          <t>SOLLEFTEÅ</t>
        </is>
      </c>
      <c r="G3036" t="n">
        <v>11.7</v>
      </c>
      <c r="H3036" t="n">
        <v>0</v>
      </c>
      <c r="I3036" t="n">
        <v>0</v>
      </c>
      <c r="J3036" t="n">
        <v>0</v>
      </c>
      <c r="K3036" t="n">
        <v>0</v>
      </c>
      <c r="L3036" t="n">
        <v>0</v>
      </c>
      <c r="M3036" t="n">
        <v>0</v>
      </c>
      <c r="N3036" t="n">
        <v>0</v>
      </c>
      <c r="O3036" t="n">
        <v>0</v>
      </c>
      <c r="P3036" t="n">
        <v>0</v>
      </c>
      <c r="Q3036" t="n">
        <v>0</v>
      </c>
      <c r="R3036" s="2" t="inlineStr"/>
    </row>
    <row r="3037" ht="15" customHeight="1">
      <c r="A3037" t="inlineStr">
        <is>
          <t>A 31670-2024</t>
        </is>
      </c>
      <c r="B3037" s="1" t="n">
        <v>45507</v>
      </c>
      <c r="C3037" s="1" t="n">
        <v>45670</v>
      </c>
      <c r="D3037" t="inlineStr">
        <is>
          <t>VÄSTERNORRLANDS LÄN</t>
        </is>
      </c>
      <c r="E3037" t="inlineStr">
        <is>
          <t>SOLLEFTEÅ</t>
        </is>
      </c>
      <c r="F3037" t="inlineStr">
        <is>
          <t>SCA</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31686-2024</t>
        </is>
      </c>
      <c r="B3038" s="1" t="n">
        <v>45506</v>
      </c>
      <c r="C3038" s="1" t="n">
        <v>45670</v>
      </c>
      <c r="D3038" t="inlineStr">
        <is>
          <t>VÄSTERNORRLANDS LÄN</t>
        </is>
      </c>
      <c r="E3038" t="inlineStr">
        <is>
          <t>SOLLEFTEÅ</t>
        </is>
      </c>
      <c r="F3038" t="inlineStr">
        <is>
          <t>SCA</t>
        </is>
      </c>
      <c r="G3038" t="n">
        <v>9.5</v>
      </c>
      <c r="H3038" t="n">
        <v>0</v>
      </c>
      <c r="I3038" t="n">
        <v>0</v>
      </c>
      <c r="J3038" t="n">
        <v>0</v>
      </c>
      <c r="K3038" t="n">
        <v>0</v>
      </c>
      <c r="L3038" t="n">
        <v>0</v>
      </c>
      <c r="M3038" t="n">
        <v>0</v>
      </c>
      <c r="N3038" t="n">
        <v>0</v>
      </c>
      <c r="O3038" t="n">
        <v>0</v>
      </c>
      <c r="P3038" t="n">
        <v>0</v>
      </c>
      <c r="Q3038" t="n">
        <v>0</v>
      </c>
      <c r="R3038" s="2" t="inlineStr"/>
    </row>
    <row r="3039" ht="15" customHeight="1">
      <c r="A3039" t="inlineStr">
        <is>
          <t>A 31708-2024</t>
        </is>
      </c>
      <c r="B3039" s="1" t="n">
        <v>45509</v>
      </c>
      <c r="C3039" s="1" t="n">
        <v>45670</v>
      </c>
      <c r="D3039" t="inlineStr">
        <is>
          <t>VÄSTERNORRLANDS LÄN</t>
        </is>
      </c>
      <c r="E3039" t="inlineStr">
        <is>
          <t>SOLLEFTEÅ</t>
        </is>
      </c>
      <c r="F3039" t="inlineStr">
        <is>
          <t>SCA</t>
        </is>
      </c>
      <c r="G3039" t="n">
        <v>13.9</v>
      </c>
      <c r="H3039" t="n">
        <v>0</v>
      </c>
      <c r="I3039" t="n">
        <v>0</v>
      </c>
      <c r="J3039" t="n">
        <v>0</v>
      </c>
      <c r="K3039" t="n">
        <v>0</v>
      </c>
      <c r="L3039" t="n">
        <v>0</v>
      </c>
      <c r="M3039" t="n">
        <v>0</v>
      </c>
      <c r="N3039" t="n">
        <v>0</v>
      </c>
      <c r="O3039" t="n">
        <v>0</v>
      </c>
      <c r="P3039" t="n">
        <v>0</v>
      </c>
      <c r="Q3039" t="n">
        <v>0</v>
      </c>
      <c r="R3039" s="2" t="inlineStr"/>
    </row>
    <row r="3040" ht="15" customHeight="1">
      <c r="A3040" t="inlineStr">
        <is>
          <t>A 31807-2024</t>
        </is>
      </c>
      <c r="B3040" s="1" t="n">
        <v>45509</v>
      </c>
      <c r="C3040" s="1" t="n">
        <v>45670</v>
      </c>
      <c r="D3040" t="inlineStr">
        <is>
          <t>VÄSTERNORRLANDS LÄN</t>
        </is>
      </c>
      <c r="E3040" t="inlineStr">
        <is>
          <t>SOLLEFTEÅ</t>
        </is>
      </c>
      <c r="F3040" t="inlineStr">
        <is>
          <t>Holmen skog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31886-2024</t>
        </is>
      </c>
      <c r="B3041" s="1" t="n">
        <v>45510</v>
      </c>
      <c r="C3041" s="1" t="n">
        <v>45670</v>
      </c>
      <c r="D3041" t="inlineStr">
        <is>
          <t>VÄSTERNORRLANDS LÄN</t>
        </is>
      </c>
      <c r="E3041" t="inlineStr">
        <is>
          <t>SOLLEFTEÅ</t>
        </is>
      </c>
      <c r="F3041" t="inlineStr">
        <is>
          <t>SCA</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31881-2024</t>
        </is>
      </c>
      <c r="B3042" s="1" t="n">
        <v>45509</v>
      </c>
      <c r="C3042" s="1" t="n">
        <v>45670</v>
      </c>
      <c r="D3042" t="inlineStr">
        <is>
          <t>VÄSTERNORRLANDS LÄN</t>
        </is>
      </c>
      <c r="E3042" t="inlineStr">
        <is>
          <t>SOLLEFTEÅ</t>
        </is>
      </c>
      <c r="F3042" t="inlineStr">
        <is>
          <t>SCA</t>
        </is>
      </c>
      <c r="G3042" t="n">
        <v>10.3</v>
      </c>
      <c r="H3042" t="n">
        <v>0</v>
      </c>
      <c r="I3042" t="n">
        <v>0</v>
      </c>
      <c r="J3042" t="n">
        <v>0</v>
      </c>
      <c r="K3042" t="n">
        <v>0</v>
      </c>
      <c r="L3042" t="n">
        <v>0</v>
      </c>
      <c r="M3042" t="n">
        <v>0</v>
      </c>
      <c r="N3042" t="n">
        <v>0</v>
      </c>
      <c r="O3042" t="n">
        <v>0</v>
      </c>
      <c r="P3042" t="n">
        <v>0</v>
      </c>
      <c r="Q3042" t="n">
        <v>0</v>
      </c>
      <c r="R3042" s="2" t="inlineStr"/>
    </row>
    <row r="3043" ht="15" customHeight="1">
      <c r="A3043" t="inlineStr">
        <is>
          <t>A 31889-2024</t>
        </is>
      </c>
      <c r="B3043" s="1" t="n">
        <v>45510</v>
      </c>
      <c r="C3043" s="1" t="n">
        <v>45670</v>
      </c>
      <c r="D3043" t="inlineStr">
        <is>
          <t>VÄSTERNORRLANDS LÄN</t>
        </is>
      </c>
      <c r="E3043" t="inlineStr">
        <is>
          <t>SOLLEFTEÅ</t>
        </is>
      </c>
      <c r="F3043" t="inlineStr">
        <is>
          <t>SCA</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31880-2024</t>
        </is>
      </c>
      <c r="B3044" s="1" t="n">
        <v>45509</v>
      </c>
      <c r="C3044" s="1" t="n">
        <v>45670</v>
      </c>
      <c r="D3044" t="inlineStr">
        <is>
          <t>VÄSTERNORRLANDS LÄN</t>
        </is>
      </c>
      <c r="E3044" t="inlineStr">
        <is>
          <t>SOLLEFTEÅ</t>
        </is>
      </c>
      <c r="F3044" t="inlineStr">
        <is>
          <t>SCA</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32062-2024</t>
        </is>
      </c>
      <c r="B3045" s="1" t="n">
        <v>45510</v>
      </c>
      <c r="C3045" s="1" t="n">
        <v>45670</v>
      </c>
      <c r="D3045" t="inlineStr">
        <is>
          <t>VÄSTERNORRLANDS LÄN</t>
        </is>
      </c>
      <c r="E3045" t="inlineStr">
        <is>
          <t>SOLLEFTEÅ</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32071-2024</t>
        </is>
      </c>
      <c r="B3046" s="1" t="n">
        <v>45511</v>
      </c>
      <c r="C3046" s="1" t="n">
        <v>45670</v>
      </c>
      <c r="D3046" t="inlineStr">
        <is>
          <t>VÄSTERNORRLANDS LÄN</t>
        </is>
      </c>
      <c r="E3046" t="inlineStr">
        <is>
          <t>SOLLEFTEÅ</t>
        </is>
      </c>
      <c r="F3046" t="inlineStr">
        <is>
          <t>SCA</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32242-2024</t>
        </is>
      </c>
      <c r="B3047" s="1" t="n">
        <v>45512</v>
      </c>
      <c r="C3047" s="1" t="n">
        <v>45670</v>
      </c>
      <c r="D3047" t="inlineStr">
        <is>
          <t>VÄSTERNORRLANDS LÄN</t>
        </is>
      </c>
      <c r="E3047" t="inlineStr">
        <is>
          <t>SOLLEFTEÅ</t>
        </is>
      </c>
      <c r="F3047" t="inlineStr">
        <is>
          <t>SCA</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32255-2024</t>
        </is>
      </c>
      <c r="B3048" s="1" t="n">
        <v>45512</v>
      </c>
      <c r="C3048" s="1" t="n">
        <v>45670</v>
      </c>
      <c r="D3048" t="inlineStr">
        <is>
          <t>VÄSTERNORRLANDS LÄN</t>
        </is>
      </c>
      <c r="E3048" t="inlineStr">
        <is>
          <t>SOLLEFTEÅ</t>
        </is>
      </c>
      <c r="F3048" t="inlineStr">
        <is>
          <t>SCA</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32140-2024</t>
        </is>
      </c>
      <c r="B3049" s="1" t="n">
        <v>45511</v>
      </c>
      <c r="C3049" s="1" t="n">
        <v>45670</v>
      </c>
      <c r="D3049" t="inlineStr">
        <is>
          <t>VÄSTERNORRLANDS LÄN</t>
        </is>
      </c>
      <c r="E3049" t="inlineStr">
        <is>
          <t>SOLLEFTEÅ</t>
        </is>
      </c>
      <c r="F3049" t="inlineStr">
        <is>
          <t>Holmen skog AB</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32157-2024</t>
        </is>
      </c>
      <c r="B3050" s="1" t="n">
        <v>45511</v>
      </c>
      <c r="C3050" s="1" t="n">
        <v>45670</v>
      </c>
      <c r="D3050" t="inlineStr">
        <is>
          <t>VÄSTERNORRLANDS LÄN</t>
        </is>
      </c>
      <c r="E3050" t="inlineStr">
        <is>
          <t>SOLLEFTEÅ</t>
        </is>
      </c>
      <c r="F3050" t="inlineStr">
        <is>
          <t>Holmen skog AB</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32467-2024</t>
        </is>
      </c>
      <c r="B3051" s="1" t="n">
        <v>45512</v>
      </c>
      <c r="C3051" s="1" t="n">
        <v>45670</v>
      </c>
      <c r="D3051" t="inlineStr">
        <is>
          <t>VÄSTERNORRLANDS LÄN</t>
        </is>
      </c>
      <c r="E3051" t="inlineStr">
        <is>
          <t>SOLLEFTEÅ</t>
        </is>
      </c>
      <c r="F3051" t="inlineStr">
        <is>
          <t>SCA</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32754-2024</t>
        </is>
      </c>
      <c r="B3052" s="1" t="n">
        <v>45516</v>
      </c>
      <c r="C3052" s="1" t="n">
        <v>45670</v>
      </c>
      <c r="D3052" t="inlineStr">
        <is>
          <t>VÄSTERNORRLANDS LÄN</t>
        </is>
      </c>
      <c r="E3052" t="inlineStr">
        <is>
          <t>SOLLEFTEÅ</t>
        </is>
      </c>
      <c r="F3052" t="inlineStr">
        <is>
          <t>Holmen skog AB</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32924-2024</t>
        </is>
      </c>
      <c r="B3053" s="1" t="n">
        <v>45517</v>
      </c>
      <c r="C3053" s="1" t="n">
        <v>45670</v>
      </c>
      <c r="D3053" t="inlineStr">
        <is>
          <t>VÄSTERNORRLANDS LÄN</t>
        </is>
      </c>
      <c r="E3053" t="inlineStr">
        <is>
          <t>SOLLEFTEÅ</t>
        </is>
      </c>
      <c r="F3053" t="inlineStr">
        <is>
          <t>SCA</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32812-2024</t>
        </is>
      </c>
      <c r="B3054" s="1" t="n">
        <v>45516</v>
      </c>
      <c r="C3054" s="1" t="n">
        <v>45670</v>
      </c>
      <c r="D3054" t="inlineStr">
        <is>
          <t>VÄSTERNORRLANDS LÄN</t>
        </is>
      </c>
      <c r="E3054" t="inlineStr">
        <is>
          <t>SOLLEFTEÅ</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32702-2024</t>
        </is>
      </c>
      <c r="B3055" s="1" t="n">
        <v>45516</v>
      </c>
      <c r="C3055" s="1" t="n">
        <v>45670</v>
      </c>
      <c r="D3055" t="inlineStr">
        <is>
          <t>VÄSTERNORRLANDS LÄN</t>
        </is>
      </c>
      <c r="E3055" t="inlineStr">
        <is>
          <t>SOLLEFTEÅ</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33110-2024</t>
        </is>
      </c>
      <c r="B3056" s="1" t="n">
        <v>45517</v>
      </c>
      <c r="C3056" s="1" t="n">
        <v>45670</v>
      </c>
      <c r="D3056" t="inlineStr">
        <is>
          <t>VÄSTERNORRLANDS LÄN</t>
        </is>
      </c>
      <c r="E3056" t="inlineStr">
        <is>
          <t>SOLLEFTEÅ</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33111-2024</t>
        </is>
      </c>
      <c r="B3057" s="1" t="n">
        <v>45517</v>
      </c>
      <c r="C3057" s="1" t="n">
        <v>45670</v>
      </c>
      <c r="D3057" t="inlineStr">
        <is>
          <t>VÄSTERNORRLANDS LÄN</t>
        </is>
      </c>
      <c r="E3057" t="inlineStr">
        <is>
          <t>SOLLEFTEÅ</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33031-2024</t>
        </is>
      </c>
      <c r="B3058" s="1" t="n">
        <v>45517</v>
      </c>
      <c r="C3058" s="1" t="n">
        <v>45670</v>
      </c>
      <c r="D3058" t="inlineStr">
        <is>
          <t>VÄSTERNORRLANDS LÄN</t>
        </is>
      </c>
      <c r="E3058" t="inlineStr">
        <is>
          <t>SOLLEFTEÅ</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33241-2024</t>
        </is>
      </c>
      <c r="B3059" s="1" t="n">
        <v>45518</v>
      </c>
      <c r="C3059" s="1" t="n">
        <v>45670</v>
      </c>
      <c r="D3059" t="inlineStr">
        <is>
          <t>VÄSTERNORRLANDS LÄN</t>
        </is>
      </c>
      <c r="E3059" t="inlineStr">
        <is>
          <t>SOLLEFTEÅ</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33316-2024</t>
        </is>
      </c>
      <c r="B3060" s="1" t="n">
        <v>45519</v>
      </c>
      <c r="C3060" s="1" t="n">
        <v>45670</v>
      </c>
      <c r="D3060" t="inlineStr">
        <is>
          <t>VÄSTERNORRLANDS LÄN</t>
        </is>
      </c>
      <c r="E3060" t="inlineStr">
        <is>
          <t>SOLLEFTEÅ</t>
        </is>
      </c>
      <c r="F3060" t="inlineStr">
        <is>
          <t>SCA</t>
        </is>
      </c>
      <c r="G3060" t="n">
        <v>12.9</v>
      </c>
      <c r="H3060" t="n">
        <v>0</v>
      </c>
      <c r="I3060" t="n">
        <v>0</v>
      </c>
      <c r="J3060" t="n">
        <v>0</v>
      </c>
      <c r="K3060" t="n">
        <v>0</v>
      </c>
      <c r="L3060" t="n">
        <v>0</v>
      </c>
      <c r="M3060" t="n">
        <v>0</v>
      </c>
      <c r="N3060" t="n">
        <v>0</v>
      </c>
      <c r="O3060" t="n">
        <v>0</v>
      </c>
      <c r="P3060" t="n">
        <v>0</v>
      </c>
      <c r="Q3060" t="n">
        <v>0</v>
      </c>
      <c r="R3060" s="2" t="inlineStr"/>
    </row>
    <row r="3061" ht="15" customHeight="1">
      <c r="A3061" t="inlineStr">
        <is>
          <t>A 33312-2024</t>
        </is>
      </c>
      <c r="B3061" s="1" t="n">
        <v>45519</v>
      </c>
      <c r="C3061" s="1" t="n">
        <v>45670</v>
      </c>
      <c r="D3061" t="inlineStr">
        <is>
          <t>VÄSTERNORRLANDS LÄN</t>
        </is>
      </c>
      <c r="E3061" t="inlineStr">
        <is>
          <t>SOLLEFTEÅ</t>
        </is>
      </c>
      <c r="F3061" t="inlineStr">
        <is>
          <t>SCA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33141-2024</t>
        </is>
      </c>
      <c r="B3062" s="1" t="n">
        <v>45518</v>
      </c>
      <c r="C3062" s="1" t="n">
        <v>45670</v>
      </c>
      <c r="D3062" t="inlineStr">
        <is>
          <t>VÄSTERNORRLANDS LÄN</t>
        </is>
      </c>
      <c r="E3062" t="inlineStr">
        <is>
          <t>SOLLEFTEÅ</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33134-2024</t>
        </is>
      </c>
      <c r="B3063" s="1" t="n">
        <v>45518</v>
      </c>
      <c r="C3063" s="1" t="n">
        <v>45670</v>
      </c>
      <c r="D3063" t="inlineStr">
        <is>
          <t>VÄSTERNORRLANDS LÄN</t>
        </is>
      </c>
      <c r="E3063" t="inlineStr">
        <is>
          <t>SOLLEFTEÅ</t>
        </is>
      </c>
      <c r="F3063" t="inlineStr">
        <is>
          <t>Holmen skog AB</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33314-2024</t>
        </is>
      </c>
      <c r="B3064" s="1" t="n">
        <v>45519</v>
      </c>
      <c r="C3064" s="1" t="n">
        <v>45670</v>
      </c>
      <c r="D3064" t="inlineStr">
        <is>
          <t>VÄSTERNORRLANDS LÄN</t>
        </is>
      </c>
      <c r="E3064" t="inlineStr">
        <is>
          <t>SOLLEFTEÅ</t>
        </is>
      </c>
      <c r="F3064" t="inlineStr">
        <is>
          <t>SCA</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33332-2024</t>
        </is>
      </c>
      <c r="B3065" s="1" t="n">
        <v>45519</v>
      </c>
      <c r="C3065" s="1" t="n">
        <v>45670</v>
      </c>
      <c r="D3065" t="inlineStr">
        <is>
          <t>VÄSTERNORRLANDS LÄN</t>
        </is>
      </c>
      <c r="E3065" t="inlineStr">
        <is>
          <t>SOLLEFTEÅ</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33490-2024</t>
        </is>
      </c>
      <c r="B3066" s="1" t="n">
        <v>45519</v>
      </c>
      <c r="C3066" s="1" t="n">
        <v>45670</v>
      </c>
      <c r="D3066" t="inlineStr">
        <is>
          <t>VÄSTERNORRLANDS LÄN</t>
        </is>
      </c>
      <c r="E3066" t="inlineStr">
        <is>
          <t>SOLLEFTEÅ</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33617-2024</t>
        </is>
      </c>
      <c r="B3067" s="1" t="n">
        <v>45520</v>
      </c>
      <c r="C3067" s="1" t="n">
        <v>45670</v>
      </c>
      <c r="D3067" t="inlineStr">
        <is>
          <t>VÄSTERNORRLANDS LÄN</t>
        </is>
      </c>
      <c r="E3067" t="inlineStr">
        <is>
          <t>SOLLEFTEÅ</t>
        </is>
      </c>
      <c r="F3067" t="inlineStr">
        <is>
          <t>Holmen skog AB</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33628-2024</t>
        </is>
      </c>
      <c r="B3068" s="1" t="n">
        <v>45520</v>
      </c>
      <c r="C3068" s="1" t="n">
        <v>45670</v>
      </c>
      <c r="D3068" t="inlineStr">
        <is>
          <t>VÄSTERNORRLANDS LÄN</t>
        </is>
      </c>
      <c r="E3068" t="inlineStr">
        <is>
          <t>SOLLEFTEÅ</t>
        </is>
      </c>
      <c r="F3068" t="inlineStr">
        <is>
          <t>Holmen skog AB</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33677-2024</t>
        </is>
      </c>
      <c r="B3069" s="1" t="n">
        <v>45520</v>
      </c>
      <c r="C3069" s="1" t="n">
        <v>45670</v>
      </c>
      <c r="D3069" t="inlineStr">
        <is>
          <t>VÄSTERNORRLANDS LÄN</t>
        </is>
      </c>
      <c r="E3069" t="inlineStr">
        <is>
          <t>SOLLEFTEÅ</t>
        </is>
      </c>
      <c r="F3069" t="inlineStr">
        <is>
          <t>Holmen skog AB</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33739-2024</t>
        </is>
      </c>
      <c r="B3070" s="1" t="n">
        <v>45520</v>
      </c>
      <c r="C3070" s="1" t="n">
        <v>45670</v>
      </c>
      <c r="D3070" t="inlineStr">
        <is>
          <t>VÄSTERNORRLANDS LÄN</t>
        </is>
      </c>
      <c r="E3070" t="inlineStr">
        <is>
          <t>SOLLEFTEÅ</t>
        </is>
      </c>
      <c r="F3070" t="inlineStr">
        <is>
          <t>SCA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33656-2024</t>
        </is>
      </c>
      <c r="B3071" s="1" t="n">
        <v>45520</v>
      </c>
      <c r="C3071" s="1" t="n">
        <v>45670</v>
      </c>
      <c r="D3071" t="inlineStr">
        <is>
          <t>VÄSTERNORRLANDS LÄN</t>
        </is>
      </c>
      <c r="E3071" t="inlineStr">
        <is>
          <t>SOLLEFTEÅ</t>
        </is>
      </c>
      <c r="F3071" t="inlineStr">
        <is>
          <t>Holmen skog AB</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33799-2024</t>
        </is>
      </c>
      <c r="B3072" s="1" t="n">
        <v>45520</v>
      </c>
      <c r="C3072" s="1" t="n">
        <v>45670</v>
      </c>
      <c r="D3072" t="inlineStr">
        <is>
          <t>VÄSTERNORRLANDS LÄN</t>
        </is>
      </c>
      <c r="E3072" t="inlineStr">
        <is>
          <t>SOLLEFTEÅ</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33815-2024</t>
        </is>
      </c>
      <c r="B3073" s="1" t="n">
        <v>45520</v>
      </c>
      <c r="C3073" s="1" t="n">
        <v>45670</v>
      </c>
      <c r="D3073" t="inlineStr">
        <is>
          <t>VÄSTERNORRLANDS LÄN</t>
        </is>
      </c>
      <c r="E3073" t="inlineStr">
        <is>
          <t>SOLLEFTEÅ</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34318-2024</t>
        </is>
      </c>
      <c r="B3074" s="1" t="n">
        <v>45524</v>
      </c>
      <c r="C3074" s="1" t="n">
        <v>45670</v>
      </c>
      <c r="D3074" t="inlineStr">
        <is>
          <t>VÄSTERNORRLANDS LÄN</t>
        </is>
      </c>
      <c r="E3074" t="inlineStr">
        <is>
          <t>SOLLEFTEÅ</t>
        </is>
      </c>
      <c r="F3074" t="inlineStr">
        <is>
          <t>Övriga statliga verk och myndigheter</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34216-2024</t>
        </is>
      </c>
      <c r="B3075" s="1" t="n">
        <v>45524</v>
      </c>
      <c r="C3075" s="1" t="n">
        <v>45670</v>
      </c>
      <c r="D3075" t="inlineStr">
        <is>
          <t>VÄSTERNORRLANDS LÄN</t>
        </is>
      </c>
      <c r="E3075" t="inlineStr">
        <is>
          <t>SOLLEFTEÅ</t>
        </is>
      </c>
      <c r="F3075" t="inlineStr">
        <is>
          <t>Kommuner</t>
        </is>
      </c>
      <c r="G3075" t="n">
        <v>11.7</v>
      </c>
      <c r="H3075" t="n">
        <v>0</v>
      </c>
      <c r="I3075" t="n">
        <v>0</v>
      </c>
      <c r="J3075" t="n">
        <v>0</v>
      </c>
      <c r="K3075" t="n">
        <v>0</v>
      </c>
      <c r="L3075" t="n">
        <v>0</v>
      </c>
      <c r="M3075" t="n">
        <v>0</v>
      </c>
      <c r="N3075" t="n">
        <v>0</v>
      </c>
      <c r="O3075" t="n">
        <v>0</v>
      </c>
      <c r="P3075" t="n">
        <v>0</v>
      </c>
      <c r="Q3075" t="n">
        <v>0</v>
      </c>
      <c r="R3075" s="2" t="inlineStr"/>
    </row>
    <row r="3076" ht="15" customHeight="1">
      <c r="A3076" t="inlineStr">
        <is>
          <t>A 34313-2024</t>
        </is>
      </c>
      <c r="B3076" s="1" t="n">
        <v>45524</v>
      </c>
      <c r="C3076" s="1" t="n">
        <v>45670</v>
      </c>
      <c r="D3076" t="inlineStr">
        <is>
          <t>VÄSTERNORRLANDS LÄN</t>
        </is>
      </c>
      <c r="E3076" t="inlineStr">
        <is>
          <t>SOLLEFTEÅ</t>
        </is>
      </c>
      <c r="F3076" t="inlineStr">
        <is>
          <t>Övriga statliga verk och myndigheter</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34316-2024</t>
        </is>
      </c>
      <c r="B3077" s="1" t="n">
        <v>45524</v>
      </c>
      <c r="C3077" s="1" t="n">
        <v>45670</v>
      </c>
      <c r="D3077" t="inlineStr">
        <is>
          <t>VÄSTERNORRLANDS LÄN</t>
        </is>
      </c>
      <c r="E3077" t="inlineStr">
        <is>
          <t>SOLLEFTEÅ</t>
        </is>
      </c>
      <c r="F3077" t="inlineStr">
        <is>
          <t>Övriga statliga verk och myndigheter</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34398-2024</t>
        </is>
      </c>
      <c r="B3078" s="1" t="n">
        <v>45525</v>
      </c>
      <c r="C3078" s="1" t="n">
        <v>45670</v>
      </c>
      <c r="D3078" t="inlineStr">
        <is>
          <t>VÄSTERNORRLANDS LÄN</t>
        </is>
      </c>
      <c r="E3078" t="inlineStr">
        <is>
          <t>SOLLEFTEÅ</t>
        </is>
      </c>
      <c r="F3078" t="inlineStr">
        <is>
          <t>Holmen skog AB</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34458-2024</t>
        </is>
      </c>
      <c r="B3079" s="1" t="n">
        <v>45525</v>
      </c>
      <c r="C3079" s="1" t="n">
        <v>45670</v>
      </c>
      <c r="D3079" t="inlineStr">
        <is>
          <t>VÄSTERNORRLANDS LÄN</t>
        </is>
      </c>
      <c r="E3079" t="inlineStr">
        <is>
          <t>SOLLEFTEÅ</t>
        </is>
      </c>
      <c r="F3079" t="inlineStr">
        <is>
          <t>Kommuner</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34388-2024</t>
        </is>
      </c>
      <c r="B3080" s="1" t="n">
        <v>45525</v>
      </c>
      <c r="C3080" s="1" t="n">
        <v>45670</v>
      </c>
      <c r="D3080" t="inlineStr">
        <is>
          <t>VÄSTERNORRLANDS LÄN</t>
        </is>
      </c>
      <c r="E3080" t="inlineStr">
        <is>
          <t>SOLLEFTEÅ</t>
        </is>
      </c>
      <c r="F3080" t="inlineStr">
        <is>
          <t>SCA</t>
        </is>
      </c>
      <c r="G3080" t="n">
        <v>6.1</v>
      </c>
      <c r="H3080" t="n">
        <v>0</v>
      </c>
      <c r="I3080" t="n">
        <v>0</v>
      </c>
      <c r="J3080" t="n">
        <v>0</v>
      </c>
      <c r="K3080" t="n">
        <v>0</v>
      </c>
      <c r="L3080" t="n">
        <v>0</v>
      </c>
      <c r="M3080" t="n">
        <v>0</v>
      </c>
      <c r="N3080" t="n">
        <v>0</v>
      </c>
      <c r="O3080" t="n">
        <v>0</v>
      </c>
      <c r="P3080" t="n">
        <v>0</v>
      </c>
      <c r="Q3080" t="n">
        <v>0</v>
      </c>
      <c r="R3080" s="2" t="inlineStr"/>
    </row>
    <row r="3081" ht="15" customHeight="1">
      <c r="A3081" t="inlineStr">
        <is>
          <t>A 34376-2024</t>
        </is>
      </c>
      <c r="B3081" s="1" t="n">
        <v>45525</v>
      </c>
      <c r="C3081" s="1" t="n">
        <v>45670</v>
      </c>
      <c r="D3081" t="inlineStr">
        <is>
          <t>VÄSTERNORRLANDS LÄN</t>
        </is>
      </c>
      <c r="E3081" t="inlineStr">
        <is>
          <t>SOLLEFTEÅ</t>
        </is>
      </c>
      <c r="F3081" t="inlineStr">
        <is>
          <t>Övriga statliga verk och myndigheter</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34460-2024</t>
        </is>
      </c>
      <c r="B3082" s="1" t="n">
        <v>45525</v>
      </c>
      <c r="C3082" s="1" t="n">
        <v>45670</v>
      </c>
      <c r="D3082" t="inlineStr">
        <is>
          <t>VÄSTERNORRLANDS LÄN</t>
        </is>
      </c>
      <c r="E3082" t="inlineStr">
        <is>
          <t>SOLLEFTEÅ</t>
        </is>
      </c>
      <c r="F3082" t="inlineStr">
        <is>
          <t>Kommuner</t>
        </is>
      </c>
      <c r="G3082" t="n">
        <v>9.800000000000001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34640-2024</t>
        </is>
      </c>
      <c r="B3083" s="1" t="n">
        <v>45526</v>
      </c>
      <c r="C3083" s="1" t="n">
        <v>45670</v>
      </c>
      <c r="D3083" t="inlineStr">
        <is>
          <t>VÄSTERNORRLANDS LÄN</t>
        </is>
      </c>
      <c r="E3083" t="inlineStr">
        <is>
          <t>SOLLEFTEÅ</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34700-2024</t>
        </is>
      </c>
      <c r="B3084" s="1" t="n">
        <v>45526</v>
      </c>
      <c r="C3084" s="1" t="n">
        <v>45670</v>
      </c>
      <c r="D3084" t="inlineStr">
        <is>
          <t>VÄSTERNORRLANDS LÄN</t>
        </is>
      </c>
      <c r="E3084" t="inlineStr">
        <is>
          <t>SOLLEFTEÅ</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34560-2024</t>
        </is>
      </c>
      <c r="B3085" s="1" t="n">
        <v>45526</v>
      </c>
      <c r="C3085" s="1" t="n">
        <v>45670</v>
      </c>
      <c r="D3085" t="inlineStr">
        <is>
          <t>VÄSTERNORRLANDS LÄN</t>
        </is>
      </c>
      <c r="E3085" t="inlineStr">
        <is>
          <t>SOLLEFTEÅ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34765-2024</t>
        </is>
      </c>
      <c r="B3086" s="1" t="n">
        <v>45526</v>
      </c>
      <c r="C3086" s="1" t="n">
        <v>45670</v>
      </c>
      <c r="D3086" t="inlineStr">
        <is>
          <t>VÄSTERNORRLANDS LÄN</t>
        </is>
      </c>
      <c r="E3086" t="inlineStr">
        <is>
          <t>SOLLEFTEÅ</t>
        </is>
      </c>
      <c r="F3086" t="inlineStr">
        <is>
          <t>SCA</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34638-2024</t>
        </is>
      </c>
      <c r="B3087" s="1" t="n">
        <v>45526</v>
      </c>
      <c r="C3087" s="1" t="n">
        <v>45670</v>
      </c>
      <c r="D3087" t="inlineStr">
        <is>
          <t>VÄSTERNORRLANDS LÄN</t>
        </is>
      </c>
      <c r="E3087" t="inlineStr">
        <is>
          <t>SOLLEFTEÅ</t>
        </is>
      </c>
      <c r="F3087" t="inlineStr">
        <is>
          <t>SCA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34878-2024</t>
        </is>
      </c>
      <c r="B3088" s="1" t="n">
        <v>45527</v>
      </c>
      <c r="C3088" s="1" t="n">
        <v>45670</v>
      </c>
      <c r="D3088" t="inlineStr">
        <is>
          <t>VÄSTERNORRLANDS LÄN</t>
        </is>
      </c>
      <c r="E3088" t="inlineStr">
        <is>
          <t>SOLLEFTEÅ</t>
        </is>
      </c>
      <c r="F3088" t="inlineStr">
        <is>
          <t>SCA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35217-2024</t>
        </is>
      </c>
      <c r="B3089" s="1" t="n">
        <v>45530</v>
      </c>
      <c r="C3089" s="1" t="n">
        <v>45670</v>
      </c>
      <c r="D3089" t="inlineStr">
        <is>
          <t>VÄSTERNORRLANDS LÄN</t>
        </is>
      </c>
      <c r="E3089" t="inlineStr">
        <is>
          <t>SOLLEFTEÅ</t>
        </is>
      </c>
      <c r="F3089" t="inlineStr">
        <is>
          <t>Kommuner</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35391-2024</t>
        </is>
      </c>
      <c r="B3090" s="1" t="n">
        <v>45531</v>
      </c>
      <c r="C3090" s="1" t="n">
        <v>45670</v>
      </c>
      <c r="D3090" t="inlineStr">
        <is>
          <t>VÄSTERNORRLANDS LÄN</t>
        </is>
      </c>
      <c r="E3090" t="inlineStr">
        <is>
          <t>SOLLEFTEÅ</t>
        </is>
      </c>
      <c r="F3090" t="inlineStr">
        <is>
          <t>SCA</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35417-2024</t>
        </is>
      </c>
      <c r="B3091" s="1" t="n">
        <v>45531</v>
      </c>
      <c r="C3091" s="1" t="n">
        <v>45670</v>
      </c>
      <c r="D3091" t="inlineStr">
        <is>
          <t>VÄSTERNORRLANDS LÄN</t>
        </is>
      </c>
      <c r="E3091" t="inlineStr">
        <is>
          <t>SOLLEFTEÅ</t>
        </is>
      </c>
      <c r="F3091" t="inlineStr">
        <is>
          <t>SCA</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35469-2024</t>
        </is>
      </c>
      <c r="B3092" s="1" t="n">
        <v>45531</v>
      </c>
      <c r="C3092" s="1" t="n">
        <v>45670</v>
      </c>
      <c r="D3092" t="inlineStr">
        <is>
          <t>VÄSTERNORRLANDS LÄN</t>
        </is>
      </c>
      <c r="E3092" t="inlineStr">
        <is>
          <t>SOLLEFTEÅ</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35502-2024</t>
        </is>
      </c>
      <c r="B3093" s="1" t="n">
        <v>45531</v>
      </c>
      <c r="C3093" s="1" t="n">
        <v>45670</v>
      </c>
      <c r="D3093" t="inlineStr">
        <is>
          <t>VÄSTERNORRLANDS LÄN</t>
        </is>
      </c>
      <c r="E3093" t="inlineStr">
        <is>
          <t>SOLLEFTEÅ</t>
        </is>
      </c>
      <c r="F3093" t="inlineStr">
        <is>
          <t>Övriga Aktiebolag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35420-2024</t>
        </is>
      </c>
      <c r="B3094" s="1" t="n">
        <v>45531</v>
      </c>
      <c r="C3094" s="1" t="n">
        <v>45670</v>
      </c>
      <c r="D3094" t="inlineStr">
        <is>
          <t>VÄSTERNORRLANDS LÄN</t>
        </is>
      </c>
      <c r="E3094" t="inlineStr">
        <is>
          <t>SOLLEFTEÅ</t>
        </is>
      </c>
      <c r="F3094" t="inlineStr">
        <is>
          <t>SCA</t>
        </is>
      </c>
      <c r="G3094" t="n">
        <v>9.1</v>
      </c>
      <c r="H3094" t="n">
        <v>0</v>
      </c>
      <c r="I3094" t="n">
        <v>0</v>
      </c>
      <c r="J3094" t="n">
        <v>0</v>
      </c>
      <c r="K3094" t="n">
        <v>0</v>
      </c>
      <c r="L3094" t="n">
        <v>0</v>
      </c>
      <c r="M3094" t="n">
        <v>0</v>
      </c>
      <c r="N3094" t="n">
        <v>0</v>
      </c>
      <c r="O3094" t="n">
        <v>0</v>
      </c>
      <c r="P3094" t="n">
        <v>0</v>
      </c>
      <c r="Q3094" t="n">
        <v>0</v>
      </c>
      <c r="R3094" s="2" t="inlineStr"/>
    </row>
    <row r="3095" ht="15" customHeight="1">
      <c r="A3095" t="inlineStr">
        <is>
          <t>A 35509-2024</t>
        </is>
      </c>
      <c r="B3095" s="1" t="n">
        <v>45531</v>
      </c>
      <c r="C3095" s="1" t="n">
        <v>45670</v>
      </c>
      <c r="D3095" t="inlineStr">
        <is>
          <t>VÄSTERNORRLANDS LÄN</t>
        </is>
      </c>
      <c r="E3095" t="inlineStr">
        <is>
          <t>SOLLEFTEÅ</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35513-2024</t>
        </is>
      </c>
      <c r="B3096" s="1" t="n">
        <v>45531</v>
      </c>
      <c r="C3096" s="1" t="n">
        <v>45670</v>
      </c>
      <c r="D3096" t="inlineStr">
        <is>
          <t>VÄSTERNORRLANDS LÄN</t>
        </is>
      </c>
      <c r="E3096" t="inlineStr">
        <is>
          <t>SOLLEFTEÅ</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35463-2024</t>
        </is>
      </c>
      <c r="B3097" s="1" t="n">
        <v>45531</v>
      </c>
      <c r="C3097" s="1" t="n">
        <v>45670</v>
      </c>
      <c r="D3097" t="inlineStr">
        <is>
          <t>VÄSTERNORRLANDS LÄN</t>
        </is>
      </c>
      <c r="E3097" t="inlineStr">
        <is>
          <t>SOLLEFTEÅ</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35508-2024</t>
        </is>
      </c>
      <c r="B3098" s="1" t="n">
        <v>45531</v>
      </c>
      <c r="C3098" s="1" t="n">
        <v>45670</v>
      </c>
      <c r="D3098" t="inlineStr">
        <is>
          <t>VÄSTERNORRLANDS LÄN</t>
        </is>
      </c>
      <c r="E3098" t="inlineStr">
        <is>
          <t>SOLLEFTEÅ</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35673-2024</t>
        </is>
      </c>
      <c r="B3099" s="1" t="n">
        <v>45532</v>
      </c>
      <c r="C3099" s="1" t="n">
        <v>45670</v>
      </c>
      <c r="D3099" t="inlineStr">
        <is>
          <t>VÄSTERNORRLANDS LÄN</t>
        </is>
      </c>
      <c r="E3099" t="inlineStr">
        <is>
          <t>SOLLEFTEÅ</t>
        </is>
      </c>
      <c r="F3099" t="inlineStr">
        <is>
          <t>SCA</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35794-2024</t>
        </is>
      </c>
      <c r="B3100" s="1" t="n">
        <v>45532</v>
      </c>
      <c r="C3100" s="1" t="n">
        <v>45670</v>
      </c>
      <c r="D3100" t="inlineStr">
        <is>
          <t>VÄSTERNORRLANDS LÄN</t>
        </is>
      </c>
      <c r="E3100" t="inlineStr">
        <is>
          <t>SOLLEFTEÅ</t>
        </is>
      </c>
      <c r="F3100" t="inlineStr">
        <is>
          <t>SCA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35795-2024</t>
        </is>
      </c>
      <c r="B3101" s="1" t="n">
        <v>45532</v>
      </c>
      <c r="C3101" s="1" t="n">
        <v>45670</v>
      </c>
      <c r="D3101" t="inlineStr">
        <is>
          <t>VÄSTERNORRLANDS LÄN</t>
        </is>
      </c>
      <c r="E3101" t="inlineStr">
        <is>
          <t>SOLLEFTEÅ</t>
        </is>
      </c>
      <c r="F3101" t="inlineStr">
        <is>
          <t>SCA</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35803-2024</t>
        </is>
      </c>
      <c r="B3102" s="1" t="n">
        <v>45532</v>
      </c>
      <c r="C3102" s="1" t="n">
        <v>45670</v>
      </c>
      <c r="D3102" t="inlineStr">
        <is>
          <t>VÄSTERNORRLANDS LÄN</t>
        </is>
      </c>
      <c r="E3102" t="inlineStr">
        <is>
          <t>SOLLEFTEÅ</t>
        </is>
      </c>
      <c r="F3102" t="inlineStr">
        <is>
          <t>SCA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35827-2024</t>
        </is>
      </c>
      <c r="B3103" s="1" t="n">
        <v>45532</v>
      </c>
      <c r="C3103" s="1" t="n">
        <v>45670</v>
      </c>
      <c r="D3103" t="inlineStr">
        <is>
          <t>VÄSTERNORRLANDS LÄN</t>
        </is>
      </c>
      <c r="E3103" t="inlineStr">
        <is>
          <t>SOLLEFTEÅ</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35793-2024</t>
        </is>
      </c>
      <c r="B3104" s="1" t="n">
        <v>45532</v>
      </c>
      <c r="C3104" s="1" t="n">
        <v>45670</v>
      </c>
      <c r="D3104" t="inlineStr">
        <is>
          <t>VÄSTERNORRLANDS LÄN</t>
        </is>
      </c>
      <c r="E3104" t="inlineStr">
        <is>
          <t>SOLLEFTEÅ</t>
        </is>
      </c>
      <c r="F3104" t="inlineStr">
        <is>
          <t>SCA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35873-2024</t>
        </is>
      </c>
      <c r="B3105" s="1" t="n">
        <v>45533</v>
      </c>
      <c r="C3105" s="1" t="n">
        <v>45670</v>
      </c>
      <c r="D3105" t="inlineStr">
        <is>
          <t>VÄSTERNORRLANDS LÄN</t>
        </is>
      </c>
      <c r="E3105" t="inlineStr">
        <is>
          <t>SOLLEFTEÅ</t>
        </is>
      </c>
      <c r="F3105" t="inlineStr">
        <is>
          <t>SCA</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35905-2024</t>
        </is>
      </c>
      <c r="B3106" s="1" t="n">
        <v>45533</v>
      </c>
      <c r="C3106" s="1" t="n">
        <v>45670</v>
      </c>
      <c r="D3106" t="inlineStr">
        <is>
          <t>VÄSTERNORRLANDS LÄN</t>
        </is>
      </c>
      <c r="E3106" t="inlineStr">
        <is>
          <t>SOLLEFTEÅ</t>
        </is>
      </c>
      <c r="F3106" t="inlineStr">
        <is>
          <t>SCA</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35872-2024</t>
        </is>
      </c>
      <c r="B3107" s="1" t="n">
        <v>45533</v>
      </c>
      <c r="C3107" s="1" t="n">
        <v>45670</v>
      </c>
      <c r="D3107" t="inlineStr">
        <is>
          <t>VÄSTERNORRLANDS LÄN</t>
        </is>
      </c>
      <c r="E3107" t="inlineStr">
        <is>
          <t>SOLLEFTEÅ</t>
        </is>
      </c>
      <c r="F3107" t="inlineStr">
        <is>
          <t>SCA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35875-2024</t>
        </is>
      </c>
      <c r="B3108" s="1" t="n">
        <v>45533</v>
      </c>
      <c r="C3108" s="1" t="n">
        <v>45670</v>
      </c>
      <c r="D3108" t="inlineStr">
        <is>
          <t>VÄSTERNORRLANDS LÄN</t>
        </is>
      </c>
      <c r="E3108" t="inlineStr">
        <is>
          <t>SOLLEFTEÅ</t>
        </is>
      </c>
      <c r="F3108" t="inlineStr">
        <is>
          <t>SCA</t>
        </is>
      </c>
      <c r="G3108" t="n">
        <v>10.4</v>
      </c>
      <c r="H3108" t="n">
        <v>0</v>
      </c>
      <c r="I3108" t="n">
        <v>0</v>
      </c>
      <c r="J3108" t="n">
        <v>0</v>
      </c>
      <c r="K3108" t="n">
        <v>0</v>
      </c>
      <c r="L3108" t="n">
        <v>0</v>
      </c>
      <c r="M3108" t="n">
        <v>0</v>
      </c>
      <c r="N3108" t="n">
        <v>0</v>
      </c>
      <c r="O3108" t="n">
        <v>0</v>
      </c>
      <c r="P3108" t="n">
        <v>0</v>
      </c>
      <c r="Q3108" t="n">
        <v>0</v>
      </c>
      <c r="R3108" s="2" t="inlineStr"/>
    </row>
    <row r="3109" ht="15" customHeight="1">
      <c r="A3109" t="inlineStr">
        <is>
          <t>A 36039-2024</t>
        </is>
      </c>
      <c r="B3109" s="1" t="n">
        <v>45533</v>
      </c>
      <c r="C3109" s="1" t="n">
        <v>45670</v>
      </c>
      <c r="D3109" t="inlineStr">
        <is>
          <t>VÄSTERNORRLANDS LÄN</t>
        </is>
      </c>
      <c r="E3109" t="inlineStr">
        <is>
          <t>SOLLEFTEÅ</t>
        </is>
      </c>
      <c r="F3109" t="inlineStr">
        <is>
          <t>Holmen skog AB</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36009-2024</t>
        </is>
      </c>
      <c r="B3110" s="1" t="n">
        <v>45533</v>
      </c>
      <c r="C3110" s="1" t="n">
        <v>45670</v>
      </c>
      <c r="D3110" t="inlineStr">
        <is>
          <t>VÄSTERNORRLANDS LÄN</t>
        </is>
      </c>
      <c r="E3110" t="inlineStr">
        <is>
          <t>SOLLEFTEÅ</t>
        </is>
      </c>
      <c r="F3110" t="inlineStr">
        <is>
          <t>Holmen skog AB</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36004-2024</t>
        </is>
      </c>
      <c r="B3111" s="1" t="n">
        <v>45533</v>
      </c>
      <c r="C3111" s="1" t="n">
        <v>45670</v>
      </c>
      <c r="D3111" t="inlineStr">
        <is>
          <t>VÄSTERNORRLANDS LÄN</t>
        </is>
      </c>
      <c r="E3111" t="inlineStr">
        <is>
          <t>SOLLEFTEÅ</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36137-2024</t>
        </is>
      </c>
      <c r="B3112" s="1" t="n">
        <v>45534</v>
      </c>
      <c r="C3112" s="1" t="n">
        <v>45670</v>
      </c>
      <c r="D3112" t="inlineStr">
        <is>
          <t>VÄSTERNORRLANDS LÄN</t>
        </is>
      </c>
      <c r="E3112" t="inlineStr">
        <is>
          <t>SOLLEFTEÅ</t>
        </is>
      </c>
      <c r="G3112" t="n">
        <v>17.9</v>
      </c>
      <c r="H3112" t="n">
        <v>0</v>
      </c>
      <c r="I3112" t="n">
        <v>0</v>
      </c>
      <c r="J3112" t="n">
        <v>0</v>
      </c>
      <c r="K3112" t="n">
        <v>0</v>
      </c>
      <c r="L3112" t="n">
        <v>0</v>
      </c>
      <c r="M3112" t="n">
        <v>0</v>
      </c>
      <c r="N3112" t="n">
        <v>0</v>
      </c>
      <c r="O3112" t="n">
        <v>0</v>
      </c>
      <c r="P3112" t="n">
        <v>0</v>
      </c>
      <c r="Q3112" t="n">
        <v>0</v>
      </c>
      <c r="R3112" s="2" t="inlineStr"/>
    </row>
    <row r="3113" ht="15" customHeight="1">
      <c r="A3113" t="inlineStr">
        <is>
          <t>A 36141-2024</t>
        </is>
      </c>
      <c r="B3113" s="1" t="n">
        <v>45534</v>
      </c>
      <c r="C3113" s="1" t="n">
        <v>45670</v>
      </c>
      <c r="D3113" t="inlineStr">
        <is>
          <t>VÄSTERNORRLANDS LÄN</t>
        </is>
      </c>
      <c r="E3113" t="inlineStr">
        <is>
          <t>SOLLEFTEÅ</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36139-2024</t>
        </is>
      </c>
      <c r="B3114" s="1" t="n">
        <v>45534</v>
      </c>
      <c r="C3114" s="1" t="n">
        <v>45670</v>
      </c>
      <c r="D3114" t="inlineStr">
        <is>
          <t>VÄSTERNORRLANDS LÄN</t>
        </is>
      </c>
      <c r="E3114" t="inlineStr">
        <is>
          <t>SOLLEFTEÅ</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36142-2024</t>
        </is>
      </c>
      <c r="B3115" s="1" t="n">
        <v>45534</v>
      </c>
      <c r="C3115" s="1" t="n">
        <v>45670</v>
      </c>
      <c r="D3115" t="inlineStr">
        <is>
          <t>VÄSTERNORRLANDS LÄN</t>
        </is>
      </c>
      <c r="E3115" t="inlineStr">
        <is>
          <t>SOLLEFTEÅ</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36322-2024</t>
        </is>
      </c>
      <c r="B3116" s="1" t="n">
        <v>45534</v>
      </c>
      <c r="C3116" s="1" t="n">
        <v>45670</v>
      </c>
      <c r="D3116" t="inlineStr">
        <is>
          <t>VÄSTERNORRLANDS LÄN</t>
        </is>
      </c>
      <c r="E3116" t="inlineStr">
        <is>
          <t>SOLLEFTEÅ</t>
        </is>
      </c>
      <c r="F3116" t="inlineStr">
        <is>
          <t>SCA</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36144-2024</t>
        </is>
      </c>
      <c r="B3117" s="1" t="n">
        <v>45534</v>
      </c>
      <c r="C3117" s="1" t="n">
        <v>45670</v>
      </c>
      <c r="D3117" t="inlineStr">
        <is>
          <t>VÄSTERNORRLANDS LÄN</t>
        </is>
      </c>
      <c r="E3117" t="inlineStr">
        <is>
          <t>SOLLEFTEÅ</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36337-2024</t>
        </is>
      </c>
      <c r="B3118" s="1" t="n">
        <v>45534</v>
      </c>
      <c r="C3118" s="1" t="n">
        <v>45670</v>
      </c>
      <c r="D3118" t="inlineStr">
        <is>
          <t>VÄSTERNORRLANDS LÄN</t>
        </is>
      </c>
      <c r="E3118" t="inlineStr">
        <is>
          <t>SOLLEFTEÅ</t>
        </is>
      </c>
      <c r="F3118" t="inlineStr">
        <is>
          <t>SCA</t>
        </is>
      </c>
      <c r="G3118" t="n">
        <v>9.9</v>
      </c>
      <c r="H3118" t="n">
        <v>0</v>
      </c>
      <c r="I3118" t="n">
        <v>0</v>
      </c>
      <c r="J3118" t="n">
        <v>0</v>
      </c>
      <c r="K3118" t="n">
        <v>0</v>
      </c>
      <c r="L3118" t="n">
        <v>0</v>
      </c>
      <c r="M3118" t="n">
        <v>0</v>
      </c>
      <c r="N3118" t="n">
        <v>0</v>
      </c>
      <c r="O3118" t="n">
        <v>0</v>
      </c>
      <c r="P3118" t="n">
        <v>0</v>
      </c>
      <c r="Q3118" t="n">
        <v>0</v>
      </c>
      <c r="R3118" s="2" t="inlineStr"/>
    </row>
    <row r="3119" ht="15" customHeight="1">
      <c r="A3119" t="inlineStr">
        <is>
          <t>A 36341-2024</t>
        </is>
      </c>
      <c r="B3119" s="1" t="n">
        <v>45534</v>
      </c>
      <c r="C3119" s="1" t="n">
        <v>45670</v>
      </c>
      <c r="D3119" t="inlineStr">
        <is>
          <t>VÄSTERNORRLANDS LÄN</t>
        </is>
      </c>
      <c r="E3119" t="inlineStr">
        <is>
          <t>SOLLEFTEÅ</t>
        </is>
      </c>
      <c r="F3119" t="inlineStr">
        <is>
          <t>SCA</t>
        </is>
      </c>
      <c r="G3119" t="n">
        <v>9.6</v>
      </c>
      <c r="H3119" t="n">
        <v>0</v>
      </c>
      <c r="I3119" t="n">
        <v>0</v>
      </c>
      <c r="J3119" t="n">
        <v>0</v>
      </c>
      <c r="K3119" t="n">
        <v>0</v>
      </c>
      <c r="L3119" t="n">
        <v>0</v>
      </c>
      <c r="M3119" t="n">
        <v>0</v>
      </c>
      <c r="N3119" t="n">
        <v>0</v>
      </c>
      <c r="O3119" t="n">
        <v>0</v>
      </c>
      <c r="P3119" t="n">
        <v>0</v>
      </c>
      <c r="Q3119" t="n">
        <v>0</v>
      </c>
      <c r="R3119" s="2" t="inlineStr"/>
    </row>
    <row r="3120" ht="15" customHeight="1">
      <c r="A3120" t="inlineStr">
        <is>
          <t>A 36319-2024</t>
        </is>
      </c>
      <c r="B3120" s="1" t="n">
        <v>45534</v>
      </c>
      <c r="C3120" s="1" t="n">
        <v>45670</v>
      </c>
      <c r="D3120" t="inlineStr">
        <is>
          <t>VÄSTERNORRLANDS LÄN</t>
        </is>
      </c>
      <c r="E3120" t="inlineStr">
        <is>
          <t>SOLLEFTEÅ</t>
        </is>
      </c>
      <c r="F3120" t="inlineStr">
        <is>
          <t>SCA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36352-2024</t>
        </is>
      </c>
      <c r="B3121" s="1" t="n">
        <v>45534</v>
      </c>
      <c r="C3121" s="1" t="n">
        <v>45670</v>
      </c>
      <c r="D3121" t="inlineStr">
        <is>
          <t>VÄSTERNORRLANDS LÄN</t>
        </is>
      </c>
      <c r="E3121" t="inlineStr">
        <is>
          <t>SOLLEFTEÅ</t>
        </is>
      </c>
      <c r="F3121" t="inlineStr">
        <is>
          <t>SCA</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36463-2024</t>
        </is>
      </c>
      <c r="B3122" s="1" t="n">
        <v>45537</v>
      </c>
      <c r="C3122" s="1" t="n">
        <v>45670</v>
      </c>
      <c r="D3122" t="inlineStr">
        <is>
          <t>VÄSTERNORRLANDS LÄN</t>
        </is>
      </c>
      <c r="E3122" t="inlineStr">
        <is>
          <t>SOLLEFTEÅ</t>
        </is>
      </c>
      <c r="F3122" t="inlineStr">
        <is>
          <t>SCA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36471-2024</t>
        </is>
      </c>
      <c r="B3123" s="1" t="n">
        <v>45537</v>
      </c>
      <c r="C3123" s="1" t="n">
        <v>45670</v>
      </c>
      <c r="D3123" t="inlineStr">
        <is>
          <t>VÄSTERNORRLANDS LÄN</t>
        </is>
      </c>
      <c r="E3123" t="inlineStr">
        <is>
          <t>SOLLEFTEÅ</t>
        </is>
      </c>
      <c r="F3123" t="inlineStr">
        <is>
          <t>SCA</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36685-2024</t>
        </is>
      </c>
      <c r="B3124" s="1" t="n">
        <v>45537</v>
      </c>
      <c r="C3124" s="1" t="n">
        <v>45670</v>
      </c>
      <c r="D3124" t="inlineStr">
        <is>
          <t>VÄSTERNORRLANDS LÄN</t>
        </is>
      </c>
      <c r="E3124" t="inlineStr">
        <is>
          <t>SOLLEFTEÅ</t>
        </is>
      </c>
      <c r="F3124" t="inlineStr">
        <is>
          <t>Holmen skog AB</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37197-2024</t>
        </is>
      </c>
      <c r="B3125" s="1" t="n">
        <v>45539</v>
      </c>
      <c r="C3125" s="1" t="n">
        <v>45670</v>
      </c>
      <c r="D3125" t="inlineStr">
        <is>
          <t>VÄSTERNORRLANDS LÄN</t>
        </is>
      </c>
      <c r="E3125" t="inlineStr">
        <is>
          <t>SOLLEFTEÅ</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37201-2024</t>
        </is>
      </c>
      <c r="B3126" s="1" t="n">
        <v>45539</v>
      </c>
      <c r="C3126" s="1" t="n">
        <v>45670</v>
      </c>
      <c r="D3126" t="inlineStr">
        <is>
          <t>VÄSTERNORRLANDS LÄN</t>
        </is>
      </c>
      <c r="E3126" t="inlineStr">
        <is>
          <t>SOLLEFTEÅ</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37046-2024</t>
        </is>
      </c>
      <c r="B3127" s="1" t="n">
        <v>45539</v>
      </c>
      <c r="C3127" s="1" t="n">
        <v>45670</v>
      </c>
      <c r="D3127" t="inlineStr">
        <is>
          <t>VÄSTERNORRLANDS LÄN</t>
        </is>
      </c>
      <c r="E3127" t="inlineStr">
        <is>
          <t>SOLLEFTEÅ</t>
        </is>
      </c>
      <c r="F3127" t="inlineStr">
        <is>
          <t>SCA</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37269-2024</t>
        </is>
      </c>
      <c r="B3128" s="1" t="n">
        <v>45540</v>
      </c>
      <c r="C3128" s="1" t="n">
        <v>45670</v>
      </c>
      <c r="D3128" t="inlineStr">
        <is>
          <t>VÄSTERNORRLANDS LÄN</t>
        </is>
      </c>
      <c r="E3128" t="inlineStr">
        <is>
          <t>SOLLEFTEÅ</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37354-2024</t>
        </is>
      </c>
      <c r="B3129" s="1" t="n">
        <v>45540</v>
      </c>
      <c r="C3129" s="1" t="n">
        <v>45670</v>
      </c>
      <c r="D3129" t="inlineStr">
        <is>
          <t>VÄSTERNORRLANDS LÄN</t>
        </is>
      </c>
      <c r="E3129" t="inlineStr">
        <is>
          <t>SOLLEFTEÅ</t>
        </is>
      </c>
      <c r="F3129" t="inlineStr">
        <is>
          <t>Holmen skog AB</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38054-2024</t>
        </is>
      </c>
      <c r="B3130" s="1" t="n">
        <v>45544</v>
      </c>
      <c r="C3130" s="1" t="n">
        <v>45670</v>
      </c>
      <c r="D3130" t="inlineStr">
        <is>
          <t>VÄSTERNORRLANDS LÄN</t>
        </is>
      </c>
      <c r="E3130" t="inlineStr">
        <is>
          <t>SOLLEFTEÅ</t>
        </is>
      </c>
      <c r="F3130" t="inlineStr">
        <is>
          <t>SCA</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38053-2024</t>
        </is>
      </c>
      <c r="B3131" s="1" t="n">
        <v>45544</v>
      </c>
      <c r="C3131" s="1" t="n">
        <v>45670</v>
      </c>
      <c r="D3131" t="inlineStr">
        <is>
          <t>VÄSTERNORRLANDS LÄN</t>
        </is>
      </c>
      <c r="E3131" t="inlineStr">
        <is>
          <t>SOLLEFTEÅ</t>
        </is>
      </c>
      <c r="F3131" t="inlineStr">
        <is>
          <t>SCA</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38095-2024</t>
        </is>
      </c>
      <c r="B3132" s="1" t="n">
        <v>45545</v>
      </c>
      <c r="C3132" s="1" t="n">
        <v>45670</v>
      </c>
      <c r="D3132" t="inlineStr">
        <is>
          <t>VÄSTERNORRLANDS LÄN</t>
        </is>
      </c>
      <c r="E3132" t="inlineStr">
        <is>
          <t>SOLLEFTEÅ</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38231-2024</t>
        </is>
      </c>
      <c r="B3133" s="1" t="n">
        <v>45545</v>
      </c>
      <c r="C3133" s="1" t="n">
        <v>45670</v>
      </c>
      <c r="D3133" t="inlineStr">
        <is>
          <t>VÄSTERNORRLANDS LÄN</t>
        </is>
      </c>
      <c r="E3133" t="inlineStr">
        <is>
          <t>SOLLEFTEÅ</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38245-2024</t>
        </is>
      </c>
      <c r="B3134" s="1" t="n">
        <v>45545</v>
      </c>
      <c r="C3134" s="1" t="n">
        <v>45670</v>
      </c>
      <c r="D3134" t="inlineStr">
        <is>
          <t>VÄSTERNORRLANDS LÄN</t>
        </is>
      </c>
      <c r="E3134" t="inlineStr">
        <is>
          <t>SOLLEFTEÅ</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38273-2024</t>
        </is>
      </c>
      <c r="B3135" s="1" t="n">
        <v>45545</v>
      </c>
      <c r="C3135" s="1" t="n">
        <v>45670</v>
      </c>
      <c r="D3135" t="inlineStr">
        <is>
          <t>VÄSTERNORRLANDS LÄN</t>
        </is>
      </c>
      <c r="E3135" t="inlineStr">
        <is>
          <t>SOLLEFTEÅ</t>
        </is>
      </c>
      <c r="G3135" t="n">
        <v>8.9</v>
      </c>
      <c r="H3135" t="n">
        <v>0</v>
      </c>
      <c r="I3135" t="n">
        <v>0</v>
      </c>
      <c r="J3135" t="n">
        <v>0</v>
      </c>
      <c r="K3135" t="n">
        <v>0</v>
      </c>
      <c r="L3135" t="n">
        <v>0</v>
      </c>
      <c r="M3135" t="n">
        <v>0</v>
      </c>
      <c r="N3135" t="n">
        <v>0</v>
      </c>
      <c r="O3135" t="n">
        <v>0</v>
      </c>
      <c r="P3135" t="n">
        <v>0</v>
      </c>
      <c r="Q3135" t="n">
        <v>0</v>
      </c>
      <c r="R3135" s="2" t="inlineStr"/>
    </row>
    <row r="3136" ht="15" customHeight="1">
      <c r="A3136" t="inlineStr">
        <is>
          <t>A 38234-2024</t>
        </is>
      </c>
      <c r="B3136" s="1" t="n">
        <v>45545</v>
      </c>
      <c r="C3136" s="1" t="n">
        <v>45670</v>
      </c>
      <c r="D3136" t="inlineStr">
        <is>
          <t>VÄSTERNORRLANDS LÄN</t>
        </is>
      </c>
      <c r="E3136" t="inlineStr">
        <is>
          <t>SOLLEFTEÅ</t>
        </is>
      </c>
      <c r="F3136" t="inlineStr">
        <is>
          <t>Holmen skog AB</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38250-2024</t>
        </is>
      </c>
      <c r="B3137" s="1" t="n">
        <v>45545</v>
      </c>
      <c r="C3137" s="1" t="n">
        <v>45670</v>
      </c>
      <c r="D3137" t="inlineStr">
        <is>
          <t>VÄSTERNORRLANDS LÄN</t>
        </is>
      </c>
      <c r="E3137" t="inlineStr">
        <is>
          <t>SOLLEFTEÅ</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38275-2024</t>
        </is>
      </c>
      <c r="B3138" s="1" t="n">
        <v>45545</v>
      </c>
      <c r="C3138" s="1" t="n">
        <v>45670</v>
      </c>
      <c r="D3138" t="inlineStr">
        <is>
          <t>VÄSTERNORRLANDS LÄN</t>
        </is>
      </c>
      <c r="E3138" t="inlineStr">
        <is>
          <t>SOLLEFTEÅ</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38592-2024</t>
        </is>
      </c>
      <c r="B3139" s="1" t="n">
        <v>45546</v>
      </c>
      <c r="C3139" s="1" t="n">
        <v>45670</v>
      </c>
      <c r="D3139" t="inlineStr">
        <is>
          <t>VÄSTERNORRLANDS LÄN</t>
        </is>
      </c>
      <c r="E3139" t="inlineStr">
        <is>
          <t>SOLLEFTEÅ</t>
        </is>
      </c>
      <c r="F3139" t="inlineStr">
        <is>
          <t>SCA</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41170-2024</t>
        </is>
      </c>
      <c r="B3140" s="1" t="n">
        <v>45546</v>
      </c>
      <c r="C3140" s="1" t="n">
        <v>45670</v>
      </c>
      <c r="D3140" t="inlineStr">
        <is>
          <t>VÄSTERNORRLANDS LÄN</t>
        </is>
      </c>
      <c r="E3140" t="inlineStr">
        <is>
          <t>SOLLEFTEÅ</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38749-2024</t>
        </is>
      </c>
      <c r="B3141" s="1" t="n">
        <v>45547</v>
      </c>
      <c r="C3141" s="1" t="n">
        <v>45670</v>
      </c>
      <c r="D3141" t="inlineStr">
        <is>
          <t>VÄSTERNORRLANDS LÄN</t>
        </is>
      </c>
      <c r="E3141" t="inlineStr">
        <is>
          <t>SOLLEFTEÅ</t>
        </is>
      </c>
      <c r="F3141" t="inlineStr">
        <is>
          <t>SCA</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38768-2024</t>
        </is>
      </c>
      <c r="B3142" s="1" t="n">
        <v>45547</v>
      </c>
      <c r="C3142" s="1" t="n">
        <v>45670</v>
      </c>
      <c r="D3142" t="inlineStr">
        <is>
          <t>VÄSTERNORRLANDS LÄN</t>
        </is>
      </c>
      <c r="E3142" t="inlineStr">
        <is>
          <t>SOLLEFTEÅ</t>
        </is>
      </c>
      <c r="F3142" t="inlineStr">
        <is>
          <t>SCA</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38769-2024</t>
        </is>
      </c>
      <c r="B3143" s="1" t="n">
        <v>45547</v>
      </c>
      <c r="C3143" s="1" t="n">
        <v>45670</v>
      </c>
      <c r="D3143" t="inlineStr">
        <is>
          <t>VÄSTERNORRLANDS LÄN</t>
        </is>
      </c>
      <c r="E3143" t="inlineStr">
        <is>
          <t>SOLLEFTEÅ</t>
        </is>
      </c>
      <c r="F3143" t="inlineStr">
        <is>
          <t>SCA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38766-2024</t>
        </is>
      </c>
      <c r="B3144" s="1" t="n">
        <v>45547</v>
      </c>
      <c r="C3144" s="1" t="n">
        <v>45670</v>
      </c>
      <c r="D3144" t="inlineStr">
        <is>
          <t>VÄSTERNORRLANDS LÄN</t>
        </is>
      </c>
      <c r="E3144" t="inlineStr">
        <is>
          <t>SOLLEFTEÅ</t>
        </is>
      </c>
      <c r="F3144" t="inlineStr">
        <is>
          <t>SCA</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38767-2024</t>
        </is>
      </c>
      <c r="B3145" s="1" t="n">
        <v>45547</v>
      </c>
      <c r="C3145" s="1" t="n">
        <v>45670</v>
      </c>
      <c r="D3145" t="inlineStr">
        <is>
          <t>VÄSTERNORRLANDS LÄN</t>
        </is>
      </c>
      <c r="E3145" t="inlineStr">
        <is>
          <t>SOLLEFTEÅ</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39142-2024</t>
        </is>
      </c>
      <c r="B3146" s="1" t="n">
        <v>45548</v>
      </c>
      <c r="C3146" s="1" t="n">
        <v>45670</v>
      </c>
      <c r="D3146" t="inlineStr">
        <is>
          <t>VÄSTERNORRLANDS LÄN</t>
        </is>
      </c>
      <c r="E3146" t="inlineStr">
        <is>
          <t>SOLLEFTEÅ</t>
        </is>
      </c>
      <c r="F3146" t="inlineStr">
        <is>
          <t>SCA</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39177-2024</t>
        </is>
      </c>
      <c r="B3147" s="1" t="n">
        <v>45548</v>
      </c>
      <c r="C3147" s="1" t="n">
        <v>45670</v>
      </c>
      <c r="D3147" t="inlineStr">
        <is>
          <t>VÄSTERNORRLANDS LÄN</t>
        </is>
      </c>
      <c r="E3147" t="inlineStr">
        <is>
          <t>SOLLEFTEÅ</t>
        </is>
      </c>
      <c r="F3147" t="inlineStr">
        <is>
          <t>SCA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39271-2024</t>
        </is>
      </c>
      <c r="B3148" s="1" t="n">
        <v>45551</v>
      </c>
      <c r="C3148" s="1" t="n">
        <v>45670</v>
      </c>
      <c r="D3148" t="inlineStr">
        <is>
          <t>VÄSTERNORRLANDS LÄN</t>
        </is>
      </c>
      <c r="E3148" t="inlineStr">
        <is>
          <t>SOLLEFTEÅ</t>
        </is>
      </c>
      <c r="F3148" t="inlineStr">
        <is>
          <t>SCA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39429-2024</t>
        </is>
      </c>
      <c r="B3149" s="1" t="n">
        <v>45551</v>
      </c>
      <c r="C3149" s="1" t="n">
        <v>45670</v>
      </c>
      <c r="D3149" t="inlineStr">
        <is>
          <t>VÄSTERNORRLANDS LÄN</t>
        </is>
      </c>
      <c r="E3149" t="inlineStr">
        <is>
          <t>SOLLEFTEÅ</t>
        </is>
      </c>
      <c r="F3149" t="inlineStr">
        <is>
          <t>SCA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39449-2024</t>
        </is>
      </c>
      <c r="B3150" s="1" t="n">
        <v>45551</v>
      </c>
      <c r="C3150" s="1" t="n">
        <v>45670</v>
      </c>
      <c r="D3150" t="inlineStr">
        <is>
          <t>VÄSTERNORRLANDS LÄN</t>
        </is>
      </c>
      <c r="E3150" t="inlineStr">
        <is>
          <t>SOLLEFTEÅ</t>
        </is>
      </c>
      <c r="F3150" t="inlineStr">
        <is>
          <t>SCA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39469-2024</t>
        </is>
      </c>
      <c r="B3151" s="1" t="n">
        <v>45551</v>
      </c>
      <c r="C3151" s="1" t="n">
        <v>45670</v>
      </c>
      <c r="D3151" t="inlineStr">
        <is>
          <t>VÄSTERNORRLANDS LÄN</t>
        </is>
      </c>
      <c r="E3151" t="inlineStr">
        <is>
          <t>SOLLEFTEÅ</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39446-2024</t>
        </is>
      </c>
      <c r="B3152" s="1" t="n">
        <v>45551</v>
      </c>
      <c r="C3152" s="1" t="n">
        <v>45670</v>
      </c>
      <c r="D3152" t="inlineStr">
        <is>
          <t>VÄSTERNORRLANDS LÄN</t>
        </is>
      </c>
      <c r="E3152" t="inlineStr">
        <is>
          <t>SOLLEFTEÅ</t>
        </is>
      </c>
      <c r="F3152" t="inlineStr">
        <is>
          <t>SCA</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39500-2024</t>
        </is>
      </c>
      <c r="B3153" s="1" t="n">
        <v>45551</v>
      </c>
      <c r="C3153" s="1" t="n">
        <v>45670</v>
      </c>
      <c r="D3153" t="inlineStr">
        <is>
          <t>VÄSTERNORRLANDS LÄN</t>
        </is>
      </c>
      <c r="E3153" t="inlineStr">
        <is>
          <t>SOLLEFTEÅ</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39755-2024</t>
        </is>
      </c>
      <c r="B3154" s="1" t="n">
        <v>45552</v>
      </c>
      <c r="C3154" s="1" t="n">
        <v>45670</v>
      </c>
      <c r="D3154" t="inlineStr">
        <is>
          <t>VÄSTERNORRLANDS LÄN</t>
        </is>
      </c>
      <c r="E3154" t="inlineStr">
        <is>
          <t>SOLLEFTEÅ</t>
        </is>
      </c>
      <c r="F3154" t="inlineStr">
        <is>
          <t>SCA</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39744-2024</t>
        </is>
      </c>
      <c r="B3155" s="1" t="n">
        <v>45552</v>
      </c>
      <c r="C3155" s="1" t="n">
        <v>45670</v>
      </c>
      <c r="D3155" t="inlineStr">
        <is>
          <t>VÄSTERNORRLANDS LÄN</t>
        </is>
      </c>
      <c r="E3155" t="inlineStr">
        <is>
          <t>SOLLEFTEÅ</t>
        </is>
      </c>
      <c r="F3155" t="inlineStr">
        <is>
          <t>SCA</t>
        </is>
      </c>
      <c r="G3155" t="n">
        <v>13.6</v>
      </c>
      <c r="H3155" t="n">
        <v>0</v>
      </c>
      <c r="I3155" t="n">
        <v>0</v>
      </c>
      <c r="J3155" t="n">
        <v>0</v>
      </c>
      <c r="K3155" t="n">
        <v>0</v>
      </c>
      <c r="L3155" t="n">
        <v>0</v>
      </c>
      <c r="M3155" t="n">
        <v>0</v>
      </c>
      <c r="N3155" t="n">
        <v>0</v>
      </c>
      <c r="O3155" t="n">
        <v>0</v>
      </c>
      <c r="P3155" t="n">
        <v>0</v>
      </c>
      <c r="Q3155" t="n">
        <v>0</v>
      </c>
      <c r="R3155" s="2" t="inlineStr"/>
    </row>
    <row r="3156" ht="15" customHeight="1">
      <c r="A3156" t="inlineStr">
        <is>
          <t>A 39801-2024</t>
        </is>
      </c>
      <c r="B3156" s="1" t="n">
        <v>45553</v>
      </c>
      <c r="C3156" s="1" t="n">
        <v>45670</v>
      </c>
      <c r="D3156" t="inlineStr">
        <is>
          <t>VÄSTERNORRLANDS LÄN</t>
        </is>
      </c>
      <c r="E3156" t="inlineStr">
        <is>
          <t>SOLLEFTEÅ</t>
        </is>
      </c>
      <c r="F3156" t="inlineStr">
        <is>
          <t>SCA</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39799-2024</t>
        </is>
      </c>
      <c r="B3157" s="1" t="n">
        <v>45553</v>
      </c>
      <c r="C3157" s="1" t="n">
        <v>45670</v>
      </c>
      <c r="D3157" t="inlineStr">
        <is>
          <t>VÄSTERNORRLANDS LÄN</t>
        </is>
      </c>
      <c r="E3157" t="inlineStr">
        <is>
          <t>SOLLEFTEÅ</t>
        </is>
      </c>
      <c r="F3157" t="inlineStr">
        <is>
          <t>SCA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39802-2024</t>
        </is>
      </c>
      <c r="B3158" s="1" t="n">
        <v>45553</v>
      </c>
      <c r="C3158" s="1" t="n">
        <v>45670</v>
      </c>
      <c r="D3158" t="inlineStr">
        <is>
          <t>VÄSTERNORRLANDS LÄN</t>
        </is>
      </c>
      <c r="E3158" t="inlineStr">
        <is>
          <t>SOLLEFTEÅ</t>
        </is>
      </c>
      <c r="F3158" t="inlineStr">
        <is>
          <t>SCA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39995-2024</t>
        </is>
      </c>
      <c r="B3159" s="1" t="n">
        <v>45553</v>
      </c>
      <c r="C3159" s="1" t="n">
        <v>45670</v>
      </c>
      <c r="D3159" t="inlineStr">
        <is>
          <t>VÄSTERNORRLANDS LÄN</t>
        </is>
      </c>
      <c r="E3159" t="inlineStr">
        <is>
          <t>SOLLEFTEÅ</t>
        </is>
      </c>
      <c r="F3159" t="inlineStr">
        <is>
          <t>SCA</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40028-2024</t>
        </is>
      </c>
      <c r="B3160" s="1" t="n">
        <v>45553</v>
      </c>
      <c r="C3160" s="1" t="n">
        <v>45670</v>
      </c>
      <c r="D3160" t="inlineStr">
        <is>
          <t>VÄSTERNORRLANDS LÄN</t>
        </is>
      </c>
      <c r="E3160" t="inlineStr">
        <is>
          <t>SOLLEFTEÅ</t>
        </is>
      </c>
      <c r="G3160" t="n">
        <v>6</v>
      </c>
      <c r="H3160" t="n">
        <v>0</v>
      </c>
      <c r="I3160" t="n">
        <v>0</v>
      </c>
      <c r="J3160" t="n">
        <v>0</v>
      </c>
      <c r="K3160" t="n">
        <v>0</v>
      </c>
      <c r="L3160" t="n">
        <v>0</v>
      </c>
      <c r="M3160" t="n">
        <v>0</v>
      </c>
      <c r="N3160" t="n">
        <v>0</v>
      </c>
      <c r="O3160" t="n">
        <v>0</v>
      </c>
      <c r="P3160" t="n">
        <v>0</v>
      </c>
      <c r="Q3160" t="n">
        <v>0</v>
      </c>
      <c r="R3160" s="2" t="inlineStr"/>
    </row>
    <row r="3161" ht="15" customHeight="1">
      <c r="A3161" t="inlineStr">
        <is>
          <t>A 40086-2024</t>
        </is>
      </c>
      <c r="B3161" s="1" t="n">
        <v>45554</v>
      </c>
      <c r="C3161" s="1" t="n">
        <v>45670</v>
      </c>
      <c r="D3161" t="inlineStr">
        <is>
          <t>VÄSTERNORRLANDS LÄN</t>
        </is>
      </c>
      <c r="E3161" t="inlineStr">
        <is>
          <t>SOLLEFTEÅ</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40211-2024</t>
        </is>
      </c>
      <c r="B3162" s="1" t="n">
        <v>45554</v>
      </c>
      <c r="C3162" s="1" t="n">
        <v>45670</v>
      </c>
      <c r="D3162" t="inlineStr">
        <is>
          <t>VÄSTERNORRLANDS LÄN</t>
        </is>
      </c>
      <c r="E3162" t="inlineStr">
        <is>
          <t>SOLLEFTEÅ</t>
        </is>
      </c>
      <c r="F3162" t="inlineStr">
        <is>
          <t>SCA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40241-2024</t>
        </is>
      </c>
      <c r="B3163" s="1" t="n">
        <v>45554</v>
      </c>
      <c r="C3163" s="1" t="n">
        <v>45670</v>
      </c>
      <c r="D3163" t="inlineStr">
        <is>
          <t>VÄSTERNORRLANDS LÄN</t>
        </is>
      </c>
      <c r="E3163" t="inlineStr">
        <is>
          <t>SOLLEFTEÅ</t>
        </is>
      </c>
      <c r="F3163" t="inlineStr">
        <is>
          <t>SCA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40258-2024</t>
        </is>
      </c>
      <c r="B3164" s="1" t="n">
        <v>45554</v>
      </c>
      <c r="C3164" s="1" t="n">
        <v>45670</v>
      </c>
      <c r="D3164" t="inlineStr">
        <is>
          <t>VÄSTERNORRLANDS LÄN</t>
        </is>
      </c>
      <c r="E3164" t="inlineStr">
        <is>
          <t>SOLLEFTEÅ</t>
        </is>
      </c>
      <c r="F3164" t="inlineStr">
        <is>
          <t>SCA</t>
        </is>
      </c>
      <c r="G3164" t="n">
        <v>15.1</v>
      </c>
      <c r="H3164" t="n">
        <v>0</v>
      </c>
      <c r="I3164" t="n">
        <v>0</v>
      </c>
      <c r="J3164" t="n">
        <v>0</v>
      </c>
      <c r="K3164" t="n">
        <v>0</v>
      </c>
      <c r="L3164" t="n">
        <v>0</v>
      </c>
      <c r="M3164" t="n">
        <v>0</v>
      </c>
      <c r="N3164" t="n">
        <v>0</v>
      </c>
      <c r="O3164" t="n">
        <v>0</v>
      </c>
      <c r="P3164" t="n">
        <v>0</v>
      </c>
      <c r="Q3164" t="n">
        <v>0</v>
      </c>
      <c r="R3164" s="2" t="inlineStr"/>
    </row>
    <row r="3165" ht="15" customHeight="1">
      <c r="A3165" t="inlineStr">
        <is>
          <t>A 40356-2024</t>
        </is>
      </c>
      <c r="B3165" s="1" t="n">
        <v>45555</v>
      </c>
      <c r="C3165" s="1" t="n">
        <v>45670</v>
      </c>
      <c r="D3165" t="inlineStr">
        <is>
          <t>VÄSTERNORRLANDS LÄN</t>
        </is>
      </c>
      <c r="E3165" t="inlineStr">
        <is>
          <t>SOLLEFTEÅ</t>
        </is>
      </c>
      <c r="F3165" t="inlineStr">
        <is>
          <t>SCA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40355-2024</t>
        </is>
      </c>
      <c r="B3166" s="1" t="n">
        <v>45555</v>
      </c>
      <c r="C3166" s="1" t="n">
        <v>45670</v>
      </c>
      <c r="D3166" t="inlineStr">
        <is>
          <t>VÄSTERNORRLANDS LÄN</t>
        </is>
      </c>
      <c r="E3166" t="inlineStr">
        <is>
          <t>SOLLEFTEÅ</t>
        </is>
      </c>
      <c r="F3166" t="inlineStr">
        <is>
          <t>SCA</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40354-2024</t>
        </is>
      </c>
      <c r="B3167" s="1" t="n">
        <v>45555</v>
      </c>
      <c r="C3167" s="1" t="n">
        <v>45670</v>
      </c>
      <c r="D3167" t="inlineStr">
        <is>
          <t>VÄSTERNORRLANDS LÄN</t>
        </is>
      </c>
      <c r="E3167" t="inlineStr">
        <is>
          <t>SOLLEFTEÅ</t>
        </is>
      </c>
      <c r="F3167" t="inlineStr">
        <is>
          <t>SCA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40413-2024</t>
        </is>
      </c>
      <c r="B3168" s="1" t="n">
        <v>45555</v>
      </c>
      <c r="C3168" s="1" t="n">
        <v>45670</v>
      </c>
      <c r="D3168" t="inlineStr">
        <is>
          <t>VÄSTERNORRLANDS LÄN</t>
        </is>
      </c>
      <c r="E3168" t="inlineStr">
        <is>
          <t>SOLLEFTEÅ</t>
        </is>
      </c>
      <c r="G3168" t="n">
        <v>8.300000000000001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40383-2024</t>
        </is>
      </c>
      <c r="B3169" s="1" t="n">
        <v>45555</v>
      </c>
      <c r="C3169" s="1" t="n">
        <v>45670</v>
      </c>
      <c r="D3169" t="inlineStr">
        <is>
          <t>VÄSTERNORRLANDS LÄN</t>
        </is>
      </c>
      <c r="E3169" t="inlineStr">
        <is>
          <t>SOLLEFTEÅ</t>
        </is>
      </c>
      <c r="F3169" t="inlineStr">
        <is>
          <t>SCA</t>
        </is>
      </c>
      <c r="G3169" t="n">
        <v>10</v>
      </c>
      <c r="H3169" t="n">
        <v>0</v>
      </c>
      <c r="I3169" t="n">
        <v>0</v>
      </c>
      <c r="J3169" t="n">
        <v>0</v>
      </c>
      <c r="K3169" t="n">
        <v>0</v>
      </c>
      <c r="L3169" t="n">
        <v>0</v>
      </c>
      <c r="M3169" t="n">
        <v>0</v>
      </c>
      <c r="N3169" t="n">
        <v>0</v>
      </c>
      <c r="O3169" t="n">
        <v>0</v>
      </c>
      <c r="P3169" t="n">
        <v>0</v>
      </c>
      <c r="Q3169" t="n">
        <v>0</v>
      </c>
      <c r="R3169" s="2" t="inlineStr"/>
    </row>
    <row r="3170" ht="15" customHeight="1">
      <c r="A3170" t="inlineStr">
        <is>
          <t>A 40403-2024</t>
        </is>
      </c>
      <c r="B3170" s="1" t="n">
        <v>45555</v>
      </c>
      <c r="C3170" s="1" t="n">
        <v>45670</v>
      </c>
      <c r="D3170" t="inlineStr">
        <is>
          <t>VÄSTERNORRLANDS LÄN</t>
        </is>
      </c>
      <c r="E3170" t="inlineStr">
        <is>
          <t>SOLLEFTEÅ</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40429-2024</t>
        </is>
      </c>
      <c r="B3171" s="1" t="n">
        <v>45555</v>
      </c>
      <c r="C3171" s="1" t="n">
        <v>45670</v>
      </c>
      <c r="D3171" t="inlineStr">
        <is>
          <t>VÄSTERNORRLANDS LÄN</t>
        </is>
      </c>
      <c r="E3171" t="inlineStr">
        <is>
          <t>SOLLEFTEÅ</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40569-2024</t>
        </is>
      </c>
      <c r="B3172" s="1" t="n">
        <v>45555</v>
      </c>
      <c r="C3172" s="1" t="n">
        <v>45670</v>
      </c>
      <c r="D3172" t="inlineStr">
        <is>
          <t>VÄSTERNORRLANDS LÄN</t>
        </is>
      </c>
      <c r="E3172" t="inlineStr">
        <is>
          <t>SOLLEFTEÅ</t>
        </is>
      </c>
      <c r="F3172" t="inlineStr">
        <is>
          <t>SCA</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40570-2024</t>
        </is>
      </c>
      <c r="B3173" s="1" t="n">
        <v>45555</v>
      </c>
      <c r="C3173" s="1" t="n">
        <v>45670</v>
      </c>
      <c r="D3173" t="inlineStr">
        <is>
          <t>VÄSTERNORRLANDS LÄN</t>
        </is>
      </c>
      <c r="E3173" t="inlineStr">
        <is>
          <t>SOLLEFTEÅ</t>
        </is>
      </c>
      <c r="F3173" t="inlineStr">
        <is>
          <t>SCA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40353-2024</t>
        </is>
      </c>
      <c r="B3174" s="1" t="n">
        <v>45555</v>
      </c>
      <c r="C3174" s="1" t="n">
        <v>45670</v>
      </c>
      <c r="D3174" t="inlineStr">
        <is>
          <t>VÄSTERNORRLANDS LÄN</t>
        </is>
      </c>
      <c r="E3174" t="inlineStr">
        <is>
          <t>SOLLEFTEÅ</t>
        </is>
      </c>
      <c r="F3174" t="inlineStr">
        <is>
          <t>SCA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40571-2024</t>
        </is>
      </c>
      <c r="B3175" s="1" t="n">
        <v>45555</v>
      </c>
      <c r="C3175" s="1" t="n">
        <v>45670</v>
      </c>
      <c r="D3175" t="inlineStr">
        <is>
          <t>VÄSTERNORRLANDS LÄN</t>
        </is>
      </c>
      <c r="E3175" t="inlineStr">
        <is>
          <t>SOLLEFTEÅ</t>
        </is>
      </c>
      <c r="F3175" t="inlineStr">
        <is>
          <t>SCA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40575-2024</t>
        </is>
      </c>
      <c r="B3176" s="1" t="n">
        <v>45555</v>
      </c>
      <c r="C3176" s="1" t="n">
        <v>45670</v>
      </c>
      <c r="D3176" t="inlineStr">
        <is>
          <t>VÄSTERNORRLANDS LÄN</t>
        </is>
      </c>
      <c r="E3176" t="inlineStr">
        <is>
          <t>SOLLEFTEÅ</t>
        </is>
      </c>
      <c r="F3176" t="inlineStr">
        <is>
          <t>SCA</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40817-2024</t>
        </is>
      </c>
      <c r="B3177" s="1" t="n">
        <v>45558</v>
      </c>
      <c r="C3177" s="1" t="n">
        <v>45670</v>
      </c>
      <c r="D3177" t="inlineStr">
        <is>
          <t>VÄSTERNORRLANDS LÄN</t>
        </is>
      </c>
      <c r="E3177" t="inlineStr">
        <is>
          <t>SOLLEFTEÅ</t>
        </is>
      </c>
      <c r="F3177" t="inlineStr">
        <is>
          <t>SCA</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40655-2024</t>
        </is>
      </c>
      <c r="B3178" s="1" t="n">
        <v>45558</v>
      </c>
      <c r="C3178" s="1" t="n">
        <v>45670</v>
      </c>
      <c r="D3178" t="inlineStr">
        <is>
          <t>VÄSTERNORRLANDS LÄN</t>
        </is>
      </c>
      <c r="E3178" t="inlineStr">
        <is>
          <t>SOLLEFTEÅ</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40679-2024</t>
        </is>
      </c>
      <c r="B3179" s="1" t="n">
        <v>45558</v>
      </c>
      <c r="C3179" s="1" t="n">
        <v>45670</v>
      </c>
      <c r="D3179" t="inlineStr">
        <is>
          <t>VÄSTERNORRLANDS LÄN</t>
        </is>
      </c>
      <c r="E3179" t="inlineStr">
        <is>
          <t>SOLLEFTEÅ</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40954-2024</t>
        </is>
      </c>
      <c r="B3180" s="1" t="n">
        <v>45558</v>
      </c>
      <c r="C3180" s="1" t="n">
        <v>45670</v>
      </c>
      <c r="D3180" t="inlineStr">
        <is>
          <t>VÄSTERNORRLANDS LÄN</t>
        </is>
      </c>
      <c r="E3180" t="inlineStr">
        <is>
          <t>SOLLEFTEÅ</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40921-2024</t>
        </is>
      </c>
      <c r="B3181" s="1" t="n">
        <v>45558</v>
      </c>
      <c r="C3181" s="1" t="n">
        <v>45670</v>
      </c>
      <c r="D3181" t="inlineStr">
        <is>
          <t>VÄSTERNORRLANDS LÄN</t>
        </is>
      </c>
      <c r="E3181" t="inlineStr">
        <is>
          <t>SOLLEFTEÅ</t>
        </is>
      </c>
      <c r="F3181" t="inlineStr">
        <is>
          <t>SCA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40819-2024</t>
        </is>
      </c>
      <c r="B3182" s="1" t="n">
        <v>45558</v>
      </c>
      <c r="C3182" s="1" t="n">
        <v>45670</v>
      </c>
      <c r="D3182" t="inlineStr">
        <is>
          <t>VÄSTERNORRLANDS LÄN</t>
        </is>
      </c>
      <c r="E3182" t="inlineStr">
        <is>
          <t>SOLLEFTEÅ</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40859-2024</t>
        </is>
      </c>
      <c r="B3183" s="1" t="n">
        <v>45558</v>
      </c>
      <c r="C3183" s="1" t="n">
        <v>45670</v>
      </c>
      <c r="D3183" t="inlineStr">
        <is>
          <t>VÄSTERNORRLANDS LÄN</t>
        </is>
      </c>
      <c r="E3183" t="inlineStr">
        <is>
          <t>SOLLEFTEÅ</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41041-2024</t>
        </is>
      </c>
      <c r="B3184" s="1" t="n">
        <v>45558</v>
      </c>
      <c r="C3184" s="1" t="n">
        <v>45670</v>
      </c>
      <c r="D3184" t="inlineStr">
        <is>
          <t>VÄSTERNORRLANDS LÄN</t>
        </is>
      </c>
      <c r="E3184" t="inlineStr">
        <is>
          <t>SOLLEFTEÅ</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41028-2024</t>
        </is>
      </c>
      <c r="B3185" s="1" t="n">
        <v>45559</v>
      </c>
      <c r="C3185" s="1" t="n">
        <v>45670</v>
      </c>
      <c r="D3185" t="inlineStr">
        <is>
          <t>VÄSTERNORRLANDS LÄN</t>
        </is>
      </c>
      <c r="E3185" t="inlineStr">
        <is>
          <t>SOLLEFTEÅ</t>
        </is>
      </c>
      <c r="F3185" t="inlineStr">
        <is>
          <t>SCA</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41026-2024</t>
        </is>
      </c>
      <c r="B3186" s="1" t="n">
        <v>45559</v>
      </c>
      <c r="C3186" s="1" t="n">
        <v>45670</v>
      </c>
      <c r="D3186" t="inlineStr">
        <is>
          <t>VÄSTERNORRLANDS LÄN</t>
        </is>
      </c>
      <c r="E3186" t="inlineStr">
        <is>
          <t>SOLLEFTEÅ</t>
        </is>
      </c>
      <c r="F3186" t="inlineStr">
        <is>
          <t>SCA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41042-2024</t>
        </is>
      </c>
      <c r="B3187" s="1" t="n">
        <v>45559</v>
      </c>
      <c r="C3187" s="1" t="n">
        <v>45670</v>
      </c>
      <c r="D3187" t="inlineStr">
        <is>
          <t>VÄSTERNORRLANDS LÄN</t>
        </is>
      </c>
      <c r="E3187" t="inlineStr">
        <is>
          <t>SOLLEFTEÅ</t>
        </is>
      </c>
      <c r="F3187" t="inlineStr">
        <is>
          <t>SCA</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41262-2024</t>
        </is>
      </c>
      <c r="B3188" s="1" t="n">
        <v>45559</v>
      </c>
      <c r="C3188" s="1" t="n">
        <v>45670</v>
      </c>
      <c r="D3188" t="inlineStr">
        <is>
          <t>VÄSTERNORRLANDS LÄN</t>
        </is>
      </c>
      <c r="E3188" t="inlineStr">
        <is>
          <t>SOLLEFTEÅ</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41532-2024</t>
        </is>
      </c>
      <c r="B3189" s="1" t="n">
        <v>45560</v>
      </c>
      <c r="C3189" s="1" t="n">
        <v>45670</v>
      </c>
      <c r="D3189" t="inlineStr">
        <is>
          <t>VÄSTERNORRLANDS LÄN</t>
        </is>
      </c>
      <c r="E3189" t="inlineStr">
        <is>
          <t>SOLLEFTEÅ</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41434-2024</t>
        </is>
      </c>
      <c r="B3190" s="1" t="n">
        <v>45560</v>
      </c>
      <c r="C3190" s="1" t="n">
        <v>45670</v>
      </c>
      <c r="D3190" t="inlineStr">
        <is>
          <t>VÄSTERNORRLANDS LÄN</t>
        </is>
      </c>
      <c r="E3190" t="inlineStr">
        <is>
          <t>SOLLEFTEÅ</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41420-2024</t>
        </is>
      </c>
      <c r="B3191" s="1" t="n">
        <v>45560</v>
      </c>
      <c r="C3191" s="1" t="n">
        <v>45670</v>
      </c>
      <c r="D3191" t="inlineStr">
        <is>
          <t>VÄSTERNORRLANDS LÄN</t>
        </is>
      </c>
      <c r="E3191" t="inlineStr">
        <is>
          <t>SOLLEFTEÅ</t>
        </is>
      </c>
      <c r="F3191" t="inlineStr">
        <is>
          <t>SCA</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41413-2024</t>
        </is>
      </c>
      <c r="B3192" s="1" t="n">
        <v>45560</v>
      </c>
      <c r="C3192" s="1" t="n">
        <v>45670</v>
      </c>
      <c r="D3192" t="inlineStr">
        <is>
          <t>VÄSTERNORRLANDS LÄN</t>
        </is>
      </c>
      <c r="E3192" t="inlineStr">
        <is>
          <t>SOLLEFTEÅ</t>
        </is>
      </c>
      <c r="F3192" t="inlineStr">
        <is>
          <t>SCA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41595-2024</t>
        </is>
      </c>
      <c r="B3193" s="1" t="n">
        <v>45560</v>
      </c>
      <c r="C3193" s="1" t="n">
        <v>45670</v>
      </c>
      <c r="D3193" t="inlineStr">
        <is>
          <t>VÄSTERNORRLANDS LÄN</t>
        </is>
      </c>
      <c r="E3193" t="inlineStr">
        <is>
          <t>SOLLEFTEÅ</t>
        </is>
      </c>
      <c r="F3193" t="inlineStr">
        <is>
          <t>SCA</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41787-2024</t>
        </is>
      </c>
      <c r="B3194" s="1" t="n">
        <v>45561</v>
      </c>
      <c r="C3194" s="1" t="n">
        <v>45670</v>
      </c>
      <c r="D3194" t="inlineStr">
        <is>
          <t>VÄSTERNORRLANDS LÄN</t>
        </is>
      </c>
      <c r="E3194" t="inlineStr">
        <is>
          <t>SOLLEFTEÅ</t>
        </is>
      </c>
      <c r="F3194" t="inlineStr">
        <is>
          <t>SCA</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41904-2024</t>
        </is>
      </c>
      <c r="B3195" s="1" t="n">
        <v>45561</v>
      </c>
      <c r="C3195" s="1" t="n">
        <v>45670</v>
      </c>
      <c r="D3195" t="inlineStr">
        <is>
          <t>VÄSTERNORRLANDS LÄN</t>
        </is>
      </c>
      <c r="E3195" t="inlineStr">
        <is>
          <t>SOLLEFTEÅ</t>
        </is>
      </c>
      <c r="F3195" t="inlineStr">
        <is>
          <t>SCA</t>
        </is>
      </c>
      <c r="G3195" t="n">
        <v>6.7</v>
      </c>
      <c r="H3195" t="n">
        <v>0</v>
      </c>
      <c r="I3195" t="n">
        <v>0</v>
      </c>
      <c r="J3195" t="n">
        <v>0</v>
      </c>
      <c r="K3195" t="n">
        <v>0</v>
      </c>
      <c r="L3195" t="n">
        <v>0</v>
      </c>
      <c r="M3195" t="n">
        <v>0</v>
      </c>
      <c r="N3195" t="n">
        <v>0</v>
      </c>
      <c r="O3195" t="n">
        <v>0</v>
      </c>
      <c r="P3195" t="n">
        <v>0</v>
      </c>
      <c r="Q3195" t="n">
        <v>0</v>
      </c>
      <c r="R3195" s="2" t="inlineStr"/>
    </row>
    <row r="3196" ht="15" customHeight="1">
      <c r="A3196" t="inlineStr">
        <is>
          <t>A 41925-2024</t>
        </is>
      </c>
      <c r="B3196" s="1" t="n">
        <v>45561</v>
      </c>
      <c r="C3196" s="1" t="n">
        <v>45670</v>
      </c>
      <c r="D3196" t="inlineStr">
        <is>
          <t>VÄSTERNORRLANDS LÄN</t>
        </is>
      </c>
      <c r="E3196" t="inlineStr">
        <is>
          <t>SOLLEFTEÅ</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41779-2024</t>
        </is>
      </c>
      <c r="B3197" s="1" t="n">
        <v>45561</v>
      </c>
      <c r="C3197" s="1" t="n">
        <v>45670</v>
      </c>
      <c r="D3197" t="inlineStr">
        <is>
          <t>VÄSTERNORRLANDS LÄN</t>
        </is>
      </c>
      <c r="E3197" t="inlineStr">
        <is>
          <t>SOLLEFTEÅ</t>
        </is>
      </c>
      <c r="F3197" t="inlineStr">
        <is>
          <t>SCA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41975-2024</t>
        </is>
      </c>
      <c r="B3198" s="1" t="n">
        <v>45561</v>
      </c>
      <c r="C3198" s="1" t="n">
        <v>45670</v>
      </c>
      <c r="D3198" t="inlineStr">
        <is>
          <t>VÄSTERNORRLANDS LÄN</t>
        </is>
      </c>
      <c r="E3198" t="inlineStr">
        <is>
          <t>SOLLEFTEÅ</t>
        </is>
      </c>
      <c r="G3198" t="n">
        <v>5.4</v>
      </c>
      <c r="H3198" t="n">
        <v>0</v>
      </c>
      <c r="I3198" t="n">
        <v>0</v>
      </c>
      <c r="J3198" t="n">
        <v>0</v>
      </c>
      <c r="K3198" t="n">
        <v>0</v>
      </c>
      <c r="L3198" t="n">
        <v>0</v>
      </c>
      <c r="M3198" t="n">
        <v>0</v>
      </c>
      <c r="N3198" t="n">
        <v>0</v>
      </c>
      <c r="O3198" t="n">
        <v>0</v>
      </c>
      <c r="P3198" t="n">
        <v>0</v>
      </c>
      <c r="Q3198" t="n">
        <v>0</v>
      </c>
      <c r="R3198" s="2" t="inlineStr"/>
    </row>
    <row r="3199" ht="15" customHeight="1">
      <c r="A3199" t="inlineStr">
        <is>
          <t>A 41834-2024</t>
        </is>
      </c>
      <c r="B3199" s="1" t="n">
        <v>45561</v>
      </c>
      <c r="C3199" s="1" t="n">
        <v>45670</v>
      </c>
      <c r="D3199" t="inlineStr">
        <is>
          <t>VÄSTERNORRLANDS LÄN</t>
        </is>
      </c>
      <c r="E3199" t="inlineStr">
        <is>
          <t>SOLLEFTEÅ</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42093-2024</t>
        </is>
      </c>
      <c r="B3200" s="1" t="n">
        <v>45562</v>
      </c>
      <c r="C3200" s="1" t="n">
        <v>45670</v>
      </c>
      <c r="D3200" t="inlineStr">
        <is>
          <t>VÄSTERNORRLANDS LÄN</t>
        </is>
      </c>
      <c r="E3200" t="inlineStr">
        <is>
          <t>SOLLEFTEÅ</t>
        </is>
      </c>
      <c r="F3200" t="inlineStr">
        <is>
          <t>SCA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42154-2024</t>
        </is>
      </c>
      <c r="B3201" s="1" t="n">
        <v>45562</v>
      </c>
      <c r="C3201" s="1" t="n">
        <v>45670</v>
      </c>
      <c r="D3201" t="inlineStr">
        <is>
          <t>VÄSTERNORRLANDS LÄN</t>
        </is>
      </c>
      <c r="E3201" t="inlineStr">
        <is>
          <t>SOLLEFTEÅ</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42115-2024</t>
        </is>
      </c>
      <c r="B3202" s="1" t="n">
        <v>45562</v>
      </c>
      <c r="C3202" s="1" t="n">
        <v>45670</v>
      </c>
      <c r="D3202" t="inlineStr">
        <is>
          <t>VÄSTERNORRLANDS LÄN</t>
        </is>
      </c>
      <c r="E3202" t="inlineStr">
        <is>
          <t>SOLLEFTEÅ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42631-2024</t>
        </is>
      </c>
      <c r="B3203" s="1" t="n">
        <v>45565</v>
      </c>
      <c r="C3203" s="1" t="n">
        <v>45670</v>
      </c>
      <c r="D3203" t="inlineStr">
        <is>
          <t>VÄSTERNORRLANDS LÄN</t>
        </is>
      </c>
      <c r="E3203" t="inlineStr">
        <is>
          <t>SOLLEFTEÅ</t>
        </is>
      </c>
      <c r="F3203" t="inlineStr">
        <is>
          <t>Holmen skog AB</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42486-2024</t>
        </is>
      </c>
      <c r="B3204" s="1" t="n">
        <v>45565</v>
      </c>
      <c r="C3204" s="1" t="n">
        <v>45670</v>
      </c>
      <c r="D3204" t="inlineStr">
        <is>
          <t>VÄSTERNORRLANDS LÄN</t>
        </is>
      </c>
      <c r="E3204" t="inlineStr">
        <is>
          <t>SOLLEFTEÅ</t>
        </is>
      </c>
      <c r="F3204" t="inlineStr">
        <is>
          <t>SCA</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42482-2024</t>
        </is>
      </c>
      <c r="B3205" s="1" t="n">
        <v>45565</v>
      </c>
      <c r="C3205" s="1" t="n">
        <v>45670</v>
      </c>
      <c r="D3205" t="inlineStr">
        <is>
          <t>VÄSTERNORRLANDS LÄN</t>
        </is>
      </c>
      <c r="E3205" t="inlineStr">
        <is>
          <t>SOLLEFTEÅ</t>
        </is>
      </c>
      <c r="F3205" t="inlineStr">
        <is>
          <t>SCA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42474-2024</t>
        </is>
      </c>
      <c r="B3206" s="1" t="n">
        <v>45565</v>
      </c>
      <c r="C3206" s="1" t="n">
        <v>45670</v>
      </c>
      <c r="D3206" t="inlineStr">
        <is>
          <t>VÄSTERNORRLANDS LÄN</t>
        </is>
      </c>
      <c r="E3206" t="inlineStr">
        <is>
          <t>SOLLEFTEÅ</t>
        </is>
      </c>
      <c r="F3206" t="inlineStr">
        <is>
          <t>SCA</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42915-2024</t>
        </is>
      </c>
      <c r="B3207" s="1" t="n">
        <v>45566</v>
      </c>
      <c r="C3207" s="1" t="n">
        <v>45670</v>
      </c>
      <c r="D3207" t="inlineStr">
        <is>
          <t>VÄSTERNORRLANDS LÄN</t>
        </is>
      </c>
      <c r="E3207" t="inlineStr">
        <is>
          <t>SOLLEFTEÅ</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43049-2024</t>
        </is>
      </c>
      <c r="B3208" s="1" t="n">
        <v>45567</v>
      </c>
      <c r="C3208" s="1" t="n">
        <v>45670</v>
      </c>
      <c r="D3208" t="inlineStr">
        <is>
          <t>VÄSTERNORRLANDS LÄN</t>
        </is>
      </c>
      <c r="E3208" t="inlineStr">
        <is>
          <t>SOLLEFTEÅ</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43008-2024</t>
        </is>
      </c>
      <c r="B3209" s="1" t="n">
        <v>45567</v>
      </c>
      <c r="C3209" s="1" t="n">
        <v>45670</v>
      </c>
      <c r="D3209" t="inlineStr">
        <is>
          <t>VÄSTERNORRLANDS LÄN</t>
        </is>
      </c>
      <c r="E3209" t="inlineStr">
        <is>
          <t>SOLLEFTEÅ</t>
        </is>
      </c>
      <c r="F3209" t="inlineStr">
        <is>
          <t>SCA</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42984-2024</t>
        </is>
      </c>
      <c r="B3210" s="1" t="n">
        <v>45567</v>
      </c>
      <c r="C3210" s="1" t="n">
        <v>45670</v>
      </c>
      <c r="D3210" t="inlineStr">
        <is>
          <t>VÄSTERNORRLANDS LÄN</t>
        </is>
      </c>
      <c r="E3210" t="inlineStr">
        <is>
          <t>SOLLEFTEÅ</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42964-2024</t>
        </is>
      </c>
      <c r="B3211" s="1" t="n">
        <v>45567</v>
      </c>
      <c r="C3211" s="1" t="n">
        <v>45670</v>
      </c>
      <c r="D3211" t="inlineStr">
        <is>
          <t>VÄSTERNORRLANDS LÄN</t>
        </is>
      </c>
      <c r="E3211" t="inlineStr">
        <is>
          <t>SOLLEFTEÅ</t>
        </is>
      </c>
      <c r="F3211" t="inlineStr">
        <is>
          <t>SCA</t>
        </is>
      </c>
      <c r="G3211" t="n">
        <v>6.8</v>
      </c>
      <c r="H3211" t="n">
        <v>0</v>
      </c>
      <c r="I3211" t="n">
        <v>0</v>
      </c>
      <c r="J3211" t="n">
        <v>0</v>
      </c>
      <c r="K3211" t="n">
        <v>0</v>
      </c>
      <c r="L3211" t="n">
        <v>0</v>
      </c>
      <c r="M3211" t="n">
        <v>0</v>
      </c>
      <c r="N3211" t="n">
        <v>0</v>
      </c>
      <c r="O3211" t="n">
        <v>0</v>
      </c>
      <c r="P3211" t="n">
        <v>0</v>
      </c>
      <c r="Q3211" t="n">
        <v>0</v>
      </c>
      <c r="R3211" s="2" t="inlineStr"/>
    </row>
    <row r="3212" ht="15" customHeight="1">
      <c r="A3212" t="inlineStr">
        <is>
          <t>A 42985-2024</t>
        </is>
      </c>
      <c r="B3212" s="1" t="n">
        <v>45567</v>
      </c>
      <c r="C3212" s="1" t="n">
        <v>45670</v>
      </c>
      <c r="D3212" t="inlineStr">
        <is>
          <t>VÄSTERNORRLANDS LÄN</t>
        </is>
      </c>
      <c r="E3212" t="inlineStr">
        <is>
          <t>SOLLEFTEÅ</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42981-2024</t>
        </is>
      </c>
      <c r="B3213" s="1" t="n">
        <v>45567</v>
      </c>
      <c r="C3213" s="1" t="n">
        <v>45670</v>
      </c>
      <c r="D3213" t="inlineStr">
        <is>
          <t>VÄSTERNORRLANDS LÄN</t>
        </is>
      </c>
      <c r="E3213" t="inlineStr">
        <is>
          <t>SOLLEFTEÅ</t>
        </is>
      </c>
      <c r="F3213" t="inlineStr">
        <is>
          <t>SCA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42973-2024</t>
        </is>
      </c>
      <c r="B3214" s="1" t="n">
        <v>45567</v>
      </c>
      <c r="C3214" s="1" t="n">
        <v>45670</v>
      </c>
      <c r="D3214" t="inlineStr">
        <is>
          <t>VÄSTERNORRLANDS LÄN</t>
        </is>
      </c>
      <c r="E3214" t="inlineStr">
        <is>
          <t>SOLLEFTEÅ</t>
        </is>
      </c>
      <c r="F3214" t="inlineStr">
        <is>
          <t>SCA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42965-2024</t>
        </is>
      </c>
      <c r="B3215" s="1" t="n">
        <v>45567</v>
      </c>
      <c r="C3215" s="1" t="n">
        <v>45670</v>
      </c>
      <c r="D3215" t="inlineStr">
        <is>
          <t>VÄSTERNORRLANDS LÄN</t>
        </is>
      </c>
      <c r="E3215" t="inlineStr">
        <is>
          <t>SOLLEFTEÅ</t>
        </is>
      </c>
      <c r="F3215" t="inlineStr">
        <is>
          <t>SCA</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42987-2024</t>
        </is>
      </c>
      <c r="B3216" s="1" t="n">
        <v>45567</v>
      </c>
      <c r="C3216" s="1" t="n">
        <v>45670</v>
      </c>
      <c r="D3216" t="inlineStr">
        <is>
          <t>VÄSTERNORRLANDS LÄN</t>
        </is>
      </c>
      <c r="E3216" t="inlineStr">
        <is>
          <t>SOLLEFTEÅ</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42983-2024</t>
        </is>
      </c>
      <c r="B3217" s="1" t="n">
        <v>45567</v>
      </c>
      <c r="C3217" s="1" t="n">
        <v>45670</v>
      </c>
      <c r="D3217" t="inlineStr">
        <is>
          <t>VÄSTERNORRLANDS LÄN</t>
        </is>
      </c>
      <c r="E3217" t="inlineStr">
        <is>
          <t>SOLLEFTEÅ</t>
        </is>
      </c>
      <c r="F3217" t="inlineStr">
        <is>
          <t>SCA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42979-2024</t>
        </is>
      </c>
      <c r="B3218" s="1" t="n">
        <v>45567</v>
      </c>
      <c r="C3218" s="1" t="n">
        <v>45670</v>
      </c>
      <c r="D3218" t="inlineStr">
        <is>
          <t>VÄSTERNORRLANDS LÄN</t>
        </is>
      </c>
      <c r="E3218" t="inlineStr">
        <is>
          <t>SOLLEFTEÅ</t>
        </is>
      </c>
      <c r="F3218" t="inlineStr">
        <is>
          <t>SCA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42975-2024</t>
        </is>
      </c>
      <c r="B3219" s="1" t="n">
        <v>45567</v>
      </c>
      <c r="C3219" s="1" t="n">
        <v>45670</v>
      </c>
      <c r="D3219" t="inlineStr">
        <is>
          <t>VÄSTERNORRLANDS LÄN</t>
        </is>
      </c>
      <c r="E3219" t="inlineStr">
        <is>
          <t>SOLLEFTEÅ</t>
        </is>
      </c>
      <c r="F3219" t="inlineStr">
        <is>
          <t>SCA</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42971-2024</t>
        </is>
      </c>
      <c r="B3220" s="1" t="n">
        <v>45567</v>
      </c>
      <c r="C3220" s="1" t="n">
        <v>45670</v>
      </c>
      <c r="D3220" t="inlineStr">
        <is>
          <t>VÄSTERNORRLANDS LÄN</t>
        </is>
      </c>
      <c r="E3220" t="inlineStr">
        <is>
          <t>SOLLEFTEÅ</t>
        </is>
      </c>
      <c r="F3220" t="inlineStr">
        <is>
          <t>SCA</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42963-2024</t>
        </is>
      </c>
      <c r="B3221" s="1" t="n">
        <v>45567</v>
      </c>
      <c r="C3221" s="1" t="n">
        <v>45670</v>
      </c>
      <c r="D3221" t="inlineStr">
        <is>
          <t>VÄSTERNORRLANDS LÄN</t>
        </is>
      </c>
      <c r="E3221" t="inlineStr">
        <is>
          <t>SOLLEFTEÅ</t>
        </is>
      </c>
      <c r="F3221" t="inlineStr">
        <is>
          <t>SCA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42978-2024</t>
        </is>
      </c>
      <c r="B3222" s="1" t="n">
        <v>45567</v>
      </c>
      <c r="C3222" s="1" t="n">
        <v>45670</v>
      </c>
      <c r="D3222" t="inlineStr">
        <is>
          <t>VÄSTERNORRLANDS LÄN</t>
        </is>
      </c>
      <c r="E3222" t="inlineStr">
        <is>
          <t>SOLLEFTEÅ</t>
        </is>
      </c>
      <c r="F3222" t="inlineStr">
        <is>
          <t>SCA</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42970-2024</t>
        </is>
      </c>
      <c r="B3223" s="1" t="n">
        <v>45567</v>
      </c>
      <c r="C3223" s="1" t="n">
        <v>45670</v>
      </c>
      <c r="D3223" t="inlineStr">
        <is>
          <t>VÄSTERNORRLANDS LÄN</t>
        </is>
      </c>
      <c r="E3223" t="inlineStr">
        <is>
          <t>SOLLEFTEÅ</t>
        </is>
      </c>
      <c r="F3223" t="inlineStr">
        <is>
          <t>SCA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42950-2024</t>
        </is>
      </c>
      <c r="B3224" s="1" t="n">
        <v>45567</v>
      </c>
      <c r="C3224" s="1" t="n">
        <v>45670</v>
      </c>
      <c r="D3224" t="inlineStr">
        <is>
          <t>VÄSTERNORRLANDS LÄN</t>
        </is>
      </c>
      <c r="E3224" t="inlineStr">
        <is>
          <t>SOLLEFTEÅ</t>
        </is>
      </c>
      <c r="F3224" t="inlineStr">
        <is>
          <t>SCA</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43265-2024</t>
        </is>
      </c>
      <c r="B3225" s="1" t="n">
        <v>45568</v>
      </c>
      <c r="C3225" s="1" t="n">
        <v>45670</v>
      </c>
      <c r="D3225" t="inlineStr">
        <is>
          <t>VÄSTERNORRLANDS LÄN</t>
        </is>
      </c>
      <c r="E3225" t="inlineStr">
        <is>
          <t>SOLLEFTEÅ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43627-2024</t>
        </is>
      </c>
      <c r="B3226" s="1" t="n">
        <v>45569</v>
      </c>
      <c r="C3226" s="1" t="n">
        <v>45670</v>
      </c>
      <c r="D3226" t="inlineStr">
        <is>
          <t>VÄSTERNORRLANDS LÄN</t>
        </is>
      </c>
      <c r="E3226" t="inlineStr">
        <is>
          <t>SOLLEFTEÅ</t>
        </is>
      </c>
      <c r="F3226" t="inlineStr">
        <is>
          <t>SCA</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43585-2024</t>
        </is>
      </c>
      <c r="B3227" s="1" t="n">
        <v>45569</v>
      </c>
      <c r="C3227" s="1" t="n">
        <v>45670</v>
      </c>
      <c r="D3227" t="inlineStr">
        <is>
          <t>VÄSTERNORRLANDS LÄN</t>
        </is>
      </c>
      <c r="E3227" t="inlineStr">
        <is>
          <t>SOLLEFTEÅ</t>
        </is>
      </c>
      <c r="G3227" t="n">
        <v>0.1</v>
      </c>
      <c r="H3227" t="n">
        <v>0</v>
      </c>
      <c r="I3227" t="n">
        <v>0</v>
      </c>
      <c r="J3227" t="n">
        <v>0</v>
      </c>
      <c r="K3227" t="n">
        <v>0</v>
      </c>
      <c r="L3227" t="n">
        <v>0</v>
      </c>
      <c r="M3227" t="n">
        <v>0</v>
      </c>
      <c r="N3227" t="n">
        <v>0</v>
      </c>
      <c r="O3227" t="n">
        <v>0</v>
      </c>
      <c r="P3227" t="n">
        <v>0</v>
      </c>
      <c r="Q3227" t="n">
        <v>0</v>
      </c>
      <c r="R3227" s="2" t="inlineStr"/>
    </row>
    <row r="3228" ht="15" customHeight="1">
      <c r="A3228" t="inlineStr">
        <is>
          <t>A 43845-2024</t>
        </is>
      </c>
      <c r="B3228" s="1" t="n">
        <v>45572</v>
      </c>
      <c r="C3228" s="1" t="n">
        <v>45670</v>
      </c>
      <c r="D3228" t="inlineStr">
        <is>
          <t>VÄSTERNORRLANDS LÄN</t>
        </is>
      </c>
      <c r="E3228" t="inlineStr">
        <is>
          <t>SOLLEFTEÅ</t>
        </is>
      </c>
      <c r="F3228" t="inlineStr">
        <is>
          <t>SCA</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43843-2024</t>
        </is>
      </c>
      <c r="B3229" s="1" t="n">
        <v>45572</v>
      </c>
      <c r="C3229" s="1" t="n">
        <v>45670</v>
      </c>
      <c r="D3229" t="inlineStr">
        <is>
          <t>VÄSTERNORRLANDS LÄN</t>
        </is>
      </c>
      <c r="E3229" t="inlineStr">
        <is>
          <t>SOLLEFTEÅ</t>
        </is>
      </c>
      <c r="F3229" t="inlineStr">
        <is>
          <t>SCA</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44172-2024</t>
        </is>
      </c>
      <c r="B3230" s="1" t="n">
        <v>45572</v>
      </c>
      <c r="C3230" s="1" t="n">
        <v>45670</v>
      </c>
      <c r="D3230" t="inlineStr">
        <is>
          <t>VÄSTERNORRLANDS LÄN</t>
        </is>
      </c>
      <c r="E3230" t="inlineStr">
        <is>
          <t>SOLLEFTEÅ</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44201-2024</t>
        </is>
      </c>
      <c r="B3231" s="1" t="n">
        <v>45573</v>
      </c>
      <c r="C3231" s="1" t="n">
        <v>45670</v>
      </c>
      <c r="D3231" t="inlineStr">
        <is>
          <t>VÄSTERNORRLANDS LÄN</t>
        </is>
      </c>
      <c r="E3231" t="inlineStr">
        <is>
          <t>SOLLEFTEÅ</t>
        </is>
      </c>
      <c r="F3231" t="inlineStr">
        <is>
          <t>SCA</t>
        </is>
      </c>
      <c r="G3231" t="n">
        <v>3.6</v>
      </c>
      <c r="H3231" t="n">
        <v>0</v>
      </c>
      <c r="I3231" t="n">
        <v>0</v>
      </c>
      <c r="J3231" t="n">
        <v>0</v>
      </c>
      <c r="K3231" t="n">
        <v>0</v>
      </c>
      <c r="L3231" t="n">
        <v>0</v>
      </c>
      <c r="M3231" t="n">
        <v>0</v>
      </c>
      <c r="N3231" t="n">
        <v>0</v>
      </c>
      <c r="O3231" t="n">
        <v>0</v>
      </c>
      <c r="P3231" t="n">
        <v>0</v>
      </c>
      <c r="Q3231" t="n">
        <v>0</v>
      </c>
      <c r="R3231" s="2" t="inlineStr"/>
      <c r="U3231">
        <f>HYPERLINK("https://klasma.github.io/Logging_2283/knärot/A 44201-2024 karta knärot.png", "A 44201-2024")</f>
        <v/>
      </c>
      <c r="V3231">
        <f>HYPERLINK("https://klasma.github.io/Logging_2283/klagomål/A 44201-2024 FSC-klagomål.docx", "A 44201-2024")</f>
        <v/>
      </c>
      <c r="W3231">
        <f>HYPERLINK("https://klasma.github.io/Logging_2283/klagomålsmail/A 44201-2024 FSC-klagomål mail.docx", "A 44201-2024")</f>
        <v/>
      </c>
      <c r="X3231">
        <f>HYPERLINK("https://klasma.github.io/Logging_2283/tillsyn/A 44201-2024 tillsynsbegäran.docx", "A 44201-2024")</f>
        <v/>
      </c>
      <c r="Y3231">
        <f>HYPERLINK("https://klasma.github.io/Logging_2283/tillsynsmail/A 44201-2024 tillsynsbegäran mail.docx", "A 44201-2024")</f>
        <v/>
      </c>
    </row>
    <row r="3232" ht="15" customHeight="1">
      <c r="A3232" t="inlineStr">
        <is>
          <t>A 44299-2024</t>
        </is>
      </c>
      <c r="B3232" s="1" t="n">
        <v>45573</v>
      </c>
      <c r="C3232" s="1" t="n">
        <v>45670</v>
      </c>
      <c r="D3232" t="inlineStr">
        <is>
          <t>VÄSTERNORRLANDS LÄN</t>
        </is>
      </c>
      <c r="E3232" t="inlineStr">
        <is>
          <t>SOLLEFTEÅ</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44320-2024</t>
        </is>
      </c>
      <c r="B3233" s="1" t="n">
        <v>45573</v>
      </c>
      <c r="C3233" s="1" t="n">
        <v>45670</v>
      </c>
      <c r="D3233" t="inlineStr">
        <is>
          <t>VÄSTERNORRLANDS LÄN</t>
        </is>
      </c>
      <c r="E3233" t="inlineStr">
        <is>
          <t>SOLLEFTEÅ</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44202-2024</t>
        </is>
      </c>
      <c r="B3234" s="1" t="n">
        <v>45573</v>
      </c>
      <c r="C3234" s="1" t="n">
        <v>45670</v>
      </c>
      <c r="D3234" t="inlineStr">
        <is>
          <t>VÄSTERNORRLANDS LÄN</t>
        </is>
      </c>
      <c r="E3234" t="inlineStr">
        <is>
          <t>SOLLEFTEÅ</t>
        </is>
      </c>
      <c r="F3234" t="inlineStr">
        <is>
          <t>SCA</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44323-2024</t>
        </is>
      </c>
      <c r="B3235" s="1" t="n">
        <v>45573</v>
      </c>
      <c r="C3235" s="1" t="n">
        <v>45670</v>
      </c>
      <c r="D3235" t="inlineStr">
        <is>
          <t>VÄSTERNORRLANDS LÄN</t>
        </is>
      </c>
      <c r="E3235" t="inlineStr">
        <is>
          <t>SOLLEFTEÅ</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44302-2024</t>
        </is>
      </c>
      <c r="B3236" s="1" t="n">
        <v>45573</v>
      </c>
      <c r="C3236" s="1" t="n">
        <v>45670</v>
      </c>
      <c r="D3236" t="inlineStr">
        <is>
          <t>VÄSTERNORRLANDS LÄN</t>
        </is>
      </c>
      <c r="E3236" t="inlineStr">
        <is>
          <t>SOLLEFTEÅ</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44298-2024</t>
        </is>
      </c>
      <c r="B3237" s="1" t="n">
        <v>45573</v>
      </c>
      <c r="C3237" s="1" t="n">
        <v>45670</v>
      </c>
      <c r="D3237" t="inlineStr">
        <is>
          <t>VÄSTERNORRLANDS LÄN</t>
        </is>
      </c>
      <c r="E3237" t="inlineStr">
        <is>
          <t>SOLLEFTEÅ</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44294-2024</t>
        </is>
      </c>
      <c r="B3238" s="1" t="n">
        <v>45573</v>
      </c>
      <c r="C3238" s="1" t="n">
        <v>45670</v>
      </c>
      <c r="D3238" t="inlineStr">
        <is>
          <t>VÄSTERNORRLANDS LÄN</t>
        </is>
      </c>
      <c r="E3238" t="inlineStr">
        <is>
          <t>SOLLEFTEÅ</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44200-2024</t>
        </is>
      </c>
      <c r="B3239" s="1" t="n">
        <v>45573</v>
      </c>
      <c r="C3239" s="1" t="n">
        <v>45670</v>
      </c>
      <c r="D3239" t="inlineStr">
        <is>
          <t>VÄSTERNORRLANDS LÄN</t>
        </is>
      </c>
      <c r="E3239" t="inlineStr">
        <is>
          <t>SOLLEFTEÅ</t>
        </is>
      </c>
      <c r="F3239" t="inlineStr">
        <is>
          <t>SCA</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44554-2024</t>
        </is>
      </c>
      <c r="B3240" s="1" t="n">
        <v>45574</v>
      </c>
      <c r="C3240" s="1" t="n">
        <v>45670</v>
      </c>
      <c r="D3240" t="inlineStr">
        <is>
          <t>VÄSTERNORRLANDS LÄN</t>
        </is>
      </c>
      <c r="E3240" t="inlineStr">
        <is>
          <t>SOLLEFTEÅ</t>
        </is>
      </c>
      <c r="F3240" t="inlineStr">
        <is>
          <t>SCA</t>
        </is>
      </c>
      <c r="G3240" t="n">
        <v>5.9</v>
      </c>
      <c r="H3240" t="n">
        <v>0</v>
      </c>
      <c r="I3240" t="n">
        <v>0</v>
      </c>
      <c r="J3240" t="n">
        <v>0</v>
      </c>
      <c r="K3240" t="n">
        <v>0</v>
      </c>
      <c r="L3240" t="n">
        <v>0</v>
      </c>
      <c r="M3240" t="n">
        <v>0</v>
      </c>
      <c r="N3240" t="n">
        <v>0</v>
      </c>
      <c r="O3240" t="n">
        <v>0</v>
      </c>
      <c r="P3240" t="n">
        <v>0</v>
      </c>
      <c r="Q3240" t="n">
        <v>0</v>
      </c>
      <c r="R3240" s="2" t="inlineStr"/>
    </row>
    <row r="3241" ht="15" customHeight="1">
      <c r="A3241" t="inlineStr">
        <is>
          <t>A 44591-2024</t>
        </is>
      </c>
      <c r="B3241" s="1" t="n">
        <v>45574</v>
      </c>
      <c r="C3241" s="1" t="n">
        <v>45670</v>
      </c>
      <c r="D3241" t="inlineStr">
        <is>
          <t>VÄSTERNORRLANDS LÄN</t>
        </is>
      </c>
      <c r="E3241" t="inlineStr">
        <is>
          <t>SOLLEFTEÅ</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44627-2024</t>
        </is>
      </c>
      <c r="B3242" s="1" t="n">
        <v>45574</v>
      </c>
      <c r="C3242" s="1" t="n">
        <v>45670</v>
      </c>
      <c r="D3242" t="inlineStr">
        <is>
          <t>VÄSTERNORRLANDS LÄN</t>
        </is>
      </c>
      <c r="E3242" t="inlineStr">
        <is>
          <t>SOLLEFTEÅ</t>
        </is>
      </c>
      <c r="F3242" t="inlineStr">
        <is>
          <t>SCA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44640-2024</t>
        </is>
      </c>
      <c r="B3243" s="1" t="n">
        <v>45574</v>
      </c>
      <c r="C3243" s="1" t="n">
        <v>45670</v>
      </c>
      <c r="D3243" t="inlineStr">
        <is>
          <t>VÄSTERNORRLANDS LÄN</t>
        </is>
      </c>
      <c r="E3243" t="inlineStr">
        <is>
          <t>SOLLEFTEÅ</t>
        </is>
      </c>
      <c r="F3243" t="inlineStr">
        <is>
          <t>SCA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44614-2024</t>
        </is>
      </c>
      <c r="B3244" s="1" t="n">
        <v>45574</v>
      </c>
      <c r="C3244" s="1" t="n">
        <v>45670</v>
      </c>
      <c r="D3244" t="inlineStr">
        <is>
          <t>VÄSTERNORRLANDS LÄN</t>
        </is>
      </c>
      <c r="E3244" t="inlineStr">
        <is>
          <t>SOLLEFTEÅ</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44639-2024</t>
        </is>
      </c>
      <c r="B3245" s="1" t="n">
        <v>45574</v>
      </c>
      <c r="C3245" s="1" t="n">
        <v>45670</v>
      </c>
      <c r="D3245" t="inlineStr">
        <is>
          <t>VÄSTERNORRLANDS LÄN</t>
        </is>
      </c>
      <c r="E3245" t="inlineStr">
        <is>
          <t>SOLLEFTEÅ</t>
        </is>
      </c>
      <c r="F3245" t="inlineStr">
        <is>
          <t>SCA</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44661-2024</t>
        </is>
      </c>
      <c r="B3246" s="1" t="n">
        <v>45574</v>
      </c>
      <c r="C3246" s="1" t="n">
        <v>45670</v>
      </c>
      <c r="D3246" t="inlineStr">
        <is>
          <t>VÄSTERNORRLANDS LÄN</t>
        </is>
      </c>
      <c r="E3246" t="inlineStr">
        <is>
          <t>SOLLEFTEÅ</t>
        </is>
      </c>
      <c r="F3246" t="inlineStr">
        <is>
          <t>SCA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44621-2024</t>
        </is>
      </c>
      <c r="B3247" s="1" t="n">
        <v>45574</v>
      </c>
      <c r="C3247" s="1" t="n">
        <v>45670</v>
      </c>
      <c r="D3247" t="inlineStr">
        <is>
          <t>VÄSTERNORRLANDS LÄN</t>
        </is>
      </c>
      <c r="E3247" t="inlineStr">
        <is>
          <t>SOLLEFTEÅ</t>
        </is>
      </c>
      <c r="F3247" t="inlineStr">
        <is>
          <t>SCA</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44662-2024</t>
        </is>
      </c>
      <c r="B3248" s="1" t="n">
        <v>45574</v>
      </c>
      <c r="C3248" s="1" t="n">
        <v>45670</v>
      </c>
      <c r="D3248" t="inlineStr">
        <is>
          <t>VÄSTERNORRLANDS LÄN</t>
        </is>
      </c>
      <c r="E3248" t="inlineStr">
        <is>
          <t>SOLLEFTEÅ</t>
        </is>
      </c>
      <c r="F3248" t="inlineStr">
        <is>
          <t>SCA</t>
        </is>
      </c>
      <c r="G3248" t="n">
        <v>6.7</v>
      </c>
      <c r="H3248" t="n">
        <v>0</v>
      </c>
      <c r="I3248" t="n">
        <v>0</v>
      </c>
      <c r="J3248" t="n">
        <v>0</v>
      </c>
      <c r="K3248" t="n">
        <v>0</v>
      </c>
      <c r="L3248" t="n">
        <v>0</v>
      </c>
      <c r="M3248" t="n">
        <v>0</v>
      </c>
      <c r="N3248" t="n">
        <v>0</v>
      </c>
      <c r="O3248" t="n">
        <v>0</v>
      </c>
      <c r="P3248" t="n">
        <v>0</v>
      </c>
      <c r="Q3248" t="n">
        <v>0</v>
      </c>
      <c r="R3248" s="2" t="inlineStr"/>
    </row>
    <row r="3249" ht="15" customHeight="1">
      <c r="A3249" t="inlineStr">
        <is>
          <t>A 45142-2024</t>
        </is>
      </c>
      <c r="B3249" s="1" t="n">
        <v>45575</v>
      </c>
      <c r="C3249" s="1" t="n">
        <v>45670</v>
      </c>
      <c r="D3249" t="inlineStr">
        <is>
          <t>VÄSTERNORRLANDS LÄN</t>
        </is>
      </c>
      <c r="E3249" t="inlineStr">
        <is>
          <t>SOLLEFTEÅ</t>
        </is>
      </c>
      <c r="F3249" t="inlineStr">
        <is>
          <t>SCA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45171-2024</t>
        </is>
      </c>
      <c r="B3250" s="1" t="n">
        <v>45575</v>
      </c>
      <c r="C3250" s="1" t="n">
        <v>45670</v>
      </c>
      <c r="D3250" t="inlineStr">
        <is>
          <t>VÄSTERNORRLANDS LÄN</t>
        </is>
      </c>
      <c r="E3250" t="inlineStr">
        <is>
          <t>SOLLEFTEÅ</t>
        </is>
      </c>
      <c r="F3250" t="inlineStr">
        <is>
          <t>SCA</t>
        </is>
      </c>
      <c r="G3250" t="n">
        <v>12.1</v>
      </c>
      <c r="H3250" t="n">
        <v>0</v>
      </c>
      <c r="I3250" t="n">
        <v>0</v>
      </c>
      <c r="J3250" t="n">
        <v>0</v>
      </c>
      <c r="K3250" t="n">
        <v>0</v>
      </c>
      <c r="L3250" t="n">
        <v>0</v>
      </c>
      <c r="M3250" t="n">
        <v>0</v>
      </c>
      <c r="N3250" t="n">
        <v>0</v>
      </c>
      <c r="O3250" t="n">
        <v>0</v>
      </c>
      <c r="P3250" t="n">
        <v>0</v>
      </c>
      <c r="Q3250" t="n">
        <v>0</v>
      </c>
      <c r="R3250" s="2" t="inlineStr"/>
    </row>
    <row r="3251" ht="15" customHeight="1">
      <c r="A3251" t="inlineStr">
        <is>
          <t>A 44950-2024</t>
        </is>
      </c>
      <c r="B3251" s="1" t="n">
        <v>45575</v>
      </c>
      <c r="C3251" s="1" t="n">
        <v>45670</v>
      </c>
      <c r="D3251" t="inlineStr">
        <is>
          <t>VÄSTERNORRLANDS LÄN</t>
        </is>
      </c>
      <c r="E3251" t="inlineStr">
        <is>
          <t>SOLLEFTEÅ</t>
        </is>
      </c>
      <c r="G3251" t="n">
        <v>11.1</v>
      </c>
      <c r="H3251" t="n">
        <v>0</v>
      </c>
      <c r="I3251" t="n">
        <v>0</v>
      </c>
      <c r="J3251" t="n">
        <v>0</v>
      </c>
      <c r="K3251" t="n">
        <v>0</v>
      </c>
      <c r="L3251" t="n">
        <v>0</v>
      </c>
      <c r="M3251" t="n">
        <v>0</v>
      </c>
      <c r="N3251" t="n">
        <v>0</v>
      </c>
      <c r="O3251" t="n">
        <v>0</v>
      </c>
      <c r="P3251" t="n">
        <v>0</v>
      </c>
      <c r="Q3251" t="n">
        <v>0</v>
      </c>
      <c r="R3251" s="2" t="inlineStr"/>
    </row>
    <row r="3252" ht="15" customHeight="1">
      <c r="A3252" t="inlineStr">
        <is>
          <t>A 45435-2024</t>
        </is>
      </c>
      <c r="B3252" s="1" t="n">
        <v>45576</v>
      </c>
      <c r="C3252" s="1" t="n">
        <v>45670</v>
      </c>
      <c r="D3252" t="inlineStr">
        <is>
          <t>VÄSTERNORRLANDS LÄN</t>
        </is>
      </c>
      <c r="E3252" t="inlineStr">
        <is>
          <t>SOLLEFTEÅ</t>
        </is>
      </c>
      <c r="F3252" t="inlineStr">
        <is>
          <t>SCA</t>
        </is>
      </c>
      <c r="G3252" t="n">
        <v>8.9</v>
      </c>
      <c r="H3252" t="n">
        <v>0</v>
      </c>
      <c r="I3252" t="n">
        <v>0</v>
      </c>
      <c r="J3252" t="n">
        <v>0</v>
      </c>
      <c r="K3252" t="n">
        <v>0</v>
      </c>
      <c r="L3252" t="n">
        <v>0</v>
      </c>
      <c r="M3252" t="n">
        <v>0</v>
      </c>
      <c r="N3252" t="n">
        <v>0</v>
      </c>
      <c r="O3252" t="n">
        <v>0</v>
      </c>
      <c r="P3252" t="n">
        <v>0</v>
      </c>
      <c r="Q3252" t="n">
        <v>0</v>
      </c>
      <c r="R3252" s="2" t="inlineStr"/>
    </row>
    <row r="3253" ht="15" customHeight="1">
      <c r="A3253" t="inlineStr">
        <is>
          <t>A 45334-2024</t>
        </is>
      </c>
      <c r="B3253" s="1" t="n">
        <v>45576</v>
      </c>
      <c r="C3253" s="1" t="n">
        <v>45670</v>
      </c>
      <c r="D3253" t="inlineStr">
        <is>
          <t>VÄSTERNORRLANDS LÄN</t>
        </is>
      </c>
      <c r="E3253" t="inlineStr">
        <is>
          <t>SOLLEFTEÅ</t>
        </is>
      </c>
      <c r="F3253" t="inlineStr">
        <is>
          <t>SCA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45590-2024</t>
        </is>
      </c>
      <c r="B3254" s="1" t="n">
        <v>45579</v>
      </c>
      <c r="C3254" s="1" t="n">
        <v>45670</v>
      </c>
      <c r="D3254" t="inlineStr">
        <is>
          <t>VÄSTERNORRLANDS LÄN</t>
        </is>
      </c>
      <c r="E3254" t="inlineStr">
        <is>
          <t>SOLLEFTEÅ</t>
        </is>
      </c>
      <c r="F3254" t="inlineStr">
        <is>
          <t>Holmen skog AB</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45801-2024</t>
        </is>
      </c>
      <c r="B3255" s="1" t="n">
        <v>45579</v>
      </c>
      <c r="C3255" s="1" t="n">
        <v>45670</v>
      </c>
      <c r="D3255" t="inlineStr">
        <is>
          <t>VÄSTERNORRLANDS LÄN</t>
        </is>
      </c>
      <c r="E3255" t="inlineStr">
        <is>
          <t>SOLLEFTEÅ</t>
        </is>
      </c>
      <c r="F3255" t="inlineStr">
        <is>
          <t>SCA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45795-2024</t>
        </is>
      </c>
      <c r="B3256" s="1" t="n">
        <v>45579</v>
      </c>
      <c r="C3256" s="1" t="n">
        <v>45670</v>
      </c>
      <c r="D3256" t="inlineStr">
        <is>
          <t>VÄSTERNORRLANDS LÄN</t>
        </is>
      </c>
      <c r="E3256" t="inlineStr">
        <is>
          <t>SOLLEFTEÅ</t>
        </is>
      </c>
      <c r="G3256" t="n">
        <v>8.199999999999999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45573-2024</t>
        </is>
      </c>
      <c r="B3257" s="1" t="n">
        <v>45579</v>
      </c>
      <c r="C3257" s="1" t="n">
        <v>45670</v>
      </c>
      <c r="D3257" t="inlineStr">
        <is>
          <t>VÄSTERNORRLANDS LÄN</t>
        </is>
      </c>
      <c r="E3257" t="inlineStr">
        <is>
          <t>SOLLEFTEÅ</t>
        </is>
      </c>
      <c r="F3257" t="inlineStr">
        <is>
          <t>SCA</t>
        </is>
      </c>
      <c r="G3257" t="n">
        <v>7.8</v>
      </c>
      <c r="H3257" t="n">
        <v>0</v>
      </c>
      <c r="I3257" t="n">
        <v>0</v>
      </c>
      <c r="J3257" t="n">
        <v>0</v>
      </c>
      <c r="K3257" t="n">
        <v>0</v>
      </c>
      <c r="L3257" t="n">
        <v>0</v>
      </c>
      <c r="M3257" t="n">
        <v>0</v>
      </c>
      <c r="N3257" t="n">
        <v>0</v>
      </c>
      <c r="O3257" t="n">
        <v>0</v>
      </c>
      <c r="P3257" t="n">
        <v>0</v>
      </c>
      <c r="Q3257" t="n">
        <v>0</v>
      </c>
      <c r="R3257" s="2" t="inlineStr"/>
    </row>
    <row r="3258" ht="15" customHeight="1">
      <c r="A3258" t="inlineStr">
        <is>
          <t>A 45778-2024</t>
        </is>
      </c>
      <c r="B3258" s="1" t="n">
        <v>45579</v>
      </c>
      <c r="C3258" s="1" t="n">
        <v>45670</v>
      </c>
      <c r="D3258" t="inlineStr">
        <is>
          <t>VÄSTERNORRLANDS LÄN</t>
        </is>
      </c>
      <c r="E3258" t="inlineStr">
        <is>
          <t>SOLLEFTEÅ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45802-2024</t>
        </is>
      </c>
      <c r="B3259" s="1" t="n">
        <v>45579</v>
      </c>
      <c r="C3259" s="1" t="n">
        <v>45670</v>
      </c>
      <c r="D3259" t="inlineStr">
        <is>
          <t>VÄSTERNORRLANDS LÄN</t>
        </is>
      </c>
      <c r="E3259" t="inlineStr">
        <is>
          <t>SOLLEFTEÅ</t>
        </is>
      </c>
      <c r="F3259" t="inlineStr">
        <is>
          <t>SCA</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45748-2024</t>
        </is>
      </c>
      <c r="B3260" s="1" t="n">
        <v>45579</v>
      </c>
      <c r="C3260" s="1" t="n">
        <v>45670</v>
      </c>
      <c r="D3260" t="inlineStr">
        <is>
          <t>VÄSTERNORRLANDS LÄN</t>
        </is>
      </c>
      <c r="E3260" t="inlineStr">
        <is>
          <t>SOLLEFTEÅ</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45975-2024</t>
        </is>
      </c>
      <c r="B3261" s="1" t="n">
        <v>45580</v>
      </c>
      <c r="C3261" s="1" t="n">
        <v>45670</v>
      </c>
      <c r="D3261" t="inlineStr">
        <is>
          <t>VÄSTERNORRLANDS LÄN</t>
        </is>
      </c>
      <c r="E3261" t="inlineStr">
        <is>
          <t>SOLLEFTEÅ</t>
        </is>
      </c>
      <c r="F3261" t="inlineStr">
        <is>
          <t>SCA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45940-2024</t>
        </is>
      </c>
      <c r="B3262" s="1" t="n">
        <v>45580</v>
      </c>
      <c r="C3262" s="1" t="n">
        <v>45670</v>
      </c>
      <c r="D3262" t="inlineStr">
        <is>
          <t>VÄSTERNORRLANDS LÄN</t>
        </is>
      </c>
      <c r="E3262" t="inlineStr">
        <is>
          <t>SOLLEFTEÅ</t>
        </is>
      </c>
      <c r="F3262" t="inlineStr">
        <is>
          <t>SCA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46255-2024</t>
        </is>
      </c>
      <c r="B3263" s="1" t="n">
        <v>45581</v>
      </c>
      <c r="C3263" s="1" t="n">
        <v>45670</v>
      </c>
      <c r="D3263" t="inlineStr">
        <is>
          <t>VÄSTERNORRLANDS LÄN</t>
        </is>
      </c>
      <c r="E3263" t="inlineStr">
        <is>
          <t>SOLLEFTEÅ</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46101-2024</t>
        </is>
      </c>
      <c r="B3264" s="1" t="n">
        <v>45581</v>
      </c>
      <c r="C3264" s="1" t="n">
        <v>45670</v>
      </c>
      <c r="D3264" t="inlineStr">
        <is>
          <t>VÄSTERNORRLANDS LÄN</t>
        </is>
      </c>
      <c r="E3264" t="inlineStr">
        <is>
          <t>SOLLEFTEÅ</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46261-2024</t>
        </is>
      </c>
      <c r="B3265" s="1" t="n">
        <v>45581</v>
      </c>
      <c r="C3265" s="1" t="n">
        <v>45670</v>
      </c>
      <c r="D3265" t="inlineStr">
        <is>
          <t>VÄSTERNORRLANDS LÄN</t>
        </is>
      </c>
      <c r="E3265" t="inlineStr">
        <is>
          <t>SOLLEFTEÅ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46524-2024</t>
        </is>
      </c>
      <c r="B3266" s="1" t="n">
        <v>45582</v>
      </c>
      <c r="C3266" s="1" t="n">
        <v>45670</v>
      </c>
      <c r="D3266" t="inlineStr">
        <is>
          <t>VÄSTERNORRLANDS LÄN</t>
        </is>
      </c>
      <c r="E3266" t="inlineStr">
        <is>
          <t>SOLLEFTEÅ</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46772-2024</t>
        </is>
      </c>
      <c r="B3267" s="1" t="n">
        <v>45583</v>
      </c>
      <c r="C3267" s="1" t="n">
        <v>45670</v>
      </c>
      <c r="D3267" t="inlineStr">
        <is>
          <t>VÄSTERNORRLANDS LÄN</t>
        </is>
      </c>
      <c r="E3267" t="inlineStr">
        <is>
          <t>SOLLEFTEÅ</t>
        </is>
      </c>
      <c r="F3267" t="inlineStr">
        <is>
          <t>SCA</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46850-2024</t>
        </is>
      </c>
      <c r="B3268" s="1" t="n">
        <v>45583</v>
      </c>
      <c r="C3268" s="1" t="n">
        <v>45670</v>
      </c>
      <c r="D3268" t="inlineStr">
        <is>
          <t>VÄSTERNORRLANDS LÄN</t>
        </is>
      </c>
      <c r="E3268" t="inlineStr">
        <is>
          <t>SOLLEFTEÅ</t>
        </is>
      </c>
      <c r="F3268" t="inlineStr">
        <is>
          <t>SCA</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46765-2024</t>
        </is>
      </c>
      <c r="B3269" s="1" t="n">
        <v>45583</v>
      </c>
      <c r="C3269" s="1" t="n">
        <v>45670</v>
      </c>
      <c r="D3269" t="inlineStr">
        <is>
          <t>VÄSTERNORRLANDS LÄN</t>
        </is>
      </c>
      <c r="E3269" t="inlineStr">
        <is>
          <t>SOLLEFTEÅ</t>
        </is>
      </c>
      <c r="F3269" t="inlineStr">
        <is>
          <t>SCA</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46755-2024</t>
        </is>
      </c>
      <c r="B3270" s="1" t="n">
        <v>45583</v>
      </c>
      <c r="C3270" s="1" t="n">
        <v>45670</v>
      </c>
      <c r="D3270" t="inlineStr">
        <is>
          <t>VÄSTERNORRLANDS LÄN</t>
        </is>
      </c>
      <c r="E3270" t="inlineStr">
        <is>
          <t>SOLLEFTEÅ</t>
        </is>
      </c>
      <c r="F3270" t="inlineStr">
        <is>
          <t>SCA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46759-2024</t>
        </is>
      </c>
      <c r="B3271" s="1" t="n">
        <v>45583</v>
      </c>
      <c r="C3271" s="1" t="n">
        <v>45670</v>
      </c>
      <c r="D3271" t="inlineStr">
        <is>
          <t>VÄSTERNORRLANDS LÄN</t>
        </is>
      </c>
      <c r="E3271" t="inlineStr">
        <is>
          <t>SOLLEFTEÅ</t>
        </is>
      </c>
      <c r="F3271" t="inlineStr">
        <is>
          <t>SCA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46767-2024</t>
        </is>
      </c>
      <c r="B3272" s="1" t="n">
        <v>45583</v>
      </c>
      <c r="C3272" s="1" t="n">
        <v>45670</v>
      </c>
      <c r="D3272" t="inlineStr">
        <is>
          <t>VÄSTERNORRLANDS LÄN</t>
        </is>
      </c>
      <c r="E3272" t="inlineStr">
        <is>
          <t>SOLLEFTEÅ</t>
        </is>
      </c>
      <c r="F3272" t="inlineStr">
        <is>
          <t>SCA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46770-2024</t>
        </is>
      </c>
      <c r="B3273" s="1" t="n">
        <v>45583</v>
      </c>
      <c r="C3273" s="1" t="n">
        <v>45670</v>
      </c>
      <c r="D3273" t="inlineStr">
        <is>
          <t>VÄSTERNORRLANDS LÄN</t>
        </is>
      </c>
      <c r="E3273" t="inlineStr">
        <is>
          <t>SOLLEFTEÅ</t>
        </is>
      </c>
      <c r="F3273" t="inlineStr">
        <is>
          <t>SCA</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46758-2024</t>
        </is>
      </c>
      <c r="B3274" s="1" t="n">
        <v>45583</v>
      </c>
      <c r="C3274" s="1" t="n">
        <v>45670</v>
      </c>
      <c r="D3274" t="inlineStr">
        <is>
          <t>VÄSTERNORRLANDS LÄN</t>
        </is>
      </c>
      <c r="E3274" t="inlineStr">
        <is>
          <t>SOLLEFTEÅ</t>
        </is>
      </c>
      <c r="F3274" t="inlineStr">
        <is>
          <t>SCA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47175-2024</t>
        </is>
      </c>
      <c r="B3275" s="1" t="n">
        <v>45586</v>
      </c>
      <c r="C3275" s="1" t="n">
        <v>45670</v>
      </c>
      <c r="D3275" t="inlineStr">
        <is>
          <t>VÄSTERNORRLANDS LÄN</t>
        </is>
      </c>
      <c r="E3275" t="inlineStr">
        <is>
          <t>SOLLEFTEÅ</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47179-2024</t>
        </is>
      </c>
      <c r="B3276" s="1" t="n">
        <v>45586</v>
      </c>
      <c r="C3276" s="1" t="n">
        <v>45670</v>
      </c>
      <c r="D3276" t="inlineStr">
        <is>
          <t>VÄSTERNORRLANDS LÄN</t>
        </is>
      </c>
      <c r="E3276" t="inlineStr">
        <is>
          <t>SOLLEFTEÅ</t>
        </is>
      </c>
      <c r="F3276" t="inlineStr">
        <is>
          <t>SCA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46973-2024</t>
        </is>
      </c>
      <c r="B3277" s="1" t="n">
        <v>45586</v>
      </c>
      <c r="C3277" s="1" t="n">
        <v>45670</v>
      </c>
      <c r="D3277" t="inlineStr">
        <is>
          <t>VÄSTERNORRLANDS LÄN</t>
        </is>
      </c>
      <c r="E3277" t="inlineStr">
        <is>
          <t>SOLLEFTEÅ</t>
        </is>
      </c>
      <c r="F3277" t="inlineStr">
        <is>
          <t>SCA</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47471-2024</t>
        </is>
      </c>
      <c r="B3278" s="1" t="n">
        <v>45587</v>
      </c>
      <c r="C3278" s="1" t="n">
        <v>45670</v>
      </c>
      <c r="D3278" t="inlineStr">
        <is>
          <t>VÄSTERNORRLANDS LÄN</t>
        </is>
      </c>
      <c r="E3278" t="inlineStr">
        <is>
          <t>SOLLEFTEÅ</t>
        </is>
      </c>
      <c r="F3278" t="inlineStr">
        <is>
          <t>SCA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47354-2024</t>
        </is>
      </c>
      <c r="B3279" s="1" t="n">
        <v>45587</v>
      </c>
      <c r="C3279" s="1" t="n">
        <v>45670</v>
      </c>
      <c r="D3279" t="inlineStr">
        <is>
          <t>VÄSTERNORRLANDS LÄN</t>
        </is>
      </c>
      <c r="E3279" t="inlineStr">
        <is>
          <t>SOLLEFTEÅ</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47547-2024</t>
        </is>
      </c>
      <c r="B3280" s="1" t="n">
        <v>45587</v>
      </c>
      <c r="C3280" s="1" t="n">
        <v>45670</v>
      </c>
      <c r="D3280" t="inlineStr">
        <is>
          <t>VÄSTERNORRLANDS LÄN</t>
        </is>
      </c>
      <c r="E3280" t="inlineStr">
        <is>
          <t>SOLLEFTEÅ</t>
        </is>
      </c>
      <c r="F3280" t="inlineStr">
        <is>
          <t>SCA</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47745-2024</t>
        </is>
      </c>
      <c r="B3281" s="1" t="n">
        <v>45588</v>
      </c>
      <c r="C3281" s="1" t="n">
        <v>45670</v>
      </c>
      <c r="D3281" t="inlineStr">
        <is>
          <t>VÄSTERNORRLANDS LÄN</t>
        </is>
      </c>
      <c r="E3281" t="inlineStr">
        <is>
          <t>SOLLEFTEÅ</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47641-2024</t>
        </is>
      </c>
      <c r="B3282" s="1" t="n">
        <v>45588</v>
      </c>
      <c r="C3282" s="1" t="n">
        <v>45670</v>
      </c>
      <c r="D3282" t="inlineStr">
        <is>
          <t>VÄSTERNORRLANDS LÄN</t>
        </is>
      </c>
      <c r="E3282" t="inlineStr">
        <is>
          <t>SOLLEFTEÅ</t>
        </is>
      </c>
      <c r="F3282" t="inlineStr">
        <is>
          <t>SCA</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47631-2024</t>
        </is>
      </c>
      <c r="B3283" s="1" t="n">
        <v>45588</v>
      </c>
      <c r="C3283" s="1" t="n">
        <v>45670</v>
      </c>
      <c r="D3283" t="inlineStr">
        <is>
          <t>VÄSTERNORRLANDS LÄN</t>
        </is>
      </c>
      <c r="E3283" t="inlineStr">
        <is>
          <t>SOLLEFTEÅ</t>
        </is>
      </c>
      <c r="F3283" t="inlineStr">
        <is>
          <t>SCA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47868-2024</t>
        </is>
      </c>
      <c r="B3284" s="1" t="n">
        <v>45588</v>
      </c>
      <c r="C3284" s="1" t="n">
        <v>45670</v>
      </c>
      <c r="D3284" t="inlineStr">
        <is>
          <t>VÄSTERNORRLANDS LÄN</t>
        </is>
      </c>
      <c r="E3284" t="inlineStr">
        <is>
          <t>SOLLEFTEÅ</t>
        </is>
      </c>
      <c r="F3284" t="inlineStr">
        <is>
          <t>SCA</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48118-2024</t>
        </is>
      </c>
      <c r="B3285" s="1" t="n">
        <v>45589</v>
      </c>
      <c r="C3285" s="1" t="n">
        <v>45670</v>
      </c>
      <c r="D3285" t="inlineStr">
        <is>
          <t>VÄSTERNORRLANDS LÄN</t>
        </is>
      </c>
      <c r="E3285" t="inlineStr">
        <is>
          <t>SOLLEFTEÅ</t>
        </is>
      </c>
      <c r="F3285" t="inlineStr">
        <is>
          <t>SCA</t>
        </is>
      </c>
      <c r="G3285" t="n">
        <v>11.9</v>
      </c>
      <c r="H3285" t="n">
        <v>0</v>
      </c>
      <c r="I3285" t="n">
        <v>0</v>
      </c>
      <c r="J3285" t="n">
        <v>0</v>
      </c>
      <c r="K3285" t="n">
        <v>0</v>
      </c>
      <c r="L3285" t="n">
        <v>0</v>
      </c>
      <c r="M3285" t="n">
        <v>0</v>
      </c>
      <c r="N3285" t="n">
        <v>0</v>
      </c>
      <c r="O3285" t="n">
        <v>0</v>
      </c>
      <c r="P3285" t="n">
        <v>0</v>
      </c>
      <c r="Q3285" t="n">
        <v>0</v>
      </c>
      <c r="R3285" s="2" t="inlineStr"/>
    </row>
    <row r="3286" ht="15" customHeight="1">
      <c r="A3286" t="inlineStr">
        <is>
          <t>A 48038-2024</t>
        </is>
      </c>
      <c r="B3286" s="1" t="n">
        <v>45589</v>
      </c>
      <c r="C3286" s="1" t="n">
        <v>45670</v>
      </c>
      <c r="D3286" t="inlineStr">
        <is>
          <t>VÄSTERNORRLANDS LÄN</t>
        </is>
      </c>
      <c r="E3286" t="inlineStr">
        <is>
          <t>SOLLEFTEÅ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47955-2024</t>
        </is>
      </c>
      <c r="B3287" s="1" t="n">
        <v>45589</v>
      </c>
      <c r="C3287" s="1" t="n">
        <v>45670</v>
      </c>
      <c r="D3287" t="inlineStr">
        <is>
          <t>VÄSTERNORRLANDS LÄN</t>
        </is>
      </c>
      <c r="E3287" t="inlineStr">
        <is>
          <t>SOLLEFTEÅ</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47963-2024</t>
        </is>
      </c>
      <c r="B3288" s="1" t="n">
        <v>45589</v>
      </c>
      <c r="C3288" s="1" t="n">
        <v>45670</v>
      </c>
      <c r="D3288" t="inlineStr">
        <is>
          <t>VÄSTERNORRLANDS LÄN</t>
        </is>
      </c>
      <c r="E3288" t="inlineStr">
        <is>
          <t>SOLLEFTEÅ</t>
        </is>
      </c>
      <c r="F3288" t="inlineStr">
        <is>
          <t>SCA</t>
        </is>
      </c>
      <c r="G3288" t="n">
        <v>8.9</v>
      </c>
      <c r="H3288" t="n">
        <v>0</v>
      </c>
      <c r="I3288" t="n">
        <v>0</v>
      </c>
      <c r="J3288" t="n">
        <v>0</v>
      </c>
      <c r="K3288" t="n">
        <v>0</v>
      </c>
      <c r="L3288" t="n">
        <v>0</v>
      </c>
      <c r="M3288" t="n">
        <v>0</v>
      </c>
      <c r="N3288" t="n">
        <v>0</v>
      </c>
      <c r="O3288" t="n">
        <v>0</v>
      </c>
      <c r="P3288" t="n">
        <v>0</v>
      </c>
      <c r="Q3288" t="n">
        <v>0</v>
      </c>
      <c r="R3288" s="2" t="inlineStr"/>
    </row>
    <row r="3289" ht="15" customHeight="1">
      <c r="A3289" t="inlineStr">
        <is>
          <t>A 47987-2024</t>
        </is>
      </c>
      <c r="B3289" s="1" t="n">
        <v>45589</v>
      </c>
      <c r="C3289" s="1" t="n">
        <v>45670</v>
      </c>
      <c r="D3289" t="inlineStr">
        <is>
          <t>VÄSTERNORRLANDS LÄN</t>
        </is>
      </c>
      <c r="E3289" t="inlineStr">
        <is>
          <t>SOLLEFTEÅ</t>
        </is>
      </c>
      <c r="F3289" t="inlineStr">
        <is>
          <t>SCA</t>
        </is>
      </c>
      <c r="G3289" t="n">
        <v>6.8</v>
      </c>
      <c r="H3289" t="n">
        <v>0</v>
      </c>
      <c r="I3289" t="n">
        <v>0</v>
      </c>
      <c r="J3289" t="n">
        <v>0</v>
      </c>
      <c r="K3289" t="n">
        <v>0</v>
      </c>
      <c r="L3289" t="n">
        <v>0</v>
      </c>
      <c r="M3289" t="n">
        <v>0</v>
      </c>
      <c r="N3289" t="n">
        <v>0</v>
      </c>
      <c r="O3289" t="n">
        <v>0</v>
      </c>
      <c r="P3289" t="n">
        <v>0</v>
      </c>
      <c r="Q3289" t="n">
        <v>0</v>
      </c>
      <c r="R3289" s="2" t="inlineStr"/>
    </row>
    <row r="3290" ht="15" customHeight="1">
      <c r="A3290" t="inlineStr">
        <is>
          <t>A 48019-2024</t>
        </is>
      </c>
      <c r="B3290" s="1" t="n">
        <v>45589</v>
      </c>
      <c r="C3290" s="1" t="n">
        <v>45670</v>
      </c>
      <c r="D3290" t="inlineStr">
        <is>
          <t>VÄSTERNORRLANDS LÄN</t>
        </is>
      </c>
      <c r="E3290" t="inlineStr">
        <is>
          <t>SOLLEFTEÅ</t>
        </is>
      </c>
      <c r="G3290" t="n">
        <v>10.4</v>
      </c>
      <c r="H3290" t="n">
        <v>0</v>
      </c>
      <c r="I3290" t="n">
        <v>0</v>
      </c>
      <c r="J3290" t="n">
        <v>0</v>
      </c>
      <c r="K3290" t="n">
        <v>0</v>
      </c>
      <c r="L3290" t="n">
        <v>0</v>
      </c>
      <c r="M3290" t="n">
        <v>0</v>
      </c>
      <c r="N3290" t="n">
        <v>0</v>
      </c>
      <c r="O3290" t="n">
        <v>0</v>
      </c>
      <c r="P3290" t="n">
        <v>0</v>
      </c>
      <c r="Q3290" t="n">
        <v>0</v>
      </c>
      <c r="R3290" s="2" t="inlineStr"/>
    </row>
    <row r="3291" ht="15" customHeight="1">
      <c r="A3291" t="inlineStr">
        <is>
          <t>A 48081-2024</t>
        </is>
      </c>
      <c r="B3291" s="1" t="n">
        <v>45589</v>
      </c>
      <c r="C3291" s="1" t="n">
        <v>45670</v>
      </c>
      <c r="D3291" t="inlineStr">
        <is>
          <t>VÄSTERNORRLANDS LÄN</t>
        </is>
      </c>
      <c r="E3291" t="inlineStr">
        <is>
          <t>SOLLEFTEÅ</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48049-2024</t>
        </is>
      </c>
      <c r="B3292" s="1" t="n">
        <v>45589</v>
      </c>
      <c r="C3292" s="1" t="n">
        <v>45670</v>
      </c>
      <c r="D3292" t="inlineStr">
        <is>
          <t>VÄSTERNORRLANDS LÄN</t>
        </is>
      </c>
      <c r="E3292" t="inlineStr">
        <is>
          <t>SOLLEFTEÅ</t>
        </is>
      </c>
      <c r="F3292" t="inlineStr">
        <is>
          <t>SCA</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48021-2024</t>
        </is>
      </c>
      <c r="B3293" s="1" t="n">
        <v>45589</v>
      </c>
      <c r="C3293" s="1" t="n">
        <v>45670</v>
      </c>
      <c r="D3293" t="inlineStr">
        <is>
          <t>VÄSTERNORRLANDS LÄN</t>
        </is>
      </c>
      <c r="E3293" t="inlineStr">
        <is>
          <t>SOLLEFTEÅ</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48017-2024</t>
        </is>
      </c>
      <c r="B3294" s="1" t="n">
        <v>45589</v>
      </c>
      <c r="C3294" s="1" t="n">
        <v>45670</v>
      </c>
      <c r="D3294" t="inlineStr">
        <is>
          <t>VÄSTERNORRLANDS LÄN</t>
        </is>
      </c>
      <c r="E3294" t="inlineStr">
        <is>
          <t>SOLLEFTEÅ</t>
        </is>
      </c>
      <c r="F3294" t="inlineStr">
        <is>
          <t>SCA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48001-2024</t>
        </is>
      </c>
      <c r="B3295" s="1" t="n">
        <v>45589</v>
      </c>
      <c r="C3295" s="1" t="n">
        <v>45670</v>
      </c>
      <c r="D3295" t="inlineStr">
        <is>
          <t>VÄSTERNORRLANDS LÄN</t>
        </is>
      </c>
      <c r="E3295" t="inlineStr">
        <is>
          <t>SOLLEFTEÅ</t>
        </is>
      </c>
      <c r="F3295" t="inlineStr">
        <is>
          <t>SCA</t>
        </is>
      </c>
      <c r="G3295" t="n">
        <v>7.6</v>
      </c>
      <c r="H3295" t="n">
        <v>0</v>
      </c>
      <c r="I3295" t="n">
        <v>0</v>
      </c>
      <c r="J3295" t="n">
        <v>0</v>
      </c>
      <c r="K3295" t="n">
        <v>0</v>
      </c>
      <c r="L3295" t="n">
        <v>0</v>
      </c>
      <c r="M3295" t="n">
        <v>0</v>
      </c>
      <c r="N3295" t="n">
        <v>0</v>
      </c>
      <c r="O3295" t="n">
        <v>0</v>
      </c>
      <c r="P3295" t="n">
        <v>0</v>
      </c>
      <c r="Q3295" t="n">
        <v>0</v>
      </c>
      <c r="R3295" s="2" t="inlineStr"/>
    </row>
    <row r="3296" ht="15" customHeight="1">
      <c r="A3296" t="inlineStr">
        <is>
          <t>A 47965-2024</t>
        </is>
      </c>
      <c r="B3296" s="1" t="n">
        <v>45589</v>
      </c>
      <c r="C3296" s="1" t="n">
        <v>45670</v>
      </c>
      <c r="D3296" t="inlineStr">
        <is>
          <t>VÄSTERNORRLANDS LÄN</t>
        </is>
      </c>
      <c r="E3296" t="inlineStr">
        <is>
          <t>SOLLEFTEÅ</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48020-2024</t>
        </is>
      </c>
      <c r="B3297" s="1" t="n">
        <v>45589</v>
      </c>
      <c r="C3297" s="1" t="n">
        <v>45670</v>
      </c>
      <c r="D3297" t="inlineStr">
        <is>
          <t>VÄSTERNORRLANDS LÄN</t>
        </is>
      </c>
      <c r="E3297" t="inlineStr">
        <is>
          <t>SOLLEFTEÅ</t>
        </is>
      </c>
      <c r="G3297" t="n">
        <v>9.300000000000001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48396-2024</t>
        </is>
      </c>
      <c r="B3298" s="1" t="n">
        <v>45590</v>
      </c>
      <c r="C3298" s="1" t="n">
        <v>45670</v>
      </c>
      <c r="D3298" t="inlineStr">
        <is>
          <t>VÄSTERNORRLANDS LÄN</t>
        </is>
      </c>
      <c r="E3298" t="inlineStr">
        <is>
          <t>SOLLEFTEÅ</t>
        </is>
      </c>
      <c r="F3298" t="inlineStr">
        <is>
          <t>SCA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48265-2024</t>
        </is>
      </c>
      <c r="B3299" s="1" t="n">
        <v>45590</v>
      </c>
      <c r="C3299" s="1" t="n">
        <v>45670</v>
      </c>
      <c r="D3299" t="inlineStr">
        <is>
          <t>VÄSTERNORRLANDS LÄN</t>
        </is>
      </c>
      <c r="E3299" t="inlineStr">
        <is>
          <t>SOLLEFTEÅ</t>
        </is>
      </c>
      <c r="F3299" t="inlineStr">
        <is>
          <t>SCA</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48419-2024</t>
        </is>
      </c>
      <c r="B3300" s="1" t="n">
        <v>45590</v>
      </c>
      <c r="C3300" s="1" t="n">
        <v>45670</v>
      </c>
      <c r="D3300" t="inlineStr">
        <is>
          <t>VÄSTERNORRLANDS LÄN</t>
        </is>
      </c>
      <c r="E3300" t="inlineStr">
        <is>
          <t>SOLLEFTEÅ</t>
        </is>
      </c>
      <c r="F3300" t="inlineStr">
        <is>
          <t>SCA</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48235-2024</t>
        </is>
      </c>
      <c r="B3301" s="1" t="n">
        <v>45590</v>
      </c>
      <c r="C3301" s="1" t="n">
        <v>45670</v>
      </c>
      <c r="D3301" t="inlineStr">
        <is>
          <t>VÄSTERNORRLANDS LÄN</t>
        </is>
      </c>
      <c r="E3301" t="inlineStr">
        <is>
          <t>SOLLEFTEÅ</t>
        </is>
      </c>
      <c r="F3301" t="inlineStr">
        <is>
          <t>SCA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48490-2024</t>
        </is>
      </c>
      <c r="B3302" s="1" t="n">
        <v>45592</v>
      </c>
      <c r="C3302" s="1" t="n">
        <v>45670</v>
      </c>
      <c r="D3302" t="inlineStr">
        <is>
          <t>VÄSTERNORRLANDS LÄN</t>
        </is>
      </c>
      <c r="E3302" t="inlineStr">
        <is>
          <t>SOLLEFTEÅ</t>
        </is>
      </c>
      <c r="F3302" t="inlineStr">
        <is>
          <t>SCA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48489-2024</t>
        </is>
      </c>
      <c r="B3303" s="1" t="n">
        <v>45592</v>
      </c>
      <c r="C3303" s="1" t="n">
        <v>45670</v>
      </c>
      <c r="D3303" t="inlineStr">
        <is>
          <t>VÄSTERNORRLANDS LÄN</t>
        </is>
      </c>
      <c r="E3303" t="inlineStr">
        <is>
          <t>SOLLEFTEÅ</t>
        </is>
      </c>
      <c r="F3303" t="inlineStr">
        <is>
          <t>SCA</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48491-2024</t>
        </is>
      </c>
      <c r="B3304" s="1" t="n">
        <v>45592</v>
      </c>
      <c r="C3304" s="1" t="n">
        <v>45670</v>
      </c>
      <c r="D3304" t="inlineStr">
        <is>
          <t>VÄSTERNORRLANDS LÄN</t>
        </is>
      </c>
      <c r="E3304" t="inlineStr">
        <is>
          <t>SOLLEFTEÅ</t>
        </is>
      </c>
      <c r="F3304" t="inlineStr">
        <is>
          <t>SCA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48720-2024</t>
        </is>
      </c>
      <c r="B3305" s="1" t="n">
        <v>45593</v>
      </c>
      <c r="C3305" s="1" t="n">
        <v>45670</v>
      </c>
      <c r="D3305" t="inlineStr">
        <is>
          <t>VÄSTERNORRLANDS LÄN</t>
        </is>
      </c>
      <c r="E3305" t="inlineStr">
        <is>
          <t>SOLLEFTEÅ</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48673-2024</t>
        </is>
      </c>
      <c r="B3306" s="1" t="n">
        <v>45593</v>
      </c>
      <c r="C3306" s="1" t="n">
        <v>45670</v>
      </c>
      <c r="D3306" t="inlineStr">
        <is>
          <t>VÄSTERNORRLANDS LÄN</t>
        </is>
      </c>
      <c r="E3306" t="inlineStr">
        <is>
          <t>SOLLEFTEÅ</t>
        </is>
      </c>
      <c r="F3306" t="inlineStr">
        <is>
          <t>SCA</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48528-2024</t>
        </is>
      </c>
      <c r="B3307" s="1" t="n">
        <v>45593</v>
      </c>
      <c r="C3307" s="1" t="n">
        <v>45670</v>
      </c>
      <c r="D3307" t="inlineStr">
        <is>
          <t>VÄSTERNORRLANDS LÄN</t>
        </is>
      </c>
      <c r="E3307" t="inlineStr">
        <is>
          <t>SOLLEFTEÅ</t>
        </is>
      </c>
      <c r="F3307" t="inlineStr">
        <is>
          <t>SCA</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48529-2024</t>
        </is>
      </c>
      <c r="B3308" s="1" t="n">
        <v>45593</v>
      </c>
      <c r="C3308" s="1" t="n">
        <v>45670</v>
      </c>
      <c r="D3308" t="inlineStr">
        <is>
          <t>VÄSTERNORRLANDS LÄN</t>
        </is>
      </c>
      <c r="E3308" t="inlineStr">
        <is>
          <t>SOLLEFTEÅ</t>
        </is>
      </c>
      <c r="F3308" t="inlineStr">
        <is>
          <t>SCA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48606-2024</t>
        </is>
      </c>
      <c r="B3309" s="1" t="n">
        <v>45593</v>
      </c>
      <c r="C3309" s="1" t="n">
        <v>45670</v>
      </c>
      <c r="D3309" t="inlineStr">
        <is>
          <t>VÄSTERNORRLANDS LÄN</t>
        </is>
      </c>
      <c r="E3309" t="inlineStr">
        <is>
          <t>SOLLEFTEÅ</t>
        </is>
      </c>
      <c r="F3309" t="inlineStr">
        <is>
          <t>SCA</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48785-2024</t>
        </is>
      </c>
      <c r="B3310" s="1" t="n">
        <v>45593</v>
      </c>
      <c r="C3310" s="1" t="n">
        <v>45670</v>
      </c>
      <c r="D3310" t="inlineStr">
        <is>
          <t>VÄSTERNORRLANDS LÄN</t>
        </is>
      </c>
      <c r="E3310" t="inlineStr">
        <is>
          <t>SOLLEFTEÅ</t>
        </is>
      </c>
      <c r="F3310" t="inlineStr">
        <is>
          <t>SCA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48962-2024</t>
        </is>
      </c>
      <c r="B3311" s="1" t="n">
        <v>45594</v>
      </c>
      <c r="C3311" s="1" t="n">
        <v>45670</v>
      </c>
      <c r="D3311" t="inlineStr">
        <is>
          <t>VÄSTERNORRLANDS LÄN</t>
        </is>
      </c>
      <c r="E3311" t="inlineStr">
        <is>
          <t>SOLLEFTEÅ</t>
        </is>
      </c>
      <c r="F3311" t="inlineStr">
        <is>
          <t>SCA</t>
        </is>
      </c>
      <c r="G3311" t="n">
        <v>6.1</v>
      </c>
      <c r="H3311" t="n">
        <v>0</v>
      </c>
      <c r="I3311" t="n">
        <v>0</v>
      </c>
      <c r="J3311" t="n">
        <v>0</v>
      </c>
      <c r="K3311" t="n">
        <v>0</v>
      </c>
      <c r="L3311" t="n">
        <v>0</v>
      </c>
      <c r="M3311" t="n">
        <v>0</v>
      </c>
      <c r="N3311" t="n">
        <v>0</v>
      </c>
      <c r="O3311" t="n">
        <v>0</v>
      </c>
      <c r="P3311" t="n">
        <v>0</v>
      </c>
      <c r="Q3311" t="n">
        <v>0</v>
      </c>
      <c r="R3311" s="2" t="inlineStr"/>
    </row>
    <row r="3312" ht="15" customHeight="1">
      <c r="A3312" t="inlineStr">
        <is>
          <t>A 48897-2024</t>
        </is>
      </c>
      <c r="B3312" s="1" t="n">
        <v>45594</v>
      </c>
      <c r="C3312" s="1" t="n">
        <v>45670</v>
      </c>
      <c r="D3312" t="inlineStr">
        <is>
          <t>VÄSTERNORRLANDS LÄN</t>
        </is>
      </c>
      <c r="E3312" t="inlineStr">
        <is>
          <t>SOLLEFTEÅ</t>
        </is>
      </c>
      <c r="F3312" t="inlineStr">
        <is>
          <t>SCA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49156-2024</t>
        </is>
      </c>
      <c r="B3313" s="1" t="n">
        <v>45594</v>
      </c>
      <c r="C3313" s="1" t="n">
        <v>45670</v>
      </c>
      <c r="D3313" t="inlineStr">
        <is>
          <t>VÄSTERNORRLANDS LÄN</t>
        </is>
      </c>
      <c r="E3313" t="inlineStr">
        <is>
          <t>SOLLEFTEÅ</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48895-2024</t>
        </is>
      </c>
      <c r="B3314" s="1" t="n">
        <v>45594</v>
      </c>
      <c r="C3314" s="1" t="n">
        <v>45670</v>
      </c>
      <c r="D3314" t="inlineStr">
        <is>
          <t>VÄSTERNORRLANDS LÄN</t>
        </is>
      </c>
      <c r="E3314" t="inlineStr">
        <is>
          <t>SOLLEFTEÅ</t>
        </is>
      </c>
      <c r="F3314" t="inlineStr">
        <is>
          <t>SCA</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49238-2024</t>
        </is>
      </c>
      <c r="B3315" s="1" t="n">
        <v>45595</v>
      </c>
      <c r="C3315" s="1" t="n">
        <v>45670</v>
      </c>
      <c r="D3315" t="inlineStr">
        <is>
          <t>VÄSTERNORRLANDS LÄN</t>
        </is>
      </c>
      <c r="E3315" t="inlineStr">
        <is>
          <t>SOLLEFTEÅ</t>
        </is>
      </c>
      <c r="F3315" t="inlineStr">
        <is>
          <t>SCA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49373-2024</t>
        </is>
      </c>
      <c r="B3316" s="1" t="n">
        <v>45595</v>
      </c>
      <c r="C3316" s="1" t="n">
        <v>45670</v>
      </c>
      <c r="D3316" t="inlineStr">
        <is>
          <t>VÄSTERNORRLANDS LÄN</t>
        </is>
      </c>
      <c r="E3316" t="inlineStr">
        <is>
          <t>SOLLEFTEÅ</t>
        </is>
      </c>
      <c r="F3316" t="inlineStr">
        <is>
          <t>SCA</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49403-2024</t>
        </is>
      </c>
      <c r="B3317" s="1" t="n">
        <v>45595</v>
      </c>
      <c r="C3317" s="1" t="n">
        <v>45670</v>
      </c>
      <c r="D3317" t="inlineStr">
        <is>
          <t>VÄSTERNORRLANDS LÄN</t>
        </is>
      </c>
      <c r="E3317" t="inlineStr">
        <is>
          <t>SOLLEFTEÅ</t>
        </is>
      </c>
      <c r="F3317" t="inlineStr">
        <is>
          <t>SCA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49253-2024</t>
        </is>
      </c>
      <c r="B3318" s="1" t="n">
        <v>45595</v>
      </c>
      <c r="C3318" s="1" t="n">
        <v>45670</v>
      </c>
      <c r="D3318" t="inlineStr">
        <is>
          <t>VÄSTERNORRLANDS LÄN</t>
        </is>
      </c>
      <c r="E3318" t="inlineStr">
        <is>
          <t>SOLLEFTEÅ</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49673-2024</t>
        </is>
      </c>
      <c r="B3319" s="1" t="n">
        <v>45596</v>
      </c>
      <c r="C3319" s="1" t="n">
        <v>45670</v>
      </c>
      <c r="D3319" t="inlineStr">
        <is>
          <t>VÄSTERNORRLANDS LÄN</t>
        </is>
      </c>
      <c r="E3319" t="inlineStr">
        <is>
          <t>SOLLEFTEÅ</t>
        </is>
      </c>
      <c r="F3319" t="inlineStr">
        <is>
          <t>SCA</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49567-2024</t>
        </is>
      </c>
      <c r="B3320" s="1" t="n">
        <v>45596</v>
      </c>
      <c r="C3320" s="1" t="n">
        <v>45670</v>
      </c>
      <c r="D3320" t="inlineStr">
        <is>
          <t>VÄSTERNORRLANDS LÄN</t>
        </is>
      </c>
      <c r="E3320" t="inlineStr">
        <is>
          <t>SOLLEFTEÅ</t>
        </is>
      </c>
      <c r="F3320" t="inlineStr">
        <is>
          <t>SCA</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49629-2024</t>
        </is>
      </c>
      <c r="B3321" s="1" t="n">
        <v>45596</v>
      </c>
      <c r="C3321" s="1" t="n">
        <v>45670</v>
      </c>
      <c r="D3321" t="inlineStr">
        <is>
          <t>VÄSTERNORRLANDS LÄN</t>
        </is>
      </c>
      <c r="E3321" t="inlineStr">
        <is>
          <t>SOLLEFTEÅ</t>
        </is>
      </c>
      <c r="F3321" t="inlineStr">
        <is>
          <t>SCA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49771-2024</t>
        </is>
      </c>
      <c r="B3322" s="1" t="n">
        <v>45597</v>
      </c>
      <c r="C3322" s="1" t="n">
        <v>45670</v>
      </c>
      <c r="D3322" t="inlineStr">
        <is>
          <t>VÄSTERNORRLANDS LÄN</t>
        </is>
      </c>
      <c r="E3322" t="inlineStr">
        <is>
          <t>SOLLEFTEÅ</t>
        </is>
      </c>
      <c r="F3322" t="inlineStr">
        <is>
          <t>SCA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49829-2024</t>
        </is>
      </c>
      <c r="B3323" s="1" t="n">
        <v>45597</v>
      </c>
      <c r="C3323" s="1" t="n">
        <v>45670</v>
      </c>
      <c r="D3323" t="inlineStr">
        <is>
          <t>VÄSTERNORRLANDS LÄN</t>
        </is>
      </c>
      <c r="E3323" t="inlineStr">
        <is>
          <t>SOLLEFTEÅ</t>
        </is>
      </c>
      <c r="F3323" t="inlineStr">
        <is>
          <t>SCA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49772-2024</t>
        </is>
      </c>
      <c r="B3324" s="1" t="n">
        <v>45597</v>
      </c>
      <c r="C3324" s="1" t="n">
        <v>45670</v>
      </c>
      <c r="D3324" t="inlineStr">
        <is>
          <t>VÄSTERNORRLANDS LÄN</t>
        </is>
      </c>
      <c r="E3324" t="inlineStr">
        <is>
          <t>SOLLEFTEÅ</t>
        </is>
      </c>
      <c r="F3324" t="inlineStr">
        <is>
          <t>SCA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50007-2024</t>
        </is>
      </c>
      <c r="B3325" s="1" t="n">
        <v>45598</v>
      </c>
      <c r="C3325" s="1" t="n">
        <v>45670</v>
      </c>
      <c r="D3325" t="inlineStr">
        <is>
          <t>VÄSTERNORRLANDS LÄN</t>
        </is>
      </c>
      <c r="E3325" t="inlineStr">
        <is>
          <t>SOLLEFTEÅ</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50008-2024</t>
        </is>
      </c>
      <c r="B3326" s="1" t="n">
        <v>45598</v>
      </c>
      <c r="C3326" s="1" t="n">
        <v>45670</v>
      </c>
      <c r="D3326" t="inlineStr">
        <is>
          <t>VÄSTERNORRLANDS LÄN</t>
        </is>
      </c>
      <c r="E3326" t="inlineStr">
        <is>
          <t>SOLLEFTEÅ</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49999-2024</t>
        </is>
      </c>
      <c r="B3327" s="1" t="n">
        <v>45598</v>
      </c>
      <c r="C3327" s="1" t="n">
        <v>45670</v>
      </c>
      <c r="D3327" t="inlineStr">
        <is>
          <t>VÄSTERNORRLANDS LÄN</t>
        </is>
      </c>
      <c r="E3327" t="inlineStr">
        <is>
          <t>SOLLEFTEÅ</t>
        </is>
      </c>
      <c r="F3327" t="inlineStr">
        <is>
          <t>SCA</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50006-2024</t>
        </is>
      </c>
      <c r="B3328" s="1" t="n">
        <v>45598</v>
      </c>
      <c r="C3328" s="1" t="n">
        <v>45670</v>
      </c>
      <c r="D3328" t="inlineStr">
        <is>
          <t>VÄSTERNORRLANDS LÄN</t>
        </is>
      </c>
      <c r="E3328" t="inlineStr">
        <is>
          <t>SOLLEFTEÅ</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50036-2024</t>
        </is>
      </c>
      <c r="B3329" s="1" t="n">
        <v>45599</v>
      </c>
      <c r="C3329" s="1" t="n">
        <v>45670</v>
      </c>
      <c r="D3329" t="inlineStr">
        <is>
          <t>VÄSTERNORRLANDS LÄN</t>
        </is>
      </c>
      <c r="E3329" t="inlineStr">
        <is>
          <t>SOLLEFTEÅ</t>
        </is>
      </c>
      <c r="G3329" t="n">
        <v>17.9</v>
      </c>
      <c r="H3329" t="n">
        <v>0</v>
      </c>
      <c r="I3329" t="n">
        <v>0</v>
      </c>
      <c r="J3329" t="n">
        <v>0</v>
      </c>
      <c r="K3329" t="n">
        <v>0</v>
      </c>
      <c r="L3329" t="n">
        <v>0</v>
      </c>
      <c r="M3329" t="n">
        <v>0</v>
      </c>
      <c r="N3329" t="n">
        <v>0</v>
      </c>
      <c r="O3329" t="n">
        <v>0</v>
      </c>
      <c r="P3329" t="n">
        <v>0</v>
      </c>
      <c r="Q3329" t="n">
        <v>0</v>
      </c>
      <c r="R3329" s="2" t="inlineStr"/>
    </row>
    <row r="3330" ht="15" customHeight="1">
      <c r="A3330" t="inlineStr">
        <is>
          <t>A 50089-2024</t>
        </is>
      </c>
      <c r="B3330" s="1" t="n">
        <v>45600</v>
      </c>
      <c r="C3330" s="1" t="n">
        <v>45670</v>
      </c>
      <c r="D3330" t="inlineStr">
        <is>
          <t>VÄSTERNORRLANDS LÄN</t>
        </is>
      </c>
      <c r="E3330" t="inlineStr">
        <is>
          <t>SOLLEFTEÅ</t>
        </is>
      </c>
      <c r="F3330" t="inlineStr">
        <is>
          <t>SCA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50316-2024</t>
        </is>
      </c>
      <c r="B3331" s="1" t="n">
        <v>45600</v>
      </c>
      <c r="C3331" s="1" t="n">
        <v>45670</v>
      </c>
      <c r="D3331" t="inlineStr">
        <is>
          <t>VÄSTERNORRLANDS LÄN</t>
        </is>
      </c>
      <c r="E3331" t="inlineStr">
        <is>
          <t>SOLLEFTEÅ</t>
        </is>
      </c>
      <c r="F3331" t="inlineStr">
        <is>
          <t>SCA</t>
        </is>
      </c>
      <c r="G3331" t="n">
        <v>12.5</v>
      </c>
      <c r="H3331" t="n">
        <v>0</v>
      </c>
      <c r="I3331" t="n">
        <v>0</v>
      </c>
      <c r="J3331" t="n">
        <v>0</v>
      </c>
      <c r="K3331" t="n">
        <v>0</v>
      </c>
      <c r="L3331" t="n">
        <v>0</v>
      </c>
      <c r="M3331" t="n">
        <v>0</v>
      </c>
      <c r="N3331" t="n">
        <v>0</v>
      </c>
      <c r="O3331" t="n">
        <v>0</v>
      </c>
      <c r="P3331" t="n">
        <v>0</v>
      </c>
      <c r="Q3331" t="n">
        <v>0</v>
      </c>
      <c r="R3331" s="2" t="inlineStr"/>
    </row>
    <row r="3332" ht="15" customHeight="1">
      <c r="A3332" t="inlineStr">
        <is>
          <t>A 50090-2024</t>
        </is>
      </c>
      <c r="B3332" s="1" t="n">
        <v>45600</v>
      </c>
      <c r="C3332" s="1" t="n">
        <v>45670</v>
      </c>
      <c r="D3332" t="inlineStr">
        <is>
          <t>VÄSTERNORRLANDS LÄN</t>
        </is>
      </c>
      <c r="E3332" t="inlineStr">
        <is>
          <t>SOLLEFTEÅ</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50624-2024</t>
        </is>
      </c>
      <c r="B3333" s="1" t="n">
        <v>45601</v>
      </c>
      <c r="C3333" s="1" t="n">
        <v>45670</v>
      </c>
      <c r="D3333" t="inlineStr">
        <is>
          <t>VÄSTERNORRLANDS LÄN</t>
        </is>
      </c>
      <c r="E3333" t="inlineStr">
        <is>
          <t>SOLLEFTEÅ</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50557-2024</t>
        </is>
      </c>
      <c r="B3334" s="1" t="n">
        <v>45601</v>
      </c>
      <c r="C3334" s="1" t="n">
        <v>45670</v>
      </c>
      <c r="D3334" t="inlineStr">
        <is>
          <t>VÄSTERNORRLANDS LÄN</t>
        </is>
      </c>
      <c r="E3334" t="inlineStr">
        <is>
          <t>SOLLEFTEÅ</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50549-2024</t>
        </is>
      </c>
      <c r="B3335" s="1" t="n">
        <v>45601</v>
      </c>
      <c r="C3335" s="1" t="n">
        <v>45670</v>
      </c>
      <c r="D3335" t="inlineStr">
        <is>
          <t>VÄSTERNORRLANDS LÄN</t>
        </is>
      </c>
      <c r="E3335" t="inlineStr">
        <is>
          <t>SOLLEFTEÅ</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50430-2024</t>
        </is>
      </c>
      <c r="B3336" s="1" t="n">
        <v>45601</v>
      </c>
      <c r="C3336" s="1" t="n">
        <v>45670</v>
      </c>
      <c r="D3336" t="inlineStr">
        <is>
          <t>VÄSTERNORRLANDS LÄN</t>
        </is>
      </c>
      <c r="E3336" t="inlineStr">
        <is>
          <t>SOLLEFTEÅ</t>
        </is>
      </c>
      <c r="F3336" t="inlineStr">
        <is>
          <t>SCA</t>
        </is>
      </c>
      <c r="G3336" t="n">
        <v>8</v>
      </c>
      <c r="H3336" t="n">
        <v>0</v>
      </c>
      <c r="I3336" t="n">
        <v>0</v>
      </c>
      <c r="J3336" t="n">
        <v>0</v>
      </c>
      <c r="K3336" t="n">
        <v>0</v>
      </c>
      <c r="L3336" t="n">
        <v>0</v>
      </c>
      <c r="M3336" t="n">
        <v>0</v>
      </c>
      <c r="N3336" t="n">
        <v>0</v>
      </c>
      <c r="O3336" t="n">
        <v>0</v>
      </c>
      <c r="P3336" t="n">
        <v>0</v>
      </c>
      <c r="Q3336" t="n">
        <v>0</v>
      </c>
      <c r="R3336" s="2" t="inlineStr"/>
    </row>
    <row r="3337" ht="15" customHeight="1">
      <c r="A3337" t="inlineStr">
        <is>
          <t>A 50625-2024</t>
        </is>
      </c>
      <c r="B3337" s="1" t="n">
        <v>45601</v>
      </c>
      <c r="C3337" s="1" t="n">
        <v>45670</v>
      </c>
      <c r="D3337" t="inlineStr">
        <is>
          <t>VÄSTERNORRLANDS LÄN</t>
        </is>
      </c>
      <c r="E3337" t="inlineStr">
        <is>
          <t>SOLLEFTEÅ</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50717-2024</t>
        </is>
      </c>
      <c r="B3338" s="1" t="n">
        <v>45602</v>
      </c>
      <c r="C3338" s="1" t="n">
        <v>45670</v>
      </c>
      <c r="D3338" t="inlineStr">
        <is>
          <t>VÄSTERNORRLANDS LÄN</t>
        </is>
      </c>
      <c r="E3338" t="inlineStr">
        <is>
          <t>SOLLEFTEÅ</t>
        </is>
      </c>
      <c r="F3338" t="inlineStr">
        <is>
          <t>SCA</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50721-2024</t>
        </is>
      </c>
      <c r="B3339" s="1" t="n">
        <v>45602</v>
      </c>
      <c r="C3339" s="1" t="n">
        <v>45670</v>
      </c>
      <c r="D3339" t="inlineStr">
        <is>
          <t>VÄSTERNORRLANDS LÄN</t>
        </is>
      </c>
      <c r="E3339" t="inlineStr">
        <is>
          <t>SOLLEFTEÅ</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50864-2024</t>
        </is>
      </c>
      <c r="B3340" s="1" t="n">
        <v>45602</v>
      </c>
      <c r="C3340" s="1" t="n">
        <v>45670</v>
      </c>
      <c r="D3340" t="inlineStr">
        <is>
          <t>VÄSTERNORRLANDS LÄN</t>
        </is>
      </c>
      <c r="E3340" t="inlineStr">
        <is>
          <t>SOLLEFTEÅ</t>
        </is>
      </c>
      <c r="G3340" t="n">
        <v>9.5</v>
      </c>
      <c r="H3340" t="n">
        <v>0</v>
      </c>
      <c r="I3340" t="n">
        <v>0</v>
      </c>
      <c r="J3340" t="n">
        <v>0</v>
      </c>
      <c r="K3340" t="n">
        <v>0</v>
      </c>
      <c r="L3340" t="n">
        <v>0</v>
      </c>
      <c r="M3340" t="n">
        <v>0</v>
      </c>
      <c r="N3340" t="n">
        <v>0</v>
      </c>
      <c r="O3340" t="n">
        <v>0</v>
      </c>
      <c r="P3340" t="n">
        <v>0</v>
      </c>
      <c r="Q3340" t="n">
        <v>0</v>
      </c>
      <c r="R3340" s="2" t="inlineStr"/>
    </row>
    <row r="3341" ht="15" customHeight="1">
      <c r="A3341" t="inlineStr">
        <is>
          <t>A 50751-2024</t>
        </is>
      </c>
      <c r="B3341" s="1" t="n">
        <v>45602</v>
      </c>
      <c r="C3341" s="1" t="n">
        <v>45670</v>
      </c>
      <c r="D3341" t="inlineStr">
        <is>
          <t>VÄSTERNORRLANDS LÄN</t>
        </is>
      </c>
      <c r="E3341" t="inlineStr">
        <is>
          <t>SOLLEFTEÅ</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50720-2024</t>
        </is>
      </c>
      <c r="B3342" s="1" t="n">
        <v>45602</v>
      </c>
      <c r="C3342" s="1" t="n">
        <v>45670</v>
      </c>
      <c r="D3342" t="inlineStr">
        <is>
          <t>VÄSTERNORRLANDS LÄN</t>
        </is>
      </c>
      <c r="E3342" t="inlineStr">
        <is>
          <t>SOLLEFTEÅ</t>
        </is>
      </c>
      <c r="F3342" t="inlineStr">
        <is>
          <t>SCA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50770-2024</t>
        </is>
      </c>
      <c r="B3343" s="1" t="n">
        <v>45602</v>
      </c>
      <c r="C3343" s="1" t="n">
        <v>45670</v>
      </c>
      <c r="D3343" t="inlineStr">
        <is>
          <t>VÄSTERNORRLANDS LÄN</t>
        </is>
      </c>
      <c r="E3343" t="inlineStr">
        <is>
          <t>SOLLEFTEÅ</t>
        </is>
      </c>
      <c r="F3343" t="inlineStr">
        <is>
          <t>SCA</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50877-2024</t>
        </is>
      </c>
      <c r="B3344" s="1" t="n">
        <v>45602</v>
      </c>
      <c r="C3344" s="1" t="n">
        <v>45670</v>
      </c>
      <c r="D3344" t="inlineStr">
        <is>
          <t>VÄSTERNORRLANDS LÄN</t>
        </is>
      </c>
      <c r="E3344" t="inlineStr">
        <is>
          <t>SOLLEFTEÅ</t>
        </is>
      </c>
      <c r="G3344" t="n">
        <v>15.2</v>
      </c>
      <c r="H3344" t="n">
        <v>0</v>
      </c>
      <c r="I3344" t="n">
        <v>0</v>
      </c>
      <c r="J3344" t="n">
        <v>0</v>
      </c>
      <c r="K3344" t="n">
        <v>0</v>
      </c>
      <c r="L3344" t="n">
        <v>0</v>
      </c>
      <c r="M3344" t="n">
        <v>0</v>
      </c>
      <c r="N3344" t="n">
        <v>0</v>
      </c>
      <c r="O3344" t="n">
        <v>0</v>
      </c>
      <c r="P3344" t="n">
        <v>0</v>
      </c>
      <c r="Q3344" t="n">
        <v>0</v>
      </c>
      <c r="R3344" s="2" t="inlineStr"/>
    </row>
    <row r="3345" ht="15" customHeight="1">
      <c r="A3345" t="inlineStr">
        <is>
          <t>A 51193-2024</t>
        </is>
      </c>
      <c r="B3345" s="1" t="n">
        <v>45603</v>
      </c>
      <c r="C3345" s="1" t="n">
        <v>45670</v>
      </c>
      <c r="D3345" t="inlineStr">
        <is>
          <t>VÄSTERNORRLANDS LÄN</t>
        </is>
      </c>
      <c r="E3345" t="inlineStr">
        <is>
          <t>SOLLEFTEÅ</t>
        </is>
      </c>
      <c r="F3345" t="inlineStr">
        <is>
          <t>SCA</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50963-2024</t>
        </is>
      </c>
      <c r="B3346" s="1" t="n">
        <v>45603</v>
      </c>
      <c r="C3346" s="1" t="n">
        <v>45670</v>
      </c>
      <c r="D3346" t="inlineStr">
        <is>
          <t>VÄSTERNORRLANDS LÄN</t>
        </is>
      </c>
      <c r="E3346" t="inlineStr">
        <is>
          <t>SOLLEFTEÅ</t>
        </is>
      </c>
      <c r="F3346" t="inlineStr">
        <is>
          <t>Holmen skog AB</t>
        </is>
      </c>
      <c r="G3346" t="n">
        <v>6.6</v>
      </c>
      <c r="H3346" t="n">
        <v>0</v>
      </c>
      <c r="I3346" t="n">
        <v>0</v>
      </c>
      <c r="J3346" t="n">
        <v>0</v>
      </c>
      <c r="K3346" t="n">
        <v>0</v>
      </c>
      <c r="L3346" t="n">
        <v>0</v>
      </c>
      <c r="M3346" t="n">
        <v>0</v>
      </c>
      <c r="N3346" t="n">
        <v>0</v>
      </c>
      <c r="O3346" t="n">
        <v>0</v>
      </c>
      <c r="P3346" t="n">
        <v>0</v>
      </c>
      <c r="Q3346" t="n">
        <v>0</v>
      </c>
      <c r="R3346" s="2" t="inlineStr"/>
    </row>
    <row r="3347" ht="15" customHeight="1">
      <c r="A3347" t="inlineStr">
        <is>
          <t>A 51224-2024</t>
        </is>
      </c>
      <c r="B3347" s="1" t="n">
        <v>45603</v>
      </c>
      <c r="C3347" s="1" t="n">
        <v>45670</v>
      </c>
      <c r="D3347" t="inlineStr">
        <is>
          <t>VÄSTERNORRLANDS LÄN</t>
        </is>
      </c>
      <c r="E3347" t="inlineStr">
        <is>
          <t>SOLLEFTEÅ</t>
        </is>
      </c>
      <c r="F3347" t="inlineStr">
        <is>
          <t>SCA</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51055-2024</t>
        </is>
      </c>
      <c r="B3348" s="1" t="n">
        <v>45603</v>
      </c>
      <c r="C3348" s="1" t="n">
        <v>45670</v>
      </c>
      <c r="D3348" t="inlineStr">
        <is>
          <t>VÄSTERNORRLANDS LÄN</t>
        </is>
      </c>
      <c r="E3348" t="inlineStr">
        <is>
          <t>SOLLEFTEÅ</t>
        </is>
      </c>
      <c r="F3348" t="inlineStr">
        <is>
          <t>SCA</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51226-2024</t>
        </is>
      </c>
      <c r="B3349" s="1" t="n">
        <v>45603</v>
      </c>
      <c r="C3349" s="1" t="n">
        <v>45670</v>
      </c>
      <c r="D3349" t="inlineStr">
        <is>
          <t>VÄSTERNORRLANDS LÄN</t>
        </is>
      </c>
      <c r="E3349" t="inlineStr">
        <is>
          <t>SOLLEFTEÅ</t>
        </is>
      </c>
      <c r="F3349" t="inlineStr">
        <is>
          <t>SCA</t>
        </is>
      </c>
      <c r="G3349" t="n">
        <v>13.9</v>
      </c>
      <c r="H3349" t="n">
        <v>0</v>
      </c>
      <c r="I3349" t="n">
        <v>0</v>
      </c>
      <c r="J3349" t="n">
        <v>0</v>
      </c>
      <c r="K3349" t="n">
        <v>0</v>
      </c>
      <c r="L3349" t="n">
        <v>0</v>
      </c>
      <c r="M3349" t="n">
        <v>0</v>
      </c>
      <c r="N3349" t="n">
        <v>0</v>
      </c>
      <c r="O3349" t="n">
        <v>0</v>
      </c>
      <c r="P3349" t="n">
        <v>0</v>
      </c>
      <c r="Q3349" t="n">
        <v>0</v>
      </c>
      <c r="R3349" s="2" t="inlineStr"/>
    </row>
    <row r="3350" ht="15" customHeight="1">
      <c r="A3350" t="inlineStr">
        <is>
          <t>A 51132-2024</t>
        </is>
      </c>
      <c r="B3350" s="1" t="n">
        <v>45603</v>
      </c>
      <c r="C3350" s="1" t="n">
        <v>45670</v>
      </c>
      <c r="D3350" t="inlineStr">
        <is>
          <t>VÄSTERNORRLANDS LÄN</t>
        </is>
      </c>
      <c r="E3350" t="inlineStr">
        <is>
          <t>SOLLEFTEÅ</t>
        </is>
      </c>
      <c r="F3350" t="inlineStr">
        <is>
          <t>SCA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51264-2024</t>
        </is>
      </c>
      <c r="B3351" s="1" t="n">
        <v>45603</v>
      </c>
      <c r="C3351" s="1" t="n">
        <v>45670</v>
      </c>
      <c r="D3351" t="inlineStr">
        <is>
          <t>VÄSTERNORRLANDS LÄN</t>
        </is>
      </c>
      <c r="E3351" t="inlineStr">
        <is>
          <t>SOLLEFTEÅ</t>
        </is>
      </c>
      <c r="F3351" t="inlineStr">
        <is>
          <t>SCA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51227-2024</t>
        </is>
      </c>
      <c r="B3352" s="1" t="n">
        <v>45603</v>
      </c>
      <c r="C3352" s="1" t="n">
        <v>45670</v>
      </c>
      <c r="D3352" t="inlineStr">
        <is>
          <t>VÄSTERNORRLANDS LÄN</t>
        </is>
      </c>
      <c r="E3352" t="inlineStr">
        <is>
          <t>SOLLEFTEÅ</t>
        </is>
      </c>
      <c r="F3352" t="inlineStr">
        <is>
          <t>SCA</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51402-2024</t>
        </is>
      </c>
      <c r="B3353" s="1" t="n">
        <v>45604</v>
      </c>
      <c r="C3353" s="1" t="n">
        <v>45670</v>
      </c>
      <c r="D3353" t="inlineStr">
        <is>
          <t>VÄSTERNORRLANDS LÄN</t>
        </is>
      </c>
      <c r="E3353" t="inlineStr">
        <is>
          <t>SOLLEFTEÅ</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51527-2024</t>
        </is>
      </c>
      <c r="B3354" s="1" t="n">
        <v>45604</v>
      </c>
      <c r="C3354" s="1" t="n">
        <v>45670</v>
      </c>
      <c r="D3354" t="inlineStr">
        <is>
          <t>VÄSTERNORRLANDS LÄN</t>
        </is>
      </c>
      <c r="E3354" t="inlineStr">
        <is>
          <t>SOLLEFTEÅ</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51573-2024</t>
        </is>
      </c>
      <c r="B3355" s="1" t="n">
        <v>45604</v>
      </c>
      <c r="C3355" s="1" t="n">
        <v>45670</v>
      </c>
      <c r="D3355" t="inlineStr">
        <is>
          <t>VÄSTERNORRLANDS LÄN</t>
        </is>
      </c>
      <c r="E3355" t="inlineStr">
        <is>
          <t>SOLLEFTEÅ</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51528-2024</t>
        </is>
      </c>
      <c r="B3356" s="1" t="n">
        <v>45604</v>
      </c>
      <c r="C3356" s="1" t="n">
        <v>45670</v>
      </c>
      <c r="D3356" t="inlineStr">
        <is>
          <t>VÄSTERNORRLANDS LÄN</t>
        </is>
      </c>
      <c r="E3356" t="inlineStr">
        <is>
          <t>SOLLEFTEÅ</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51341-2024</t>
        </is>
      </c>
      <c r="B3357" s="1" t="n">
        <v>45604</v>
      </c>
      <c r="C3357" s="1" t="n">
        <v>45670</v>
      </c>
      <c r="D3357" t="inlineStr">
        <is>
          <t>VÄSTERNORRLANDS LÄN</t>
        </is>
      </c>
      <c r="E3357" t="inlineStr">
        <is>
          <t>SOLLEFTEÅ</t>
        </is>
      </c>
      <c r="F3357" t="inlineStr">
        <is>
          <t>SCA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51505-2024</t>
        </is>
      </c>
      <c r="B3358" s="1" t="n">
        <v>45604</v>
      </c>
      <c r="C3358" s="1" t="n">
        <v>45670</v>
      </c>
      <c r="D3358" t="inlineStr">
        <is>
          <t>VÄSTERNORRLANDS LÄN</t>
        </is>
      </c>
      <c r="E3358" t="inlineStr">
        <is>
          <t>SOLLEFTEÅ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51616-2024</t>
        </is>
      </c>
      <c r="B3359" s="1" t="n">
        <v>45604</v>
      </c>
      <c r="C3359" s="1" t="n">
        <v>45670</v>
      </c>
      <c r="D3359" t="inlineStr">
        <is>
          <t>VÄSTERNORRLANDS LÄN</t>
        </is>
      </c>
      <c r="E3359" t="inlineStr">
        <is>
          <t>SOLLEFTEÅ</t>
        </is>
      </c>
      <c r="F3359" t="inlineStr">
        <is>
          <t>SCA</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51693-2024</t>
        </is>
      </c>
      <c r="B3360" s="1" t="n">
        <v>45607</v>
      </c>
      <c r="C3360" s="1" t="n">
        <v>45670</v>
      </c>
      <c r="D3360" t="inlineStr">
        <is>
          <t>VÄSTERNORRLANDS LÄN</t>
        </is>
      </c>
      <c r="E3360" t="inlineStr">
        <is>
          <t>SOLLEFTEÅ</t>
        </is>
      </c>
      <c r="F3360" t="inlineStr">
        <is>
          <t>SCA</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51872-2024</t>
        </is>
      </c>
      <c r="B3361" s="1" t="n">
        <v>45607</v>
      </c>
      <c r="C3361" s="1" t="n">
        <v>45670</v>
      </c>
      <c r="D3361" t="inlineStr">
        <is>
          <t>VÄSTERNORRLANDS LÄN</t>
        </is>
      </c>
      <c r="E3361" t="inlineStr">
        <is>
          <t>SOLLEFTEÅ</t>
        </is>
      </c>
      <c r="F3361" t="inlineStr">
        <is>
          <t>SCA</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51942-2024</t>
        </is>
      </c>
      <c r="B3362" s="1" t="n">
        <v>45607</v>
      </c>
      <c r="C3362" s="1" t="n">
        <v>45670</v>
      </c>
      <c r="D3362" t="inlineStr">
        <is>
          <t>VÄSTERNORRLANDS LÄN</t>
        </is>
      </c>
      <c r="E3362" t="inlineStr">
        <is>
          <t>SOLLEFTEÅ</t>
        </is>
      </c>
      <c r="F3362" t="inlineStr">
        <is>
          <t>SCA</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51735-2024</t>
        </is>
      </c>
      <c r="B3363" s="1" t="n">
        <v>45607</v>
      </c>
      <c r="C3363" s="1" t="n">
        <v>45670</v>
      </c>
      <c r="D3363" t="inlineStr">
        <is>
          <t>VÄSTERNORRLANDS LÄN</t>
        </is>
      </c>
      <c r="E3363" t="inlineStr">
        <is>
          <t>SOLLEFTEÅ</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51890-2024</t>
        </is>
      </c>
      <c r="B3364" s="1" t="n">
        <v>45607</v>
      </c>
      <c r="C3364" s="1" t="n">
        <v>45670</v>
      </c>
      <c r="D3364" t="inlineStr">
        <is>
          <t>VÄSTERNORRLANDS LÄN</t>
        </is>
      </c>
      <c r="E3364" t="inlineStr">
        <is>
          <t>SOLLEFTEÅ</t>
        </is>
      </c>
      <c r="F3364" t="inlineStr">
        <is>
          <t>SCA</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51743-2024</t>
        </is>
      </c>
      <c r="B3365" s="1" t="n">
        <v>45607</v>
      </c>
      <c r="C3365" s="1" t="n">
        <v>45670</v>
      </c>
      <c r="D3365" t="inlineStr">
        <is>
          <t>VÄSTERNORRLANDS LÄN</t>
        </is>
      </c>
      <c r="E3365" t="inlineStr">
        <is>
          <t>SOLLEFTEÅ</t>
        </is>
      </c>
      <c r="F3365" t="inlineStr">
        <is>
          <t>SCA</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52438-2024</t>
        </is>
      </c>
      <c r="B3366" s="1" t="n">
        <v>45609</v>
      </c>
      <c r="C3366" s="1" t="n">
        <v>45670</v>
      </c>
      <c r="D3366" t="inlineStr">
        <is>
          <t>VÄSTERNORRLANDS LÄN</t>
        </is>
      </c>
      <c r="E3366" t="inlineStr">
        <is>
          <t>SOLLEFTEÅ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52455-2024</t>
        </is>
      </c>
      <c r="B3367" s="1" t="n">
        <v>45609</v>
      </c>
      <c r="C3367" s="1" t="n">
        <v>45670</v>
      </c>
      <c r="D3367" t="inlineStr">
        <is>
          <t>VÄSTERNORRLANDS LÄN</t>
        </is>
      </c>
      <c r="E3367" t="inlineStr">
        <is>
          <t>SOLLEFTEÅ</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52471-2024</t>
        </is>
      </c>
      <c r="B3368" s="1" t="n">
        <v>45609</v>
      </c>
      <c r="C3368" s="1" t="n">
        <v>45670</v>
      </c>
      <c r="D3368" t="inlineStr">
        <is>
          <t>VÄSTERNORRLANDS LÄN</t>
        </is>
      </c>
      <c r="E3368" t="inlineStr">
        <is>
          <t>SOLLEFTEÅ</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52406-2024</t>
        </is>
      </c>
      <c r="B3369" s="1" t="n">
        <v>45609</v>
      </c>
      <c r="C3369" s="1" t="n">
        <v>45670</v>
      </c>
      <c r="D3369" t="inlineStr">
        <is>
          <t>VÄSTERNORRLANDS LÄN</t>
        </is>
      </c>
      <c r="E3369" t="inlineStr">
        <is>
          <t>SOLLEFTEÅ</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52461-2024</t>
        </is>
      </c>
      <c r="B3370" s="1" t="n">
        <v>45609</v>
      </c>
      <c r="C3370" s="1" t="n">
        <v>45670</v>
      </c>
      <c r="D3370" t="inlineStr">
        <is>
          <t>VÄSTERNORRLANDS LÄN</t>
        </is>
      </c>
      <c r="E3370" t="inlineStr">
        <is>
          <t>SOLLEFTEÅ</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52341-2024</t>
        </is>
      </c>
      <c r="B3371" s="1" t="n">
        <v>45609</v>
      </c>
      <c r="C3371" s="1" t="n">
        <v>45670</v>
      </c>
      <c r="D3371" t="inlineStr">
        <is>
          <t>VÄSTERNORRLANDS LÄN</t>
        </is>
      </c>
      <c r="E3371" t="inlineStr">
        <is>
          <t>SOLLEFTEÅ</t>
        </is>
      </c>
      <c r="F3371" t="inlineStr">
        <is>
          <t>Holmen skog AB</t>
        </is>
      </c>
      <c r="G3371" t="n">
        <v>9.5</v>
      </c>
      <c r="H3371" t="n">
        <v>0</v>
      </c>
      <c r="I3371" t="n">
        <v>0</v>
      </c>
      <c r="J3371" t="n">
        <v>0</v>
      </c>
      <c r="K3371" t="n">
        <v>0</v>
      </c>
      <c r="L3371" t="n">
        <v>0</v>
      </c>
      <c r="M3371" t="n">
        <v>0</v>
      </c>
      <c r="N3371" t="n">
        <v>0</v>
      </c>
      <c r="O3371" t="n">
        <v>0</v>
      </c>
      <c r="P3371" t="n">
        <v>0</v>
      </c>
      <c r="Q3371" t="n">
        <v>0</v>
      </c>
      <c r="R3371" s="2" t="inlineStr"/>
    </row>
    <row r="3372" ht="15" customHeight="1">
      <c r="A3372" t="inlineStr">
        <is>
          <t>A 52429-2024</t>
        </is>
      </c>
      <c r="B3372" s="1" t="n">
        <v>45609</v>
      </c>
      <c r="C3372" s="1" t="n">
        <v>45670</v>
      </c>
      <c r="D3372" t="inlineStr">
        <is>
          <t>VÄSTERNORRLANDS LÄN</t>
        </is>
      </c>
      <c r="E3372" t="inlineStr">
        <is>
          <t>SOLLEFTEÅ</t>
        </is>
      </c>
      <c r="G3372" t="n">
        <v>7.5</v>
      </c>
      <c r="H3372" t="n">
        <v>0</v>
      </c>
      <c r="I3372" t="n">
        <v>0</v>
      </c>
      <c r="J3372" t="n">
        <v>0</v>
      </c>
      <c r="K3372" t="n">
        <v>0</v>
      </c>
      <c r="L3372" t="n">
        <v>0</v>
      </c>
      <c r="M3372" t="n">
        <v>0</v>
      </c>
      <c r="N3372" t="n">
        <v>0</v>
      </c>
      <c r="O3372" t="n">
        <v>0</v>
      </c>
      <c r="P3372" t="n">
        <v>0</v>
      </c>
      <c r="Q3372" t="n">
        <v>0</v>
      </c>
      <c r="R3372" s="2" t="inlineStr"/>
    </row>
    <row r="3373" ht="15" customHeight="1">
      <c r="A3373" t="inlineStr">
        <is>
          <t>A 52530-2024</t>
        </is>
      </c>
      <c r="B3373" s="1" t="n">
        <v>45609</v>
      </c>
      <c r="C3373" s="1" t="n">
        <v>45670</v>
      </c>
      <c r="D3373" t="inlineStr">
        <is>
          <t>VÄSTERNORRLANDS LÄN</t>
        </is>
      </c>
      <c r="E3373" t="inlineStr">
        <is>
          <t>SOLLEFTEÅ</t>
        </is>
      </c>
      <c r="F3373" t="inlineStr">
        <is>
          <t>SCA</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52602-2024</t>
        </is>
      </c>
      <c r="B3374" s="1" t="n">
        <v>45609</v>
      </c>
      <c r="C3374" s="1" t="n">
        <v>45670</v>
      </c>
      <c r="D3374" t="inlineStr">
        <is>
          <t>VÄSTERNORRLANDS LÄN</t>
        </is>
      </c>
      <c r="E3374" t="inlineStr">
        <is>
          <t>SOLLEFTEÅ</t>
        </is>
      </c>
      <c r="G3374" t="n">
        <v>10.8</v>
      </c>
      <c r="H3374" t="n">
        <v>0</v>
      </c>
      <c r="I3374" t="n">
        <v>0</v>
      </c>
      <c r="J3374" t="n">
        <v>0</v>
      </c>
      <c r="K3374" t="n">
        <v>0</v>
      </c>
      <c r="L3374" t="n">
        <v>0</v>
      </c>
      <c r="M3374" t="n">
        <v>0</v>
      </c>
      <c r="N3374" t="n">
        <v>0</v>
      </c>
      <c r="O3374" t="n">
        <v>0</v>
      </c>
      <c r="P3374" t="n">
        <v>0</v>
      </c>
      <c r="Q3374" t="n">
        <v>0</v>
      </c>
      <c r="R3374" s="2" t="inlineStr"/>
    </row>
    <row r="3375" ht="15" customHeight="1">
      <c r="A3375" t="inlineStr">
        <is>
          <t>A 52681-2024</t>
        </is>
      </c>
      <c r="B3375" s="1" t="n">
        <v>45610</v>
      </c>
      <c r="C3375" s="1" t="n">
        <v>45670</v>
      </c>
      <c r="D3375" t="inlineStr">
        <is>
          <t>VÄSTERNORRLANDS LÄN</t>
        </is>
      </c>
      <c r="E3375" t="inlineStr">
        <is>
          <t>SOLLEFTEÅ</t>
        </is>
      </c>
      <c r="F3375" t="inlineStr">
        <is>
          <t>SCA</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52709-2024</t>
        </is>
      </c>
      <c r="B3376" s="1" t="n">
        <v>45610</v>
      </c>
      <c r="C3376" s="1" t="n">
        <v>45670</v>
      </c>
      <c r="D3376" t="inlineStr">
        <is>
          <t>VÄSTERNORRLANDS LÄN</t>
        </is>
      </c>
      <c r="E3376" t="inlineStr">
        <is>
          <t>SOLLEFTEÅ</t>
        </is>
      </c>
      <c r="F3376" t="inlineStr">
        <is>
          <t>SCA</t>
        </is>
      </c>
      <c r="G3376" t="n">
        <v>11.6</v>
      </c>
      <c r="H3376" t="n">
        <v>0</v>
      </c>
      <c r="I3376" t="n">
        <v>0</v>
      </c>
      <c r="J3376" t="n">
        <v>0</v>
      </c>
      <c r="K3376" t="n">
        <v>0</v>
      </c>
      <c r="L3376" t="n">
        <v>0</v>
      </c>
      <c r="M3376" t="n">
        <v>0</v>
      </c>
      <c r="N3376" t="n">
        <v>0</v>
      </c>
      <c r="O3376" t="n">
        <v>0</v>
      </c>
      <c r="P3376" t="n">
        <v>0</v>
      </c>
      <c r="Q3376" t="n">
        <v>0</v>
      </c>
      <c r="R3376" s="2" t="inlineStr"/>
    </row>
    <row r="3377" ht="15" customHeight="1">
      <c r="A3377" t="inlineStr">
        <is>
          <t>A 52768-2024</t>
        </is>
      </c>
      <c r="B3377" s="1" t="n">
        <v>45610</v>
      </c>
      <c r="C3377" s="1" t="n">
        <v>45670</v>
      </c>
      <c r="D3377" t="inlineStr">
        <is>
          <t>VÄSTERNORRLANDS LÄN</t>
        </is>
      </c>
      <c r="E3377" t="inlineStr">
        <is>
          <t>SOLLEFTEÅ</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52663-2024</t>
        </is>
      </c>
      <c r="B3378" s="1" t="n">
        <v>45610</v>
      </c>
      <c r="C3378" s="1" t="n">
        <v>45670</v>
      </c>
      <c r="D3378" t="inlineStr">
        <is>
          <t>VÄSTERNORRLANDS LÄN</t>
        </is>
      </c>
      <c r="E3378" t="inlineStr">
        <is>
          <t>SOLLEFTEÅ</t>
        </is>
      </c>
      <c r="F3378" t="inlineStr">
        <is>
          <t>SCA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52702-2024</t>
        </is>
      </c>
      <c r="B3379" s="1" t="n">
        <v>45610</v>
      </c>
      <c r="C3379" s="1" t="n">
        <v>45670</v>
      </c>
      <c r="D3379" t="inlineStr">
        <is>
          <t>VÄSTERNORRLANDS LÄN</t>
        </is>
      </c>
      <c r="E3379" t="inlineStr">
        <is>
          <t>SOLLEFTEÅ</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52662-2024</t>
        </is>
      </c>
      <c r="B3380" s="1" t="n">
        <v>45610</v>
      </c>
      <c r="C3380" s="1" t="n">
        <v>45670</v>
      </c>
      <c r="D3380" t="inlineStr">
        <is>
          <t>VÄSTERNORRLANDS LÄN</t>
        </is>
      </c>
      <c r="E3380" t="inlineStr">
        <is>
          <t>SOLLEFTEÅ</t>
        </is>
      </c>
      <c r="F3380" t="inlineStr">
        <is>
          <t>SCA</t>
        </is>
      </c>
      <c r="G3380" t="n">
        <v>7.7</v>
      </c>
      <c r="H3380" t="n">
        <v>0</v>
      </c>
      <c r="I3380" t="n">
        <v>0</v>
      </c>
      <c r="J3380" t="n">
        <v>0</v>
      </c>
      <c r="K3380" t="n">
        <v>0</v>
      </c>
      <c r="L3380" t="n">
        <v>0</v>
      </c>
      <c r="M3380" t="n">
        <v>0</v>
      </c>
      <c r="N3380" t="n">
        <v>0</v>
      </c>
      <c r="O3380" t="n">
        <v>0</v>
      </c>
      <c r="P3380" t="n">
        <v>0</v>
      </c>
      <c r="Q3380" t="n">
        <v>0</v>
      </c>
      <c r="R3380" s="2" t="inlineStr"/>
    </row>
    <row r="3381" ht="15" customHeight="1">
      <c r="A3381" t="inlineStr">
        <is>
          <t>A 53477-2024</t>
        </is>
      </c>
      <c r="B3381" s="1" t="n">
        <v>45611</v>
      </c>
      <c r="C3381" s="1" t="n">
        <v>45670</v>
      </c>
      <c r="D3381" t="inlineStr">
        <is>
          <t>VÄSTERNORRLANDS LÄN</t>
        </is>
      </c>
      <c r="E3381" t="inlineStr">
        <is>
          <t>SOLLEFTEÅ</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53483-2024</t>
        </is>
      </c>
      <c r="B3382" s="1" t="n">
        <v>45611</v>
      </c>
      <c r="C3382" s="1" t="n">
        <v>45670</v>
      </c>
      <c r="D3382" t="inlineStr">
        <is>
          <t>VÄSTERNORRLANDS LÄN</t>
        </is>
      </c>
      <c r="E3382" t="inlineStr">
        <is>
          <t>SOLLEFTEÅ</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53165-2024</t>
        </is>
      </c>
      <c r="B3383" s="1" t="n">
        <v>45611</v>
      </c>
      <c r="C3383" s="1" t="n">
        <v>45670</v>
      </c>
      <c r="D3383" t="inlineStr">
        <is>
          <t>VÄSTERNORRLANDS LÄN</t>
        </is>
      </c>
      <c r="E3383" t="inlineStr">
        <is>
          <t>SOLLEFTEÅ</t>
        </is>
      </c>
      <c r="F3383" t="inlineStr">
        <is>
          <t>Holmen skog AB</t>
        </is>
      </c>
      <c r="G3383" t="n">
        <v>12.2</v>
      </c>
      <c r="H3383" t="n">
        <v>0</v>
      </c>
      <c r="I3383" t="n">
        <v>0</v>
      </c>
      <c r="J3383" t="n">
        <v>0</v>
      </c>
      <c r="K3383" t="n">
        <v>0</v>
      </c>
      <c r="L3383" t="n">
        <v>0</v>
      </c>
      <c r="M3383" t="n">
        <v>0</v>
      </c>
      <c r="N3383" t="n">
        <v>0</v>
      </c>
      <c r="O3383" t="n">
        <v>0</v>
      </c>
      <c r="P3383" t="n">
        <v>0</v>
      </c>
      <c r="Q3383" t="n">
        <v>0</v>
      </c>
      <c r="R3383" s="2" t="inlineStr"/>
    </row>
    <row r="3384" ht="15" customHeight="1">
      <c r="A3384" t="inlineStr">
        <is>
          <t>A 53120-2024</t>
        </is>
      </c>
      <c r="B3384" s="1" t="n">
        <v>45611</v>
      </c>
      <c r="C3384" s="1" t="n">
        <v>45670</v>
      </c>
      <c r="D3384" t="inlineStr">
        <is>
          <t>VÄSTERNORRLANDS LÄN</t>
        </is>
      </c>
      <c r="E3384" t="inlineStr">
        <is>
          <t>SOLLEFTEÅ</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53212-2024</t>
        </is>
      </c>
      <c r="B3385" s="1" t="n">
        <v>45612</v>
      </c>
      <c r="C3385" s="1" t="n">
        <v>45670</v>
      </c>
      <c r="D3385" t="inlineStr">
        <is>
          <t>VÄSTERNORRLANDS LÄN</t>
        </is>
      </c>
      <c r="E3385" t="inlineStr">
        <is>
          <t>SOLLEFTEÅ</t>
        </is>
      </c>
      <c r="F3385" t="inlineStr">
        <is>
          <t>SCA</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53206-2024</t>
        </is>
      </c>
      <c r="B3386" s="1" t="n">
        <v>45612</v>
      </c>
      <c r="C3386" s="1" t="n">
        <v>45670</v>
      </c>
      <c r="D3386" t="inlineStr">
        <is>
          <t>VÄSTERNORRLANDS LÄN</t>
        </is>
      </c>
      <c r="E3386" t="inlineStr">
        <is>
          <t>SOLLEFTEÅ</t>
        </is>
      </c>
      <c r="F3386" t="inlineStr">
        <is>
          <t>SCA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53210-2024</t>
        </is>
      </c>
      <c r="B3387" s="1" t="n">
        <v>45612</v>
      </c>
      <c r="C3387" s="1" t="n">
        <v>45670</v>
      </c>
      <c r="D3387" t="inlineStr">
        <is>
          <t>VÄSTERNORRLANDS LÄN</t>
        </is>
      </c>
      <c r="E3387" t="inlineStr">
        <is>
          <t>SOLLEFTEÅ</t>
        </is>
      </c>
      <c r="F3387" t="inlineStr">
        <is>
          <t>SCA</t>
        </is>
      </c>
      <c r="G3387" t="n">
        <v>6.2</v>
      </c>
      <c r="H3387" t="n">
        <v>0</v>
      </c>
      <c r="I3387" t="n">
        <v>0</v>
      </c>
      <c r="J3387" t="n">
        <v>0</v>
      </c>
      <c r="K3387" t="n">
        <v>0</v>
      </c>
      <c r="L3387" t="n">
        <v>0</v>
      </c>
      <c r="M3387" t="n">
        <v>0</v>
      </c>
      <c r="N3387" t="n">
        <v>0</v>
      </c>
      <c r="O3387" t="n">
        <v>0</v>
      </c>
      <c r="P3387" t="n">
        <v>0</v>
      </c>
      <c r="Q3387" t="n">
        <v>0</v>
      </c>
      <c r="R3387" s="2" t="inlineStr"/>
    </row>
    <row r="3388" ht="15" customHeight="1">
      <c r="A3388" t="inlineStr">
        <is>
          <t>A 53327-2024</t>
        </is>
      </c>
      <c r="B3388" s="1" t="n">
        <v>45614</v>
      </c>
      <c r="C3388" s="1" t="n">
        <v>45670</v>
      </c>
      <c r="D3388" t="inlineStr">
        <is>
          <t>VÄSTERNORRLANDS LÄN</t>
        </is>
      </c>
      <c r="E3388" t="inlineStr">
        <is>
          <t>SOLLEFTEÅ</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53332-2024</t>
        </is>
      </c>
      <c r="B3389" s="1" t="n">
        <v>45614</v>
      </c>
      <c r="C3389" s="1" t="n">
        <v>45670</v>
      </c>
      <c r="D3389" t="inlineStr">
        <is>
          <t>VÄSTERNORRLANDS LÄN</t>
        </is>
      </c>
      <c r="E3389" t="inlineStr">
        <is>
          <t>SOLLEFTEÅ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53334-2024</t>
        </is>
      </c>
      <c r="B3390" s="1" t="n">
        <v>45614</v>
      </c>
      <c r="C3390" s="1" t="n">
        <v>45670</v>
      </c>
      <c r="D3390" t="inlineStr">
        <is>
          <t>VÄSTERNORRLANDS LÄN</t>
        </is>
      </c>
      <c r="E3390" t="inlineStr">
        <is>
          <t>SOLLEFTEÅ</t>
        </is>
      </c>
      <c r="G3390" t="n">
        <v>7.1</v>
      </c>
      <c r="H3390" t="n">
        <v>0</v>
      </c>
      <c r="I3390" t="n">
        <v>0</v>
      </c>
      <c r="J3390" t="n">
        <v>0</v>
      </c>
      <c r="K3390" t="n">
        <v>0</v>
      </c>
      <c r="L3390" t="n">
        <v>0</v>
      </c>
      <c r="M3390" t="n">
        <v>0</v>
      </c>
      <c r="N3390" t="n">
        <v>0</v>
      </c>
      <c r="O3390" t="n">
        <v>0</v>
      </c>
      <c r="P3390" t="n">
        <v>0</v>
      </c>
      <c r="Q3390" t="n">
        <v>0</v>
      </c>
      <c r="R3390" s="2" t="inlineStr"/>
    </row>
    <row r="3391" ht="15" customHeight="1">
      <c r="A3391" t="inlineStr">
        <is>
          <t>A 53330-2024</t>
        </is>
      </c>
      <c r="B3391" s="1" t="n">
        <v>45614</v>
      </c>
      <c r="C3391" s="1" t="n">
        <v>45670</v>
      </c>
      <c r="D3391" t="inlineStr">
        <is>
          <t>VÄSTERNORRLANDS LÄN</t>
        </is>
      </c>
      <c r="E3391" t="inlineStr">
        <is>
          <t>SOLLEFTEÅ</t>
        </is>
      </c>
      <c r="G3391" t="n">
        <v>8.5</v>
      </c>
      <c r="H3391" t="n">
        <v>0</v>
      </c>
      <c r="I3391" t="n">
        <v>0</v>
      </c>
      <c r="J3391" t="n">
        <v>0</v>
      </c>
      <c r="K3391" t="n">
        <v>0</v>
      </c>
      <c r="L3391" t="n">
        <v>0</v>
      </c>
      <c r="M3391" t="n">
        <v>0</v>
      </c>
      <c r="N3391" t="n">
        <v>0</v>
      </c>
      <c r="O3391" t="n">
        <v>0</v>
      </c>
      <c r="P3391" t="n">
        <v>0</v>
      </c>
      <c r="Q3391" t="n">
        <v>0</v>
      </c>
      <c r="R3391" s="2" t="inlineStr"/>
    </row>
    <row r="3392" ht="15" customHeight="1">
      <c r="A3392" t="inlineStr">
        <is>
          <t>A 53545-2024</t>
        </is>
      </c>
      <c r="B3392" s="1" t="n">
        <v>45614</v>
      </c>
      <c r="C3392" s="1" t="n">
        <v>45670</v>
      </c>
      <c r="D3392" t="inlineStr">
        <is>
          <t>VÄSTERNORRLANDS LÄN</t>
        </is>
      </c>
      <c r="E3392" t="inlineStr">
        <is>
          <t>SOLLEFTEÅ</t>
        </is>
      </c>
      <c r="F3392" t="inlineStr">
        <is>
          <t>SCA</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53325-2024</t>
        </is>
      </c>
      <c r="B3393" s="1" t="n">
        <v>45614</v>
      </c>
      <c r="C3393" s="1" t="n">
        <v>45670</v>
      </c>
      <c r="D3393" t="inlineStr">
        <is>
          <t>VÄSTERNORRLANDS LÄN</t>
        </is>
      </c>
      <c r="E3393" t="inlineStr">
        <is>
          <t>SOLLEFTEÅ</t>
        </is>
      </c>
      <c r="G3393" t="n">
        <v>9.6</v>
      </c>
      <c r="H3393" t="n">
        <v>0</v>
      </c>
      <c r="I3393" t="n">
        <v>0</v>
      </c>
      <c r="J3393" t="n">
        <v>0</v>
      </c>
      <c r="K3393" t="n">
        <v>0</v>
      </c>
      <c r="L3393" t="n">
        <v>0</v>
      </c>
      <c r="M3393" t="n">
        <v>0</v>
      </c>
      <c r="N3393" t="n">
        <v>0</v>
      </c>
      <c r="O3393" t="n">
        <v>0</v>
      </c>
      <c r="P3393" t="n">
        <v>0</v>
      </c>
      <c r="Q3393" t="n">
        <v>0</v>
      </c>
      <c r="R3393" s="2" t="inlineStr"/>
    </row>
    <row r="3394" ht="15" customHeight="1">
      <c r="A3394" t="inlineStr">
        <is>
          <t>A 53321-2024</t>
        </is>
      </c>
      <c r="B3394" s="1" t="n">
        <v>45614</v>
      </c>
      <c r="C3394" s="1" t="n">
        <v>45670</v>
      </c>
      <c r="D3394" t="inlineStr">
        <is>
          <t>VÄSTERNORRLANDS LÄN</t>
        </is>
      </c>
      <c r="E3394" t="inlineStr">
        <is>
          <t>SOLLEFTEÅ</t>
        </is>
      </c>
      <c r="G3394" t="n">
        <v>6.5</v>
      </c>
      <c r="H3394" t="n">
        <v>0</v>
      </c>
      <c r="I3394" t="n">
        <v>0</v>
      </c>
      <c r="J3394" t="n">
        <v>0</v>
      </c>
      <c r="K3394" t="n">
        <v>0</v>
      </c>
      <c r="L3394" t="n">
        <v>0</v>
      </c>
      <c r="M3394" t="n">
        <v>0</v>
      </c>
      <c r="N3394" t="n">
        <v>0</v>
      </c>
      <c r="O3394" t="n">
        <v>0</v>
      </c>
      <c r="P3394" t="n">
        <v>0</v>
      </c>
      <c r="Q3394" t="n">
        <v>0</v>
      </c>
      <c r="R3394" s="2" t="inlineStr"/>
    </row>
    <row r="3395" ht="15" customHeight="1">
      <c r="A3395" t="inlineStr">
        <is>
          <t>A 53831-2024</t>
        </is>
      </c>
      <c r="B3395" s="1" t="n">
        <v>45615</v>
      </c>
      <c r="C3395" s="1" t="n">
        <v>45670</v>
      </c>
      <c r="D3395" t="inlineStr">
        <is>
          <t>VÄSTERNORRLANDS LÄN</t>
        </is>
      </c>
      <c r="E3395" t="inlineStr">
        <is>
          <t>SOLLEFTEÅ</t>
        </is>
      </c>
      <c r="F3395" t="inlineStr">
        <is>
          <t>SCA</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53855-2024</t>
        </is>
      </c>
      <c r="B3396" s="1" t="n">
        <v>45615</v>
      </c>
      <c r="C3396" s="1" t="n">
        <v>45670</v>
      </c>
      <c r="D3396" t="inlineStr">
        <is>
          <t>VÄSTERNORRLANDS LÄN</t>
        </is>
      </c>
      <c r="E3396" t="inlineStr">
        <is>
          <t>SOLLEFTEÅ</t>
        </is>
      </c>
      <c r="F3396" t="inlineStr">
        <is>
          <t>SCA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54177-2024</t>
        </is>
      </c>
      <c r="B3397" s="1" t="n">
        <v>45616</v>
      </c>
      <c r="C3397" s="1" t="n">
        <v>45670</v>
      </c>
      <c r="D3397" t="inlineStr">
        <is>
          <t>VÄSTERNORRLANDS LÄN</t>
        </is>
      </c>
      <c r="E3397" t="inlineStr">
        <is>
          <t>SOLLEFTEÅ</t>
        </is>
      </c>
      <c r="F3397" t="inlineStr">
        <is>
          <t>SCA</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54094-2024</t>
        </is>
      </c>
      <c r="B3398" s="1" t="n">
        <v>45616</v>
      </c>
      <c r="C3398" s="1" t="n">
        <v>45670</v>
      </c>
      <c r="D3398" t="inlineStr">
        <is>
          <t>VÄSTERNORRLANDS LÄN</t>
        </is>
      </c>
      <c r="E3398" t="inlineStr">
        <is>
          <t>SOLLEFTEÅ</t>
        </is>
      </c>
      <c r="F3398" t="inlineStr">
        <is>
          <t>SCA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54234-2024</t>
        </is>
      </c>
      <c r="B3399" s="1" t="n">
        <v>45616</v>
      </c>
      <c r="C3399" s="1" t="n">
        <v>45670</v>
      </c>
      <c r="D3399" t="inlineStr">
        <is>
          <t>VÄSTERNORRLANDS LÄN</t>
        </is>
      </c>
      <c r="E3399" t="inlineStr">
        <is>
          <t>SOLLEFTEÅ</t>
        </is>
      </c>
      <c r="F3399" t="inlineStr">
        <is>
          <t>SCA</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54238-2024</t>
        </is>
      </c>
      <c r="B3400" s="1" t="n">
        <v>45616</v>
      </c>
      <c r="C3400" s="1" t="n">
        <v>45670</v>
      </c>
      <c r="D3400" t="inlineStr">
        <is>
          <t>VÄSTERNORRLANDS LÄN</t>
        </is>
      </c>
      <c r="E3400" t="inlineStr">
        <is>
          <t>SOLLEFTEÅ</t>
        </is>
      </c>
      <c r="F3400" t="inlineStr">
        <is>
          <t>SCA</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54073-2024</t>
        </is>
      </c>
      <c r="B3401" s="1" t="n">
        <v>45616</v>
      </c>
      <c r="C3401" s="1" t="n">
        <v>45670</v>
      </c>
      <c r="D3401" t="inlineStr">
        <is>
          <t>VÄSTERNORRLANDS LÄN</t>
        </is>
      </c>
      <c r="E3401" t="inlineStr">
        <is>
          <t>SOLLEFTEÅ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54241-2024</t>
        </is>
      </c>
      <c r="B3402" s="1" t="n">
        <v>45616</v>
      </c>
      <c r="C3402" s="1" t="n">
        <v>45670</v>
      </c>
      <c r="D3402" t="inlineStr">
        <is>
          <t>VÄSTERNORRLANDS LÄN</t>
        </is>
      </c>
      <c r="E3402" t="inlineStr">
        <is>
          <t>SOLLEFTEÅ</t>
        </is>
      </c>
      <c r="F3402" t="inlineStr">
        <is>
          <t>SCA</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54233-2024</t>
        </is>
      </c>
      <c r="B3403" s="1" t="n">
        <v>45616</v>
      </c>
      <c r="C3403" s="1" t="n">
        <v>45670</v>
      </c>
      <c r="D3403" t="inlineStr">
        <is>
          <t>VÄSTERNORRLANDS LÄN</t>
        </is>
      </c>
      <c r="E3403" t="inlineStr">
        <is>
          <t>SOLLEFTEÅ</t>
        </is>
      </c>
      <c r="F3403" t="inlineStr">
        <is>
          <t>SCA</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54240-2024</t>
        </is>
      </c>
      <c r="B3404" s="1" t="n">
        <v>45616</v>
      </c>
      <c r="C3404" s="1" t="n">
        <v>45670</v>
      </c>
      <c r="D3404" t="inlineStr">
        <is>
          <t>VÄSTERNORRLANDS LÄN</t>
        </is>
      </c>
      <c r="E3404" t="inlineStr">
        <is>
          <t>SOLLEFTEÅ</t>
        </is>
      </c>
      <c r="F3404" t="inlineStr">
        <is>
          <t>SCA</t>
        </is>
      </c>
      <c r="G3404" t="n">
        <v>38.4</v>
      </c>
      <c r="H3404" t="n">
        <v>0</v>
      </c>
      <c r="I3404" t="n">
        <v>0</v>
      </c>
      <c r="J3404" t="n">
        <v>0</v>
      </c>
      <c r="K3404" t="n">
        <v>0</v>
      </c>
      <c r="L3404" t="n">
        <v>0</v>
      </c>
      <c r="M3404" t="n">
        <v>0</v>
      </c>
      <c r="N3404" t="n">
        <v>0</v>
      </c>
      <c r="O3404" t="n">
        <v>0</v>
      </c>
      <c r="P3404" t="n">
        <v>0</v>
      </c>
      <c r="Q3404" t="n">
        <v>0</v>
      </c>
      <c r="R3404" s="2" t="inlineStr"/>
    </row>
    <row r="3405" ht="15" customHeight="1">
      <c r="A3405" t="inlineStr">
        <is>
          <t>A 54235-2024</t>
        </is>
      </c>
      <c r="B3405" s="1" t="n">
        <v>45616</v>
      </c>
      <c r="C3405" s="1" t="n">
        <v>45670</v>
      </c>
      <c r="D3405" t="inlineStr">
        <is>
          <t>VÄSTERNORRLANDS LÄN</t>
        </is>
      </c>
      <c r="E3405" t="inlineStr">
        <is>
          <t>SOLLEFTEÅ</t>
        </is>
      </c>
      <c r="F3405" t="inlineStr">
        <is>
          <t>SCA</t>
        </is>
      </c>
      <c r="G3405" t="n">
        <v>0.1</v>
      </c>
      <c r="H3405" t="n">
        <v>0</v>
      </c>
      <c r="I3405" t="n">
        <v>0</v>
      </c>
      <c r="J3405" t="n">
        <v>0</v>
      </c>
      <c r="K3405" t="n">
        <v>0</v>
      </c>
      <c r="L3405" t="n">
        <v>0</v>
      </c>
      <c r="M3405" t="n">
        <v>0</v>
      </c>
      <c r="N3405" t="n">
        <v>0</v>
      </c>
      <c r="O3405" t="n">
        <v>0</v>
      </c>
      <c r="P3405" t="n">
        <v>0</v>
      </c>
      <c r="Q3405" t="n">
        <v>0</v>
      </c>
      <c r="R3405" s="2" t="inlineStr"/>
    </row>
    <row r="3406" ht="15" customHeight="1">
      <c r="A3406" t="inlineStr">
        <is>
          <t>A 54231-2024</t>
        </is>
      </c>
      <c r="B3406" s="1" t="n">
        <v>45616</v>
      </c>
      <c r="C3406" s="1" t="n">
        <v>45670</v>
      </c>
      <c r="D3406" t="inlineStr">
        <is>
          <t>VÄSTERNORRLANDS LÄN</t>
        </is>
      </c>
      <c r="E3406" t="inlineStr">
        <is>
          <t>SOLLEFTEÅ</t>
        </is>
      </c>
      <c r="F3406" t="inlineStr">
        <is>
          <t>SCA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54458-2024</t>
        </is>
      </c>
      <c r="B3407" s="1" t="n">
        <v>45617</v>
      </c>
      <c r="C3407" s="1" t="n">
        <v>45670</v>
      </c>
      <c r="D3407" t="inlineStr">
        <is>
          <t>VÄSTERNORRLANDS LÄN</t>
        </is>
      </c>
      <c r="E3407" t="inlineStr">
        <is>
          <t>SOLLEFTEÅ</t>
        </is>
      </c>
      <c r="F3407" t="inlineStr">
        <is>
          <t>SCA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54575-2024</t>
        </is>
      </c>
      <c r="B3408" s="1" t="n">
        <v>45617</v>
      </c>
      <c r="C3408" s="1" t="n">
        <v>45670</v>
      </c>
      <c r="D3408" t="inlineStr">
        <is>
          <t>VÄSTERNORRLANDS LÄN</t>
        </is>
      </c>
      <c r="E3408" t="inlineStr">
        <is>
          <t>SOLLEFTEÅ</t>
        </is>
      </c>
      <c r="F3408" t="inlineStr">
        <is>
          <t>Holmen skog AB</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54574-2024</t>
        </is>
      </c>
      <c r="B3409" s="1" t="n">
        <v>45617</v>
      </c>
      <c r="C3409" s="1" t="n">
        <v>45670</v>
      </c>
      <c r="D3409" t="inlineStr">
        <is>
          <t>VÄSTERNORRLANDS LÄN</t>
        </is>
      </c>
      <c r="E3409" t="inlineStr">
        <is>
          <t>SOLLEFTEÅ</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54532-2024</t>
        </is>
      </c>
      <c r="B3410" s="1" t="n">
        <v>45617</v>
      </c>
      <c r="C3410" s="1" t="n">
        <v>45670</v>
      </c>
      <c r="D3410" t="inlineStr">
        <is>
          <t>VÄSTERNORRLANDS LÄN</t>
        </is>
      </c>
      <c r="E3410" t="inlineStr">
        <is>
          <t>SOLLEFTEÅ</t>
        </is>
      </c>
      <c r="G3410" t="n">
        <v>8.199999999999999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54548-2024</t>
        </is>
      </c>
      <c r="B3411" s="1" t="n">
        <v>45617</v>
      </c>
      <c r="C3411" s="1" t="n">
        <v>45670</v>
      </c>
      <c r="D3411" t="inlineStr">
        <is>
          <t>VÄSTERNORRLANDS LÄN</t>
        </is>
      </c>
      <c r="E3411" t="inlineStr">
        <is>
          <t>SOLLEFTEÅ</t>
        </is>
      </c>
      <c r="F3411" t="inlineStr">
        <is>
          <t>SCA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54572-2024</t>
        </is>
      </c>
      <c r="B3412" s="1" t="n">
        <v>45617</v>
      </c>
      <c r="C3412" s="1" t="n">
        <v>45670</v>
      </c>
      <c r="D3412" t="inlineStr">
        <is>
          <t>VÄSTERNORRLANDS LÄN</t>
        </is>
      </c>
      <c r="E3412" t="inlineStr">
        <is>
          <t>SOLLEFTEÅ</t>
        </is>
      </c>
      <c r="G3412" t="n">
        <v>28.2</v>
      </c>
      <c r="H3412" t="n">
        <v>0</v>
      </c>
      <c r="I3412" t="n">
        <v>0</v>
      </c>
      <c r="J3412" t="n">
        <v>0</v>
      </c>
      <c r="K3412" t="n">
        <v>0</v>
      </c>
      <c r="L3412" t="n">
        <v>0</v>
      </c>
      <c r="M3412" t="n">
        <v>0</v>
      </c>
      <c r="N3412" t="n">
        <v>0</v>
      </c>
      <c r="O3412" t="n">
        <v>0</v>
      </c>
      <c r="P3412" t="n">
        <v>0</v>
      </c>
      <c r="Q3412" t="n">
        <v>0</v>
      </c>
      <c r="R3412" s="2" t="inlineStr"/>
    </row>
    <row r="3413" ht="15" customHeight="1">
      <c r="A3413" t="inlineStr">
        <is>
          <t>A 54485-2024</t>
        </is>
      </c>
      <c r="B3413" s="1" t="n">
        <v>45617</v>
      </c>
      <c r="C3413" s="1" t="n">
        <v>45670</v>
      </c>
      <c r="D3413" t="inlineStr">
        <is>
          <t>VÄSTERNORRLANDS LÄN</t>
        </is>
      </c>
      <c r="E3413" t="inlineStr">
        <is>
          <t>SOLLEFTEÅ</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54553-2024</t>
        </is>
      </c>
      <c r="B3414" s="1" t="n">
        <v>45617</v>
      </c>
      <c r="C3414" s="1" t="n">
        <v>45670</v>
      </c>
      <c r="D3414" t="inlineStr">
        <is>
          <t>VÄSTERNORRLANDS LÄN</t>
        </is>
      </c>
      <c r="E3414" t="inlineStr">
        <is>
          <t>SOLLEFTEÅ</t>
        </is>
      </c>
      <c r="F3414" t="inlineStr">
        <is>
          <t>SCA</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54725-2024</t>
        </is>
      </c>
      <c r="B3415" s="1" t="n">
        <v>45618</v>
      </c>
      <c r="C3415" s="1" t="n">
        <v>45670</v>
      </c>
      <c r="D3415" t="inlineStr">
        <is>
          <t>VÄSTERNORRLANDS LÄN</t>
        </is>
      </c>
      <c r="E3415" t="inlineStr">
        <is>
          <t>SOLLEFTEÅ</t>
        </is>
      </c>
      <c r="F3415" t="inlineStr">
        <is>
          <t>SCA</t>
        </is>
      </c>
      <c r="G3415" t="n">
        <v>35.2</v>
      </c>
      <c r="H3415" t="n">
        <v>0</v>
      </c>
      <c r="I3415" t="n">
        <v>0</v>
      </c>
      <c r="J3415" t="n">
        <v>0</v>
      </c>
      <c r="K3415" t="n">
        <v>0</v>
      </c>
      <c r="L3415" t="n">
        <v>0</v>
      </c>
      <c r="M3415" t="n">
        <v>0</v>
      </c>
      <c r="N3415" t="n">
        <v>0</v>
      </c>
      <c r="O3415" t="n">
        <v>0</v>
      </c>
      <c r="P3415" t="n">
        <v>0</v>
      </c>
      <c r="Q3415" t="n">
        <v>0</v>
      </c>
      <c r="R3415" s="2" t="inlineStr"/>
    </row>
    <row r="3416" ht="15" customHeight="1">
      <c r="A3416" t="inlineStr">
        <is>
          <t>A 54726-2024</t>
        </is>
      </c>
      <c r="B3416" s="1" t="n">
        <v>45618</v>
      </c>
      <c r="C3416" s="1" t="n">
        <v>45670</v>
      </c>
      <c r="D3416" t="inlineStr">
        <is>
          <t>VÄSTERNORRLANDS LÄN</t>
        </is>
      </c>
      <c r="E3416" t="inlineStr">
        <is>
          <t>SOLLEFTEÅ</t>
        </is>
      </c>
      <c r="F3416" t="inlineStr">
        <is>
          <t>SCA</t>
        </is>
      </c>
      <c r="G3416" t="n">
        <v>28.2</v>
      </c>
      <c r="H3416" t="n">
        <v>0</v>
      </c>
      <c r="I3416" t="n">
        <v>0</v>
      </c>
      <c r="J3416" t="n">
        <v>0</v>
      </c>
      <c r="K3416" t="n">
        <v>0</v>
      </c>
      <c r="L3416" t="n">
        <v>0</v>
      </c>
      <c r="M3416" t="n">
        <v>0</v>
      </c>
      <c r="N3416" t="n">
        <v>0</v>
      </c>
      <c r="O3416" t="n">
        <v>0</v>
      </c>
      <c r="P3416" t="n">
        <v>0</v>
      </c>
      <c r="Q3416" t="n">
        <v>0</v>
      </c>
      <c r="R3416" s="2" t="inlineStr"/>
    </row>
    <row r="3417" ht="15" customHeight="1">
      <c r="A3417" t="inlineStr">
        <is>
          <t>A 54923-2024</t>
        </is>
      </c>
      <c r="B3417" s="1" t="n">
        <v>45618</v>
      </c>
      <c r="C3417" s="1" t="n">
        <v>45670</v>
      </c>
      <c r="D3417" t="inlineStr">
        <is>
          <t>VÄSTERNORRLANDS LÄN</t>
        </is>
      </c>
      <c r="E3417" t="inlineStr">
        <is>
          <t>SOLLEFTEÅ</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54806-2024</t>
        </is>
      </c>
      <c r="B3418" s="1" t="n">
        <v>45618</v>
      </c>
      <c r="C3418" s="1" t="n">
        <v>45670</v>
      </c>
      <c r="D3418" t="inlineStr">
        <is>
          <t>VÄSTERNORRLANDS LÄN</t>
        </is>
      </c>
      <c r="E3418" t="inlineStr">
        <is>
          <t>SOLLEFTEÅ</t>
        </is>
      </c>
      <c r="F3418" t="inlineStr">
        <is>
          <t>SCA</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55149-2024</t>
        </is>
      </c>
      <c r="B3419" s="1" t="n">
        <v>45621</v>
      </c>
      <c r="C3419" s="1" t="n">
        <v>45670</v>
      </c>
      <c r="D3419" t="inlineStr">
        <is>
          <t>VÄSTERNORRLANDS LÄN</t>
        </is>
      </c>
      <c r="E3419" t="inlineStr">
        <is>
          <t>SOLLEFTEÅ</t>
        </is>
      </c>
      <c r="F3419" t="inlineStr">
        <is>
          <t>SCA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55272-2024</t>
        </is>
      </c>
      <c r="B3420" s="1" t="n">
        <v>45621</v>
      </c>
      <c r="C3420" s="1" t="n">
        <v>45670</v>
      </c>
      <c r="D3420" t="inlineStr">
        <is>
          <t>VÄSTERNORRLANDS LÄN</t>
        </is>
      </c>
      <c r="E3420" t="inlineStr">
        <is>
          <t>SOLLEFTEÅ</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55422-2024</t>
        </is>
      </c>
      <c r="B3421" s="1" t="n">
        <v>45622</v>
      </c>
      <c r="C3421" s="1" t="n">
        <v>45670</v>
      </c>
      <c r="D3421" t="inlineStr">
        <is>
          <t>VÄSTERNORRLANDS LÄN</t>
        </is>
      </c>
      <c r="E3421" t="inlineStr">
        <is>
          <t>SOLLEFTEÅ</t>
        </is>
      </c>
      <c r="F3421" t="inlineStr">
        <is>
          <t>SCA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55420-2024</t>
        </is>
      </c>
      <c r="B3422" s="1" t="n">
        <v>45622</v>
      </c>
      <c r="C3422" s="1" t="n">
        <v>45670</v>
      </c>
      <c r="D3422" t="inlineStr">
        <is>
          <t>VÄSTERNORRLANDS LÄN</t>
        </is>
      </c>
      <c r="E3422" t="inlineStr">
        <is>
          <t>SOLLEFTEÅ</t>
        </is>
      </c>
      <c r="F3422" t="inlineStr">
        <is>
          <t>SCA</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55439-2024</t>
        </is>
      </c>
      <c r="B3423" s="1" t="n">
        <v>45622</v>
      </c>
      <c r="C3423" s="1" t="n">
        <v>45670</v>
      </c>
      <c r="D3423" t="inlineStr">
        <is>
          <t>VÄSTERNORRLANDS LÄN</t>
        </is>
      </c>
      <c r="E3423" t="inlineStr">
        <is>
          <t>SOLLEFTEÅ</t>
        </is>
      </c>
      <c r="F3423" t="inlineStr">
        <is>
          <t>SCA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55542-2024</t>
        </is>
      </c>
      <c r="B3424" s="1" t="n">
        <v>45622</v>
      </c>
      <c r="C3424" s="1" t="n">
        <v>45670</v>
      </c>
      <c r="D3424" t="inlineStr">
        <is>
          <t>VÄSTERNORRLANDS LÄN</t>
        </is>
      </c>
      <c r="E3424" t="inlineStr">
        <is>
          <t>SOLLEFTEÅ</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55440-2024</t>
        </is>
      </c>
      <c r="B3425" s="1" t="n">
        <v>45622</v>
      </c>
      <c r="C3425" s="1" t="n">
        <v>45670</v>
      </c>
      <c r="D3425" t="inlineStr">
        <is>
          <t>VÄSTERNORRLANDS LÄN</t>
        </is>
      </c>
      <c r="E3425" t="inlineStr">
        <is>
          <t>SOLLEFTEÅ</t>
        </is>
      </c>
      <c r="F3425" t="inlineStr">
        <is>
          <t>SCA</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55691-2024</t>
        </is>
      </c>
      <c r="B3426" s="1" t="n">
        <v>45622</v>
      </c>
      <c r="C3426" s="1" t="n">
        <v>45670</v>
      </c>
      <c r="D3426" t="inlineStr">
        <is>
          <t>VÄSTERNORRLANDS LÄN</t>
        </is>
      </c>
      <c r="E3426" t="inlineStr">
        <is>
          <t>SOLLEFTEÅ</t>
        </is>
      </c>
      <c r="F3426" t="inlineStr">
        <is>
          <t>SCA</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55707-2024</t>
        </is>
      </c>
      <c r="B3427" s="1" t="n">
        <v>45622</v>
      </c>
      <c r="C3427" s="1" t="n">
        <v>45670</v>
      </c>
      <c r="D3427" t="inlineStr">
        <is>
          <t>VÄSTERNORRLANDS LÄN</t>
        </is>
      </c>
      <c r="E3427" t="inlineStr">
        <is>
          <t>SOLLEFTEÅ</t>
        </is>
      </c>
      <c r="F3427" t="inlineStr">
        <is>
          <t>SCA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55692-2024</t>
        </is>
      </c>
      <c r="B3428" s="1" t="n">
        <v>45622</v>
      </c>
      <c r="C3428" s="1" t="n">
        <v>45670</v>
      </c>
      <c r="D3428" t="inlineStr">
        <is>
          <t>VÄSTERNORRLANDS LÄN</t>
        </is>
      </c>
      <c r="E3428" t="inlineStr">
        <is>
          <t>SOLLEFTEÅ</t>
        </is>
      </c>
      <c r="F3428" t="inlineStr">
        <is>
          <t>SCA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55710-2024</t>
        </is>
      </c>
      <c r="B3429" s="1" t="n">
        <v>45622</v>
      </c>
      <c r="C3429" s="1" t="n">
        <v>45670</v>
      </c>
      <c r="D3429" t="inlineStr">
        <is>
          <t>VÄSTERNORRLANDS LÄN</t>
        </is>
      </c>
      <c r="E3429" t="inlineStr">
        <is>
          <t>SOLLEFTEÅ</t>
        </is>
      </c>
      <c r="F3429" t="inlineStr">
        <is>
          <t>SCA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55726-2024</t>
        </is>
      </c>
      <c r="B3430" s="1" t="n">
        <v>45622</v>
      </c>
      <c r="C3430" s="1" t="n">
        <v>45670</v>
      </c>
      <c r="D3430" t="inlineStr">
        <is>
          <t>VÄSTERNORRLANDS LÄN</t>
        </is>
      </c>
      <c r="E3430" t="inlineStr">
        <is>
          <t>SOLLEFTEÅ</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55769-2024</t>
        </is>
      </c>
      <c r="B3431" s="1" t="n">
        <v>45623</v>
      </c>
      <c r="C3431" s="1" t="n">
        <v>45670</v>
      </c>
      <c r="D3431" t="inlineStr">
        <is>
          <t>VÄSTERNORRLANDS LÄN</t>
        </is>
      </c>
      <c r="E3431" t="inlineStr">
        <is>
          <t>SOLLEFTEÅ</t>
        </is>
      </c>
      <c r="F3431" t="inlineStr">
        <is>
          <t>SCA</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55792-2024</t>
        </is>
      </c>
      <c r="B3432" s="1" t="n">
        <v>45623</v>
      </c>
      <c r="C3432" s="1" t="n">
        <v>45670</v>
      </c>
      <c r="D3432" t="inlineStr">
        <is>
          <t>VÄSTERNORRLANDS LÄN</t>
        </is>
      </c>
      <c r="E3432" t="inlineStr">
        <is>
          <t>SOLLEFTEÅ</t>
        </is>
      </c>
      <c r="F3432" t="inlineStr">
        <is>
          <t>SCA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55759-2024</t>
        </is>
      </c>
      <c r="B3433" s="1" t="n">
        <v>45623</v>
      </c>
      <c r="C3433" s="1" t="n">
        <v>45670</v>
      </c>
      <c r="D3433" t="inlineStr">
        <is>
          <t>VÄSTERNORRLANDS LÄN</t>
        </is>
      </c>
      <c r="E3433" t="inlineStr">
        <is>
          <t>SOLLEFTEÅ</t>
        </is>
      </c>
      <c r="G3433" t="n">
        <v>6.1</v>
      </c>
      <c r="H3433" t="n">
        <v>0</v>
      </c>
      <c r="I3433" t="n">
        <v>0</v>
      </c>
      <c r="J3433" t="n">
        <v>0</v>
      </c>
      <c r="K3433" t="n">
        <v>0</v>
      </c>
      <c r="L3433" t="n">
        <v>0</v>
      </c>
      <c r="M3433" t="n">
        <v>0</v>
      </c>
      <c r="N3433" t="n">
        <v>0</v>
      </c>
      <c r="O3433" t="n">
        <v>0</v>
      </c>
      <c r="P3433" t="n">
        <v>0</v>
      </c>
      <c r="Q3433" t="n">
        <v>0</v>
      </c>
      <c r="R3433" s="2" t="inlineStr"/>
    </row>
    <row r="3434" ht="15" customHeight="1">
      <c r="A3434" t="inlineStr">
        <is>
          <t>A 55848-2024</t>
        </is>
      </c>
      <c r="B3434" s="1" t="n">
        <v>45623</v>
      </c>
      <c r="C3434" s="1" t="n">
        <v>45670</v>
      </c>
      <c r="D3434" t="inlineStr">
        <is>
          <t>VÄSTERNORRLANDS LÄN</t>
        </is>
      </c>
      <c r="E3434" t="inlineStr">
        <is>
          <t>SOLLEFTEÅ</t>
        </is>
      </c>
      <c r="F3434" t="inlineStr">
        <is>
          <t>SCA</t>
        </is>
      </c>
      <c r="G3434" t="n">
        <v>5.3</v>
      </c>
      <c r="H3434" t="n">
        <v>0</v>
      </c>
      <c r="I3434" t="n">
        <v>0</v>
      </c>
      <c r="J3434" t="n">
        <v>0</v>
      </c>
      <c r="K3434" t="n">
        <v>0</v>
      </c>
      <c r="L3434" t="n">
        <v>0</v>
      </c>
      <c r="M3434" t="n">
        <v>0</v>
      </c>
      <c r="N3434" t="n">
        <v>0</v>
      </c>
      <c r="O3434" t="n">
        <v>0</v>
      </c>
      <c r="P3434" t="n">
        <v>0</v>
      </c>
      <c r="Q3434" t="n">
        <v>0</v>
      </c>
      <c r="R3434" s="2" t="inlineStr"/>
    </row>
    <row r="3435" ht="15" customHeight="1">
      <c r="A3435" t="inlineStr">
        <is>
          <t>A 55756-2024</t>
        </is>
      </c>
      <c r="B3435" s="1" t="n">
        <v>45623</v>
      </c>
      <c r="C3435" s="1" t="n">
        <v>45670</v>
      </c>
      <c r="D3435" t="inlineStr">
        <is>
          <t>VÄSTERNORRLANDS LÄN</t>
        </is>
      </c>
      <c r="E3435" t="inlineStr">
        <is>
          <t>SOLLEFTEÅ</t>
        </is>
      </c>
      <c r="F3435" t="inlineStr">
        <is>
          <t>Holmen skog AB</t>
        </is>
      </c>
      <c r="G3435" t="n">
        <v>5.6</v>
      </c>
      <c r="H3435" t="n">
        <v>0</v>
      </c>
      <c r="I3435" t="n">
        <v>0</v>
      </c>
      <c r="J3435" t="n">
        <v>0</v>
      </c>
      <c r="K3435" t="n">
        <v>0</v>
      </c>
      <c r="L3435" t="n">
        <v>0</v>
      </c>
      <c r="M3435" t="n">
        <v>0</v>
      </c>
      <c r="N3435" t="n">
        <v>0</v>
      </c>
      <c r="O3435" t="n">
        <v>0</v>
      </c>
      <c r="P3435" t="n">
        <v>0</v>
      </c>
      <c r="Q3435" t="n">
        <v>0</v>
      </c>
      <c r="R3435" s="2" t="inlineStr"/>
    </row>
    <row r="3436" ht="15" customHeight="1">
      <c r="A3436" t="inlineStr">
        <is>
          <t>A 55824-2024</t>
        </is>
      </c>
      <c r="B3436" s="1" t="n">
        <v>45623</v>
      </c>
      <c r="C3436" s="1" t="n">
        <v>45670</v>
      </c>
      <c r="D3436" t="inlineStr">
        <is>
          <t>VÄSTERNORRLANDS LÄN</t>
        </is>
      </c>
      <c r="E3436" t="inlineStr">
        <is>
          <t>SOLLEFTEÅ</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55872-2024</t>
        </is>
      </c>
      <c r="B3437" s="1" t="n">
        <v>45623</v>
      </c>
      <c r="C3437" s="1" t="n">
        <v>45670</v>
      </c>
      <c r="D3437" t="inlineStr">
        <is>
          <t>VÄSTERNORRLANDS LÄN</t>
        </is>
      </c>
      <c r="E3437" t="inlineStr">
        <is>
          <t>SOLLEFTEÅ</t>
        </is>
      </c>
      <c r="F3437" t="inlineStr">
        <is>
          <t>SCA</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55851-2024</t>
        </is>
      </c>
      <c r="B3438" s="1" t="n">
        <v>45623</v>
      </c>
      <c r="C3438" s="1" t="n">
        <v>45670</v>
      </c>
      <c r="D3438" t="inlineStr">
        <is>
          <t>VÄSTERNORRLANDS LÄN</t>
        </is>
      </c>
      <c r="E3438" t="inlineStr">
        <is>
          <t>SOLLEFTEÅ</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56033-2024</t>
        </is>
      </c>
      <c r="B3439" s="1" t="n">
        <v>45624</v>
      </c>
      <c r="C3439" s="1" t="n">
        <v>45670</v>
      </c>
      <c r="D3439" t="inlineStr">
        <is>
          <t>VÄSTERNORRLANDS LÄN</t>
        </is>
      </c>
      <c r="E3439" t="inlineStr">
        <is>
          <t>SOLLEFTEÅ</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56037-2024</t>
        </is>
      </c>
      <c r="B3440" s="1" t="n">
        <v>45624</v>
      </c>
      <c r="C3440" s="1" t="n">
        <v>45670</v>
      </c>
      <c r="D3440" t="inlineStr">
        <is>
          <t>VÄSTERNORRLANDS LÄN</t>
        </is>
      </c>
      <c r="E3440" t="inlineStr">
        <is>
          <t>SOLLEFTEÅ</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56190-2024</t>
        </is>
      </c>
      <c r="B3441" s="1" t="n">
        <v>45624</v>
      </c>
      <c r="C3441" s="1" t="n">
        <v>45670</v>
      </c>
      <c r="D3441" t="inlineStr">
        <is>
          <t>VÄSTERNORRLANDS LÄN</t>
        </is>
      </c>
      <c r="E3441" t="inlineStr">
        <is>
          <t>SOLLEFTEÅ</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56207-2024</t>
        </is>
      </c>
      <c r="B3442" s="1" t="n">
        <v>45624</v>
      </c>
      <c r="C3442" s="1" t="n">
        <v>45670</v>
      </c>
      <c r="D3442" t="inlineStr">
        <is>
          <t>VÄSTERNORRLANDS LÄN</t>
        </is>
      </c>
      <c r="E3442" t="inlineStr">
        <is>
          <t>SOLLEFTEÅ</t>
        </is>
      </c>
      <c r="G3442" t="n">
        <v>5.2</v>
      </c>
      <c r="H3442" t="n">
        <v>0</v>
      </c>
      <c r="I3442" t="n">
        <v>0</v>
      </c>
      <c r="J3442" t="n">
        <v>0</v>
      </c>
      <c r="K3442" t="n">
        <v>0</v>
      </c>
      <c r="L3442" t="n">
        <v>0</v>
      </c>
      <c r="M3442" t="n">
        <v>0</v>
      </c>
      <c r="N3442" t="n">
        <v>0</v>
      </c>
      <c r="O3442" t="n">
        <v>0</v>
      </c>
      <c r="P3442" t="n">
        <v>0</v>
      </c>
      <c r="Q3442" t="n">
        <v>0</v>
      </c>
      <c r="R3442" s="2" t="inlineStr"/>
    </row>
    <row r="3443" ht="15" customHeight="1">
      <c r="A3443" t="inlineStr">
        <is>
          <t>A 56204-2024</t>
        </is>
      </c>
      <c r="B3443" s="1" t="n">
        <v>45624</v>
      </c>
      <c r="C3443" s="1" t="n">
        <v>45670</v>
      </c>
      <c r="D3443" t="inlineStr">
        <is>
          <t>VÄSTERNORRLANDS LÄN</t>
        </is>
      </c>
      <c r="E3443" t="inlineStr">
        <is>
          <t>SOLLEFTEÅ</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56248-2024</t>
        </is>
      </c>
      <c r="B3444" s="1" t="n">
        <v>45624</v>
      </c>
      <c r="C3444" s="1" t="n">
        <v>45670</v>
      </c>
      <c r="D3444" t="inlineStr">
        <is>
          <t>VÄSTERNORRLANDS LÄN</t>
        </is>
      </c>
      <c r="E3444" t="inlineStr">
        <is>
          <t>SOLLEFTEÅ</t>
        </is>
      </c>
      <c r="F3444" t="inlineStr">
        <is>
          <t>SCA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56252-2024</t>
        </is>
      </c>
      <c r="B3445" s="1" t="n">
        <v>45624</v>
      </c>
      <c r="C3445" s="1" t="n">
        <v>45670</v>
      </c>
      <c r="D3445" t="inlineStr">
        <is>
          <t>VÄSTERNORRLANDS LÄN</t>
        </is>
      </c>
      <c r="E3445" t="inlineStr">
        <is>
          <t>SOLLEFTEÅ</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56206-2024</t>
        </is>
      </c>
      <c r="B3446" s="1" t="n">
        <v>45624</v>
      </c>
      <c r="C3446" s="1" t="n">
        <v>45670</v>
      </c>
      <c r="D3446" t="inlineStr">
        <is>
          <t>VÄSTERNORRLANDS LÄN</t>
        </is>
      </c>
      <c r="E3446" t="inlineStr">
        <is>
          <t>SOLLEFTEÅ</t>
        </is>
      </c>
      <c r="G3446" t="n">
        <v>7.4</v>
      </c>
      <c r="H3446" t="n">
        <v>0</v>
      </c>
      <c r="I3446" t="n">
        <v>0</v>
      </c>
      <c r="J3446" t="n">
        <v>0</v>
      </c>
      <c r="K3446" t="n">
        <v>0</v>
      </c>
      <c r="L3446" t="n">
        <v>0</v>
      </c>
      <c r="M3446" t="n">
        <v>0</v>
      </c>
      <c r="N3446" t="n">
        <v>0</v>
      </c>
      <c r="O3446" t="n">
        <v>0</v>
      </c>
      <c r="P3446" t="n">
        <v>0</v>
      </c>
      <c r="Q3446" t="n">
        <v>0</v>
      </c>
      <c r="R3446" s="2" t="inlineStr"/>
    </row>
    <row r="3447" ht="15" customHeight="1">
      <c r="A3447" t="inlineStr">
        <is>
          <t>A 56249-2024</t>
        </is>
      </c>
      <c r="B3447" s="1" t="n">
        <v>45624</v>
      </c>
      <c r="C3447" s="1" t="n">
        <v>45670</v>
      </c>
      <c r="D3447" t="inlineStr">
        <is>
          <t>VÄSTERNORRLANDS LÄN</t>
        </is>
      </c>
      <c r="E3447" t="inlineStr">
        <is>
          <t>SOLLEFTEÅ</t>
        </is>
      </c>
      <c r="F3447" t="inlineStr">
        <is>
          <t>SCA</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56257-2024</t>
        </is>
      </c>
      <c r="B3448" s="1" t="n">
        <v>45624</v>
      </c>
      <c r="C3448" s="1" t="n">
        <v>45670</v>
      </c>
      <c r="D3448" t="inlineStr">
        <is>
          <t>VÄSTERNORRLANDS LÄN</t>
        </is>
      </c>
      <c r="E3448" t="inlineStr">
        <is>
          <t>SOLLEFTEÅ</t>
        </is>
      </c>
      <c r="G3448" t="n">
        <v>7.4</v>
      </c>
      <c r="H3448" t="n">
        <v>0</v>
      </c>
      <c r="I3448" t="n">
        <v>0</v>
      </c>
      <c r="J3448" t="n">
        <v>0</v>
      </c>
      <c r="K3448" t="n">
        <v>0</v>
      </c>
      <c r="L3448" t="n">
        <v>0</v>
      </c>
      <c r="M3448" t="n">
        <v>0</v>
      </c>
      <c r="N3448" t="n">
        <v>0</v>
      </c>
      <c r="O3448" t="n">
        <v>0</v>
      </c>
      <c r="P3448" t="n">
        <v>0</v>
      </c>
      <c r="Q3448" t="n">
        <v>0</v>
      </c>
      <c r="R3448" s="2" t="inlineStr"/>
    </row>
    <row r="3449" ht="15" customHeight="1">
      <c r="A3449" t="inlineStr">
        <is>
          <t>A 56265-2024</t>
        </is>
      </c>
      <c r="B3449" s="1" t="n">
        <v>45624</v>
      </c>
      <c r="C3449" s="1" t="n">
        <v>45670</v>
      </c>
      <c r="D3449" t="inlineStr">
        <is>
          <t>VÄSTERNORRLANDS LÄN</t>
        </is>
      </c>
      <c r="E3449" t="inlineStr">
        <is>
          <t>SOLLEFTEÅ</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56273-2024</t>
        </is>
      </c>
      <c r="B3450" s="1" t="n">
        <v>45624</v>
      </c>
      <c r="C3450" s="1" t="n">
        <v>45670</v>
      </c>
      <c r="D3450" t="inlineStr">
        <is>
          <t>VÄSTERNORRLANDS LÄN</t>
        </is>
      </c>
      <c r="E3450" t="inlineStr">
        <is>
          <t>SOLLEFTEÅ</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56387-2024</t>
        </is>
      </c>
      <c r="B3451" s="1" t="n">
        <v>45625</v>
      </c>
      <c r="C3451" s="1" t="n">
        <v>45670</v>
      </c>
      <c r="D3451" t="inlineStr">
        <is>
          <t>VÄSTERNORRLANDS LÄN</t>
        </is>
      </c>
      <c r="E3451" t="inlineStr">
        <is>
          <t>SOLLEFTEÅ</t>
        </is>
      </c>
      <c r="F3451" t="inlineStr">
        <is>
          <t>SCA</t>
        </is>
      </c>
      <c r="G3451" t="n">
        <v>10.6</v>
      </c>
      <c r="H3451" t="n">
        <v>0</v>
      </c>
      <c r="I3451" t="n">
        <v>0</v>
      </c>
      <c r="J3451" t="n">
        <v>0</v>
      </c>
      <c r="K3451" t="n">
        <v>0</v>
      </c>
      <c r="L3451" t="n">
        <v>0</v>
      </c>
      <c r="M3451" t="n">
        <v>0</v>
      </c>
      <c r="N3451" t="n">
        <v>0</v>
      </c>
      <c r="O3451" t="n">
        <v>0</v>
      </c>
      <c r="P3451" t="n">
        <v>0</v>
      </c>
      <c r="Q3451" t="n">
        <v>0</v>
      </c>
      <c r="R3451" s="2" t="inlineStr"/>
    </row>
    <row r="3452" ht="15" customHeight="1">
      <c r="A3452" t="inlineStr">
        <is>
          <t>A 56408-2024</t>
        </is>
      </c>
      <c r="B3452" s="1" t="n">
        <v>45625</v>
      </c>
      <c r="C3452" s="1" t="n">
        <v>45670</v>
      </c>
      <c r="D3452" t="inlineStr">
        <is>
          <t>VÄSTERNORRLANDS LÄN</t>
        </is>
      </c>
      <c r="E3452" t="inlineStr">
        <is>
          <t>SOLLEFTEÅ</t>
        </is>
      </c>
      <c r="F3452" t="inlineStr">
        <is>
          <t>SCA</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56433-2024</t>
        </is>
      </c>
      <c r="B3453" s="1" t="n">
        <v>45625</v>
      </c>
      <c r="C3453" s="1" t="n">
        <v>45670</v>
      </c>
      <c r="D3453" t="inlineStr">
        <is>
          <t>VÄSTERNORRLANDS LÄN</t>
        </is>
      </c>
      <c r="E3453" t="inlineStr">
        <is>
          <t>SOLLEFTEÅ</t>
        </is>
      </c>
      <c r="F3453" t="inlineStr">
        <is>
          <t>SCA</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56388-2024</t>
        </is>
      </c>
      <c r="B3454" s="1" t="n">
        <v>45625</v>
      </c>
      <c r="C3454" s="1" t="n">
        <v>45670</v>
      </c>
      <c r="D3454" t="inlineStr">
        <is>
          <t>VÄSTERNORRLANDS LÄN</t>
        </is>
      </c>
      <c r="E3454" t="inlineStr">
        <is>
          <t>SOLLEFTEÅ</t>
        </is>
      </c>
      <c r="F3454" t="inlineStr">
        <is>
          <t>SCA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56398-2024</t>
        </is>
      </c>
      <c r="B3455" s="1" t="n">
        <v>45625</v>
      </c>
      <c r="C3455" s="1" t="n">
        <v>45670</v>
      </c>
      <c r="D3455" t="inlineStr">
        <is>
          <t>VÄSTERNORRLANDS LÄN</t>
        </is>
      </c>
      <c r="E3455" t="inlineStr">
        <is>
          <t>SOLLEFTEÅ</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56431-2024</t>
        </is>
      </c>
      <c r="B3456" s="1" t="n">
        <v>45625</v>
      </c>
      <c r="C3456" s="1" t="n">
        <v>45670</v>
      </c>
      <c r="D3456" t="inlineStr">
        <is>
          <t>VÄSTERNORRLANDS LÄN</t>
        </is>
      </c>
      <c r="E3456" t="inlineStr">
        <is>
          <t>SOLLEFTEÅ</t>
        </is>
      </c>
      <c r="F3456" t="inlineStr">
        <is>
          <t>SCA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56390-2024</t>
        </is>
      </c>
      <c r="B3457" s="1" t="n">
        <v>45625</v>
      </c>
      <c r="C3457" s="1" t="n">
        <v>45670</v>
      </c>
      <c r="D3457" t="inlineStr">
        <is>
          <t>VÄSTERNORRLANDS LÄN</t>
        </is>
      </c>
      <c r="E3457" t="inlineStr">
        <is>
          <t>SOLLEFTEÅ</t>
        </is>
      </c>
      <c r="F3457" t="inlineStr">
        <is>
          <t>SCA</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56503-2024</t>
        </is>
      </c>
      <c r="B3458" s="1" t="n">
        <v>45625</v>
      </c>
      <c r="C3458" s="1" t="n">
        <v>45670</v>
      </c>
      <c r="D3458" t="inlineStr">
        <is>
          <t>VÄSTERNORRLANDS LÄN</t>
        </is>
      </c>
      <c r="E3458" t="inlineStr">
        <is>
          <t>SOLLEFTEÅ</t>
        </is>
      </c>
      <c r="F3458" t="inlineStr">
        <is>
          <t>Holmen skog AB</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56871-2024</t>
        </is>
      </c>
      <c r="B3459" s="1" t="n">
        <v>45628</v>
      </c>
      <c r="C3459" s="1" t="n">
        <v>45670</v>
      </c>
      <c r="D3459" t="inlineStr">
        <is>
          <t>VÄSTERNORRLANDS LÄN</t>
        </is>
      </c>
      <c r="E3459" t="inlineStr">
        <is>
          <t>SOLLEFTEÅ</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56861-2024</t>
        </is>
      </c>
      <c r="B3460" s="1" t="n">
        <v>45628</v>
      </c>
      <c r="C3460" s="1" t="n">
        <v>45670</v>
      </c>
      <c r="D3460" t="inlineStr">
        <is>
          <t>VÄSTERNORRLANDS LÄN</t>
        </is>
      </c>
      <c r="E3460" t="inlineStr">
        <is>
          <t>SOLLEFTEÅ</t>
        </is>
      </c>
      <c r="G3460" t="n">
        <v>13.5</v>
      </c>
      <c r="H3460" t="n">
        <v>0</v>
      </c>
      <c r="I3460" t="n">
        <v>0</v>
      </c>
      <c r="J3460" t="n">
        <v>0</v>
      </c>
      <c r="K3460" t="n">
        <v>0</v>
      </c>
      <c r="L3460" t="n">
        <v>0</v>
      </c>
      <c r="M3460" t="n">
        <v>0</v>
      </c>
      <c r="N3460" t="n">
        <v>0</v>
      </c>
      <c r="O3460" t="n">
        <v>0</v>
      </c>
      <c r="P3460" t="n">
        <v>0</v>
      </c>
      <c r="Q3460" t="n">
        <v>0</v>
      </c>
      <c r="R3460" s="2" t="inlineStr"/>
    </row>
    <row r="3461" ht="15" customHeight="1">
      <c r="A3461" t="inlineStr">
        <is>
          <t>A 57078-2024</t>
        </is>
      </c>
      <c r="B3461" s="1" t="n">
        <v>45629</v>
      </c>
      <c r="C3461" s="1" t="n">
        <v>45670</v>
      </c>
      <c r="D3461" t="inlineStr">
        <is>
          <t>VÄSTERNORRLANDS LÄN</t>
        </is>
      </c>
      <c r="E3461" t="inlineStr">
        <is>
          <t>SOLLEFTEÅ</t>
        </is>
      </c>
      <c r="F3461" t="inlineStr">
        <is>
          <t>SCA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57317-2024</t>
        </is>
      </c>
      <c r="B3462" s="1" t="n">
        <v>45629</v>
      </c>
      <c r="C3462" s="1" t="n">
        <v>45670</v>
      </c>
      <c r="D3462" t="inlineStr">
        <is>
          <t>VÄSTERNORRLANDS LÄN</t>
        </is>
      </c>
      <c r="E3462" t="inlineStr">
        <is>
          <t>SOLLEFTEÅ</t>
        </is>
      </c>
      <c r="F3462" t="inlineStr">
        <is>
          <t>SCA</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57377-2024</t>
        </is>
      </c>
      <c r="B3463" s="1" t="n">
        <v>45629</v>
      </c>
      <c r="C3463" s="1" t="n">
        <v>45670</v>
      </c>
      <c r="D3463" t="inlineStr">
        <is>
          <t>VÄSTERNORRLANDS LÄN</t>
        </is>
      </c>
      <c r="E3463" t="inlineStr">
        <is>
          <t>SOLLEFTEÅ</t>
        </is>
      </c>
      <c r="F3463" t="inlineStr">
        <is>
          <t>SCA</t>
        </is>
      </c>
      <c r="G3463" t="n">
        <v>7.3</v>
      </c>
      <c r="H3463" t="n">
        <v>0</v>
      </c>
      <c r="I3463" t="n">
        <v>0</v>
      </c>
      <c r="J3463" t="n">
        <v>0</v>
      </c>
      <c r="K3463" t="n">
        <v>0</v>
      </c>
      <c r="L3463" t="n">
        <v>0</v>
      </c>
      <c r="M3463" t="n">
        <v>0</v>
      </c>
      <c r="N3463" t="n">
        <v>0</v>
      </c>
      <c r="O3463" t="n">
        <v>0</v>
      </c>
      <c r="P3463" t="n">
        <v>0</v>
      </c>
      <c r="Q3463" t="n">
        <v>0</v>
      </c>
      <c r="R3463" s="2" t="inlineStr"/>
    </row>
    <row r="3464" ht="15" customHeight="1">
      <c r="A3464" t="inlineStr">
        <is>
          <t>A 57101-2024</t>
        </is>
      </c>
      <c r="B3464" s="1" t="n">
        <v>45629</v>
      </c>
      <c r="C3464" s="1" t="n">
        <v>45670</v>
      </c>
      <c r="D3464" t="inlineStr">
        <is>
          <t>VÄSTERNORRLANDS LÄN</t>
        </is>
      </c>
      <c r="E3464" t="inlineStr">
        <is>
          <t>SOLLEFTEÅ</t>
        </is>
      </c>
      <c r="F3464" t="inlineStr">
        <is>
          <t>SCA</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57094-2024</t>
        </is>
      </c>
      <c r="B3465" s="1" t="n">
        <v>45629</v>
      </c>
      <c r="C3465" s="1" t="n">
        <v>45670</v>
      </c>
      <c r="D3465" t="inlineStr">
        <is>
          <t>VÄSTERNORRLANDS LÄN</t>
        </is>
      </c>
      <c r="E3465" t="inlineStr">
        <is>
          <t>SOLLEFTEÅ</t>
        </is>
      </c>
      <c r="F3465" t="inlineStr">
        <is>
          <t>SCA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57107-2024</t>
        </is>
      </c>
      <c r="B3466" s="1" t="n">
        <v>45629</v>
      </c>
      <c r="C3466" s="1" t="n">
        <v>45670</v>
      </c>
      <c r="D3466" t="inlineStr">
        <is>
          <t>VÄSTERNORRLANDS LÄN</t>
        </is>
      </c>
      <c r="E3466" t="inlineStr">
        <is>
          <t>SOLLEFTEÅ</t>
        </is>
      </c>
      <c r="F3466" t="inlineStr">
        <is>
          <t>SCA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57492-2024</t>
        </is>
      </c>
      <c r="B3467" s="1" t="n">
        <v>45630</v>
      </c>
      <c r="C3467" s="1" t="n">
        <v>45670</v>
      </c>
      <c r="D3467" t="inlineStr">
        <is>
          <t>VÄSTERNORRLANDS LÄN</t>
        </is>
      </c>
      <c r="E3467" t="inlineStr">
        <is>
          <t>SOLLEFTEÅ</t>
        </is>
      </c>
      <c r="F3467" t="inlineStr">
        <is>
          <t>Holmen skog AB</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57639-2024</t>
        </is>
      </c>
      <c r="B3468" s="1" t="n">
        <v>45630</v>
      </c>
      <c r="C3468" s="1" t="n">
        <v>45670</v>
      </c>
      <c r="D3468" t="inlineStr">
        <is>
          <t>VÄSTERNORRLANDS LÄN</t>
        </is>
      </c>
      <c r="E3468" t="inlineStr">
        <is>
          <t>SOLLEFTEÅ</t>
        </is>
      </c>
      <c r="F3468" t="inlineStr">
        <is>
          <t>SCA</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57487-2024</t>
        </is>
      </c>
      <c r="B3469" s="1" t="n">
        <v>45630</v>
      </c>
      <c r="C3469" s="1" t="n">
        <v>45670</v>
      </c>
      <c r="D3469" t="inlineStr">
        <is>
          <t>VÄSTERNORRLANDS LÄN</t>
        </is>
      </c>
      <c r="E3469" t="inlineStr">
        <is>
          <t>SOLLEFTEÅ</t>
        </is>
      </c>
      <c r="F3469" t="inlineStr">
        <is>
          <t>Holmen skog AB</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57677-2024</t>
        </is>
      </c>
      <c r="B3470" s="1" t="n">
        <v>45630</v>
      </c>
      <c r="C3470" s="1" t="n">
        <v>45670</v>
      </c>
      <c r="D3470" t="inlineStr">
        <is>
          <t>VÄSTERNORRLANDS LÄN</t>
        </is>
      </c>
      <c r="E3470" t="inlineStr">
        <is>
          <t>SOLLEFTEÅ</t>
        </is>
      </c>
      <c r="F3470" t="inlineStr">
        <is>
          <t>SCA</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57800-2024</t>
        </is>
      </c>
      <c r="B3471" s="1" t="n">
        <v>45631</v>
      </c>
      <c r="C3471" s="1" t="n">
        <v>45670</v>
      </c>
      <c r="D3471" t="inlineStr">
        <is>
          <t>VÄSTERNORRLANDS LÄN</t>
        </is>
      </c>
      <c r="E3471" t="inlineStr">
        <is>
          <t>SOLLEFTEÅ</t>
        </is>
      </c>
      <c r="F3471" t="inlineStr">
        <is>
          <t>SCA</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57847-2024</t>
        </is>
      </c>
      <c r="B3472" s="1" t="n">
        <v>45631</v>
      </c>
      <c r="C3472" s="1" t="n">
        <v>45670</v>
      </c>
      <c r="D3472" t="inlineStr">
        <is>
          <t>VÄSTERNORRLANDS LÄN</t>
        </is>
      </c>
      <c r="E3472" t="inlineStr">
        <is>
          <t>SOLLEFTEÅ</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57892-2024</t>
        </is>
      </c>
      <c r="B3473" s="1" t="n">
        <v>45631</v>
      </c>
      <c r="C3473" s="1" t="n">
        <v>45670</v>
      </c>
      <c r="D3473" t="inlineStr">
        <is>
          <t>VÄSTERNORRLANDS LÄN</t>
        </is>
      </c>
      <c r="E3473" t="inlineStr">
        <is>
          <t>SOLLEFTEÅ</t>
        </is>
      </c>
      <c r="F3473" t="inlineStr">
        <is>
          <t>SCA</t>
        </is>
      </c>
      <c r="G3473" t="n">
        <v>13.8</v>
      </c>
      <c r="H3473" t="n">
        <v>0</v>
      </c>
      <c r="I3473" t="n">
        <v>0</v>
      </c>
      <c r="J3473" t="n">
        <v>0</v>
      </c>
      <c r="K3473" t="n">
        <v>0</v>
      </c>
      <c r="L3473" t="n">
        <v>0</v>
      </c>
      <c r="M3473" t="n">
        <v>0</v>
      </c>
      <c r="N3473" t="n">
        <v>0</v>
      </c>
      <c r="O3473" t="n">
        <v>0</v>
      </c>
      <c r="P3473" t="n">
        <v>0</v>
      </c>
      <c r="Q3473" t="n">
        <v>0</v>
      </c>
      <c r="R3473" s="2" t="inlineStr"/>
    </row>
    <row r="3474" ht="15" customHeight="1">
      <c r="A3474" t="inlineStr">
        <is>
          <t>A 57846-2024</t>
        </is>
      </c>
      <c r="B3474" s="1" t="n">
        <v>45631</v>
      </c>
      <c r="C3474" s="1" t="n">
        <v>45670</v>
      </c>
      <c r="D3474" t="inlineStr">
        <is>
          <t>VÄSTERNORRLANDS LÄN</t>
        </is>
      </c>
      <c r="E3474" t="inlineStr">
        <is>
          <t>SOLLEFTEÅ</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57922-2024</t>
        </is>
      </c>
      <c r="B3475" s="1" t="n">
        <v>45631</v>
      </c>
      <c r="C3475" s="1" t="n">
        <v>45670</v>
      </c>
      <c r="D3475" t="inlineStr">
        <is>
          <t>VÄSTERNORRLANDS LÄN</t>
        </is>
      </c>
      <c r="E3475" t="inlineStr">
        <is>
          <t>SOLLEFTEÅ</t>
        </is>
      </c>
      <c r="F3475" t="inlineStr">
        <is>
          <t>SCA</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58226-2024</t>
        </is>
      </c>
      <c r="B3476" s="1" t="n">
        <v>45632</v>
      </c>
      <c r="C3476" s="1" t="n">
        <v>45670</v>
      </c>
      <c r="D3476" t="inlineStr">
        <is>
          <t>VÄSTERNORRLANDS LÄN</t>
        </is>
      </c>
      <c r="E3476" t="inlineStr">
        <is>
          <t>SOLLEFTEÅ</t>
        </is>
      </c>
      <c r="F3476" t="inlineStr">
        <is>
          <t>SCA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58360-2024</t>
        </is>
      </c>
      <c r="B3477" s="1" t="n">
        <v>45632</v>
      </c>
      <c r="C3477" s="1" t="n">
        <v>45670</v>
      </c>
      <c r="D3477" t="inlineStr">
        <is>
          <t>VÄSTERNORRLANDS LÄN</t>
        </is>
      </c>
      <c r="E3477" t="inlineStr">
        <is>
          <t>SOLLEFTEÅ</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58357-2024</t>
        </is>
      </c>
      <c r="B3478" s="1" t="n">
        <v>45632</v>
      </c>
      <c r="C3478" s="1" t="n">
        <v>45670</v>
      </c>
      <c r="D3478" t="inlineStr">
        <is>
          <t>VÄSTERNORRLANDS LÄN</t>
        </is>
      </c>
      <c r="E3478" t="inlineStr">
        <is>
          <t>SOLLEFTEÅ</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58461-2024</t>
        </is>
      </c>
      <c r="B3479" s="1" t="n">
        <v>45635</v>
      </c>
      <c r="C3479" s="1" t="n">
        <v>45670</v>
      </c>
      <c r="D3479" t="inlineStr">
        <is>
          <t>VÄSTERNORRLANDS LÄN</t>
        </is>
      </c>
      <c r="E3479" t="inlineStr">
        <is>
          <t>SOLLEFTEÅ</t>
        </is>
      </c>
      <c r="F3479" t="inlineStr">
        <is>
          <t>SCA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58478-2024</t>
        </is>
      </c>
      <c r="B3480" s="1" t="n">
        <v>45635</v>
      </c>
      <c r="C3480" s="1" t="n">
        <v>45670</v>
      </c>
      <c r="D3480" t="inlineStr">
        <is>
          <t>VÄSTERNORRLANDS LÄN</t>
        </is>
      </c>
      <c r="E3480" t="inlineStr">
        <is>
          <t>SOLLEFTEÅ</t>
        </is>
      </c>
      <c r="F3480" t="inlineStr">
        <is>
          <t>SCA</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58463-2024</t>
        </is>
      </c>
      <c r="B3481" s="1" t="n">
        <v>45635</v>
      </c>
      <c r="C3481" s="1" t="n">
        <v>45670</v>
      </c>
      <c r="D3481" t="inlineStr">
        <is>
          <t>VÄSTERNORRLANDS LÄN</t>
        </is>
      </c>
      <c r="E3481" t="inlineStr">
        <is>
          <t>SOLLEFTEÅ</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58531-2024</t>
        </is>
      </c>
      <c r="B3482" s="1" t="n">
        <v>45635</v>
      </c>
      <c r="C3482" s="1" t="n">
        <v>45670</v>
      </c>
      <c r="D3482" t="inlineStr">
        <is>
          <t>VÄSTERNORRLANDS LÄN</t>
        </is>
      </c>
      <c r="E3482" t="inlineStr">
        <is>
          <t>SOLLEFTEÅ</t>
        </is>
      </c>
      <c r="F3482" t="inlineStr">
        <is>
          <t>SCA</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58578-2024</t>
        </is>
      </c>
      <c r="B3483" s="1" t="n">
        <v>45635</v>
      </c>
      <c r="C3483" s="1" t="n">
        <v>45670</v>
      </c>
      <c r="D3483" t="inlineStr">
        <is>
          <t>VÄSTERNORRLANDS LÄN</t>
        </is>
      </c>
      <c r="E3483" t="inlineStr">
        <is>
          <t>SOLLEFTEÅ</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58588-2024</t>
        </is>
      </c>
      <c r="B3484" s="1" t="n">
        <v>45635</v>
      </c>
      <c r="C3484" s="1" t="n">
        <v>45670</v>
      </c>
      <c r="D3484" t="inlineStr">
        <is>
          <t>VÄSTERNORRLANDS LÄN</t>
        </is>
      </c>
      <c r="E3484" t="inlineStr">
        <is>
          <t>SOLLEFTEÅ</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58462-2024</t>
        </is>
      </c>
      <c r="B3485" s="1" t="n">
        <v>45635</v>
      </c>
      <c r="C3485" s="1" t="n">
        <v>45670</v>
      </c>
      <c r="D3485" t="inlineStr">
        <is>
          <t>VÄSTERNORRLANDS LÄN</t>
        </is>
      </c>
      <c r="E3485" t="inlineStr">
        <is>
          <t>SOLLEFTEÅ</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58694-2024</t>
        </is>
      </c>
      <c r="B3486" s="1" t="n">
        <v>45635</v>
      </c>
      <c r="C3486" s="1" t="n">
        <v>45670</v>
      </c>
      <c r="D3486" t="inlineStr">
        <is>
          <t>VÄSTERNORRLANDS LÄN</t>
        </is>
      </c>
      <c r="E3486" t="inlineStr">
        <is>
          <t>SOLLEFTEÅ</t>
        </is>
      </c>
      <c r="F3486" t="inlineStr">
        <is>
          <t>SCA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58979-2024</t>
        </is>
      </c>
      <c r="B3487" s="1" t="n">
        <v>45636</v>
      </c>
      <c r="C3487" s="1" t="n">
        <v>45670</v>
      </c>
      <c r="D3487" t="inlineStr">
        <is>
          <t>VÄSTERNORRLANDS LÄN</t>
        </is>
      </c>
      <c r="E3487" t="inlineStr">
        <is>
          <t>SOLLEFTEÅ</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58995-2024</t>
        </is>
      </c>
      <c r="B3488" s="1" t="n">
        <v>45636</v>
      </c>
      <c r="C3488" s="1" t="n">
        <v>45670</v>
      </c>
      <c r="D3488" t="inlineStr">
        <is>
          <t>VÄSTERNORRLANDS LÄN</t>
        </is>
      </c>
      <c r="E3488" t="inlineStr">
        <is>
          <t>SOLLEFTEÅ</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58931-2024</t>
        </is>
      </c>
      <c r="B3489" s="1" t="n">
        <v>45636</v>
      </c>
      <c r="C3489" s="1" t="n">
        <v>45670</v>
      </c>
      <c r="D3489" t="inlineStr">
        <is>
          <t>VÄSTERNORRLANDS LÄN</t>
        </is>
      </c>
      <c r="E3489" t="inlineStr">
        <is>
          <t>SOLLEFTEÅ</t>
        </is>
      </c>
      <c r="F3489" t="inlineStr">
        <is>
          <t>SCA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58994-2024</t>
        </is>
      </c>
      <c r="B3490" s="1" t="n">
        <v>45636</v>
      </c>
      <c r="C3490" s="1" t="n">
        <v>45670</v>
      </c>
      <c r="D3490" t="inlineStr">
        <is>
          <t>VÄSTERNORRLANDS LÄN</t>
        </is>
      </c>
      <c r="E3490" t="inlineStr">
        <is>
          <t>SOLLEFTEÅ</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58845-2024</t>
        </is>
      </c>
      <c r="B3491" s="1" t="n">
        <v>45636</v>
      </c>
      <c r="C3491" s="1" t="n">
        <v>45670</v>
      </c>
      <c r="D3491" t="inlineStr">
        <is>
          <t>VÄSTERNORRLANDS LÄN</t>
        </is>
      </c>
      <c r="E3491" t="inlineStr">
        <is>
          <t>SOLLEFTEÅ</t>
        </is>
      </c>
      <c r="F3491" t="inlineStr">
        <is>
          <t>SCA</t>
        </is>
      </c>
      <c r="G3491" t="n">
        <v>11.3</v>
      </c>
      <c r="H3491" t="n">
        <v>0</v>
      </c>
      <c r="I3491" t="n">
        <v>0</v>
      </c>
      <c r="J3491" t="n">
        <v>0</v>
      </c>
      <c r="K3491" t="n">
        <v>0</v>
      </c>
      <c r="L3491" t="n">
        <v>0</v>
      </c>
      <c r="M3491" t="n">
        <v>0</v>
      </c>
      <c r="N3491" t="n">
        <v>0</v>
      </c>
      <c r="O3491" t="n">
        <v>0</v>
      </c>
      <c r="P3491" t="n">
        <v>0</v>
      </c>
      <c r="Q3491" t="n">
        <v>0</v>
      </c>
      <c r="R3491" s="2" t="inlineStr"/>
    </row>
    <row r="3492" ht="15" customHeight="1">
      <c r="A3492" t="inlineStr">
        <is>
          <t>A 58841-2024</t>
        </is>
      </c>
      <c r="B3492" s="1" t="n">
        <v>45636</v>
      </c>
      <c r="C3492" s="1" t="n">
        <v>45670</v>
      </c>
      <c r="D3492" t="inlineStr">
        <is>
          <t>VÄSTERNORRLANDS LÄN</t>
        </is>
      </c>
      <c r="E3492" t="inlineStr">
        <is>
          <t>SOLLEFTEÅ</t>
        </is>
      </c>
      <c r="F3492" t="inlineStr">
        <is>
          <t>SCA</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58808-2024</t>
        </is>
      </c>
      <c r="B3493" s="1" t="n">
        <v>45636</v>
      </c>
      <c r="C3493" s="1" t="n">
        <v>45670</v>
      </c>
      <c r="D3493" t="inlineStr">
        <is>
          <t>VÄSTERNORRLANDS LÄN</t>
        </is>
      </c>
      <c r="E3493" t="inlineStr">
        <is>
          <t>SOLLEFTEÅ</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59105-2024</t>
        </is>
      </c>
      <c r="B3494" s="1" t="n">
        <v>45637</v>
      </c>
      <c r="C3494" s="1" t="n">
        <v>45670</v>
      </c>
      <c r="D3494" t="inlineStr">
        <is>
          <t>VÄSTERNORRLANDS LÄN</t>
        </is>
      </c>
      <c r="E3494" t="inlineStr">
        <is>
          <t>SOLLEFTEÅ</t>
        </is>
      </c>
      <c r="F3494" t="inlineStr">
        <is>
          <t>SCA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59144-2024</t>
        </is>
      </c>
      <c r="B3495" s="1" t="n">
        <v>45637</v>
      </c>
      <c r="C3495" s="1" t="n">
        <v>45670</v>
      </c>
      <c r="D3495" t="inlineStr">
        <is>
          <t>VÄSTERNORRLANDS LÄN</t>
        </is>
      </c>
      <c r="E3495" t="inlineStr">
        <is>
          <t>SOLLEFTEÅ</t>
        </is>
      </c>
      <c r="F3495" t="inlineStr">
        <is>
          <t>SCA</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59179-2024</t>
        </is>
      </c>
      <c r="B3496" s="1" t="n">
        <v>45637</v>
      </c>
      <c r="C3496" s="1" t="n">
        <v>45670</v>
      </c>
      <c r="D3496" t="inlineStr">
        <is>
          <t>VÄSTERNORRLANDS LÄN</t>
        </is>
      </c>
      <c r="E3496" t="inlineStr">
        <is>
          <t>SOLLEFTEÅ</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59308-2024</t>
        </is>
      </c>
      <c r="B3497" s="1" t="n">
        <v>45637</v>
      </c>
      <c r="C3497" s="1" t="n">
        <v>45670</v>
      </c>
      <c r="D3497" t="inlineStr">
        <is>
          <t>VÄSTERNORRLANDS LÄN</t>
        </is>
      </c>
      <c r="E3497" t="inlineStr">
        <is>
          <t>SOLLEFTEÅ</t>
        </is>
      </c>
      <c r="F3497" t="inlineStr">
        <is>
          <t>SCA</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59317-2024</t>
        </is>
      </c>
      <c r="B3498" s="1" t="n">
        <v>45637</v>
      </c>
      <c r="C3498" s="1" t="n">
        <v>45670</v>
      </c>
      <c r="D3498" t="inlineStr">
        <is>
          <t>VÄSTERNORRLANDS LÄN</t>
        </is>
      </c>
      <c r="E3498" t="inlineStr">
        <is>
          <t>SOLLEFTEÅ</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59491-2024</t>
        </is>
      </c>
      <c r="B3499" s="1" t="n">
        <v>45637</v>
      </c>
      <c r="C3499" s="1" t="n">
        <v>45670</v>
      </c>
      <c r="D3499" t="inlineStr">
        <is>
          <t>VÄSTERNORRLANDS LÄN</t>
        </is>
      </c>
      <c r="E3499" t="inlineStr">
        <is>
          <t>SOLLEFTEÅ</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59563-2024</t>
        </is>
      </c>
      <c r="B3500" s="1" t="n">
        <v>45638</v>
      </c>
      <c r="C3500" s="1" t="n">
        <v>45670</v>
      </c>
      <c r="D3500" t="inlineStr">
        <is>
          <t>VÄSTERNORRLANDS LÄN</t>
        </is>
      </c>
      <c r="E3500" t="inlineStr">
        <is>
          <t>SOLLEFTEÅ</t>
        </is>
      </c>
      <c r="F3500" t="inlineStr">
        <is>
          <t>SCA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59567-2024</t>
        </is>
      </c>
      <c r="B3501" s="1" t="n">
        <v>45638</v>
      </c>
      <c r="C3501" s="1" t="n">
        <v>45670</v>
      </c>
      <c r="D3501" t="inlineStr">
        <is>
          <t>VÄSTERNORRLANDS LÄN</t>
        </is>
      </c>
      <c r="E3501" t="inlineStr">
        <is>
          <t>SOLLEFTEÅ</t>
        </is>
      </c>
      <c r="F3501" t="inlineStr">
        <is>
          <t>SCA</t>
        </is>
      </c>
      <c r="G3501" t="n">
        <v>13.8</v>
      </c>
      <c r="H3501" t="n">
        <v>0</v>
      </c>
      <c r="I3501" t="n">
        <v>0</v>
      </c>
      <c r="J3501" t="n">
        <v>0</v>
      </c>
      <c r="K3501" t="n">
        <v>0</v>
      </c>
      <c r="L3501" t="n">
        <v>0</v>
      </c>
      <c r="M3501" t="n">
        <v>0</v>
      </c>
      <c r="N3501" t="n">
        <v>0</v>
      </c>
      <c r="O3501" t="n">
        <v>0</v>
      </c>
      <c r="P3501" t="n">
        <v>0</v>
      </c>
      <c r="Q3501" t="n">
        <v>0</v>
      </c>
      <c r="R3501" s="2" t="inlineStr"/>
    </row>
    <row r="3502" ht="15" customHeight="1">
      <c r="A3502" t="inlineStr">
        <is>
          <t>A 59564-2024</t>
        </is>
      </c>
      <c r="B3502" s="1" t="n">
        <v>45638</v>
      </c>
      <c r="C3502" s="1" t="n">
        <v>45670</v>
      </c>
      <c r="D3502" t="inlineStr">
        <is>
          <t>VÄSTERNORRLANDS LÄN</t>
        </is>
      </c>
      <c r="E3502" t="inlineStr">
        <is>
          <t>SOLLEFTEÅ</t>
        </is>
      </c>
      <c r="F3502" t="inlineStr">
        <is>
          <t>SCA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59558-2024</t>
        </is>
      </c>
      <c r="B3503" s="1" t="n">
        <v>45638</v>
      </c>
      <c r="C3503" s="1" t="n">
        <v>45670</v>
      </c>
      <c r="D3503" t="inlineStr">
        <is>
          <t>VÄSTERNORRLANDS LÄN</t>
        </is>
      </c>
      <c r="E3503" t="inlineStr">
        <is>
          <t>SOLLEFTEÅ</t>
        </is>
      </c>
      <c r="G3503" t="n">
        <v>8.9</v>
      </c>
      <c r="H3503" t="n">
        <v>0</v>
      </c>
      <c r="I3503" t="n">
        <v>0</v>
      </c>
      <c r="J3503" t="n">
        <v>0</v>
      </c>
      <c r="K3503" t="n">
        <v>0</v>
      </c>
      <c r="L3503" t="n">
        <v>0</v>
      </c>
      <c r="M3503" t="n">
        <v>0</v>
      </c>
      <c r="N3503" t="n">
        <v>0</v>
      </c>
      <c r="O3503" t="n">
        <v>0</v>
      </c>
      <c r="P3503" t="n">
        <v>0</v>
      </c>
      <c r="Q3503" t="n">
        <v>0</v>
      </c>
      <c r="R3503" s="2" t="inlineStr"/>
    </row>
    <row r="3504" ht="15" customHeight="1">
      <c r="A3504" t="inlineStr">
        <is>
          <t>A 59566-2024</t>
        </is>
      </c>
      <c r="B3504" s="1" t="n">
        <v>45638</v>
      </c>
      <c r="C3504" s="1" t="n">
        <v>45670</v>
      </c>
      <c r="D3504" t="inlineStr">
        <is>
          <t>VÄSTERNORRLANDS LÄN</t>
        </is>
      </c>
      <c r="E3504" t="inlineStr">
        <is>
          <t>SOLLEFTEÅ</t>
        </is>
      </c>
      <c r="F3504" t="inlineStr">
        <is>
          <t>SCA</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59434-2024</t>
        </is>
      </c>
      <c r="B3505" s="1" t="n">
        <v>45638</v>
      </c>
      <c r="C3505" s="1" t="n">
        <v>45670</v>
      </c>
      <c r="D3505" t="inlineStr">
        <is>
          <t>VÄSTERNORRLANDS LÄN</t>
        </is>
      </c>
      <c r="E3505" t="inlineStr">
        <is>
          <t>SOLLEFTEÅ</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59426-2024</t>
        </is>
      </c>
      <c r="B3506" s="1" t="n">
        <v>45638</v>
      </c>
      <c r="C3506" s="1" t="n">
        <v>45670</v>
      </c>
      <c r="D3506" t="inlineStr">
        <is>
          <t>VÄSTERNORRLANDS LÄN</t>
        </is>
      </c>
      <c r="E3506" t="inlineStr">
        <is>
          <t>SOLLEFTEÅ</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59422-2024</t>
        </is>
      </c>
      <c r="B3507" s="1" t="n">
        <v>45638</v>
      </c>
      <c r="C3507" s="1" t="n">
        <v>45670</v>
      </c>
      <c r="D3507" t="inlineStr">
        <is>
          <t>VÄSTERNORRLANDS LÄN</t>
        </is>
      </c>
      <c r="E3507" t="inlineStr">
        <is>
          <t>SOLLEFTEÅ</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59418-2024</t>
        </is>
      </c>
      <c r="B3508" s="1" t="n">
        <v>45638</v>
      </c>
      <c r="C3508" s="1" t="n">
        <v>45670</v>
      </c>
      <c r="D3508" t="inlineStr">
        <is>
          <t>VÄSTERNORRLANDS LÄN</t>
        </is>
      </c>
      <c r="E3508" t="inlineStr">
        <is>
          <t>SOLLEFTEÅ</t>
        </is>
      </c>
      <c r="F3508" t="inlineStr">
        <is>
          <t>SCA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59407-2024</t>
        </is>
      </c>
      <c r="B3509" s="1" t="n">
        <v>45638</v>
      </c>
      <c r="C3509" s="1" t="n">
        <v>45670</v>
      </c>
      <c r="D3509" t="inlineStr">
        <is>
          <t>VÄSTERNORRLANDS LÄN</t>
        </is>
      </c>
      <c r="E3509" t="inlineStr">
        <is>
          <t>SOLLEFTEÅ</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59455-2024</t>
        </is>
      </c>
      <c r="B3510" s="1" t="n">
        <v>45638</v>
      </c>
      <c r="C3510" s="1" t="n">
        <v>45670</v>
      </c>
      <c r="D3510" t="inlineStr">
        <is>
          <t>VÄSTERNORRLANDS LÄN</t>
        </is>
      </c>
      <c r="E3510" t="inlineStr">
        <is>
          <t>SOLLEFTEÅ</t>
        </is>
      </c>
      <c r="F3510" t="inlineStr">
        <is>
          <t>SCA</t>
        </is>
      </c>
      <c r="G3510" t="n">
        <v>8.800000000000001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59389-2024</t>
        </is>
      </c>
      <c r="B3511" s="1" t="n">
        <v>45638</v>
      </c>
      <c r="C3511" s="1" t="n">
        <v>45670</v>
      </c>
      <c r="D3511" t="inlineStr">
        <is>
          <t>VÄSTERNORRLANDS LÄN</t>
        </is>
      </c>
      <c r="E3511" t="inlineStr">
        <is>
          <t>SOLLEFTEÅ</t>
        </is>
      </c>
      <c r="F3511" t="inlineStr">
        <is>
          <t>SCA</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59559-2024</t>
        </is>
      </c>
      <c r="B3512" s="1" t="n">
        <v>45638</v>
      </c>
      <c r="C3512" s="1" t="n">
        <v>45670</v>
      </c>
      <c r="D3512" t="inlineStr">
        <is>
          <t>VÄSTERNORRLANDS LÄN</t>
        </is>
      </c>
      <c r="E3512" t="inlineStr">
        <is>
          <t>SOLLEFTEÅ</t>
        </is>
      </c>
      <c r="F3512" t="inlineStr">
        <is>
          <t>SCA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59415-2024</t>
        </is>
      </c>
      <c r="B3513" s="1" t="n">
        <v>45638</v>
      </c>
      <c r="C3513" s="1" t="n">
        <v>45670</v>
      </c>
      <c r="D3513" t="inlineStr">
        <is>
          <t>VÄSTERNORRLANDS LÄN</t>
        </is>
      </c>
      <c r="E3513" t="inlineStr">
        <is>
          <t>SOLLEFTEÅ</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59473-2024</t>
        </is>
      </c>
      <c r="B3514" s="1" t="n">
        <v>45638</v>
      </c>
      <c r="C3514" s="1" t="n">
        <v>45670</v>
      </c>
      <c r="D3514" t="inlineStr">
        <is>
          <t>VÄSTERNORRLANDS LÄN</t>
        </is>
      </c>
      <c r="E3514" t="inlineStr">
        <is>
          <t>SOLLEFTEÅ</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59424-2024</t>
        </is>
      </c>
      <c r="B3515" s="1" t="n">
        <v>45638</v>
      </c>
      <c r="C3515" s="1" t="n">
        <v>45670</v>
      </c>
      <c r="D3515" t="inlineStr">
        <is>
          <t>VÄSTERNORRLANDS LÄN</t>
        </is>
      </c>
      <c r="E3515" t="inlineStr">
        <is>
          <t>SOLLEFTEÅ</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59416-2024</t>
        </is>
      </c>
      <c r="B3516" s="1" t="n">
        <v>45638</v>
      </c>
      <c r="C3516" s="1" t="n">
        <v>45670</v>
      </c>
      <c r="D3516" t="inlineStr">
        <is>
          <t>VÄSTERNORRLANDS LÄN</t>
        </is>
      </c>
      <c r="E3516" t="inlineStr">
        <is>
          <t>SOLLEFTEÅ</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59474-2024</t>
        </is>
      </c>
      <c r="B3517" s="1" t="n">
        <v>45638</v>
      </c>
      <c r="C3517" s="1" t="n">
        <v>45670</v>
      </c>
      <c r="D3517" t="inlineStr">
        <is>
          <t>VÄSTERNORRLANDS LÄN</t>
        </is>
      </c>
      <c r="E3517" t="inlineStr">
        <is>
          <t>SOLLEFTEÅ</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59421-2024</t>
        </is>
      </c>
      <c r="B3518" s="1" t="n">
        <v>45638</v>
      </c>
      <c r="C3518" s="1" t="n">
        <v>45670</v>
      </c>
      <c r="D3518" t="inlineStr">
        <is>
          <t>VÄSTERNORRLANDS LÄN</t>
        </is>
      </c>
      <c r="E3518" t="inlineStr">
        <is>
          <t>SOLLEFTEÅ</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59388-2024</t>
        </is>
      </c>
      <c r="B3519" s="1" t="n">
        <v>45638</v>
      </c>
      <c r="C3519" s="1" t="n">
        <v>45670</v>
      </c>
      <c r="D3519" t="inlineStr">
        <is>
          <t>VÄSTERNORRLANDS LÄN</t>
        </is>
      </c>
      <c r="E3519" t="inlineStr">
        <is>
          <t>SOLLEFTEÅ</t>
        </is>
      </c>
      <c r="F3519" t="inlineStr">
        <is>
          <t>SCA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59725-2024</t>
        </is>
      </c>
      <c r="B3520" s="1" t="n">
        <v>45639</v>
      </c>
      <c r="C3520" s="1" t="n">
        <v>45670</v>
      </c>
      <c r="D3520" t="inlineStr">
        <is>
          <t>VÄSTERNORRLANDS LÄN</t>
        </is>
      </c>
      <c r="E3520" t="inlineStr">
        <is>
          <t>SOLLEFTEÅ</t>
        </is>
      </c>
      <c r="F3520" t="inlineStr">
        <is>
          <t>SCA</t>
        </is>
      </c>
      <c r="G3520" t="n">
        <v>16.3</v>
      </c>
      <c r="H3520" t="n">
        <v>0</v>
      </c>
      <c r="I3520" t="n">
        <v>0</v>
      </c>
      <c r="J3520" t="n">
        <v>0</v>
      </c>
      <c r="K3520" t="n">
        <v>0</v>
      </c>
      <c r="L3520" t="n">
        <v>0</v>
      </c>
      <c r="M3520" t="n">
        <v>0</v>
      </c>
      <c r="N3520" t="n">
        <v>0</v>
      </c>
      <c r="O3520" t="n">
        <v>0</v>
      </c>
      <c r="P3520" t="n">
        <v>0</v>
      </c>
      <c r="Q3520" t="n">
        <v>0</v>
      </c>
      <c r="R3520" s="2" t="inlineStr"/>
    </row>
    <row r="3521" ht="15" customHeight="1">
      <c r="A3521" t="inlineStr">
        <is>
          <t>A 59724-2024</t>
        </is>
      </c>
      <c r="B3521" s="1" t="n">
        <v>45639</v>
      </c>
      <c r="C3521" s="1" t="n">
        <v>45670</v>
      </c>
      <c r="D3521" t="inlineStr">
        <is>
          <t>VÄSTERNORRLANDS LÄN</t>
        </is>
      </c>
      <c r="E3521" t="inlineStr">
        <is>
          <t>SOLLEFTEÅ</t>
        </is>
      </c>
      <c r="F3521" t="inlineStr">
        <is>
          <t>SCA</t>
        </is>
      </c>
      <c r="G3521" t="n">
        <v>9.1</v>
      </c>
      <c r="H3521" t="n">
        <v>0</v>
      </c>
      <c r="I3521" t="n">
        <v>0</v>
      </c>
      <c r="J3521" t="n">
        <v>0</v>
      </c>
      <c r="K3521" t="n">
        <v>0</v>
      </c>
      <c r="L3521" t="n">
        <v>0</v>
      </c>
      <c r="M3521" t="n">
        <v>0</v>
      </c>
      <c r="N3521" t="n">
        <v>0</v>
      </c>
      <c r="O3521" t="n">
        <v>0</v>
      </c>
      <c r="P3521" t="n">
        <v>0</v>
      </c>
      <c r="Q3521" t="n">
        <v>0</v>
      </c>
      <c r="R3521" s="2" t="inlineStr"/>
    </row>
    <row r="3522" ht="15" customHeight="1">
      <c r="A3522" t="inlineStr">
        <is>
          <t>A 59939-2024</t>
        </is>
      </c>
      <c r="B3522" s="1" t="n">
        <v>45642</v>
      </c>
      <c r="C3522" s="1" t="n">
        <v>45670</v>
      </c>
      <c r="D3522" t="inlineStr">
        <is>
          <t>VÄSTERNORRLANDS LÄN</t>
        </is>
      </c>
      <c r="E3522" t="inlineStr">
        <is>
          <t>SOLLEFTEÅ</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59949-2024</t>
        </is>
      </c>
      <c r="B3523" s="1" t="n">
        <v>45642</v>
      </c>
      <c r="C3523" s="1" t="n">
        <v>45670</v>
      </c>
      <c r="D3523" t="inlineStr">
        <is>
          <t>VÄSTERNORRLANDS LÄN</t>
        </is>
      </c>
      <c r="E3523" t="inlineStr">
        <is>
          <t>SOLLEFTEÅ</t>
        </is>
      </c>
      <c r="F3523" t="inlineStr">
        <is>
          <t>SCA</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60024-2024</t>
        </is>
      </c>
      <c r="B3524" s="1" t="n">
        <v>45642</v>
      </c>
      <c r="C3524" s="1" t="n">
        <v>45670</v>
      </c>
      <c r="D3524" t="inlineStr">
        <is>
          <t>VÄSTERNORRLANDS LÄN</t>
        </is>
      </c>
      <c r="E3524" t="inlineStr">
        <is>
          <t>SOLLEFTEÅ</t>
        </is>
      </c>
      <c r="F3524" t="inlineStr">
        <is>
          <t>SCA</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60060-2024</t>
        </is>
      </c>
      <c r="B3525" s="1" t="n">
        <v>45642</v>
      </c>
      <c r="C3525" s="1" t="n">
        <v>45670</v>
      </c>
      <c r="D3525" t="inlineStr">
        <is>
          <t>VÄSTERNORRLANDS LÄN</t>
        </is>
      </c>
      <c r="E3525" t="inlineStr">
        <is>
          <t>SOLLEFTEÅ</t>
        </is>
      </c>
      <c r="F3525" t="inlineStr">
        <is>
          <t>SCA</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60077-2024</t>
        </is>
      </c>
      <c r="B3526" s="1" t="n">
        <v>45642</v>
      </c>
      <c r="C3526" s="1" t="n">
        <v>45670</v>
      </c>
      <c r="D3526" t="inlineStr">
        <is>
          <t>VÄSTERNORRLANDS LÄN</t>
        </is>
      </c>
      <c r="E3526" t="inlineStr">
        <is>
          <t>SOLLEFTEÅ</t>
        </is>
      </c>
      <c r="F3526" t="inlineStr">
        <is>
          <t>SCA</t>
        </is>
      </c>
      <c r="G3526" t="n">
        <v>21.5</v>
      </c>
      <c r="H3526" t="n">
        <v>0</v>
      </c>
      <c r="I3526" t="n">
        <v>0</v>
      </c>
      <c r="J3526" t="n">
        <v>0</v>
      </c>
      <c r="K3526" t="n">
        <v>0</v>
      </c>
      <c r="L3526" t="n">
        <v>0</v>
      </c>
      <c r="M3526" t="n">
        <v>0</v>
      </c>
      <c r="N3526" t="n">
        <v>0</v>
      </c>
      <c r="O3526" t="n">
        <v>0</v>
      </c>
      <c r="P3526" t="n">
        <v>0</v>
      </c>
      <c r="Q3526" t="n">
        <v>0</v>
      </c>
      <c r="R3526" s="2" t="inlineStr"/>
    </row>
    <row r="3527" ht="15" customHeight="1">
      <c r="A3527" t="inlineStr">
        <is>
          <t>A 60154-2024</t>
        </is>
      </c>
      <c r="B3527" s="1" t="n">
        <v>45642</v>
      </c>
      <c r="C3527" s="1" t="n">
        <v>45670</v>
      </c>
      <c r="D3527" t="inlineStr">
        <is>
          <t>VÄSTERNORRLANDS LÄN</t>
        </is>
      </c>
      <c r="E3527" t="inlineStr">
        <is>
          <t>SOLLEFTEÅ</t>
        </is>
      </c>
      <c r="G3527" t="n">
        <v>15.1</v>
      </c>
      <c r="H3527" t="n">
        <v>0</v>
      </c>
      <c r="I3527" t="n">
        <v>0</v>
      </c>
      <c r="J3527" t="n">
        <v>0</v>
      </c>
      <c r="K3527" t="n">
        <v>0</v>
      </c>
      <c r="L3527" t="n">
        <v>0</v>
      </c>
      <c r="M3527" t="n">
        <v>0</v>
      </c>
      <c r="N3527" t="n">
        <v>0</v>
      </c>
      <c r="O3527" t="n">
        <v>0</v>
      </c>
      <c r="P3527" t="n">
        <v>0</v>
      </c>
      <c r="Q3527" t="n">
        <v>0</v>
      </c>
      <c r="R3527" s="2" t="inlineStr"/>
    </row>
    <row r="3528" ht="15" customHeight="1">
      <c r="A3528" t="inlineStr">
        <is>
          <t>A 60177-2024</t>
        </is>
      </c>
      <c r="B3528" s="1" t="n">
        <v>45642</v>
      </c>
      <c r="C3528" s="1" t="n">
        <v>45670</v>
      </c>
      <c r="D3528" t="inlineStr">
        <is>
          <t>VÄSTERNORRLANDS LÄN</t>
        </is>
      </c>
      <c r="E3528" t="inlineStr">
        <is>
          <t>SOLLEFTEÅ</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59985-2024</t>
        </is>
      </c>
      <c r="B3529" s="1" t="n">
        <v>45642</v>
      </c>
      <c r="C3529" s="1" t="n">
        <v>45670</v>
      </c>
      <c r="D3529" t="inlineStr">
        <is>
          <t>VÄSTERNORRLANDS LÄN</t>
        </is>
      </c>
      <c r="E3529" t="inlineStr">
        <is>
          <t>SOLLEFTEÅ</t>
        </is>
      </c>
      <c r="F3529" t="inlineStr">
        <is>
          <t>SCA</t>
        </is>
      </c>
      <c r="G3529" t="n">
        <v>8.5</v>
      </c>
      <c r="H3529" t="n">
        <v>0</v>
      </c>
      <c r="I3529" t="n">
        <v>0</v>
      </c>
      <c r="J3529" t="n">
        <v>0</v>
      </c>
      <c r="K3529" t="n">
        <v>0</v>
      </c>
      <c r="L3529" t="n">
        <v>0</v>
      </c>
      <c r="M3529" t="n">
        <v>0</v>
      </c>
      <c r="N3529" t="n">
        <v>0</v>
      </c>
      <c r="O3529" t="n">
        <v>0</v>
      </c>
      <c r="P3529" t="n">
        <v>0</v>
      </c>
      <c r="Q3529" t="n">
        <v>0</v>
      </c>
      <c r="R3529" s="2" t="inlineStr"/>
    </row>
    <row r="3530" ht="15" customHeight="1">
      <c r="A3530" t="inlineStr">
        <is>
          <t>A 60174-2024</t>
        </is>
      </c>
      <c r="B3530" s="1" t="n">
        <v>45642</v>
      </c>
      <c r="C3530" s="1" t="n">
        <v>45670</v>
      </c>
      <c r="D3530" t="inlineStr">
        <is>
          <t>VÄSTERNORRLANDS LÄN</t>
        </is>
      </c>
      <c r="E3530" t="inlineStr">
        <is>
          <t>SOLLEFTEÅ</t>
        </is>
      </c>
      <c r="F3530" t="inlineStr">
        <is>
          <t>SCA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60748-2024</t>
        </is>
      </c>
      <c r="B3531" s="1" t="n">
        <v>45642</v>
      </c>
      <c r="C3531" s="1" t="n">
        <v>45670</v>
      </c>
      <c r="D3531" t="inlineStr">
        <is>
          <t>VÄSTERNORRLANDS LÄN</t>
        </is>
      </c>
      <c r="E3531" t="inlineStr">
        <is>
          <t>SOLLEFTEÅ</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60741-2024</t>
        </is>
      </c>
      <c r="B3532" s="1" t="n">
        <v>45642</v>
      </c>
      <c r="C3532" s="1" t="n">
        <v>45670</v>
      </c>
      <c r="D3532" t="inlineStr">
        <is>
          <t>VÄSTERNORRLANDS LÄN</t>
        </is>
      </c>
      <c r="E3532" t="inlineStr">
        <is>
          <t>SOLLEFTEÅ</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60131-2024</t>
        </is>
      </c>
      <c r="B3533" s="1" t="n">
        <v>45642</v>
      </c>
      <c r="C3533" s="1" t="n">
        <v>45670</v>
      </c>
      <c r="D3533" t="inlineStr">
        <is>
          <t>VÄSTERNORRLANDS LÄN</t>
        </is>
      </c>
      <c r="E3533" t="inlineStr">
        <is>
          <t>SOLLEFTEÅ</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60360-2024</t>
        </is>
      </c>
      <c r="B3534" s="1" t="n">
        <v>45643</v>
      </c>
      <c r="C3534" s="1" t="n">
        <v>45670</v>
      </c>
      <c r="D3534" t="inlineStr">
        <is>
          <t>VÄSTERNORRLANDS LÄN</t>
        </is>
      </c>
      <c r="E3534" t="inlineStr">
        <is>
          <t>SOLLEFTEÅ</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60389-2024</t>
        </is>
      </c>
      <c r="B3535" s="1" t="n">
        <v>45643</v>
      </c>
      <c r="C3535" s="1" t="n">
        <v>45670</v>
      </c>
      <c r="D3535" t="inlineStr">
        <is>
          <t>VÄSTERNORRLANDS LÄN</t>
        </is>
      </c>
      <c r="E3535" t="inlineStr">
        <is>
          <t>SOLLEFTEÅ</t>
        </is>
      </c>
      <c r="F3535" t="inlineStr">
        <is>
          <t>SCA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60495-2024</t>
        </is>
      </c>
      <c r="B3536" s="1" t="n">
        <v>45643</v>
      </c>
      <c r="C3536" s="1" t="n">
        <v>45670</v>
      </c>
      <c r="D3536" t="inlineStr">
        <is>
          <t>VÄSTERNORRLANDS LÄN</t>
        </is>
      </c>
      <c r="E3536" t="inlineStr">
        <is>
          <t>SOLLEFTEÅ</t>
        </is>
      </c>
      <c r="F3536" t="inlineStr">
        <is>
          <t>SCA</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60460-2024</t>
        </is>
      </c>
      <c r="B3537" s="1" t="n">
        <v>45643</v>
      </c>
      <c r="C3537" s="1" t="n">
        <v>45670</v>
      </c>
      <c r="D3537" t="inlineStr">
        <is>
          <t>VÄSTERNORRLANDS LÄN</t>
        </is>
      </c>
      <c r="E3537" t="inlineStr">
        <is>
          <t>SOLLEFTEÅ</t>
        </is>
      </c>
      <c r="F3537" t="inlineStr">
        <is>
          <t>SCA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60361-2024</t>
        </is>
      </c>
      <c r="B3538" s="1" t="n">
        <v>45643</v>
      </c>
      <c r="C3538" s="1" t="n">
        <v>45670</v>
      </c>
      <c r="D3538" t="inlineStr">
        <is>
          <t>VÄSTERNORRLANDS LÄN</t>
        </is>
      </c>
      <c r="E3538" t="inlineStr">
        <is>
          <t>SOLLEFTEÅ</t>
        </is>
      </c>
      <c r="F3538" t="inlineStr">
        <is>
          <t>SCA</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60631-2024</t>
        </is>
      </c>
      <c r="B3539" s="1" t="n">
        <v>45644</v>
      </c>
      <c r="C3539" s="1" t="n">
        <v>45670</v>
      </c>
      <c r="D3539" t="inlineStr">
        <is>
          <t>VÄSTERNORRLANDS LÄN</t>
        </is>
      </c>
      <c r="E3539" t="inlineStr">
        <is>
          <t>SOLLEFTEÅ</t>
        </is>
      </c>
      <c r="F3539" t="inlineStr">
        <is>
          <t>SCA</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60583-2024</t>
        </is>
      </c>
      <c r="B3540" s="1" t="n">
        <v>45644</v>
      </c>
      <c r="C3540" s="1" t="n">
        <v>45670</v>
      </c>
      <c r="D3540" t="inlineStr">
        <is>
          <t>VÄSTERNORRLANDS LÄN</t>
        </is>
      </c>
      <c r="E3540" t="inlineStr">
        <is>
          <t>SOLLEFTEÅ</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60713-2024</t>
        </is>
      </c>
      <c r="B3541" s="1" t="n">
        <v>45644</v>
      </c>
      <c r="C3541" s="1" t="n">
        <v>45670</v>
      </c>
      <c r="D3541" t="inlineStr">
        <is>
          <t>VÄSTERNORRLANDS LÄN</t>
        </is>
      </c>
      <c r="E3541" t="inlineStr">
        <is>
          <t>SOLLEFTEÅ</t>
        </is>
      </c>
      <c r="F3541" t="inlineStr">
        <is>
          <t>SCA</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60612-2024</t>
        </is>
      </c>
      <c r="B3542" s="1" t="n">
        <v>45644</v>
      </c>
      <c r="C3542" s="1" t="n">
        <v>45670</v>
      </c>
      <c r="D3542" t="inlineStr">
        <is>
          <t>VÄSTERNORRLANDS LÄN</t>
        </is>
      </c>
      <c r="E3542" t="inlineStr">
        <is>
          <t>SOLLEFTEÅ</t>
        </is>
      </c>
      <c r="F3542" t="inlineStr">
        <is>
          <t>SCA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60632-2024</t>
        </is>
      </c>
      <c r="B3543" s="1" t="n">
        <v>45644</v>
      </c>
      <c r="C3543" s="1" t="n">
        <v>45670</v>
      </c>
      <c r="D3543" t="inlineStr">
        <is>
          <t>VÄSTERNORRLANDS LÄN</t>
        </is>
      </c>
      <c r="E3543" t="inlineStr">
        <is>
          <t>SOLLEFTEÅ</t>
        </is>
      </c>
      <c r="F3543" t="inlineStr">
        <is>
          <t>SCA</t>
        </is>
      </c>
      <c r="G3543" t="n">
        <v>9</v>
      </c>
      <c r="H3543" t="n">
        <v>0</v>
      </c>
      <c r="I3543" t="n">
        <v>0</v>
      </c>
      <c r="J3543" t="n">
        <v>0</v>
      </c>
      <c r="K3543" t="n">
        <v>0</v>
      </c>
      <c r="L3543" t="n">
        <v>0</v>
      </c>
      <c r="M3543" t="n">
        <v>0</v>
      </c>
      <c r="N3543" t="n">
        <v>0</v>
      </c>
      <c r="O3543" t="n">
        <v>0</v>
      </c>
      <c r="P3543" t="n">
        <v>0</v>
      </c>
      <c r="Q3543" t="n">
        <v>0</v>
      </c>
      <c r="R3543" s="2" t="inlineStr"/>
    </row>
    <row r="3544" ht="15" customHeight="1">
      <c r="A3544" t="inlineStr">
        <is>
          <t>A 60714-2024</t>
        </is>
      </c>
      <c r="B3544" s="1" t="n">
        <v>45644</v>
      </c>
      <c r="C3544" s="1" t="n">
        <v>45670</v>
      </c>
      <c r="D3544" t="inlineStr">
        <is>
          <t>VÄSTERNORRLANDS LÄN</t>
        </is>
      </c>
      <c r="E3544" t="inlineStr">
        <is>
          <t>SOLLEFTEÅ</t>
        </is>
      </c>
      <c r="F3544" t="inlineStr">
        <is>
          <t>SCA</t>
        </is>
      </c>
      <c r="G3544" t="n">
        <v>8.800000000000001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61089-2024</t>
        </is>
      </c>
      <c r="B3545" s="1" t="n">
        <v>45644</v>
      </c>
      <c r="C3545" s="1" t="n">
        <v>45670</v>
      </c>
      <c r="D3545" t="inlineStr">
        <is>
          <t>VÄSTERNORRLANDS LÄN</t>
        </is>
      </c>
      <c r="E3545" t="inlineStr">
        <is>
          <t>SOLLEFTEÅ</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60837-2024</t>
        </is>
      </c>
      <c r="B3546" s="1" t="n">
        <v>45644</v>
      </c>
      <c r="C3546" s="1" t="n">
        <v>45670</v>
      </c>
      <c r="D3546" t="inlineStr">
        <is>
          <t>VÄSTERNORRLANDS LÄN</t>
        </is>
      </c>
      <c r="E3546" t="inlineStr">
        <is>
          <t>SOLLEFTEÅ</t>
        </is>
      </c>
      <c r="F3546" t="inlineStr">
        <is>
          <t>SCA</t>
        </is>
      </c>
      <c r="G3546" t="n">
        <v>12.5</v>
      </c>
      <c r="H3546" t="n">
        <v>0</v>
      </c>
      <c r="I3546" t="n">
        <v>0</v>
      </c>
      <c r="J3546" t="n">
        <v>0</v>
      </c>
      <c r="K3546" t="n">
        <v>0</v>
      </c>
      <c r="L3546" t="n">
        <v>0</v>
      </c>
      <c r="M3546" t="n">
        <v>0</v>
      </c>
      <c r="N3546" t="n">
        <v>0</v>
      </c>
      <c r="O3546" t="n">
        <v>0</v>
      </c>
      <c r="P3546" t="n">
        <v>0</v>
      </c>
      <c r="Q3546" t="n">
        <v>0</v>
      </c>
      <c r="R3546" s="2" t="inlineStr"/>
    </row>
    <row r="3547" ht="15" customHeight="1">
      <c r="A3547" t="inlineStr">
        <is>
          <t>A 60630-2024</t>
        </is>
      </c>
      <c r="B3547" s="1" t="n">
        <v>45644</v>
      </c>
      <c r="C3547" s="1" t="n">
        <v>45670</v>
      </c>
      <c r="D3547" t="inlineStr">
        <is>
          <t>VÄSTERNORRLANDS LÄN</t>
        </is>
      </c>
      <c r="E3547" t="inlineStr">
        <is>
          <t>SOLLEFTEÅ</t>
        </is>
      </c>
      <c r="F3547" t="inlineStr">
        <is>
          <t>SCA</t>
        </is>
      </c>
      <c r="G3547" t="n">
        <v>7</v>
      </c>
      <c r="H3547" t="n">
        <v>0</v>
      </c>
      <c r="I3547" t="n">
        <v>0</v>
      </c>
      <c r="J3547" t="n">
        <v>0</v>
      </c>
      <c r="K3547" t="n">
        <v>0</v>
      </c>
      <c r="L3547" t="n">
        <v>0</v>
      </c>
      <c r="M3547" t="n">
        <v>0</v>
      </c>
      <c r="N3547" t="n">
        <v>0</v>
      </c>
      <c r="O3547" t="n">
        <v>0</v>
      </c>
      <c r="P3547" t="n">
        <v>0</v>
      </c>
      <c r="Q3547" t="n">
        <v>0</v>
      </c>
      <c r="R3547" s="2" t="inlineStr"/>
    </row>
    <row r="3548" ht="15" customHeight="1">
      <c r="A3548" t="inlineStr">
        <is>
          <t>A 60827-2024</t>
        </is>
      </c>
      <c r="B3548" s="1" t="n">
        <v>45644</v>
      </c>
      <c r="C3548" s="1" t="n">
        <v>45670</v>
      </c>
      <c r="D3548" t="inlineStr">
        <is>
          <t>VÄSTERNORRLANDS LÄN</t>
        </is>
      </c>
      <c r="E3548" t="inlineStr">
        <is>
          <t>SOLLEFTEÅ</t>
        </is>
      </c>
      <c r="F3548" t="inlineStr">
        <is>
          <t>SCA</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60831-2024</t>
        </is>
      </c>
      <c r="B3549" s="1" t="n">
        <v>45644</v>
      </c>
      <c r="C3549" s="1" t="n">
        <v>45670</v>
      </c>
      <c r="D3549" t="inlineStr">
        <is>
          <t>VÄSTERNORRLANDS LÄN</t>
        </is>
      </c>
      <c r="E3549" t="inlineStr">
        <is>
          <t>SOLLEFTEÅ</t>
        </is>
      </c>
      <c r="G3549" t="n">
        <v>8.199999999999999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60867-2024</t>
        </is>
      </c>
      <c r="B3550" s="1" t="n">
        <v>45644</v>
      </c>
      <c r="C3550" s="1" t="n">
        <v>45670</v>
      </c>
      <c r="D3550" t="inlineStr">
        <is>
          <t>VÄSTERNORRLANDS LÄN</t>
        </is>
      </c>
      <c r="E3550" t="inlineStr">
        <is>
          <t>SOLLEFTEÅ</t>
        </is>
      </c>
      <c r="F3550" t="inlineStr">
        <is>
          <t>SCA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60956-2024</t>
        </is>
      </c>
      <c r="B3551" s="1" t="n">
        <v>45645</v>
      </c>
      <c r="C3551" s="1" t="n">
        <v>45670</v>
      </c>
      <c r="D3551" t="inlineStr">
        <is>
          <t>VÄSTERNORRLANDS LÄN</t>
        </is>
      </c>
      <c r="E3551" t="inlineStr">
        <is>
          <t>SOLLEFTEÅ</t>
        </is>
      </c>
      <c r="F3551" t="inlineStr">
        <is>
          <t>SCA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61126-2024</t>
        </is>
      </c>
      <c r="B3552" s="1" t="n">
        <v>45645</v>
      </c>
      <c r="C3552" s="1" t="n">
        <v>45670</v>
      </c>
      <c r="D3552" t="inlineStr">
        <is>
          <t>VÄSTERNORRLANDS LÄN</t>
        </is>
      </c>
      <c r="E3552" t="inlineStr">
        <is>
          <t>SOLLEFTEÅ</t>
        </is>
      </c>
      <c r="G3552" t="n">
        <v>13.8</v>
      </c>
      <c r="H3552" t="n">
        <v>0</v>
      </c>
      <c r="I3552" t="n">
        <v>0</v>
      </c>
      <c r="J3552" t="n">
        <v>0</v>
      </c>
      <c r="K3552" t="n">
        <v>0</v>
      </c>
      <c r="L3552" t="n">
        <v>0</v>
      </c>
      <c r="M3552" t="n">
        <v>0</v>
      </c>
      <c r="N3552" t="n">
        <v>0</v>
      </c>
      <c r="O3552" t="n">
        <v>0</v>
      </c>
      <c r="P3552" t="n">
        <v>0</v>
      </c>
      <c r="Q3552" t="n">
        <v>0</v>
      </c>
      <c r="R3552" s="2" t="inlineStr"/>
    </row>
    <row r="3553" ht="15" customHeight="1">
      <c r="A3553" t="inlineStr">
        <is>
          <t>A 61201-2024</t>
        </is>
      </c>
      <c r="B3553" s="1" t="n">
        <v>45645</v>
      </c>
      <c r="C3553" s="1" t="n">
        <v>45670</v>
      </c>
      <c r="D3553" t="inlineStr">
        <is>
          <t>VÄSTERNORRLANDS LÄN</t>
        </is>
      </c>
      <c r="E3553" t="inlineStr">
        <is>
          <t>SOLLEFTEÅ</t>
        </is>
      </c>
      <c r="F3553" t="inlineStr">
        <is>
          <t>SCA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60958-2024</t>
        </is>
      </c>
      <c r="B3554" s="1" t="n">
        <v>45645</v>
      </c>
      <c r="C3554" s="1" t="n">
        <v>45670</v>
      </c>
      <c r="D3554" t="inlineStr">
        <is>
          <t>VÄSTERNORRLANDS LÄN</t>
        </is>
      </c>
      <c r="E3554" t="inlineStr">
        <is>
          <t>SOLLEFTEÅ</t>
        </is>
      </c>
      <c r="F3554" t="inlineStr">
        <is>
          <t>SCA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61168-2024</t>
        </is>
      </c>
      <c r="B3555" s="1" t="n">
        <v>45645</v>
      </c>
      <c r="C3555" s="1" t="n">
        <v>45670</v>
      </c>
      <c r="D3555" t="inlineStr">
        <is>
          <t>VÄSTERNORRLANDS LÄN</t>
        </is>
      </c>
      <c r="E3555" t="inlineStr">
        <is>
          <t>SOLLEFTEÅ</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61200-2024</t>
        </is>
      </c>
      <c r="B3556" s="1" t="n">
        <v>45645</v>
      </c>
      <c r="C3556" s="1" t="n">
        <v>45670</v>
      </c>
      <c r="D3556" t="inlineStr">
        <is>
          <t>VÄSTERNORRLANDS LÄN</t>
        </is>
      </c>
      <c r="E3556" t="inlineStr">
        <is>
          <t>SOLLEFTEÅ</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61616-2024</t>
        </is>
      </c>
      <c r="B3557" s="1" t="n">
        <v>45645</v>
      </c>
      <c r="C3557" s="1" t="n">
        <v>45670</v>
      </c>
      <c r="D3557" t="inlineStr">
        <is>
          <t>VÄSTERNORRLANDS LÄN</t>
        </is>
      </c>
      <c r="E3557" t="inlineStr">
        <is>
          <t>SOLLEFTEÅ</t>
        </is>
      </c>
      <c r="G3557" t="n">
        <v>6.5</v>
      </c>
      <c r="H3557" t="n">
        <v>0</v>
      </c>
      <c r="I3557" t="n">
        <v>0</v>
      </c>
      <c r="J3557" t="n">
        <v>0</v>
      </c>
      <c r="K3557" t="n">
        <v>0</v>
      </c>
      <c r="L3557" t="n">
        <v>0</v>
      </c>
      <c r="M3557" t="n">
        <v>0</v>
      </c>
      <c r="N3557" t="n">
        <v>0</v>
      </c>
      <c r="O3557" t="n">
        <v>0</v>
      </c>
      <c r="P3557" t="n">
        <v>0</v>
      </c>
      <c r="Q3557" t="n">
        <v>0</v>
      </c>
      <c r="R3557" s="2" t="inlineStr"/>
    </row>
    <row r="3558" ht="15" customHeight="1">
      <c r="A3558" t="inlineStr">
        <is>
          <t>A 61623-2024</t>
        </is>
      </c>
      <c r="B3558" s="1" t="n">
        <v>45645</v>
      </c>
      <c r="C3558" s="1" t="n">
        <v>45670</v>
      </c>
      <c r="D3558" t="inlineStr">
        <is>
          <t>VÄSTERNORRLANDS LÄN</t>
        </is>
      </c>
      <c r="E3558" t="inlineStr">
        <is>
          <t>SOLLEFTEÅ</t>
        </is>
      </c>
      <c r="G3558" t="n">
        <v>7.8</v>
      </c>
      <c r="H3558" t="n">
        <v>0</v>
      </c>
      <c r="I3558" t="n">
        <v>0</v>
      </c>
      <c r="J3558" t="n">
        <v>0</v>
      </c>
      <c r="K3558" t="n">
        <v>0</v>
      </c>
      <c r="L3558" t="n">
        <v>0</v>
      </c>
      <c r="M3558" t="n">
        <v>0</v>
      </c>
      <c r="N3558" t="n">
        <v>0</v>
      </c>
      <c r="O3558" t="n">
        <v>0</v>
      </c>
      <c r="P3558" t="n">
        <v>0</v>
      </c>
      <c r="Q3558" t="n">
        <v>0</v>
      </c>
      <c r="R3558" s="2" t="inlineStr"/>
    </row>
    <row r="3559" ht="15" customHeight="1">
      <c r="A3559" t="inlineStr">
        <is>
          <t>A 61611-2024</t>
        </is>
      </c>
      <c r="B3559" s="1" t="n">
        <v>45645</v>
      </c>
      <c r="C3559" s="1" t="n">
        <v>45670</v>
      </c>
      <c r="D3559" t="inlineStr">
        <is>
          <t>VÄSTERNORRLANDS LÄN</t>
        </is>
      </c>
      <c r="E3559" t="inlineStr">
        <is>
          <t>SOLLEFTEÅ</t>
        </is>
      </c>
      <c r="G3559" t="n">
        <v>13.9</v>
      </c>
      <c r="H3559" t="n">
        <v>0</v>
      </c>
      <c r="I3559" t="n">
        <v>0</v>
      </c>
      <c r="J3559" t="n">
        <v>0</v>
      </c>
      <c r="K3559" t="n">
        <v>0</v>
      </c>
      <c r="L3559" t="n">
        <v>0</v>
      </c>
      <c r="M3559" t="n">
        <v>0</v>
      </c>
      <c r="N3559" t="n">
        <v>0</v>
      </c>
      <c r="O3559" t="n">
        <v>0</v>
      </c>
      <c r="P3559" t="n">
        <v>0</v>
      </c>
      <c r="Q3559" t="n">
        <v>0</v>
      </c>
      <c r="R3559" s="2" t="inlineStr"/>
    </row>
    <row r="3560" ht="15" customHeight="1">
      <c r="A3560" t="inlineStr">
        <is>
          <t>A 61485-2024</t>
        </is>
      </c>
      <c r="B3560" s="1" t="n">
        <v>45646</v>
      </c>
      <c r="C3560" s="1" t="n">
        <v>45670</v>
      </c>
      <c r="D3560" t="inlineStr">
        <is>
          <t>VÄSTERNORRLANDS LÄN</t>
        </is>
      </c>
      <c r="E3560" t="inlineStr">
        <is>
          <t>SOLLEFTEÅ</t>
        </is>
      </c>
      <c r="F3560" t="inlineStr">
        <is>
          <t>SCA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61849-2024</t>
        </is>
      </c>
      <c r="B3561" s="1" t="n">
        <v>45646</v>
      </c>
      <c r="C3561" s="1" t="n">
        <v>45670</v>
      </c>
      <c r="D3561" t="inlineStr">
        <is>
          <t>VÄSTERNORRLANDS LÄN</t>
        </is>
      </c>
      <c r="E3561" t="inlineStr">
        <is>
          <t>SOLLEFTEÅ</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61845-2024</t>
        </is>
      </c>
      <c r="B3562" s="1" t="n">
        <v>45646</v>
      </c>
      <c r="C3562" s="1" t="n">
        <v>45670</v>
      </c>
      <c r="D3562" t="inlineStr">
        <is>
          <t>VÄSTERNORRLANDS LÄN</t>
        </is>
      </c>
      <c r="E3562" t="inlineStr">
        <is>
          <t>SOLLEFTEÅ</t>
        </is>
      </c>
      <c r="G3562" t="n">
        <v>9.4</v>
      </c>
      <c r="H3562" t="n">
        <v>0</v>
      </c>
      <c r="I3562" t="n">
        <v>0</v>
      </c>
      <c r="J3562" t="n">
        <v>0</v>
      </c>
      <c r="K3562" t="n">
        <v>0</v>
      </c>
      <c r="L3562" t="n">
        <v>0</v>
      </c>
      <c r="M3562" t="n">
        <v>0</v>
      </c>
      <c r="N3562" t="n">
        <v>0</v>
      </c>
      <c r="O3562" t="n">
        <v>0</v>
      </c>
      <c r="P3562" t="n">
        <v>0</v>
      </c>
      <c r="Q3562" t="n">
        <v>0</v>
      </c>
      <c r="R3562" s="2" t="inlineStr"/>
    </row>
    <row r="3563" ht="15" customHeight="1">
      <c r="A3563" t="inlineStr">
        <is>
          <t>A 61452-2024</t>
        </is>
      </c>
      <c r="B3563" s="1" t="n">
        <v>45646</v>
      </c>
      <c r="C3563" s="1" t="n">
        <v>45670</v>
      </c>
      <c r="D3563" t="inlineStr">
        <is>
          <t>VÄSTERNORRLANDS LÄN</t>
        </is>
      </c>
      <c r="E3563" t="inlineStr">
        <is>
          <t>SOLLEFTEÅ</t>
        </is>
      </c>
      <c r="F3563" t="inlineStr">
        <is>
          <t>SCA</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62144-2024</t>
        </is>
      </c>
      <c r="B3564" s="1" t="n">
        <v>45646</v>
      </c>
      <c r="C3564" s="1" t="n">
        <v>45670</v>
      </c>
      <c r="D3564" t="inlineStr">
        <is>
          <t>VÄSTERNORRLANDS LÄN</t>
        </is>
      </c>
      <c r="E3564" t="inlineStr">
        <is>
          <t>SOLLEFTEÅ</t>
        </is>
      </c>
      <c r="F3564" t="inlineStr">
        <is>
          <t>SCA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61847-2024</t>
        </is>
      </c>
      <c r="B3565" s="1" t="n">
        <v>45646</v>
      </c>
      <c r="C3565" s="1" t="n">
        <v>45670</v>
      </c>
      <c r="D3565" t="inlineStr">
        <is>
          <t>VÄSTERNORRLANDS LÄN</t>
        </is>
      </c>
      <c r="E3565" t="inlineStr">
        <is>
          <t>SOLLEFTEÅ</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62094-2024</t>
        </is>
      </c>
      <c r="B3566" s="1" t="n">
        <v>45646</v>
      </c>
      <c r="C3566" s="1" t="n">
        <v>45670</v>
      </c>
      <c r="D3566" t="inlineStr">
        <is>
          <t>VÄSTERNORRLANDS LÄN</t>
        </is>
      </c>
      <c r="E3566" t="inlineStr">
        <is>
          <t>SOLLEFTEÅ</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61790-2024</t>
        </is>
      </c>
      <c r="B3567" s="1" t="n">
        <v>45649</v>
      </c>
      <c r="C3567" s="1" t="n">
        <v>45670</v>
      </c>
      <c r="D3567" t="inlineStr">
        <is>
          <t>VÄSTERNORRLANDS LÄN</t>
        </is>
      </c>
      <c r="E3567" t="inlineStr">
        <is>
          <t>SOLLEFTEÅ</t>
        </is>
      </c>
      <c r="F3567" t="inlineStr">
        <is>
          <t>Övriga statliga verk och myndigheter</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61778-2024</t>
        </is>
      </c>
      <c r="B3568" s="1" t="n">
        <v>45649</v>
      </c>
      <c r="C3568" s="1" t="n">
        <v>45670</v>
      </c>
      <c r="D3568" t="inlineStr">
        <is>
          <t>VÄSTERNORRLANDS LÄN</t>
        </is>
      </c>
      <c r="E3568" t="inlineStr">
        <is>
          <t>SOLLEFTEÅ</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61781-2024</t>
        </is>
      </c>
      <c r="B3569" s="1" t="n">
        <v>45649</v>
      </c>
      <c r="C3569" s="1" t="n">
        <v>45670</v>
      </c>
      <c r="D3569" t="inlineStr">
        <is>
          <t>VÄSTERNORRLANDS LÄN</t>
        </is>
      </c>
      <c r="E3569" t="inlineStr">
        <is>
          <t>SOLLEFTEÅ</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61779-2024</t>
        </is>
      </c>
      <c r="B3570" s="1" t="n">
        <v>45649</v>
      </c>
      <c r="C3570" s="1" t="n">
        <v>45670</v>
      </c>
      <c r="D3570" t="inlineStr">
        <is>
          <t>VÄSTERNORRLANDS LÄN</t>
        </is>
      </c>
      <c r="E3570" t="inlineStr">
        <is>
          <t>SOLLEFTEÅ</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61784-2024</t>
        </is>
      </c>
      <c r="B3571" s="1" t="n">
        <v>45649</v>
      </c>
      <c r="C3571" s="1" t="n">
        <v>45670</v>
      </c>
      <c r="D3571" t="inlineStr">
        <is>
          <t>VÄSTERNORRLANDS LÄN</t>
        </is>
      </c>
      <c r="E3571" t="inlineStr">
        <is>
          <t>SOLLEFTEÅ</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174-2025</t>
        </is>
      </c>
      <c r="B3572" s="1" t="n">
        <v>45649</v>
      </c>
      <c r="C3572" s="1" t="n">
        <v>45670</v>
      </c>
      <c r="D3572" t="inlineStr">
        <is>
          <t>VÄSTERNORRLANDS LÄN</t>
        </is>
      </c>
      <c r="E3572" t="inlineStr">
        <is>
          <t>SOLLEFTEÅ</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62038-2024</t>
        </is>
      </c>
      <c r="B3573" s="1" t="n">
        <v>45656</v>
      </c>
      <c r="C3573" s="1" t="n">
        <v>45670</v>
      </c>
      <c r="D3573" t="inlineStr">
        <is>
          <t>VÄSTERNORRLANDS LÄN</t>
        </is>
      </c>
      <c r="E3573" t="inlineStr">
        <is>
          <t>SOLLEFTEÅ</t>
        </is>
      </c>
      <c r="F3573" t="inlineStr">
        <is>
          <t>SCA</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62171-2024</t>
        </is>
      </c>
      <c r="B3574" s="1" t="n">
        <v>45657</v>
      </c>
      <c r="C3574" s="1" t="n">
        <v>45670</v>
      </c>
      <c r="D3574" t="inlineStr">
        <is>
          <t>VÄSTERNORRLANDS LÄN</t>
        </is>
      </c>
      <c r="E3574" t="inlineStr">
        <is>
          <t>SOLLEFTEÅ</t>
        </is>
      </c>
      <c r="F3574" t="inlineStr">
        <is>
          <t>SCA</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154-2025</t>
        </is>
      </c>
      <c r="B3575" s="1" t="n">
        <v>45659</v>
      </c>
      <c r="C3575" s="1" t="n">
        <v>45670</v>
      </c>
      <c r="D3575" t="inlineStr">
        <is>
          <t>VÄSTERNORRLANDS LÄN</t>
        </is>
      </c>
      <c r="E3575" t="inlineStr">
        <is>
          <t>SOLLEFTEÅ</t>
        </is>
      </c>
      <c r="F3575" t="inlineStr">
        <is>
          <t>Holmen skog AB</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769-2025</t>
        </is>
      </c>
      <c r="B3576" s="1" t="n">
        <v>45659</v>
      </c>
      <c r="C3576" s="1" t="n">
        <v>45670</v>
      </c>
      <c r="D3576" t="inlineStr">
        <is>
          <t>VÄSTERNORRLANDS LÄN</t>
        </is>
      </c>
      <c r="E3576" t="inlineStr">
        <is>
          <t>SOLLEFTEÅ</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774-2025</t>
        </is>
      </c>
      <c r="B3577" s="1" t="n">
        <v>45659</v>
      </c>
      <c r="C3577" s="1" t="n">
        <v>45670</v>
      </c>
      <c r="D3577" t="inlineStr">
        <is>
          <t>VÄSTERNORRLANDS LÄN</t>
        </is>
      </c>
      <c r="E3577" t="inlineStr">
        <is>
          <t>SOLLEFTEÅ</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775-2025</t>
        </is>
      </c>
      <c r="B3578" s="1" t="n">
        <v>45659</v>
      </c>
      <c r="C3578" s="1" t="n">
        <v>45670</v>
      </c>
      <c r="D3578" t="inlineStr">
        <is>
          <t>VÄSTERNORRLANDS LÄN</t>
        </is>
      </c>
      <c r="E3578" t="inlineStr">
        <is>
          <t>SOLLEFTEÅ</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778-2025</t>
        </is>
      </c>
      <c r="B3579" s="1" t="n">
        <v>45659</v>
      </c>
      <c r="C3579" s="1" t="n">
        <v>45670</v>
      </c>
      <c r="D3579" t="inlineStr">
        <is>
          <t>VÄSTERNORRLANDS LÄN</t>
        </is>
      </c>
      <c r="E3579" t="inlineStr">
        <is>
          <t>SOLLEFTEÅ</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218-2025</t>
        </is>
      </c>
      <c r="B3580" s="1" t="n">
        <v>45660</v>
      </c>
      <c r="C3580" s="1" t="n">
        <v>45670</v>
      </c>
      <c r="D3580" t="inlineStr">
        <is>
          <t>VÄSTERNORRLANDS LÄN</t>
        </is>
      </c>
      <c r="E3580" t="inlineStr">
        <is>
          <t>SOLLEFTEÅ</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291-2025</t>
        </is>
      </c>
      <c r="B3581" s="1" t="n">
        <v>45660</v>
      </c>
      <c r="C3581" s="1" t="n">
        <v>45670</v>
      </c>
      <c r="D3581" t="inlineStr">
        <is>
          <t>VÄSTERNORRLANDS LÄN</t>
        </is>
      </c>
      <c r="E3581" t="inlineStr">
        <is>
          <t>SOLLEFTEÅ</t>
        </is>
      </c>
      <c r="F3581" t="inlineStr">
        <is>
          <t>SCA</t>
        </is>
      </c>
      <c r="G3581" t="n">
        <v>24.7</v>
      </c>
      <c r="H3581" t="n">
        <v>0</v>
      </c>
      <c r="I3581" t="n">
        <v>0</v>
      </c>
      <c r="J3581" t="n">
        <v>0</v>
      </c>
      <c r="K3581" t="n">
        <v>0</v>
      </c>
      <c r="L3581" t="n">
        <v>0</v>
      </c>
      <c r="M3581" t="n">
        <v>0</v>
      </c>
      <c r="N3581" t="n">
        <v>0</v>
      </c>
      <c r="O3581" t="n">
        <v>0</v>
      </c>
      <c r="P3581" t="n">
        <v>0</v>
      </c>
      <c r="Q3581" t="n">
        <v>0</v>
      </c>
      <c r="R3581" s="2" t="inlineStr"/>
    </row>
    <row r="3582" ht="15" customHeight="1">
      <c r="A3582" t="inlineStr">
        <is>
          <t>A 295-2025</t>
        </is>
      </c>
      <c r="B3582" s="1" t="n">
        <v>45660</v>
      </c>
      <c r="C3582" s="1" t="n">
        <v>45670</v>
      </c>
      <c r="D3582" t="inlineStr">
        <is>
          <t>VÄSTERNORRLANDS LÄN</t>
        </is>
      </c>
      <c r="E3582" t="inlineStr">
        <is>
          <t>SOLLEFTEÅ</t>
        </is>
      </c>
      <c r="F3582" t="inlineStr">
        <is>
          <t>SCA</t>
        </is>
      </c>
      <c r="G3582" t="n">
        <v>30.7</v>
      </c>
      <c r="H3582" t="n">
        <v>0</v>
      </c>
      <c r="I3582" t="n">
        <v>0</v>
      </c>
      <c r="J3582" t="n">
        <v>0</v>
      </c>
      <c r="K3582" t="n">
        <v>0</v>
      </c>
      <c r="L3582" t="n">
        <v>0</v>
      </c>
      <c r="M3582" t="n">
        <v>0</v>
      </c>
      <c r="N3582" t="n">
        <v>0</v>
      </c>
      <c r="O3582" t="n">
        <v>0</v>
      </c>
      <c r="P3582" t="n">
        <v>0</v>
      </c>
      <c r="Q3582" t="n">
        <v>0</v>
      </c>
      <c r="R3582" s="2" t="inlineStr"/>
    </row>
    <row r="3583" ht="15" customHeight="1">
      <c r="A3583" t="inlineStr">
        <is>
          <t>A 326-2025</t>
        </is>
      </c>
      <c r="B3583" s="1" t="n">
        <v>45660</v>
      </c>
      <c r="C3583" s="1" t="n">
        <v>45670</v>
      </c>
      <c r="D3583" t="inlineStr">
        <is>
          <t>VÄSTERNORRLANDS LÄN</t>
        </is>
      </c>
      <c r="E3583" t="inlineStr">
        <is>
          <t>SOLLEFTEÅ</t>
        </is>
      </c>
      <c r="F3583" t="inlineStr">
        <is>
          <t>SCA</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583-2025</t>
        </is>
      </c>
      <c r="B3584" s="1" t="n">
        <v>45664</v>
      </c>
      <c r="C3584" s="1" t="n">
        <v>45670</v>
      </c>
      <c r="D3584" t="inlineStr">
        <is>
          <t>VÄSTERNORRLANDS LÄN</t>
        </is>
      </c>
      <c r="E3584" t="inlineStr">
        <is>
          <t>SOLLEFTEÅ</t>
        </is>
      </c>
      <c r="G3584" t="n">
        <v>47.2</v>
      </c>
      <c r="H3584" t="n">
        <v>0</v>
      </c>
      <c r="I3584" t="n">
        <v>0</v>
      </c>
      <c r="J3584" t="n">
        <v>0</v>
      </c>
      <c r="K3584" t="n">
        <v>0</v>
      </c>
      <c r="L3584" t="n">
        <v>0</v>
      </c>
      <c r="M3584" t="n">
        <v>0</v>
      </c>
      <c r="N3584" t="n">
        <v>0</v>
      </c>
      <c r="O3584" t="n">
        <v>0</v>
      </c>
      <c r="P3584" t="n">
        <v>0</v>
      </c>
      <c r="Q3584" t="n">
        <v>0</v>
      </c>
      <c r="R3584" s="2" t="inlineStr"/>
    </row>
    <row r="3585" ht="15" customHeight="1">
      <c r="A3585" t="inlineStr">
        <is>
          <t>A 600-2025</t>
        </is>
      </c>
      <c r="B3585" s="1" t="n">
        <v>45664</v>
      </c>
      <c r="C3585" s="1" t="n">
        <v>45670</v>
      </c>
      <c r="D3585" t="inlineStr">
        <is>
          <t>VÄSTERNORRLANDS LÄN</t>
        </is>
      </c>
      <c r="E3585" t="inlineStr">
        <is>
          <t>SOLLEFTEÅ</t>
        </is>
      </c>
      <c r="F3585" t="inlineStr">
        <is>
          <t>SCA</t>
        </is>
      </c>
      <c r="G3585" t="n">
        <v>9.699999999999999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439-2025</t>
        </is>
      </c>
      <c r="B3586" s="1" t="n">
        <v>45664</v>
      </c>
      <c r="C3586" s="1" t="n">
        <v>45670</v>
      </c>
      <c r="D3586" t="inlineStr">
        <is>
          <t>VÄSTERNORRLANDS LÄN</t>
        </is>
      </c>
      <c r="E3586" t="inlineStr">
        <is>
          <t>SOLLEFTEÅ</t>
        </is>
      </c>
      <c r="F3586" t="inlineStr">
        <is>
          <t>SCA</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635-2025</t>
        </is>
      </c>
      <c r="B3587" s="1" t="n">
        <v>45664</v>
      </c>
      <c r="C3587" s="1" t="n">
        <v>45670</v>
      </c>
      <c r="D3587" t="inlineStr">
        <is>
          <t>VÄSTERNORRLANDS LÄN</t>
        </is>
      </c>
      <c r="E3587" t="inlineStr">
        <is>
          <t>SOLLEFTEÅ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657-2025</t>
        </is>
      </c>
      <c r="B3588" s="1" t="n">
        <v>45664</v>
      </c>
      <c r="C3588" s="1" t="n">
        <v>45670</v>
      </c>
      <c r="D3588" t="inlineStr">
        <is>
          <t>VÄSTERNORRLANDS LÄN</t>
        </is>
      </c>
      <c r="E3588" t="inlineStr">
        <is>
          <t>SOLLEFTEÅ</t>
        </is>
      </c>
      <c r="F3588" t="inlineStr">
        <is>
          <t>SCA</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469-2025</t>
        </is>
      </c>
      <c r="B3589" s="1" t="n">
        <v>45664</v>
      </c>
      <c r="C3589" s="1" t="n">
        <v>45670</v>
      </c>
      <c r="D3589" t="inlineStr">
        <is>
          <t>VÄSTERNORRLANDS LÄN</t>
        </is>
      </c>
      <c r="E3589" t="inlineStr">
        <is>
          <t>SOLLEFTEÅ</t>
        </is>
      </c>
      <c r="F3589" t="inlineStr">
        <is>
          <t>SCA</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800-2025</t>
        </is>
      </c>
      <c r="B3590" s="1" t="n">
        <v>45664</v>
      </c>
      <c r="C3590" s="1" t="n">
        <v>45670</v>
      </c>
      <c r="D3590" t="inlineStr">
        <is>
          <t>VÄSTERNORRLANDS LÄN</t>
        </is>
      </c>
      <c r="E3590" t="inlineStr">
        <is>
          <t>SOLLEFTEÅ</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757-2025</t>
        </is>
      </c>
      <c r="B3591" s="1" t="n">
        <v>45665</v>
      </c>
      <c r="C3591" s="1" t="n">
        <v>45670</v>
      </c>
      <c r="D3591" t="inlineStr">
        <is>
          <t>VÄSTERNORRLANDS LÄN</t>
        </is>
      </c>
      <c r="E3591" t="inlineStr">
        <is>
          <t>SOLLEFTEÅ</t>
        </is>
      </c>
      <c r="F3591" t="inlineStr">
        <is>
          <t>SCA</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892-2025</t>
        </is>
      </c>
      <c r="B3592" s="1" t="n">
        <v>45665</v>
      </c>
      <c r="C3592" s="1" t="n">
        <v>45670</v>
      </c>
      <c r="D3592" t="inlineStr">
        <is>
          <t>VÄSTERNORRLANDS LÄN</t>
        </is>
      </c>
      <c r="E3592" t="inlineStr">
        <is>
          <t>SOLLEFTEÅ</t>
        </is>
      </c>
      <c r="F3592" t="inlineStr">
        <is>
          <t>SCA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1089-2025</t>
        </is>
      </c>
      <c r="B3593" s="1" t="n">
        <v>45665</v>
      </c>
      <c r="C3593" s="1" t="n">
        <v>45670</v>
      </c>
      <c r="D3593" t="inlineStr">
        <is>
          <t>VÄSTERNORRLANDS LÄN</t>
        </is>
      </c>
      <c r="E3593" t="inlineStr">
        <is>
          <t>SOLLEFTEÅ</t>
        </is>
      </c>
      <c r="G3593" t="n">
        <v>7.7</v>
      </c>
      <c r="H3593" t="n">
        <v>0</v>
      </c>
      <c r="I3593" t="n">
        <v>0</v>
      </c>
      <c r="J3593" t="n">
        <v>0</v>
      </c>
      <c r="K3593" t="n">
        <v>0</v>
      </c>
      <c r="L3593" t="n">
        <v>0</v>
      </c>
      <c r="M3593" t="n">
        <v>0</v>
      </c>
      <c r="N3593" t="n">
        <v>0</v>
      </c>
      <c r="O3593" t="n">
        <v>0</v>
      </c>
      <c r="P3593" t="n">
        <v>0</v>
      </c>
      <c r="Q3593" t="n">
        <v>0</v>
      </c>
      <c r="R3593" s="2" t="inlineStr"/>
    </row>
    <row r="3594" ht="15" customHeight="1">
      <c r="A3594" t="inlineStr">
        <is>
          <t>A 966-2025</t>
        </is>
      </c>
      <c r="B3594" s="1" t="n">
        <v>45666</v>
      </c>
      <c r="C3594" s="1" t="n">
        <v>45670</v>
      </c>
      <c r="D3594" t="inlineStr">
        <is>
          <t>VÄSTERNORRLANDS LÄN</t>
        </is>
      </c>
      <c r="E3594" t="inlineStr">
        <is>
          <t>SOLLEFTEÅ</t>
        </is>
      </c>
      <c r="F3594" t="inlineStr">
        <is>
          <t>SCA</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967-2025</t>
        </is>
      </c>
      <c r="B3595" s="1" t="n">
        <v>45666</v>
      </c>
      <c r="C3595" s="1" t="n">
        <v>45670</v>
      </c>
      <c r="D3595" t="inlineStr">
        <is>
          <t>VÄSTERNORRLANDS LÄN</t>
        </is>
      </c>
      <c r="E3595" t="inlineStr">
        <is>
          <t>SOLLEFTEÅ</t>
        </is>
      </c>
      <c r="F3595" t="inlineStr">
        <is>
          <t>SCA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1014-2025</t>
        </is>
      </c>
      <c r="B3596" s="1" t="n">
        <v>45666</v>
      </c>
      <c r="C3596" s="1" t="n">
        <v>45670</v>
      </c>
      <c r="D3596" t="inlineStr">
        <is>
          <t>VÄSTERNORRLANDS LÄN</t>
        </is>
      </c>
      <c r="E3596" t="inlineStr">
        <is>
          <t>SOLLEFTEÅ</t>
        </is>
      </c>
      <c r="F3596" t="inlineStr">
        <is>
          <t>SCA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1030-2025</t>
        </is>
      </c>
      <c r="B3597" s="1" t="n">
        <v>45666</v>
      </c>
      <c r="C3597" s="1" t="n">
        <v>45670</v>
      </c>
      <c r="D3597" t="inlineStr">
        <is>
          <t>VÄSTERNORRLANDS LÄN</t>
        </is>
      </c>
      <c r="E3597" t="inlineStr">
        <is>
          <t>SOLLEFTEÅ</t>
        </is>
      </c>
      <c r="F3597" t="inlineStr">
        <is>
          <t>SCA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1096-2025</t>
        </is>
      </c>
      <c r="B3598" s="1" t="n">
        <v>45666</v>
      </c>
      <c r="C3598" s="1" t="n">
        <v>45670</v>
      </c>
      <c r="D3598" t="inlineStr">
        <is>
          <t>VÄSTERNORRLANDS LÄN</t>
        </is>
      </c>
      <c r="E3598" t="inlineStr">
        <is>
          <t>SOLLEFTEÅ</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1114-2025</t>
        </is>
      </c>
      <c r="B3599" s="1" t="n">
        <v>45666</v>
      </c>
      <c r="C3599" s="1" t="n">
        <v>45670</v>
      </c>
      <c r="D3599" t="inlineStr">
        <is>
          <t>VÄSTERNORRLANDS LÄN</t>
        </is>
      </c>
      <c r="E3599" t="inlineStr">
        <is>
          <t>SOLLEFTEÅ</t>
        </is>
      </c>
      <c r="F3599" t="inlineStr">
        <is>
          <t>SCA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1082-2025</t>
        </is>
      </c>
      <c r="B3600" s="1" t="n">
        <v>45666</v>
      </c>
      <c r="C3600" s="1" t="n">
        <v>45670</v>
      </c>
      <c r="D3600" t="inlineStr">
        <is>
          <t>VÄSTERNORRLANDS LÄN</t>
        </is>
      </c>
      <c r="E3600" t="inlineStr">
        <is>
          <t>SOLLEFTEÅ</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945-2025</t>
        </is>
      </c>
      <c r="B3601" s="1" t="n">
        <v>45666</v>
      </c>
      <c r="C3601" s="1" t="n">
        <v>45670</v>
      </c>
      <c r="D3601" t="inlineStr">
        <is>
          <t>VÄSTERNORRLANDS LÄN</t>
        </is>
      </c>
      <c r="E3601" t="inlineStr">
        <is>
          <t>SOLLEFTEÅ</t>
        </is>
      </c>
      <c r="F3601" t="inlineStr">
        <is>
          <t>SCA</t>
        </is>
      </c>
      <c r="G3601" t="n">
        <v>36.6</v>
      </c>
      <c r="H3601" t="n">
        <v>0</v>
      </c>
      <c r="I3601" t="n">
        <v>0</v>
      </c>
      <c r="J3601" t="n">
        <v>0</v>
      </c>
      <c r="K3601" t="n">
        <v>0</v>
      </c>
      <c r="L3601" t="n">
        <v>0</v>
      </c>
      <c r="M3601" t="n">
        <v>0</v>
      </c>
      <c r="N3601" t="n">
        <v>0</v>
      </c>
      <c r="O3601" t="n">
        <v>0</v>
      </c>
      <c r="P3601" t="n">
        <v>0</v>
      </c>
      <c r="Q3601" t="n">
        <v>0</v>
      </c>
      <c r="R3601" s="2" t="inlineStr"/>
    </row>
    <row r="3602" ht="15" customHeight="1">
      <c r="A3602" t="inlineStr">
        <is>
          <t>A 1029-2025</t>
        </is>
      </c>
      <c r="B3602" s="1" t="n">
        <v>45666</v>
      </c>
      <c r="C3602" s="1" t="n">
        <v>45670</v>
      </c>
      <c r="D3602" t="inlineStr">
        <is>
          <t>VÄSTERNORRLANDS LÄN</t>
        </is>
      </c>
      <c r="E3602" t="inlineStr">
        <is>
          <t>SOLLEFTEÅ</t>
        </is>
      </c>
      <c r="F3602" t="inlineStr">
        <is>
          <t>SCA</t>
        </is>
      </c>
      <c r="G3602" t="n">
        <v>9.4</v>
      </c>
      <c r="H3602" t="n">
        <v>0</v>
      </c>
      <c r="I3602" t="n">
        <v>0</v>
      </c>
      <c r="J3602" t="n">
        <v>0</v>
      </c>
      <c r="K3602" t="n">
        <v>0</v>
      </c>
      <c r="L3602" t="n">
        <v>0</v>
      </c>
      <c r="M3602" t="n">
        <v>0</v>
      </c>
      <c r="N3602" t="n">
        <v>0</v>
      </c>
      <c r="O3602" t="n">
        <v>0</v>
      </c>
      <c r="P3602" t="n">
        <v>0</v>
      </c>
      <c r="Q3602" t="n">
        <v>0</v>
      </c>
      <c r="R3602" s="2" t="inlineStr"/>
    </row>
    <row r="3603" ht="15" customHeight="1">
      <c r="A3603" t="inlineStr">
        <is>
          <t>A 1218-2025</t>
        </is>
      </c>
      <c r="B3603" s="1" t="n">
        <v>45667</v>
      </c>
      <c r="C3603" s="1" t="n">
        <v>45670</v>
      </c>
      <c r="D3603" t="inlineStr">
        <is>
          <t>VÄSTERNORRLANDS LÄN</t>
        </is>
      </c>
      <c r="E3603" t="inlineStr">
        <is>
          <t>SOLLEFTEÅ</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1176-2025</t>
        </is>
      </c>
      <c r="B3604" s="1" t="n">
        <v>45667</v>
      </c>
      <c r="C3604" s="1" t="n">
        <v>45670</v>
      </c>
      <c r="D3604" t="inlineStr">
        <is>
          <t>VÄSTERNORRLANDS LÄN</t>
        </is>
      </c>
      <c r="E3604" t="inlineStr">
        <is>
          <t>SOLLEFTEÅ</t>
        </is>
      </c>
      <c r="F3604" t="inlineStr">
        <is>
          <t>Kyrkan</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1248-2025</t>
        </is>
      </c>
      <c r="B3605" s="1" t="n">
        <v>45667</v>
      </c>
      <c r="C3605" s="1" t="n">
        <v>45670</v>
      </c>
      <c r="D3605" t="inlineStr">
        <is>
          <t>VÄSTERNORRLANDS LÄN</t>
        </is>
      </c>
      <c r="E3605" t="inlineStr">
        <is>
          <t>SOLLEFTEÅ</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1348-2025</t>
        </is>
      </c>
      <c r="B3606" s="1" t="n">
        <v>45667</v>
      </c>
      <c r="C3606" s="1" t="n">
        <v>45670</v>
      </c>
      <c r="D3606" t="inlineStr">
        <is>
          <t>VÄSTERNORRLANDS LÄN</t>
        </is>
      </c>
      <c r="E3606" t="inlineStr">
        <is>
          <t>SOLLEFTEÅ</t>
        </is>
      </c>
      <c r="F3606" t="inlineStr">
        <is>
          <t>SCA</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1200-2025</t>
        </is>
      </c>
      <c r="B3607" s="1" t="n">
        <v>45667</v>
      </c>
      <c r="C3607" s="1" t="n">
        <v>45670</v>
      </c>
      <c r="D3607" t="inlineStr">
        <is>
          <t>VÄSTERNORRLANDS LÄN</t>
        </is>
      </c>
      <c r="E3607" t="inlineStr">
        <is>
          <t>SOLLEFTEÅ</t>
        </is>
      </c>
      <c r="F3607" t="inlineStr">
        <is>
          <t>SCA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1216-2025</t>
        </is>
      </c>
      <c r="B3608" s="1" t="n">
        <v>45667</v>
      </c>
      <c r="C3608" s="1" t="n">
        <v>45670</v>
      </c>
      <c r="D3608" t="inlineStr">
        <is>
          <t>VÄSTERNORRLANDS LÄN</t>
        </is>
      </c>
      <c r="E3608" t="inlineStr">
        <is>
          <t>SOLLEFTEÅ</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1361-2025</t>
        </is>
      </c>
      <c r="B3609" s="1" t="n">
        <v>45667</v>
      </c>
      <c r="C3609" s="1" t="n">
        <v>45670</v>
      </c>
      <c r="D3609" t="inlineStr">
        <is>
          <t>VÄSTERNORRLANDS LÄN</t>
        </is>
      </c>
      <c r="E3609" t="inlineStr">
        <is>
          <t>SOLLEFTEÅ</t>
        </is>
      </c>
      <c r="F3609" t="inlineStr">
        <is>
          <t>SCA</t>
        </is>
      </c>
      <c r="G3609" t="n">
        <v>2.4</v>
      </c>
      <c r="H3609" t="n">
        <v>0</v>
      </c>
      <c r="I3609" t="n">
        <v>0</v>
      </c>
      <c r="J3609" t="n">
        <v>0</v>
      </c>
      <c r="K3609" t="n">
        <v>0</v>
      </c>
      <c r="L3609" t="n">
        <v>0</v>
      </c>
      <c r="M3609" t="n">
        <v>0</v>
      </c>
      <c r="N3609" t="n">
        <v>0</v>
      </c>
      <c r="O3609" t="n">
        <v>0</v>
      </c>
      <c r="P3609" t="n">
        <v>0</v>
      </c>
      <c r="Q3609" t="n">
        <v>0</v>
      </c>
      <c r="R3609" s="2" t="inlineStr"/>
    </row>
    <row r="3610">
      <c r="A3610" t="inlineStr">
        <is>
          <t>A 1416-2025</t>
        </is>
      </c>
      <c r="B3610" s="1" t="n">
        <v>45668</v>
      </c>
      <c r="C3610" s="1" t="n">
        <v>45670</v>
      </c>
      <c r="D3610" t="inlineStr">
        <is>
          <t>VÄSTERNORRLANDS LÄN</t>
        </is>
      </c>
      <c r="E3610" t="inlineStr">
        <is>
          <t>SOLLEFTEÅ</t>
        </is>
      </c>
      <c r="G3610" t="n">
        <v>21.3</v>
      </c>
      <c r="H3610" t="n">
        <v>0</v>
      </c>
      <c r="I3610" t="n">
        <v>0</v>
      </c>
      <c r="J3610" t="n">
        <v>0</v>
      </c>
      <c r="K3610" t="n">
        <v>0</v>
      </c>
      <c r="L3610" t="n">
        <v>0</v>
      </c>
      <c r="M3610" t="n">
        <v>0</v>
      </c>
      <c r="N3610" t="n">
        <v>0</v>
      </c>
      <c r="O3610" t="n">
        <v>0</v>
      </c>
      <c r="P3610" t="n">
        <v>0</v>
      </c>
      <c r="Q3610" t="n">
        <v>0</v>
      </c>
      <c r="R3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2025-01-13T15:50:59Z</dcterms:created>
  <dcterms:modified xmlns:dcterms="http://purl.org/dc/terms/" xmlns:xsi="http://www.w3.org/2001/XMLSchema-instance" xsi:type="dcterms:W3CDTF">2025-01-13T15:51:02Z</dcterms:modified>
</cp:coreProperties>
</file>