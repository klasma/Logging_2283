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45991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45991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45991</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45991</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45991</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45991</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45991</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23630-2025</t>
        </is>
      </c>
      <c r="B21" s="1" t="n">
        <v>45792.67766203704</v>
      </c>
      <c r="C21" s="1" t="n">
        <v>45991</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45991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45991</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45991</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45991</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45991</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45991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23629-2025</t>
        </is>
      </c>
      <c r="B28" s="1" t="n">
        <v>45792.67752314815</v>
      </c>
      <c r="C28" s="1" t="n">
        <v>45991</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45991</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45991</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45991</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45991</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45991</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45991</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45991</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28663-2023</t>
        </is>
      </c>
      <c r="B37" s="1" t="n">
        <v>45096</v>
      </c>
      <c r="C37" s="1" t="n">
        <v>45991</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1963-2025</t>
        </is>
      </c>
      <c r="B38" s="1" t="n">
        <v>45672</v>
      </c>
      <c r="C38" s="1" t="n">
        <v>45991</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45991</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3639-2025</t>
        </is>
      </c>
      <c r="B40" s="1" t="n">
        <v>45681</v>
      </c>
      <c r="C40" s="1" t="n">
        <v>45991</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45991</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45991</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27590-2025</t>
        </is>
      </c>
      <c r="B43" s="1" t="n">
        <v>45813</v>
      </c>
      <c r="C43" s="1" t="n">
        <v>45991</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27635-2024</t>
        </is>
      </c>
      <c r="B44" s="1" t="n">
        <v>45474</v>
      </c>
      <c r="C44" s="1" t="n">
        <v>45991</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29232-2025</t>
        </is>
      </c>
      <c r="B45" s="1" t="n">
        <v>45824.34453703704</v>
      </c>
      <c r="C45" s="1" t="n">
        <v>45991</v>
      </c>
      <c r="D45" t="inlineStr">
        <is>
          <t>VÄSTERNORRLANDS LÄN</t>
        </is>
      </c>
      <c r="E45" t="inlineStr">
        <is>
          <t>SOLLEFTEÅ</t>
        </is>
      </c>
      <c r="F45" t="inlineStr">
        <is>
          <t>SCA</t>
        </is>
      </c>
      <c r="G45" t="n">
        <v>6.5</v>
      </c>
      <c r="H45" t="n">
        <v>2</v>
      </c>
      <c r="I45" t="n">
        <v>4</v>
      </c>
      <c r="J45" t="n">
        <v>9</v>
      </c>
      <c r="K45" t="n">
        <v>0</v>
      </c>
      <c r="L45" t="n">
        <v>0</v>
      </c>
      <c r="M45" t="n">
        <v>0</v>
      </c>
      <c r="N45" t="n">
        <v>0</v>
      </c>
      <c r="O45" t="n">
        <v>9</v>
      </c>
      <c r="P45" t="n">
        <v>0</v>
      </c>
      <c r="Q45" t="n">
        <v>13</v>
      </c>
      <c r="R45" s="2" t="inlineStr">
        <is>
          <t>Gammelgransskål
Garnlav
Luddfingersvamp
Lunglav
Talltita
Tretåig hackspett
Ullticka
Vedskivlav
Vitgrynig nållav
Bårdlav
Luddlav
Stuplav
Vedticka</t>
        </is>
      </c>
      <c r="S45">
        <f>HYPERLINK("https://klasma.github.io/Logging_2283/artfynd/A 29232-2025 artfynd.xlsx", "A 29232-2025")</f>
        <v/>
      </c>
      <c r="T45">
        <f>HYPERLINK("https://klasma.github.io/Logging_2283/kartor/A 29232-2025 karta.png", "A 29232-2025")</f>
        <v/>
      </c>
      <c r="V45">
        <f>HYPERLINK("https://klasma.github.io/Logging_2283/klagomål/A 29232-2025 FSC-klagomål.docx", "A 29232-2025")</f>
        <v/>
      </c>
      <c r="W45">
        <f>HYPERLINK("https://klasma.github.io/Logging_2283/klagomålsmail/A 29232-2025 FSC-klagomål mail.docx", "A 29232-2025")</f>
        <v/>
      </c>
      <c r="X45">
        <f>HYPERLINK("https://klasma.github.io/Logging_2283/tillsyn/A 29232-2025 tillsynsbegäran.docx", "A 29232-2025")</f>
        <v/>
      </c>
      <c r="Y45">
        <f>HYPERLINK("https://klasma.github.io/Logging_2283/tillsynsmail/A 29232-2025 tillsynsbegäran mail.docx", "A 29232-2025")</f>
        <v/>
      </c>
      <c r="Z45">
        <f>HYPERLINK("https://klasma.github.io/Logging_2283/fåglar/A 29232-2025 prioriterade fågelarter.docx", "A 29232-2025")</f>
        <v/>
      </c>
    </row>
    <row r="46" ht="15" customHeight="1">
      <c r="A46" t="inlineStr">
        <is>
          <t>A 32199-2023</t>
        </is>
      </c>
      <c r="B46" s="1" t="n">
        <v>45119</v>
      </c>
      <c r="C46" s="1" t="n">
        <v>45991</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45991</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45991</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45991</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22209-2025</t>
        </is>
      </c>
      <c r="B50" s="1" t="n">
        <v>45785.65732638889</v>
      </c>
      <c r="C50" s="1" t="n">
        <v>45991</v>
      </c>
      <c r="D50" t="inlineStr">
        <is>
          <t>VÄSTERNORRLANDS LÄN</t>
        </is>
      </c>
      <c r="E50" t="inlineStr">
        <is>
          <t>SOLLEFTEÅ</t>
        </is>
      </c>
      <c r="F50" t="inlineStr">
        <is>
          <t>SCA</t>
        </is>
      </c>
      <c r="G50" t="n">
        <v>10.1</v>
      </c>
      <c r="H50" t="n">
        <v>2</v>
      </c>
      <c r="I50" t="n">
        <v>6</v>
      </c>
      <c r="J50" t="n">
        <v>6</v>
      </c>
      <c r="K50" t="n">
        <v>1</v>
      </c>
      <c r="L50" t="n">
        <v>0</v>
      </c>
      <c r="M50" t="n">
        <v>0</v>
      </c>
      <c r="N50" t="n">
        <v>0</v>
      </c>
      <c r="O50" t="n">
        <v>7</v>
      </c>
      <c r="P50" t="n">
        <v>1</v>
      </c>
      <c r="Q50" t="n">
        <v>13</v>
      </c>
      <c r="R50" s="2" t="inlineStr">
        <is>
          <t>Knärot
Garnlav
Granticka
Harticka
Lunglav
Rosenticka
Ullticka
Bronshjon
Spindelblomster
Stor aspticka
Thomsons trägnagare
Vedticka
Vågbandad barkbock</t>
        </is>
      </c>
      <c r="S50">
        <f>HYPERLINK("https://klasma.github.io/Logging_2283/artfynd/A 22209-2025 artfynd.xlsx", "A 22209-2025")</f>
        <v/>
      </c>
      <c r="T50">
        <f>HYPERLINK("https://klasma.github.io/Logging_2283/kartor/A 22209-2025 karta.png", "A 22209-2025")</f>
        <v/>
      </c>
      <c r="U50">
        <f>HYPERLINK("https://klasma.github.io/Logging_2283/knärot/A 22209-2025 karta knärot.png", "A 22209-2025")</f>
        <v/>
      </c>
      <c r="V50">
        <f>HYPERLINK("https://klasma.github.io/Logging_2283/klagomål/A 22209-2025 FSC-klagomål.docx", "A 22209-2025")</f>
        <v/>
      </c>
      <c r="W50">
        <f>HYPERLINK("https://klasma.github.io/Logging_2283/klagomålsmail/A 22209-2025 FSC-klagomål mail.docx", "A 22209-2025")</f>
        <v/>
      </c>
      <c r="X50">
        <f>HYPERLINK("https://klasma.github.io/Logging_2283/tillsyn/A 22209-2025 tillsynsbegäran.docx", "A 22209-2025")</f>
        <v/>
      </c>
      <c r="Y50">
        <f>HYPERLINK("https://klasma.github.io/Logging_2283/tillsynsmail/A 22209-2025 tillsynsbegäran mail.docx", "A 22209-2025")</f>
        <v/>
      </c>
    </row>
    <row r="51" ht="15" customHeight="1">
      <c r="A51" t="inlineStr">
        <is>
          <t>A 4839-2025</t>
        </is>
      </c>
      <c r="B51" s="1" t="n">
        <v>45688</v>
      </c>
      <c r="C51" s="1" t="n">
        <v>45991</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45991</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45991</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45991</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45991</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45991</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3325-2025</t>
        </is>
      </c>
      <c r="B57" s="1" t="n">
        <v>45679</v>
      </c>
      <c r="C57" s="1" t="n">
        <v>45991</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49704-2025</t>
        </is>
      </c>
      <c r="B58" s="1" t="n">
        <v>45939</v>
      </c>
      <c r="C58" s="1" t="n">
        <v>45991</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44369-2024</t>
        </is>
      </c>
      <c r="B59" s="1" t="n">
        <v>45573</v>
      </c>
      <c r="C59" s="1" t="n">
        <v>45991</v>
      </c>
      <c r="D59" t="inlineStr">
        <is>
          <t>VÄSTERNORRLANDS LÄN</t>
        </is>
      </c>
      <c r="E59" t="inlineStr">
        <is>
          <t>SOLLEFTEÅ</t>
        </is>
      </c>
      <c r="F59" t="inlineStr">
        <is>
          <t>SCA</t>
        </is>
      </c>
      <c r="G59" t="n">
        <v>1.5</v>
      </c>
      <c r="H59" t="n">
        <v>5</v>
      </c>
      <c r="I59" t="n">
        <v>1</v>
      </c>
      <c r="J59" t="n">
        <v>9</v>
      </c>
      <c r="K59" t="n">
        <v>2</v>
      </c>
      <c r="L59" t="n">
        <v>0</v>
      </c>
      <c r="M59" t="n">
        <v>0</v>
      </c>
      <c r="N59" t="n">
        <v>0</v>
      </c>
      <c r="O59" t="n">
        <v>11</v>
      </c>
      <c r="P59" t="n">
        <v>2</v>
      </c>
      <c r="Q59" t="n">
        <v>12</v>
      </c>
      <c r="R59" s="2" t="inlineStr">
        <is>
          <t>Knärot
Ulltickeporing
Garnlav
Järpe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32460-2024</t>
        </is>
      </c>
      <c r="B60" s="1" t="n">
        <v>45512</v>
      </c>
      <c r="C60" s="1" t="n">
        <v>45991</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45991</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45991</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45991</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45991</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61326-2024</t>
        </is>
      </c>
      <c r="B65" s="1" t="n">
        <v>45646</v>
      </c>
      <c r="C65" s="1" t="n">
        <v>45991</v>
      </c>
      <c r="D65" t="inlineStr">
        <is>
          <t>VÄSTERNORRLANDS LÄN</t>
        </is>
      </c>
      <c r="E65" t="inlineStr">
        <is>
          <t>SOLLEFTEÅ</t>
        </is>
      </c>
      <c r="F65" t="inlineStr">
        <is>
          <t>SCA</t>
        </is>
      </c>
      <c r="G65" t="n">
        <v>7.9</v>
      </c>
      <c r="H65" t="n">
        <v>1</v>
      </c>
      <c r="I65" t="n">
        <v>1</v>
      </c>
      <c r="J65" t="n">
        <v>10</v>
      </c>
      <c r="K65" t="n">
        <v>0</v>
      </c>
      <c r="L65" t="n">
        <v>0</v>
      </c>
      <c r="M65" t="n">
        <v>0</v>
      </c>
      <c r="N65" t="n">
        <v>0</v>
      </c>
      <c r="O65" t="n">
        <v>10</v>
      </c>
      <c r="P65" t="n">
        <v>0</v>
      </c>
      <c r="Q65" t="n">
        <v>11</v>
      </c>
      <c r="R65" s="2" t="inlineStr">
        <is>
          <t>Gammelgransskål
Garnlav
Granticka
Lunglav
Mörk kolflarnlav
Skrovellav
Stiftgelélav
Tretåig hackspett
Ullticka
Vitgrynig nållav
Luddlav</t>
        </is>
      </c>
      <c r="S65">
        <f>HYPERLINK("https://klasma.github.io/Logging_2283/artfynd/A 61326-2024 artfynd.xlsx", "A 61326-2024")</f>
        <v/>
      </c>
      <c r="T65">
        <f>HYPERLINK("https://klasma.github.io/Logging_2283/kartor/A 61326-2024 karta.png", "A 61326-2024")</f>
        <v/>
      </c>
      <c r="U65">
        <f>HYPERLINK("https://klasma.github.io/Logging_2283/knärot/A 61326-2024 karta knärot.png", "A 61326-2024")</f>
        <v/>
      </c>
      <c r="V65">
        <f>HYPERLINK("https://klasma.github.io/Logging_2283/klagomål/A 61326-2024 FSC-klagomål.docx", "A 61326-2024")</f>
        <v/>
      </c>
      <c r="W65">
        <f>HYPERLINK("https://klasma.github.io/Logging_2283/klagomålsmail/A 61326-2024 FSC-klagomål mail.docx", "A 61326-2024")</f>
        <v/>
      </c>
      <c r="X65">
        <f>HYPERLINK("https://klasma.github.io/Logging_2283/tillsyn/A 61326-2024 tillsynsbegäran.docx", "A 61326-2024")</f>
        <v/>
      </c>
      <c r="Y65">
        <f>HYPERLINK("https://klasma.github.io/Logging_2283/tillsynsmail/A 61326-2024 tillsynsbegäran mail.docx", "A 61326-2024")</f>
        <v/>
      </c>
      <c r="Z65">
        <f>HYPERLINK("https://klasma.github.io/Logging_2283/fåglar/A 61326-2024 prioriterade fågelarter.docx", "A 61326-2024")</f>
        <v/>
      </c>
    </row>
    <row r="66" ht="15" customHeight="1">
      <c r="A66" t="inlineStr">
        <is>
          <t>A 46041-2022</t>
        </is>
      </c>
      <c r="B66" s="1" t="n">
        <v>44846</v>
      </c>
      <c r="C66" s="1" t="n">
        <v>45991</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747-2022</t>
        </is>
      </c>
      <c r="B67" s="1" t="n">
        <v>44568</v>
      </c>
      <c r="C67" s="1" t="n">
        <v>45991</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66171-2021</t>
        </is>
      </c>
      <c r="B68" s="1" t="n">
        <v>44517</v>
      </c>
      <c r="C68" s="1" t="n">
        <v>45991</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6620-2025</t>
        </is>
      </c>
      <c r="B69" s="1" t="n">
        <v>45700</v>
      </c>
      <c r="C69" s="1" t="n">
        <v>45991</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38665-2025</t>
        </is>
      </c>
      <c r="B70" s="1" t="n">
        <v>45884.61528935185</v>
      </c>
      <c r="C70" s="1" t="n">
        <v>45991</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43329-2025</t>
        </is>
      </c>
      <c r="B71" s="1" t="n">
        <v>45910.6775</v>
      </c>
      <c r="C71" s="1" t="n">
        <v>45991</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45991</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45991</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45991</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45991</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45991</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45991</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45991</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45991</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45991</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45991</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45991</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45991</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57317-2024</t>
        </is>
      </c>
      <c r="B84" s="1" t="n">
        <v>45629</v>
      </c>
      <c r="C84" s="1" t="n">
        <v>45991</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29250-2024</t>
        </is>
      </c>
      <c r="B85" s="1" t="n">
        <v>45482</v>
      </c>
      <c r="C85" s="1" t="n">
        <v>45991</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4930-2025</t>
        </is>
      </c>
      <c r="B86" s="1" t="n">
        <v>45688</v>
      </c>
      <c r="C86" s="1" t="n">
        <v>45991</v>
      </c>
      <c r="D86" t="inlineStr">
        <is>
          <t>VÄSTERNORRLANDS LÄN</t>
        </is>
      </c>
      <c r="E86" t="inlineStr">
        <is>
          <t>SOLLEFTEÅ</t>
        </is>
      </c>
      <c r="F86" t="inlineStr">
        <is>
          <t>Övriga statliga verk och myndigheter</t>
        </is>
      </c>
      <c r="G86" t="n">
        <v>15.3</v>
      </c>
      <c r="H86" t="n">
        <v>4</v>
      </c>
      <c r="I86" t="n">
        <v>1</v>
      </c>
      <c r="J86" t="n">
        <v>5</v>
      </c>
      <c r="K86" t="n">
        <v>2</v>
      </c>
      <c r="L86" t="n">
        <v>0</v>
      </c>
      <c r="M86" t="n">
        <v>0</v>
      </c>
      <c r="N86" t="n">
        <v>0</v>
      </c>
      <c r="O86" t="n">
        <v>7</v>
      </c>
      <c r="P86" t="n">
        <v>2</v>
      </c>
      <c r="Q86" t="n">
        <v>8</v>
      </c>
      <c r="R86" s="2" t="inlineStr">
        <is>
          <t>Doftticka
Rynkskinn
Björktrast
Rosenticka
Spillkråka
Tretåig hackspett
Ullticka
Underviol</t>
        </is>
      </c>
      <c r="S86">
        <f>HYPERLINK("https://klasma.github.io/Logging_2283/artfynd/A 4930-2025 artfynd.xlsx", "A 4930-2025")</f>
        <v/>
      </c>
      <c r="T86">
        <f>HYPERLINK("https://klasma.github.io/Logging_2283/kartor/A 4930-2025 karta.png", "A 4930-2025")</f>
        <v/>
      </c>
      <c r="V86">
        <f>HYPERLINK("https://klasma.github.io/Logging_2283/klagomål/A 4930-2025 FSC-klagomål.docx", "A 4930-2025")</f>
        <v/>
      </c>
      <c r="W86">
        <f>HYPERLINK("https://klasma.github.io/Logging_2283/klagomålsmail/A 4930-2025 FSC-klagomål mail.docx", "A 4930-2025")</f>
        <v/>
      </c>
      <c r="X86">
        <f>HYPERLINK("https://klasma.github.io/Logging_2283/tillsyn/A 4930-2025 tillsynsbegäran.docx", "A 4930-2025")</f>
        <v/>
      </c>
      <c r="Y86">
        <f>HYPERLINK("https://klasma.github.io/Logging_2283/tillsynsmail/A 4930-2025 tillsynsbegäran mail.docx", "A 4930-2025")</f>
        <v/>
      </c>
      <c r="Z86">
        <f>HYPERLINK("https://klasma.github.io/Logging_2283/fåglar/A 4930-2025 prioriterade fågelarter.docx", "A 4930-2025")</f>
        <v/>
      </c>
    </row>
    <row r="87" ht="15" customHeight="1">
      <c r="A87" t="inlineStr">
        <is>
          <t>A 11540-2024</t>
        </is>
      </c>
      <c r="B87" s="1" t="n">
        <v>45372</v>
      </c>
      <c r="C87" s="1" t="n">
        <v>45991</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31504-2025</t>
        </is>
      </c>
      <c r="B88" s="1" t="n">
        <v>45833.59438657408</v>
      </c>
      <c r="C88" s="1" t="n">
        <v>45991</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24459-2024</t>
        </is>
      </c>
      <c r="B89" s="1" t="n">
        <v>45457.9678125</v>
      </c>
      <c r="C89" s="1" t="n">
        <v>45991</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29620-2023</t>
        </is>
      </c>
      <c r="B90" s="1" t="n">
        <v>45106</v>
      </c>
      <c r="C90" s="1" t="n">
        <v>45991</v>
      </c>
      <c r="D90" t="inlineStr">
        <is>
          <t>VÄSTERNORRLANDS LÄN</t>
        </is>
      </c>
      <c r="E90" t="inlineStr">
        <is>
          <t>SOLLEFTEÅ</t>
        </is>
      </c>
      <c r="F90" t="inlineStr">
        <is>
          <t>SCA</t>
        </is>
      </c>
      <c r="G90" t="n">
        <v>8.300000000000001</v>
      </c>
      <c r="H90" t="n">
        <v>4</v>
      </c>
      <c r="I90" t="n">
        <v>3</v>
      </c>
      <c r="J90" t="n">
        <v>3</v>
      </c>
      <c r="K90" t="n">
        <v>0</v>
      </c>
      <c r="L90" t="n">
        <v>0</v>
      </c>
      <c r="M90" t="n">
        <v>0</v>
      </c>
      <c r="N90" t="n">
        <v>0</v>
      </c>
      <c r="O90" t="n">
        <v>3</v>
      </c>
      <c r="P90" t="n">
        <v>0</v>
      </c>
      <c r="Q90" t="n">
        <v>8</v>
      </c>
      <c r="R90" s="2" t="inlineStr">
        <is>
          <t>Granticka
Rosenticka
Ullticka
Korallrot
Skinnlav
Spindelblomster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row>
    <row r="91" ht="15" customHeight="1">
      <c r="A91" t="inlineStr">
        <is>
          <t>A 5310-2024</t>
        </is>
      </c>
      <c r="B91" s="1" t="n">
        <v>45331</v>
      </c>
      <c r="C91" s="1" t="n">
        <v>45991</v>
      </c>
      <c r="D91" t="inlineStr">
        <is>
          <t>VÄSTERNORRLANDS LÄN</t>
        </is>
      </c>
      <c r="E91" t="inlineStr">
        <is>
          <t>SOLLEFTEÅ</t>
        </is>
      </c>
      <c r="G91" t="n">
        <v>8.5</v>
      </c>
      <c r="H91" t="n">
        <v>2</v>
      </c>
      <c r="I91" t="n">
        <v>3</v>
      </c>
      <c r="J91" t="n">
        <v>4</v>
      </c>
      <c r="K91" t="n">
        <v>1</v>
      </c>
      <c r="L91" t="n">
        <v>0</v>
      </c>
      <c r="M91" t="n">
        <v>0</v>
      </c>
      <c r="N91" t="n">
        <v>0</v>
      </c>
      <c r="O91" t="n">
        <v>5</v>
      </c>
      <c r="P91" t="n">
        <v>1</v>
      </c>
      <c r="Q91" t="n">
        <v>8</v>
      </c>
      <c r="R91" s="2" t="inlineStr">
        <is>
          <t>Knärot
Garnlav
Kortskaftad ärgspik
Rosenticka
Talltita
Barkticka
Bronshjon
Luddlav</t>
        </is>
      </c>
      <c r="S91">
        <f>HYPERLINK("https://klasma.github.io/Logging_2283/artfynd/A 5310-2024 artfynd.xlsx", "A 5310-2024")</f>
        <v/>
      </c>
      <c r="T91">
        <f>HYPERLINK("https://klasma.github.io/Logging_2283/kartor/A 5310-2024 karta.png", "A 5310-2024")</f>
        <v/>
      </c>
      <c r="U91">
        <f>HYPERLINK("https://klasma.github.io/Logging_2283/knärot/A 5310-2024 karta knärot.png", "A 5310-2024")</f>
        <v/>
      </c>
      <c r="V91">
        <f>HYPERLINK("https://klasma.github.io/Logging_2283/klagomål/A 5310-2024 FSC-klagomål.docx", "A 5310-2024")</f>
        <v/>
      </c>
      <c r="W91">
        <f>HYPERLINK("https://klasma.github.io/Logging_2283/klagomålsmail/A 5310-2024 FSC-klagomål mail.docx", "A 5310-2024")</f>
        <v/>
      </c>
      <c r="X91">
        <f>HYPERLINK("https://klasma.github.io/Logging_2283/tillsyn/A 5310-2024 tillsynsbegäran.docx", "A 5310-2024")</f>
        <v/>
      </c>
      <c r="Y91">
        <f>HYPERLINK("https://klasma.github.io/Logging_2283/tillsynsmail/A 5310-2024 tillsynsbegäran mail.docx", "A 5310-2024")</f>
        <v/>
      </c>
      <c r="Z91">
        <f>HYPERLINK("https://klasma.github.io/Logging_2283/fåglar/A 5310-2024 prioriterade fågelarter.docx", "A 5310-2024")</f>
        <v/>
      </c>
    </row>
    <row r="92" ht="15" customHeight="1">
      <c r="A92" t="inlineStr">
        <is>
          <t>A 47548-2025</t>
        </is>
      </c>
      <c r="B92" s="1" t="n">
        <v>45931.3653125</v>
      </c>
      <c r="C92" s="1" t="n">
        <v>45991</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38294-2024</t>
        </is>
      </c>
      <c r="B93" s="1" t="n">
        <v>45545</v>
      </c>
      <c r="C93" s="1" t="n">
        <v>45991</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44441-2025</t>
        </is>
      </c>
      <c r="B94" s="1" t="n">
        <v>45916</v>
      </c>
      <c r="C94" s="1" t="n">
        <v>45991</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45991</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45078-2025</t>
        </is>
      </c>
      <c r="B96" s="1" t="n">
        <v>45919</v>
      </c>
      <c r="C96" s="1" t="n">
        <v>45991</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25941-2025</t>
        </is>
      </c>
      <c r="B97" s="1" t="n">
        <v>45804</v>
      </c>
      <c r="C97" s="1" t="n">
        <v>45991</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11132-2025</t>
        </is>
      </c>
      <c r="B98" s="1" t="n">
        <v>45723.64934027778</v>
      </c>
      <c r="C98" s="1" t="n">
        <v>45991</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45991</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45991</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45991</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45991</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45991</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45991</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45991</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45991</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12174-2025</t>
        </is>
      </c>
      <c r="B107" s="1" t="n">
        <v>45729</v>
      </c>
      <c r="C107" s="1" t="n">
        <v>45991</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45991</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45991</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54049-2023</t>
        </is>
      </c>
      <c r="B110" s="1" t="n">
        <v>45231</v>
      </c>
      <c r="C110" s="1" t="n">
        <v>45991</v>
      </c>
      <c r="D110" t="inlineStr">
        <is>
          <t>VÄSTERNORRLANDS LÄN</t>
        </is>
      </c>
      <c r="E110" t="inlineStr">
        <is>
          <t>SOLLEFTEÅ</t>
        </is>
      </c>
      <c r="F110" t="inlineStr">
        <is>
          <t>SCA</t>
        </is>
      </c>
      <c r="G110" t="n">
        <v>9.800000000000001</v>
      </c>
      <c r="H110" t="n">
        <v>0</v>
      </c>
      <c r="I110" t="n">
        <v>1</v>
      </c>
      <c r="J110" t="n">
        <v>6</v>
      </c>
      <c r="K110" t="n">
        <v>0</v>
      </c>
      <c r="L110" t="n">
        <v>0</v>
      </c>
      <c r="M110" t="n">
        <v>0</v>
      </c>
      <c r="N110" t="n">
        <v>0</v>
      </c>
      <c r="O110" t="n">
        <v>6</v>
      </c>
      <c r="P110" t="n">
        <v>0</v>
      </c>
      <c r="Q110" t="n">
        <v>7</v>
      </c>
      <c r="R110" s="2" t="inlineStr">
        <is>
          <t>Doftskinn
Gammelgransskål
Garnlav
Rosenticka
Ullticka
Violettgrå tagellav
Vedticka</t>
        </is>
      </c>
      <c r="S110">
        <f>HYPERLINK("https://klasma.github.io/Logging_2283/artfynd/A 54049-2023 artfynd.xlsx", "A 54049-2023")</f>
        <v/>
      </c>
      <c r="T110">
        <f>HYPERLINK("https://klasma.github.io/Logging_2283/kartor/A 54049-2023 karta.png", "A 54049-2023")</f>
        <v/>
      </c>
      <c r="V110">
        <f>HYPERLINK("https://klasma.github.io/Logging_2283/klagomål/A 54049-2023 FSC-klagomål.docx", "A 54049-2023")</f>
        <v/>
      </c>
      <c r="W110">
        <f>HYPERLINK("https://klasma.github.io/Logging_2283/klagomålsmail/A 54049-2023 FSC-klagomål mail.docx", "A 54049-2023")</f>
        <v/>
      </c>
      <c r="X110">
        <f>HYPERLINK("https://klasma.github.io/Logging_2283/tillsyn/A 54049-2023 tillsynsbegäran.docx", "A 54049-2023")</f>
        <v/>
      </c>
      <c r="Y110">
        <f>HYPERLINK("https://klasma.github.io/Logging_2283/tillsynsmail/A 54049-2023 tillsynsbegäran mail.docx", "A 54049-2023")</f>
        <v/>
      </c>
    </row>
    <row r="111" ht="15" customHeight="1">
      <c r="A111" t="inlineStr">
        <is>
          <t>A 21253-2025</t>
        </is>
      </c>
      <c r="B111" s="1" t="n">
        <v>45779</v>
      </c>
      <c r="C111" s="1" t="n">
        <v>45991</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45991</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38157-2025</t>
        </is>
      </c>
      <c r="B113" s="1" t="n">
        <v>45882.61505787037</v>
      </c>
      <c r="C113" s="1" t="n">
        <v>45991</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45991</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45991</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45991</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45991</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45991</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45991</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45991</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45991</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41666-2024</t>
        </is>
      </c>
      <c r="B122" s="1" t="n">
        <v>45560.65010416666</v>
      </c>
      <c r="C122" s="1" t="n">
        <v>45991</v>
      </c>
      <c r="D122" t="inlineStr">
        <is>
          <t>VÄSTERNORRLANDS LÄN</t>
        </is>
      </c>
      <c r="E122" t="inlineStr">
        <is>
          <t>SOLLEFTEÅ</t>
        </is>
      </c>
      <c r="G122" t="n">
        <v>1</v>
      </c>
      <c r="H122" t="n">
        <v>1</v>
      </c>
      <c r="I122" t="n">
        <v>1</v>
      </c>
      <c r="J122" t="n">
        <v>4</v>
      </c>
      <c r="K122" t="n">
        <v>1</v>
      </c>
      <c r="L122" t="n">
        <v>0</v>
      </c>
      <c r="M122" t="n">
        <v>0</v>
      </c>
      <c r="N122" t="n">
        <v>0</v>
      </c>
      <c r="O122" t="n">
        <v>5</v>
      </c>
      <c r="P122" t="n">
        <v>1</v>
      </c>
      <c r="Q122" t="n">
        <v>7</v>
      </c>
      <c r="R122" s="2" t="inlineStr">
        <is>
          <t>Rynkskinn
Granticka
Lunglav
Rosenticka
Vedtrappmossa
Stor aspticka
Revlummer</t>
        </is>
      </c>
      <c r="S122">
        <f>HYPERLINK("https://klasma.github.io/Logging_2283/artfynd/A 41666-2024 artfynd.xlsx", "A 41666-2024")</f>
        <v/>
      </c>
      <c r="T122">
        <f>HYPERLINK("https://klasma.github.io/Logging_2283/kartor/A 41666-2024 karta.png", "A 41666-2024")</f>
        <v/>
      </c>
      <c r="V122">
        <f>HYPERLINK("https://klasma.github.io/Logging_2283/klagomål/A 41666-2024 FSC-klagomål.docx", "A 41666-2024")</f>
        <v/>
      </c>
      <c r="W122">
        <f>HYPERLINK("https://klasma.github.io/Logging_2283/klagomålsmail/A 41666-2024 FSC-klagomål mail.docx", "A 41666-2024")</f>
        <v/>
      </c>
      <c r="X122">
        <f>HYPERLINK("https://klasma.github.io/Logging_2283/tillsyn/A 41666-2024 tillsynsbegäran.docx", "A 41666-2024")</f>
        <v/>
      </c>
      <c r="Y122">
        <f>HYPERLINK("https://klasma.github.io/Logging_2283/tillsynsmail/A 41666-2024 tillsynsbegäran mail.docx", "A 41666-2024")</f>
        <v/>
      </c>
    </row>
    <row r="123" ht="15" customHeight="1">
      <c r="A123" t="inlineStr">
        <is>
          <t>A 16087-2022</t>
        </is>
      </c>
      <c r="B123" s="1" t="n">
        <v>44665</v>
      </c>
      <c r="C123" s="1" t="n">
        <v>45991</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45991</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45991</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45991</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61323-2024</t>
        </is>
      </c>
      <c r="B127" s="1" t="n">
        <v>45646</v>
      </c>
      <c r="C127" s="1" t="n">
        <v>45991</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33321-2025</t>
        </is>
      </c>
      <c r="B128" s="1" t="n">
        <v>45841.34490740741</v>
      </c>
      <c r="C128" s="1" t="n">
        <v>45991</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13250-2025</t>
        </is>
      </c>
      <c r="B129" s="1" t="n">
        <v>45735.49013888889</v>
      </c>
      <c r="C129" s="1" t="n">
        <v>45991</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45991</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15666-2025</t>
        </is>
      </c>
      <c r="B131" s="1" t="n">
        <v>45748.4315625</v>
      </c>
      <c r="C131" s="1" t="n">
        <v>45991</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26594-2022</t>
        </is>
      </c>
      <c r="B132" s="1" t="n">
        <v>44739</v>
      </c>
      <c r="C132" s="1" t="n">
        <v>45991</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45692-2025</t>
        </is>
      </c>
      <c r="B133" s="1" t="n">
        <v>45923</v>
      </c>
      <c r="C133" s="1" t="n">
        <v>45991</v>
      </c>
      <c r="D133" t="inlineStr">
        <is>
          <t>VÄSTERNORRLANDS LÄN</t>
        </is>
      </c>
      <c r="E133" t="inlineStr">
        <is>
          <t>SOLLEFTEÅ</t>
        </is>
      </c>
      <c r="F133" t="inlineStr">
        <is>
          <t>SCA</t>
        </is>
      </c>
      <c r="G133" t="n">
        <v>4.9</v>
      </c>
      <c r="H133" t="n">
        <v>2</v>
      </c>
      <c r="I133" t="n">
        <v>1</v>
      </c>
      <c r="J133" t="n">
        <v>4</v>
      </c>
      <c r="K133" t="n">
        <v>1</v>
      </c>
      <c r="L133" t="n">
        <v>0</v>
      </c>
      <c r="M133" t="n">
        <v>0</v>
      </c>
      <c r="N133" t="n">
        <v>0</v>
      </c>
      <c r="O133" t="n">
        <v>5</v>
      </c>
      <c r="P133" t="n">
        <v>1</v>
      </c>
      <c r="Q133" t="n">
        <v>6</v>
      </c>
      <c r="R133" s="2" t="inlineStr">
        <is>
          <t>Knärot
Granticka
Rosenticka
Tretåig hackspett
Ullticka
Vedticka</t>
        </is>
      </c>
      <c r="S133">
        <f>HYPERLINK("https://klasma.github.io/Logging_2283/artfynd/A 45692-2025 artfynd.xlsx", "A 45692-2025")</f>
        <v/>
      </c>
      <c r="T133">
        <f>HYPERLINK("https://klasma.github.io/Logging_2283/kartor/A 45692-2025 karta.png", "A 45692-2025")</f>
        <v/>
      </c>
      <c r="U133">
        <f>HYPERLINK("https://klasma.github.io/Logging_2283/knärot/A 45692-2025 karta knärot.png", "A 45692-2025")</f>
        <v/>
      </c>
      <c r="V133">
        <f>HYPERLINK("https://klasma.github.io/Logging_2283/klagomål/A 45692-2025 FSC-klagomål.docx", "A 45692-2025")</f>
        <v/>
      </c>
      <c r="W133">
        <f>HYPERLINK("https://klasma.github.io/Logging_2283/klagomålsmail/A 45692-2025 FSC-klagomål mail.docx", "A 45692-2025")</f>
        <v/>
      </c>
      <c r="X133">
        <f>HYPERLINK("https://klasma.github.io/Logging_2283/tillsyn/A 45692-2025 tillsynsbegäran.docx", "A 45692-2025")</f>
        <v/>
      </c>
      <c r="Y133">
        <f>HYPERLINK("https://klasma.github.io/Logging_2283/tillsynsmail/A 45692-2025 tillsynsbegäran mail.docx", "A 45692-2025")</f>
        <v/>
      </c>
      <c r="Z133">
        <f>HYPERLINK("https://klasma.github.io/Logging_2283/fåglar/A 45692-2025 prioriterade fågelarter.docx", "A 45692-2025")</f>
        <v/>
      </c>
    </row>
    <row r="134" ht="15" customHeight="1">
      <c r="A134" t="inlineStr">
        <is>
          <t>A 40967-2025</t>
        </is>
      </c>
      <c r="B134" s="1" t="n">
        <v>45897.77547453704</v>
      </c>
      <c r="C134" s="1" t="n">
        <v>45991</v>
      </c>
      <c r="D134" t="inlineStr">
        <is>
          <t>VÄSTERNORRLANDS LÄN</t>
        </is>
      </c>
      <c r="E134" t="inlineStr">
        <is>
          <t>SOLLEFTEÅ</t>
        </is>
      </c>
      <c r="G134" t="n">
        <v>0.8</v>
      </c>
      <c r="H134" t="n">
        <v>2</v>
      </c>
      <c r="I134" t="n">
        <v>2</v>
      </c>
      <c r="J134" t="n">
        <v>2</v>
      </c>
      <c r="K134" t="n">
        <v>1</v>
      </c>
      <c r="L134" t="n">
        <v>0</v>
      </c>
      <c r="M134" t="n">
        <v>0</v>
      </c>
      <c r="N134" t="n">
        <v>0</v>
      </c>
      <c r="O134" t="n">
        <v>3</v>
      </c>
      <c r="P134" t="n">
        <v>1</v>
      </c>
      <c r="Q134" t="n">
        <v>6</v>
      </c>
      <c r="R134" s="2" t="inlineStr">
        <is>
          <t>Knärot
Garnlav
Lunglav
Bårdlav
Stuplav
Revlummer</t>
        </is>
      </c>
      <c r="S134">
        <f>HYPERLINK("https://klasma.github.io/Logging_2283/artfynd/A 40967-2025 artfynd.xlsx", "A 40967-2025")</f>
        <v/>
      </c>
      <c r="T134">
        <f>HYPERLINK("https://klasma.github.io/Logging_2283/kartor/A 40967-2025 karta.png", "A 40967-2025")</f>
        <v/>
      </c>
      <c r="U134">
        <f>HYPERLINK("https://klasma.github.io/Logging_2283/knärot/A 40967-2025 karta knärot.png", "A 40967-2025")</f>
        <v/>
      </c>
      <c r="V134">
        <f>HYPERLINK("https://klasma.github.io/Logging_2283/klagomål/A 40967-2025 FSC-klagomål.docx", "A 40967-2025")</f>
        <v/>
      </c>
      <c r="W134">
        <f>HYPERLINK("https://klasma.github.io/Logging_2283/klagomålsmail/A 40967-2025 FSC-klagomål mail.docx", "A 40967-2025")</f>
        <v/>
      </c>
      <c r="X134">
        <f>HYPERLINK("https://klasma.github.io/Logging_2283/tillsyn/A 40967-2025 tillsynsbegäran.docx", "A 40967-2025")</f>
        <v/>
      </c>
      <c r="Y134">
        <f>HYPERLINK("https://klasma.github.io/Logging_2283/tillsynsmail/A 40967-2025 tillsynsbegäran mail.docx", "A 40967-2025")</f>
        <v/>
      </c>
    </row>
    <row r="135" ht="15" customHeight="1">
      <c r="A135" t="inlineStr">
        <is>
          <t>A 40420-2023</t>
        </is>
      </c>
      <c r="B135" s="1" t="n">
        <v>45169</v>
      </c>
      <c r="C135" s="1" t="n">
        <v>45991</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49747-2025</t>
        </is>
      </c>
      <c r="B136" s="1" t="n">
        <v>45940.34461805555</v>
      </c>
      <c r="C136" s="1" t="n">
        <v>45991</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56141-2025</t>
        </is>
      </c>
      <c r="B137" s="1" t="n">
        <v>45974.34427083333</v>
      </c>
      <c r="C137" s="1" t="n">
        <v>45991</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36470-2024</t>
        </is>
      </c>
      <c r="B138" s="1" t="n">
        <v>45537</v>
      </c>
      <c r="C138" s="1" t="n">
        <v>45991</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45991</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45991</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45991</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45991</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45991</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45991</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45991</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45991</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45991</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45991</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45991</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45991</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45991</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45991</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45991</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23319-2025</t>
        </is>
      </c>
      <c r="B154" s="1" t="n">
        <v>45791.61511574074</v>
      </c>
      <c r="C154" s="1" t="n">
        <v>45991</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50418-2024</t>
        </is>
      </c>
      <c r="B155" s="1" t="n">
        <v>45601.38575231482</v>
      </c>
      <c r="C155" s="1" t="n">
        <v>45991</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51341-2025</t>
        </is>
      </c>
      <c r="B156" s="1" t="n">
        <v>45950.42761574074</v>
      </c>
      <c r="C156" s="1" t="n">
        <v>45991</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44407-2025</t>
        </is>
      </c>
      <c r="B157" s="1" t="n">
        <v>45916.52679398148</v>
      </c>
      <c r="C157" s="1" t="n">
        <v>45991</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45991</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46629-2022</t>
        </is>
      </c>
      <c r="B159" s="1" t="n">
        <v>44848</v>
      </c>
      <c r="C159" s="1" t="n">
        <v>45991</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27910-2024</t>
        </is>
      </c>
      <c r="B160" s="1" t="n">
        <v>45475</v>
      </c>
      <c r="C160" s="1" t="n">
        <v>45991</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45991</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45991</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45991</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56420-2025</t>
        </is>
      </c>
      <c r="B164" s="1" t="n">
        <v>45975.34476851852</v>
      </c>
      <c r="C164" s="1" t="n">
        <v>45991</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27675-2023</t>
        </is>
      </c>
      <c r="B165" s="1" t="n">
        <v>45097</v>
      </c>
      <c r="C165" s="1" t="n">
        <v>45991</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29249-2024</t>
        </is>
      </c>
      <c r="B166" s="1" t="n">
        <v>45482</v>
      </c>
      <c r="C166" s="1" t="n">
        <v>45991</v>
      </c>
      <c r="D166" t="inlineStr">
        <is>
          <t>VÄSTERNORRLANDS LÄN</t>
        </is>
      </c>
      <c r="E166" t="inlineStr">
        <is>
          <t>SOLLEFTEÅ</t>
        </is>
      </c>
      <c r="F166" t="inlineStr">
        <is>
          <t>SCA</t>
        </is>
      </c>
      <c r="G166" t="n">
        <v>7.3</v>
      </c>
      <c r="H166" t="n">
        <v>3</v>
      </c>
      <c r="I166" t="n">
        <v>1</v>
      </c>
      <c r="J166" t="n">
        <v>3</v>
      </c>
      <c r="K166" t="n">
        <v>1</v>
      </c>
      <c r="L166" t="n">
        <v>0</v>
      </c>
      <c r="M166" t="n">
        <v>0</v>
      </c>
      <c r="N166" t="n">
        <v>0</v>
      </c>
      <c r="O166" t="n">
        <v>4</v>
      </c>
      <c r="P166" t="n">
        <v>1</v>
      </c>
      <c r="Q166" t="n">
        <v>5</v>
      </c>
      <c r="R166" s="2" t="inlineStr">
        <is>
          <t>Knärot
Harticka
Talltita
Tretåig hackspett
Stuplav</t>
        </is>
      </c>
      <c r="S166">
        <f>HYPERLINK("https://klasma.github.io/Logging_2283/artfynd/A 29249-2024 artfynd.xlsx", "A 29249-2024")</f>
        <v/>
      </c>
      <c r="T166">
        <f>HYPERLINK("https://klasma.github.io/Logging_2283/kartor/A 29249-2024 karta.png", "A 29249-2024")</f>
        <v/>
      </c>
      <c r="U166">
        <f>HYPERLINK("https://klasma.github.io/Logging_2283/knärot/A 29249-2024 karta knärot.png", "A 29249-2024")</f>
        <v/>
      </c>
      <c r="V166">
        <f>HYPERLINK("https://klasma.github.io/Logging_2283/klagomål/A 29249-2024 FSC-klagomål.docx", "A 29249-2024")</f>
        <v/>
      </c>
      <c r="W166">
        <f>HYPERLINK("https://klasma.github.io/Logging_2283/klagomålsmail/A 29249-2024 FSC-klagomål mail.docx", "A 29249-2024")</f>
        <v/>
      </c>
      <c r="X166">
        <f>HYPERLINK("https://klasma.github.io/Logging_2283/tillsyn/A 29249-2024 tillsynsbegäran.docx", "A 29249-2024")</f>
        <v/>
      </c>
      <c r="Y166">
        <f>HYPERLINK("https://klasma.github.io/Logging_2283/tillsynsmail/A 29249-2024 tillsynsbegäran mail.docx", "A 29249-2024")</f>
        <v/>
      </c>
      <c r="Z166">
        <f>HYPERLINK("https://klasma.github.io/Logging_2283/fåglar/A 29249-2024 prioriterade fågelarter.docx", "A 29249-2024")</f>
        <v/>
      </c>
    </row>
    <row r="167" ht="15" customHeight="1">
      <c r="A167" t="inlineStr">
        <is>
          <t>A 33519-2024</t>
        </is>
      </c>
      <c r="B167" s="1" t="n">
        <v>45519</v>
      </c>
      <c r="C167" s="1" t="n">
        <v>45991</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48562-2024</t>
        </is>
      </c>
      <c r="B168" s="1" t="n">
        <v>45593.38597222222</v>
      </c>
      <c r="C168" s="1" t="n">
        <v>45991</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45991</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45991</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45991</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45991</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11547-2025</t>
        </is>
      </c>
      <c r="B173" s="1" t="n">
        <v>45727.34447916667</v>
      </c>
      <c r="C173" s="1" t="n">
        <v>45991</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32216-2023</t>
        </is>
      </c>
      <c r="B174" s="1" t="n">
        <v>45119</v>
      </c>
      <c r="C174" s="1" t="n">
        <v>45991</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21002-2025</t>
        </is>
      </c>
      <c r="B175" s="1" t="n">
        <v>45777.48998842593</v>
      </c>
      <c r="C175" s="1" t="n">
        <v>45991</v>
      </c>
      <c r="D175" t="inlineStr">
        <is>
          <t>VÄSTERNORRLANDS LÄN</t>
        </is>
      </c>
      <c r="E175" t="inlineStr">
        <is>
          <t>SOLLEFTEÅ</t>
        </is>
      </c>
      <c r="F175" t="inlineStr">
        <is>
          <t>SCA</t>
        </is>
      </c>
      <c r="G175" t="n">
        <v>3.1</v>
      </c>
      <c r="H175" t="n">
        <v>1</v>
      </c>
      <c r="I175" t="n">
        <v>2</v>
      </c>
      <c r="J175" t="n">
        <v>3</v>
      </c>
      <c r="K175" t="n">
        <v>0</v>
      </c>
      <c r="L175" t="n">
        <v>0</v>
      </c>
      <c r="M175" t="n">
        <v>0</v>
      </c>
      <c r="N175" t="n">
        <v>0</v>
      </c>
      <c r="O175" t="n">
        <v>3</v>
      </c>
      <c r="P175" t="n">
        <v>0</v>
      </c>
      <c r="Q175" t="n">
        <v>5</v>
      </c>
      <c r="R175" s="2" t="inlineStr">
        <is>
          <t>Granticka
Tretåig hackspett
Ullticka
Norrlandslav
Vedticka</t>
        </is>
      </c>
      <c r="S175">
        <f>HYPERLINK("https://klasma.github.io/Logging_2283/artfynd/A 21002-2025 artfynd.xlsx", "A 21002-2025")</f>
        <v/>
      </c>
      <c r="T175">
        <f>HYPERLINK("https://klasma.github.io/Logging_2283/kartor/A 21002-2025 karta.png", "A 21002-2025")</f>
        <v/>
      </c>
      <c r="V175">
        <f>HYPERLINK("https://klasma.github.io/Logging_2283/klagomål/A 21002-2025 FSC-klagomål.docx", "A 21002-2025")</f>
        <v/>
      </c>
      <c r="W175">
        <f>HYPERLINK("https://klasma.github.io/Logging_2283/klagomålsmail/A 21002-2025 FSC-klagomål mail.docx", "A 21002-2025")</f>
        <v/>
      </c>
      <c r="X175">
        <f>HYPERLINK("https://klasma.github.io/Logging_2283/tillsyn/A 21002-2025 tillsynsbegäran.docx", "A 21002-2025")</f>
        <v/>
      </c>
      <c r="Y175">
        <f>HYPERLINK("https://klasma.github.io/Logging_2283/tillsynsmail/A 21002-2025 tillsynsbegäran mail.docx", "A 21002-2025")</f>
        <v/>
      </c>
      <c r="Z175">
        <f>HYPERLINK("https://klasma.github.io/Logging_2283/fåglar/A 21002-2025 prioriterade fågelarter.docx", "A 21002-2025")</f>
        <v/>
      </c>
    </row>
    <row r="176" ht="15" customHeight="1">
      <c r="A176" t="inlineStr">
        <is>
          <t>A 30235-2022</t>
        </is>
      </c>
      <c r="B176" s="1" t="n">
        <v>44757</v>
      </c>
      <c r="C176" s="1" t="n">
        <v>45991</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22797-2025</t>
        </is>
      </c>
      <c r="B177" s="1" t="n">
        <v>45789</v>
      </c>
      <c r="C177" s="1" t="n">
        <v>45991</v>
      </c>
      <c r="D177" t="inlineStr">
        <is>
          <t>VÄSTERNORRLANDS LÄN</t>
        </is>
      </c>
      <c r="E177" t="inlineStr">
        <is>
          <t>SOLLEFTEÅ</t>
        </is>
      </c>
      <c r="G177" t="n">
        <v>0.9</v>
      </c>
      <c r="H177" t="n">
        <v>2</v>
      </c>
      <c r="I177" t="n">
        <v>0</v>
      </c>
      <c r="J177" t="n">
        <v>5</v>
      </c>
      <c r="K177" t="n">
        <v>0</v>
      </c>
      <c r="L177" t="n">
        <v>0</v>
      </c>
      <c r="M177" t="n">
        <v>0</v>
      </c>
      <c r="N177" t="n">
        <v>0</v>
      </c>
      <c r="O177" t="n">
        <v>5</v>
      </c>
      <c r="P177" t="n">
        <v>0</v>
      </c>
      <c r="Q177" t="n">
        <v>5</v>
      </c>
      <c r="R177" s="2" t="inlineStr">
        <is>
          <t>Blanksvart spiklav
Talltita
Tretåig hackspett
Vedskivlav
Vedtrappmossa</t>
        </is>
      </c>
      <c r="S177">
        <f>HYPERLINK("https://klasma.github.io/Logging_2283/artfynd/A 22797-2025 artfynd.xlsx", "A 22797-2025")</f>
        <v/>
      </c>
      <c r="T177">
        <f>HYPERLINK("https://klasma.github.io/Logging_2283/kartor/A 22797-2025 karta.png", "A 22797-2025")</f>
        <v/>
      </c>
      <c r="V177">
        <f>HYPERLINK("https://klasma.github.io/Logging_2283/klagomål/A 22797-2025 FSC-klagomål.docx", "A 22797-2025")</f>
        <v/>
      </c>
      <c r="W177">
        <f>HYPERLINK("https://klasma.github.io/Logging_2283/klagomålsmail/A 22797-2025 FSC-klagomål mail.docx", "A 22797-2025")</f>
        <v/>
      </c>
      <c r="X177">
        <f>HYPERLINK("https://klasma.github.io/Logging_2283/tillsyn/A 22797-2025 tillsynsbegäran.docx", "A 22797-2025")</f>
        <v/>
      </c>
      <c r="Y177">
        <f>HYPERLINK("https://klasma.github.io/Logging_2283/tillsynsmail/A 22797-2025 tillsynsbegäran mail.docx", "A 22797-2025")</f>
        <v/>
      </c>
      <c r="Z177">
        <f>HYPERLINK("https://klasma.github.io/Logging_2283/fåglar/A 22797-2025 prioriterade fågelarter.docx", "A 22797-2025")</f>
        <v/>
      </c>
    </row>
    <row r="178" ht="15" customHeight="1">
      <c r="A178" t="inlineStr">
        <is>
          <t>A 3795-2022</t>
        </is>
      </c>
      <c r="B178" s="1" t="n">
        <v>44586</v>
      </c>
      <c r="C178" s="1" t="n">
        <v>45991</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45991</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13342-2024</t>
        </is>
      </c>
      <c r="B180" s="1" t="n">
        <v>45386</v>
      </c>
      <c r="C180" s="1" t="n">
        <v>45991</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51192-2024</t>
        </is>
      </c>
      <c r="B181" s="1" t="n">
        <v>45603.61493055556</v>
      </c>
      <c r="C181" s="1" t="n">
        <v>45991</v>
      </c>
      <c r="D181" t="inlineStr">
        <is>
          <t>VÄSTERNORRLANDS LÄN</t>
        </is>
      </c>
      <c r="E181" t="inlineStr">
        <is>
          <t>SOLLEFTEÅ</t>
        </is>
      </c>
      <c r="F181" t="inlineStr">
        <is>
          <t>SCA</t>
        </is>
      </c>
      <c r="G181" t="n">
        <v>3.9</v>
      </c>
      <c r="H181" t="n">
        <v>1</v>
      </c>
      <c r="I181" t="n">
        <v>0</v>
      </c>
      <c r="J181" t="n">
        <v>3</v>
      </c>
      <c r="K181" t="n">
        <v>1</v>
      </c>
      <c r="L181" t="n">
        <v>0</v>
      </c>
      <c r="M181" t="n">
        <v>0</v>
      </c>
      <c r="N181" t="n">
        <v>0</v>
      </c>
      <c r="O181" t="n">
        <v>4</v>
      </c>
      <c r="P181" t="n">
        <v>1</v>
      </c>
      <c r="Q181" t="n">
        <v>4</v>
      </c>
      <c r="R181" s="2" t="inlineStr">
        <is>
          <t>Rynkskinn
Garnlav
Lunglav
Talltita</t>
        </is>
      </c>
      <c r="S181">
        <f>HYPERLINK("https://klasma.github.io/Logging_2283/artfynd/A 51192-2024 artfynd.xlsx", "A 51192-2024")</f>
        <v/>
      </c>
      <c r="T181">
        <f>HYPERLINK("https://klasma.github.io/Logging_2283/kartor/A 51192-2024 karta.png", "A 51192-2024")</f>
        <v/>
      </c>
      <c r="V181">
        <f>HYPERLINK("https://klasma.github.io/Logging_2283/klagomål/A 51192-2024 FSC-klagomål.docx", "A 51192-2024")</f>
        <v/>
      </c>
      <c r="W181">
        <f>HYPERLINK("https://klasma.github.io/Logging_2283/klagomålsmail/A 51192-2024 FSC-klagomål mail.docx", "A 51192-2024")</f>
        <v/>
      </c>
      <c r="X181">
        <f>HYPERLINK("https://klasma.github.io/Logging_2283/tillsyn/A 51192-2024 tillsynsbegäran.docx", "A 51192-2024")</f>
        <v/>
      </c>
      <c r="Y181">
        <f>HYPERLINK("https://klasma.github.io/Logging_2283/tillsynsmail/A 51192-2024 tillsynsbegäran mail.docx", "A 51192-2024")</f>
        <v/>
      </c>
      <c r="Z181">
        <f>HYPERLINK("https://klasma.github.io/Logging_2283/fåglar/A 51192-2024 prioriterade fågelarter.docx", "A 51192-2024")</f>
        <v/>
      </c>
    </row>
    <row r="182" ht="15" customHeight="1">
      <c r="A182" t="inlineStr">
        <is>
          <t>A 37270-2023</t>
        </is>
      </c>
      <c r="B182" s="1" t="n">
        <v>45155</v>
      </c>
      <c r="C182" s="1" t="n">
        <v>45991</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40740-2025</t>
        </is>
      </c>
      <c r="B183" s="1" t="n">
        <v>45897.36840277778</v>
      </c>
      <c r="C183" s="1" t="n">
        <v>45991</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47527-2024</t>
        </is>
      </c>
      <c r="B184" s="1" t="n">
        <v>45587.63574074074</v>
      </c>
      <c r="C184" s="1" t="n">
        <v>45991</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29561-2025</t>
        </is>
      </c>
      <c r="B185" s="1" t="n">
        <v>45825.36510416667</v>
      </c>
      <c r="C185" s="1" t="n">
        <v>45991</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2349-2025</t>
        </is>
      </c>
      <c r="B186" s="1" t="n">
        <v>45673.67807870371</v>
      </c>
      <c r="C186" s="1" t="n">
        <v>45991</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45030-2025</t>
        </is>
      </c>
      <c r="B187" s="1" t="n">
        <v>45918.69851851852</v>
      </c>
      <c r="C187" s="1" t="n">
        <v>45991</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59381-2024</t>
        </is>
      </c>
      <c r="B188" s="1" t="n">
        <v>45638</v>
      </c>
      <c r="C188" s="1" t="n">
        <v>45991</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5018-2025</t>
        </is>
      </c>
      <c r="B189" s="1" t="n">
        <v>45691</v>
      </c>
      <c r="C189" s="1" t="n">
        <v>45991</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45991</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36943-2025</t>
        </is>
      </c>
      <c r="B191" s="1" t="n">
        <v>45874.59422453704</v>
      </c>
      <c r="C191" s="1" t="n">
        <v>45991</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19898-2025</t>
        </is>
      </c>
      <c r="B192" s="1" t="n">
        <v>45771.58626157408</v>
      </c>
      <c r="C192" s="1" t="n">
        <v>45991</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56248-2023</t>
        </is>
      </c>
      <c r="B193" s="1" t="n">
        <v>45240</v>
      </c>
      <c r="C193" s="1" t="n">
        <v>45991</v>
      </c>
      <c r="D193" t="inlineStr">
        <is>
          <t>VÄSTERNORRLANDS LÄN</t>
        </is>
      </c>
      <c r="E193" t="inlineStr">
        <is>
          <t>SOLLEFTEÅ</t>
        </is>
      </c>
      <c r="F193" t="inlineStr">
        <is>
          <t>SCA</t>
        </is>
      </c>
      <c r="G193" t="n">
        <v>12.2</v>
      </c>
      <c r="H193" t="n">
        <v>3</v>
      </c>
      <c r="I193" t="n">
        <v>0</v>
      </c>
      <c r="J193" t="n">
        <v>3</v>
      </c>
      <c r="K193" t="n">
        <v>0</v>
      </c>
      <c r="L193" t="n">
        <v>0</v>
      </c>
      <c r="M193" t="n">
        <v>0</v>
      </c>
      <c r="N193" t="n">
        <v>0</v>
      </c>
      <c r="O193" t="n">
        <v>3</v>
      </c>
      <c r="P193" t="n">
        <v>0</v>
      </c>
      <c r="Q193" t="n">
        <v>4</v>
      </c>
      <c r="R193" s="2" t="inlineStr">
        <is>
          <t>Granticka
Mindre hackspett
Tretåig hackspett
Lavskrika</t>
        </is>
      </c>
      <c r="S193">
        <f>HYPERLINK("https://klasma.github.io/Logging_2283/artfynd/A 56248-2023 artfynd.xlsx", "A 56248-2023")</f>
        <v/>
      </c>
      <c r="T193">
        <f>HYPERLINK("https://klasma.github.io/Logging_2283/kartor/A 56248-2023 karta.png", "A 56248-2023")</f>
        <v/>
      </c>
      <c r="V193">
        <f>HYPERLINK("https://klasma.github.io/Logging_2283/klagomål/A 56248-2023 FSC-klagomål.docx", "A 56248-2023")</f>
        <v/>
      </c>
      <c r="W193">
        <f>HYPERLINK("https://klasma.github.io/Logging_2283/klagomålsmail/A 56248-2023 FSC-klagomål mail.docx", "A 56248-2023")</f>
        <v/>
      </c>
      <c r="X193">
        <f>HYPERLINK("https://klasma.github.io/Logging_2283/tillsyn/A 56248-2023 tillsynsbegäran.docx", "A 56248-2023")</f>
        <v/>
      </c>
      <c r="Y193">
        <f>HYPERLINK("https://klasma.github.io/Logging_2283/tillsynsmail/A 56248-2023 tillsynsbegäran mail.docx", "A 56248-2023")</f>
        <v/>
      </c>
      <c r="Z193">
        <f>HYPERLINK("https://klasma.github.io/Logging_2283/fåglar/A 56248-2023 prioriterade fågelarter.docx", "A 56248-2023")</f>
        <v/>
      </c>
    </row>
    <row r="194" ht="15" customHeight="1">
      <c r="A194" t="inlineStr">
        <is>
          <t>A 8885-2024</t>
        </is>
      </c>
      <c r="B194" s="1" t="n">
        <v>45357</v>
      </c>
      <c r="C194" s="1" t="n">
        <v>45991</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54093-2024</t>
        </is>
      </c>
      <c r="B195" s="1" t="n">
        <v>45616.51100694444</v>
      </c>
      <c r="C195" s="1" t="n">
        <v>45991</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62638-2022</t>
        </is>
      </c>
      <c r="B196" s="1" t="n">
        <v>44925</v>
      </c>
      <c r="C196" s="1" t="n">
        <v>45991</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25954-2025</t>
        </is>
      </c>
      <c r="B197" s="1" t="n">
        <v>45804</v>
      </c>
      <c r="C197" s="1" t="n">
        <v>45991</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58155-2025</t>
        </is>
      </c>
      <c r="B198" s="1" t="n">
        <v>45982.66535879629</v>
      </c>
      <c r="C198" s="1" t="n">
        <v>45991</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45888.49751157407</v>
      </c>
      <c r="C199" s="1" t="n">
        <v>45991</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45991</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45991</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45991</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45991</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45991</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45991</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45991</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45991</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45991</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45991</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45991</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45991</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45991</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45991</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45991</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45991</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45991</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45991</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45991</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45991</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45991</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45991</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32070-2025</t>
        </is>
      </c>
      <c r="B222" s="1" t="n">
        <v>45835.44885416667</v>
      </c>
      <c r="C222" s="1" t="n">
        <v>45991</v>
      </c>
      <c r="D222" t="inlineStr">
        <is>
          <t>VÄSTERNORRLANDS LÄN</t>
        </is>
      </c>
      <c r="E222" t="inlineStr">
        <is>
          <t>SOLLEFTEÅ</t>
        </is>
      </c>
      <c r="F222" t="inlineStr">
        <is>
          <t>SCA</t>
        </is>
      </c>
      <c r="G222" t="n">
        <v>6.4</v>
      </c>
      <c r="H222" t="n">
        <v>0</v>
      </c>
      <c r="I222" t="n">
        <v>1</v>
      </c>
      <c r="J222" t="n">
        <v>1</v>
      </c>
      <c r="K222" t="n">
        <v>1</v>
      </c>
      <c r="L222" t="n">
        <v>0</v>
      </c>
      <c r="M222" t="n">
        <v>0</v>
      </c>
      <c r="N222" t="n">
        <v>0</v>
      </c>
      <c r="O222" t="n">
        <v>2</v>
      </c>
      <c r="P222" t="n">
        <v>1</v>
      </c>
      <c r="Q222" t="n">
        <v>3</v>
      </c>
      <c r="R222" s="2" t="inlineStr">
        <is>
          <t>Rynkskinn
Garnlav
Vedticka</t>
        </is>
      </c>
      <c r="S222">
        <f>HYPERLINK("https://klasma.github.io/Logging_2283/artfynd/A 32070-2025 artfynd.xlsx", "A 32070-2025")</f>
        <v/>
      </c>
      <c r="T222">
        <f>HYPERLINK("https://klasma.github.io/Logging_2283/kartor/A 32070-2025 karta.png", "A 32070-2025")</f>
        <v/>
      </c>
      <c r="V222">
        <f>HYPERLINK("https://klasma.github.io/Logging_2283/klagomål/A 32070-2025 FSC-klagomål.docx", "A 32070-2025")</f>
        <v/>
      </c>
      <c r="W222">
        <f>HYPERLINK("https://klasma.github.io/Logging_2283/klagomålsmail/A 32070-2025 FSC-klagomål mail.docx", "A 32070-2025")</f>
        <v/>
      </c>
      <c r="X222">
        <f>HYPERLINK("https://klasma.github.io/Logging_2283/tillsyn/A 32070-2025 tillsynsbegäran.docx", "A 32070-2025")</f>
        <v/>
      </c>
      <c r="Y222">
        <f>HYPERLINK("https://klasma.github.io/Logging_2283/tillsynsmail/A 32070-2025 tillsynsbegäran mail.docx", "A 32070-2025")</f>
        <v/>
      </c>
    </row>
    <row r="223" ht="15" customHeight="1">
      <c r="A223" t="inlineStr">
        <is>
          <t>A 43279-2025</t>
        </is>
      </c>
      <c r="B223" s="1" t="n">
        <v>45910.59446759259</v>
      </c>
      <c r="C223" s="1" t="n">
        <v>45991</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48489-2023</t>
        </is>
      </c>
      <c r="B224" s="1" t="n">
        <v>45206</v>
      </c>
      <c r="C224" s="1" t="n">
        <v>45991</v>
      </c>
      <c r="D224" t="inlineStr">
        <is>
          <t>VÄSTERNORRLANDS LÄN</t>
        </is>
      </c>
      <c r="E224" t="inlineStr">
        <is>
          <t>SOLLEFTEÅ</t>
        </is>
      </c>
      <c r="F224" t="inlineStr">
        <is>
          <t>SCA</t>
        </is>
      </c>
      <c r="G224" t="n">
        <v>51.8</v>
      </c>
      <c r="H224" t="n">
        <v>3</v>
      </c>
      <c r="I224" t="n">
        <v>0</v>
      </c>
      <c r="J224" t="n">
        <v>2</v>
      </c>
      <c r="K224" t="n">
        <v>0</v>
      </c>
      <c r="L224" t="n">
        <v>0</v>
      </c>
      <c r="M224" t="n">
        <v>0</v>
      </c>
      <c r="N224" t="n">
        <v>0</v>
      </c>
      <c r="O224" t="n">
        <v>2</v>
      </c>
      <c r="P224" t="n">
        <v>0</v>
      </c>
      <c r="Q224" t="n">
        <v>3</v>
      </c>
      <c r="R224" s="2" t="inlineStr">
        <is>
          <t>Spillkråka
Talltita
Lavskrika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54254-2025</t>
        </is>
      </c>
      <c r="B225" s="1" t="n">
        <v>45964.65668981482</v>
      </c>
      <c r="C225" s="1" t="n">
        <v>45991</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50838-2023</t>
        </is>
      </c>
      <c r="B226" s="1" t="n">
        <v>45217</v>
      </c>
      <c r="C226" s="1" t="n">
        <v>45991</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55125-2025</t>
        </is>
      </c>
      <c r="B227" s="1" t="n">
        <v>45968.40688657408</v>
      </c>
      <c r="C227" s="1" t="n">
        <v>45991</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40866-2023</t>
        </is>
      </c>
      <c r="B228" s="1" t="n">
        <v>45173</v>
      </c>
      <c r="C228" s="1" t="n">
        <v>45991</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18012-2022</t>
        </is>
      </c>
      <c r="B229" s="1" t="n">
        <v>44683</v>
      </c>
      <c r="C229" s="1" t="n">
        <v>45991</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56783-2025</t>
        </is>
      </c>
      <c r="B230" s="1" t="n">
        <v>45978.40695601852</v>
      </c>
      <c r="C230" s="1" t="n">
        <v>45991</v>
      </c>
      <c r="D230" t="inlineStr">
        <is>
          <t>VÄSTERNORRLANDS LÄN</t>
        </is>
      </c>
      <c r="E230" t="inlineStr">
        <is>
          <t>SOLLEFTEÅ</t>
        </is>
      </c>
      <c r="F230" t="inlineStr">
        <is>
          <t>SCA</t>
        </is>
      </c>
      <c r="G230" t="n">
        <v>2.5</v>
      </c>
      <c r="H230" t="n">
        <v>0</v>
      </c>
      <c r="I230" t="n">
        <v>0</v>
      </c>
      <c r="J230" t="n">
        <v>3</v>
      </c>
      <c r="K230" t="n">
        <v>0</v>
      </c>
      <c r="L230" t="n">
        <v>0</v>
      </c>
      <c r="M230" t="n">
        <v>0</v>
      </c>
      <c r="N230" t="n">
        <v>0</v>
      </c>
      <c r="O230" t="n">
        <v>3</v>
      </c>
      <c r="P230" t="n">
        <v>0</v>
      </c>
      <c r="Q230" t="n">
        <v>3</v>
      </c>
      <c r="R230" s="2" t="inlineStr">
        <is>
          <t>Kolflarnlav
Lunglav
Orange taggsvamp</t>
        </is>
      </c>
      <c r="S230">
        <f>HYPERLINK("https://klasma.github.io/Logging_2283/artfynd/A 56783-2025 artfynd.xlsx", "A 56783-2025")</f>
        <v/>
      </c>
      <c r="T230">
        <f>HYPERLINK("https://klasma.github.io/Logging_2283/kartor/A 56783-2025 karta.png", "A 56783-2025")</f>
        <v/>
      </c>
      <c r="V230">
        <f>HYPERLINK("https://klasma.github.io/Logging_2283/klagomål/A 56783-2025 FSC-klagomål.docx", "A 56783-2025")</f>
        <v/>
      </c>
      <c r="W230">
        <f>HYPERLINK("https://klasma.github.io/Logging_2283/klagomålsmail/A 56783-2025 FSC-klagomål mail.docx", "A 56783-2025")</f>
        <v/>
      </c>
      <c r="X230">
        <f>HYPERLINK("https://klasma.github.io/Logging_2283/tillsyn/A 56783-2025 tillsynsbegäran.docx", "A 56783-2025")</f>
        <v/>
      </c>
      <c r="Y230">
        <f>HYPERLINK("https://klasma.github.io/Logging_2283/tillsynsmail/A 56783-2025 tillsynsbegäran mail.docx", "A 56783-2025")</f>
        <v/>
      </c>
    </row>
    <row r="231" ht="15" customHeight="1">
      <c r="A231" t="inlineStr">
        <is>
          <t>A 25919-2025</t>
        </is>
      </c>
      <c r="B231" s="1" t="n">
        <v>45804</v>
      </c>
      <c r="C231" s="1" t="n">
        <v>45991</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48017-2024</t>
        </is>
      </c>
      <c r="B232" s="1" t="n">
        <v>45589.46935185185</v>
      </c>
      <c r="C232" s="1" t="n">
        <v>45991</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26338-2025</t>
        </is>
      </c>
      <c r="B233" s="1" t="n">
        <v>45805.69841435185</v>
      </c>
      <c r="C233" s="1" t="n">
        <v>45991</v>
      </c>
      <c r="D233" t="inlineStr">
        <is>
          <t>VÄSTERNORRLANDS LÄN</t>
        </is>
      </c>
      <c r="E233" t="inlineStr">
        <is>
          <t>SOLLEFTEÅ</t>
        </is>
      </c>
      <c r="F233" t="inlineStr">
        <is>
          <t>SCA</t>
        </is>
      </c>
      <c r="G233" t="n">
        <v>2.7</v>
      </c>
      <c r="H233" t="n">
        <v>2</v>
      </c>
      <c r="I233" t="n">
        <v>0</v>
      </c>
      <c r="J233" t="n">
        <v>3</v>
      </c>
      <c r="K233" t="n">
        <v>0</v>
      </c>
      <c r="L233" t="n">
        <v>0</v>
      </c>
      <c r="M233" t="n">
        <v>0</v>
      </c>
      <c r="N233" t="n">
        <v>0</v>
      </c>
      <c r="O233" t="n">
        <v>3</v>
      </c>
      <c r="P233" t="n">
        <v>0</v>
      </c>
      <c r="Q233" t="n">
        <v>3</v>
      </c>
      <c r="R233" s="2" t="inlineStr">
        <is>
          <t>Motaggsvamp
Talltita
Tretåig hackspett</t>
        </is>
      </c>
      <c r="S233">
        <f>HYPERLINK("https://klasma.github.io/Logging_2283/artfynd/A 26338-2025 artfynd.xlsx", "A 26338-2025")</f>
        <v/>
      </c>
      <c r="T233">
        <f>HYPERLINK("https://klasma.github.io/Logging_2283/kartor/A 26338-2025 karta.png", "A 26338-2025")</f>
        <v/>
      </c>
      <c r="V233">
        <f>HYPERLINK("https://klasma.github.io/Logging_2283/klagomål/A 26338-2025 FSC-klagomål.docx", "A 26338-2025")</f>
        <v/>
      </c>
      <c r="W233">
        <f>HYPERLINK("https://klasma.github.io/Logging_2283/klagomålsmail/A 26338-2025 FSC-klagomål mail.docx", "A 26338-2025")</f>
        <v/>
      </c>
      <c r="X233">
        <f>HYPERLINK("https://klasma.github.io/Logging_2283/tillsyn/A 26338-2025 tillsynsbegäran.docx", "A 26338-2025")</f>
        <v/>
      </c>
      <c r="Y233">
        <f>HYPERLINK("https://klasma.github.io/Logging_2283/tillsynsmail/A 26338-2025 tillsynsbegäran mail.docx", "A 26338-2025")</f>
        <v/>
      </c>
      <c r="Z233">
        <f>HYPERLINK("https://klasma.github.io/Logging_2283/fåglar/A 26338-2025 prioriterade fågelarter.docx", "A 26338-2025")</f>
        <v/>
      </c>
    </row>
    <row r="234" ht="15" customHeight="1">
      <c r="A234" t="inlineStr">
        <is>
          <t>A 21097-2024</t>
        </is>
      </c>
      <c r="B234" s="1" t="n">
        <v>45439</v>
      </c>
      <c r="C234" s="1" t="n">
        <v>45991</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45991</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45991</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45991</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45991</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45991</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45991</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45991</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45991</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45991</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45991</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45991</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45991</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45991</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45991</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45991</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45991</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45991</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45991</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45991</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45991</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45991</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45991</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45991</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45991</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45991</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45991</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45991</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45991</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54486-2024</t>
        </is>
      </c>
      <c r="B263" s="1" t="n">
        <v>45617</v>
      </c>
      <c r="C263" s="1" t="n">
        <v>45991</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45991</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31491-2024</t>
        </is>
      </c>
      <c r="B265" s="1" t="n">
        <v>45505</v>
      </c>
      <c r="C265" s="1" t="n">
        <v>45991</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27644-2024</t>
        </is>
      </c>
      <c r="B266" s="1" t="n">
        <v>45474</v>
      </c>
      <c r="C266" s="1" t="n">
        <v>45991</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11578-2025</t>
        </is>
      </c>
      <c r="B267" s="1" t="n">
        <v>45727.38609953703</v>
      </c>
      <c r="C267" s="1" t="n">
        <v>45991</v>
      </c>
      <c r="D267" t="inlineStr">
        <is>
          <t>VÄSTERNORRLANDS LÄN</t>
        </is>
      </c>
      <c r="E267" t="inlineStr">
        <is>
          <t>SOLLEFTEÅ</t>
        </is>
      </c>
      <c r="F267" t="inlineStr">
        <is>
          <t>SCA</t>
        </is>
      </c>
      <c r="G267" t="n">
        <v>1</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HYPERLINK("https://klasma.github.io/Logging_2283/artfynd/A 11578-2025 artfynd.xlsx", "A 11578-2025")</f>
        <v/>
      </c>
      <c r="T267">
        <f>HYPERLINK("https://klasma.github.io/Logging_2283/kartor/A 11578-2025 karta.png", "A 11578-2025")</f>
        <v/>
      </c>
      <c r="U267">
        <f>HYPERLINK("https://klasma.github.io/Logging_2283/knärot/A 11578-2025 karta knärot.png", "A 11578-2025")</f>
        <v/>
      </c>
      <c r="V267">
        <f>HYPERLINK("https://klasma.github.io/Logging_2283/klagomål/A 11578-2025 FSC-klagomål.docx", "A 11578-2025")</f>
        <v/>
      </c>
      <c r="W267">
        <f>HYPERLINK("https://klasma.github.io/Logging_2283/klagomålsmail/A 11578-2025 FSC-klagomål mail.docx", "A 11578-2025")</f>
        <v/>
      </c>
      <c r="X267">
        <f>HYPERLINK("https://klasma.github.io/Logging_2283/tillsyn/A 11578-2025 tillsynsbegäran.docx", "A 11578-2025")</f>
        <v/>
      </c>
      <c r="Y267">
        <f>HYPERLINK("https://klasma.github.io/Logging_2283/tillsynsmail/A 11578-2025 tillsynsbegäran mail.docx", "A 11578-2025")</f>
        <v/>
      </c>
      <c r="Z267">
        <f>HYPERLINK("https://klasma.github.io/Logging_2283/fåglar/A 11578-2025 prioriterade fågelarter.docx", "A 11578-2025")</f>
        <v/>
      </c>
    </row>
    <row r="268" ht="15" customHeight="1">
      <c r="A268" t="inlineStr">
        <is>
          <t>A 38911-2025</t>
        </is>
      </c>
      <c r="B268" s="1" t="n">
        <v>45887.61534722222</v>
      </c>
      <c r="C268" s="1" t="n">
        <v>45991</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25522-2025</t>
        </is>
      </c>
      <c r="B269" s="1" t="n">
        <v>45803.38619212963</v>
      </c>
      <c r="C269" s="1" t="n">
        <v>45991</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29264-2024</t>
        </is>
      </c>
      <c r="B270" s="1" t="n">
        <v>45482</v>
      </c>
      <c r="C270" s="1" t="n">
        <v>45991</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45991</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45991</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45991</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45991</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50751-2024</t>
        </is>
      </c>
      <c r="B275" s="1" t="n">
        <v>45602</v>
      </c>
      <c r="C275" s="1" t="n">
        <v>45991</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45991</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46630-2022</t>
        </is>
      </c>
      <c r="B277" s="1" t="n">
        <v>44848</v>
      </c>
      <c r="C277" s="1" t="n">
        <v>45991</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36563-2025</t>
        </is>
      </c>
      <c r="B278" s="1" t="n">
        <v>45870.37332175926</v>
      </c>
      <c r="C278" s="1" t="n">
        <v>45991</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7108-2024</t>
        </is>
      </c>
      <c r="B279" s="1" t="n">
        <v>45343</v>
      </c>
      <c r="C279" s="1" t="n">
        <v>45991</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47216-2025</t>
        </is>
      </c>
      <c r="B280" s="1" t="n">
        <v>45930.38612268519</v>
      </c>
      <c r="C280" s="1" t="n">
        <v>45991</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13743-2025</t>
        </is>
      </c>
      <c r="B281" s="1" t="n">
        <v>45737.40663194445</v>
      </c>
      <c r="C281" s="1" t="n">
        <v>45991</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45991</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45991</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45991</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49189-2025</t>
        </is>
      </c>
      <c r="B285" s="1" t="n">
        <v>45938</v>
      </c>
      <c r="C285" s="1" t="n">
        <v>45991</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26341-2025</t>
        </is>
      </c>
      <c r="B286" s="1" t="n">
        <v>45805.69878472222</v>
      </c>
      <c r="C286" s="1" t="n">
        <v>45991</v>
      </c>
      <c r="D286" t="inlineStr">
        <is>
          <t>VÄSTERNORRLANDS LÄN</t>
        </is>
      </c>
      <c r="E286" t="inlineStr">
        <is>
          <t>SOLLEFTEÅ</t>
        </is>
      </c>
      <c r="F286" t="inlineStr">
        <is>
          <t>SCA</t>
        </is>
      </c>
      <c r="G286" t="n">
        <v>3.2</v>
      </c>
      <c r="H286" t="n">
        <v>2</v>
      </c>
      <c r="I286" t="n">
        <v>0</v>
      </c>
      <c r="J286" t="n">
        <v>2</v>
      </c>
      <c r="K286" t="n">
        <v>0</v>
      </c>
      <c r="L286" t="n">
        <v>0</v>
      </c>
      <c r="M286" t="n">
        <v>0</v>
      </c>
      <c r="N286" t="n">
        <v>0</v>
      </c>
      <c r="O286" t="n">
        <v>2</v>
      </c>
      <c r="P286" t="n">
        <v>0</v>
      </c>
      <c r="Q286" t="n">
        <v>2</v>
      </c>
      <c r="R286" s="2" t="inlineStr">
        <is>
          <t>Talltita
Tretåig hackspett</t>
        </is>
      </c>
      <c r="S286">
        <f>HYPERLINK("https://klasma.github.io/Logging_2283/artfynd/A 26341-2025 artfynd.xlsx", "A 26341-2025")</f>
        <v/>
      </c>
      <c r="T286">
        <f>HYPERLINK("https://klasma.github.io/Logging_2283/kartor/A 26341-2025 karta.png", "A 26341-2025")</f>
        <v/>
      </c>
      <c r="V286">
        <f>HYPERLINK("https://klasma.github.io/Logging_2283/klagomål/A 26341-2025 FSC-klagomål.docx", "A 26341-2025")</f>
        <v/>
      </c>
      <c r="W286">
        <f>HYPERLINK("https://klasma.github.io/Logging_2283/klagomålsmail/A 26341-2025 FSC-klagomål mail.docx", "A 26341-2025")</f>
        <v/>
      </c>
      <c r="X286">
        <f>HYPERLINK("https://klasma.github.io/Logging_2283/tillsyn/A 26341-2025 tillsynsbegäran.docx", "A 26341-2025")</f>
        <v/>
      </c>
      <c r="Y286">
        <f>HYPERLINK("https://klasma.github.io/Logging_2283/tillsynsmail/A 26341-2025 tillsynsbegäran mail.docx", "A 26341-2025")</f>
        <v/>
      </c>
      <c r="Z286">
        <f>HYPERLINK("https://klasma.github.io/Logging_2283/fåglar/A 26341-2025 prioriterade fågelarter.docx", "A 26341-2025")</f>
        <v/>
      </c>
    </row>
    <row r="287" ht="15" customHeight="1">
      <c r="A287" t="inlineStr">
        <is>
          <t>A 20836-2021</t>
        </is>
      </c>
      <c r="B287" s="1" t="n">
        <v>44318</v>
      </c>
      <c r="C287" s="1" t="n">
        <v>45991</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38017-2024</t>
        </is>
      </c>
      <c r="B288" s="1" t="n">
        <v>45544</v>
      </c>
      <c r="C288" s="1" t="n">
        <v>45991</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Garnlav
Bårdlav</t>
        </is>
      </c>
      <c r="S288">
        <f>HYPERLINK("https://klasma.github.io/Logging_2283/artfynd/A 38017-2024 artfynd.xlsx", "A 38017-2024")</f>
        <v/>
      </c>
      <c r="T288">
        <f>HYPERLINK("https://klasma.github.io/Logging_2283/kartor/A 38017-2024 karta.png", "A 38017-2024")</f>
        <v/>
      </c>
      <c r="V288">
        <f>HYPERLINK("https://klasma.github.io/Logging_2283/klagomål/A 38017-2024 FSC-klagomål.docx", "A 38017-2024")</f>
        <v/>
      </c>
      <c r="W288">
        <f>HYPERLINK("https://klasma.github.io/Logging_2283/klagomålsmail/A 38017-2024 FSC-klagomål mail.docx", "A 38017-2024")</f>
        <v/>
      </c>
      <c r="X288">
        <f>HYPERLINK("https://klasma.github.io/Logging_2283/tillsyn/A 38017-2024 tillsynsbegäran.docx", "A 38017-2024")</f>
        <v/>
      </c>
      <c r="Y288">
        <f>HYPERLINK("https://klasma.github.io/Logging_2283/tillsynsmail/A 38017-2024 tillsynsbegäran mail.docx", "A 38017-2024")</f>
        <v/>
      </c>
    </row>
    <row r="289" ht="15" customHeight="1">
      <c r="A289" t="inlineStr">
        <is>
          <t>A 34814-2024</t>
        </is>
      </c>
      <c r="B289" s="1" t="n">
        <v>45526.70703703703</v>
      </c>
      <c r="C289" s="1" t="n">
        <v>45991</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17377-2021</t>
        </is>
      </c>
      <c r="B290" s="1" t="n">
        <v>44298</v>
      </c>
      <c r="C290" s="1" t="n">
        <v>45991</v>
      </c>
      <c r="D290" t="inlineStr">
        <is>
          <t>VÄSTERNORRLANDS LÄN</t>
        </is>
      </c>
      <c r="E290" t="inlineStr">
        <is>
          <t>SOLLEFTEÅ</t>
        </is>
      </c>
      <c r="G290" t="n">
        <v>5.1</v>
      </c>
      <c r="H290" t="n">
        <v>1</v>
      </c>
      <c r="I290" t="n">
        <v>0</v>
      </c>
      <c r="J290" t="n">
        <v>2</v>
      </c>
      <c r="K290" t="n">
        <v>0</v>
      </c>
      <c r="L290" t="n">
        <v>0</v>
      </c>
      <c r="M290" t="n">
        <v>0</v>
      </c>
      <c r="N290" t="n">
        <v>0</v>
      </c>
      <c r="O290" t="n">
        <v>2</v>
      </c>
      <c r="P290" t="n">
        <v>0</v>
      </c>
      <c r="Q290" t="n">
        <v>2</v>
      </c>
      <c r="R290" s="2" t="inlineStr">
        <is>
          <t>Tretåig hackspett
Ullticka</t>
        </is>
      </c>
      <c r="S290">
        <f>HYPERLINK("https://klasma.github.io/Logging_2283/artfynd/A 17377-2021 artfynd.xlsx", "A 17377-2021")</f>
        <v/>
      </c>
      <c r="T290">
        <f>HYPERLINK("https://klasma.github.io/Logging_2283/kartor/A 17377-2021 karta.png", "A 17377-2021")</f>
        <v/>
      </c>
      <c r="V290">
        <f>HYPERLINK("https://klasma.github.io/Logging_2283/klagomål/A 17377-2021 FSC-klagomål.docx", "A 17377-2021")</f>
        <v/>
      </c>
      <c r="W290">
        <f>HYPERLINK("https://klasma.github.io/Logging_2283/klagomålsmail/A 17377-2021 FSC-klagomål mail.docx", "A 17377-2021")</f>
        <v/>
      </c>
      <c r="X290">
        <f>HYPERLINK("https://klasma.github.io/Logging_2283/tillsyn/A 17377-2021 tillsynsbegäran.docx", "A 17377-2021")</f>
        <v/>
      </c>
      <c r="Y290">
        <f>HYPERLINK("https://klasma.github.io/Logging_2283/tillsynsmail/A 17377-2021 tillsynsbegäran mail.docx", "A 17377-2021")</f>
        <v/>
      </c>
      <c r="Z290">
        <f>HYPERLINK("https://klasma.github.io/Logging_2283/fåglar/A 17377-2021 prioriterade fågelarter.docx", "A 17377-2021")</f>
        <v/>
      </c>
    </row>
    <row r="291" ht="15" customHeight="1">
      <c r="A291" t="inlineStr">
        <is>
          <t>A 54153-2021</t>
        </is>
      </c>
      <c r="B291" s="1" t="n">
        <v>44469</v>
      </c>
      <c r="C291" s="1" t="n">
        <v>45991</v>
      </c>
      <c r="D291" t="inlineStr">
        <is>
          <t>VÄSTERNORRLANDS LÄN</t>
        </is>
      </c>
      <c r="E291" t="inlineStr">
        <is>
          <t>SOLLEFTEÅ</t>
        </is>
      </c>
      <c r="G291" t="n">
        <v>1.4</v>
      </c>
      <c r="H291" t="n">
        <v>0</v>
      </c>
      <c r="I291" t="n">
        <v>0</v>
      </c>
      <c r="J291" t="n">
        <v>2</v>
      </c>
      <c r="K291" t="n">
        <v>0</v>
      </c>
      <c r="L291" t="n">
        <v>0</v>
      </c>
      <c r="M291" t="n">
        <v>0</v>
      </c>
      <c r="N291" t="n">
        <v>0</v>
      </c>
      <c r="O291" t="n">
        <v>2</v>
      </c>
      <c r="P291" t="n">
        <v>0</v>
      </c>
      <c r="Q291" t="n">
        <v>2</v>
      </c>
      <c r="R291" s="2" t="inlineStr">
        <is>
          <t>Garnlav
Rosenticka</t>
        </is>
      </c>
      <c r="S291">
        <f>HYPERLINK("https://klasma.github.io/Logging_2283/artfynd/A 54153-2021 artfynd.xlsx", "A 54153-2021")</f>
        <v/>
      </c>
      <c r="T291">
        <f>HYPERLINK("https://klasma.github.io/Logging_2283/kartor/A 54153-2021 karta.png", "A 54153-2021")</f>
        <v/>
      </c>
      <c r="V291">
        <f>HYPERLINK("https://klasma.github.io/Logging_2283/klagomål/A 54153-2021 FSC-klagomål.docx", "A 54153-2021")</f>
        <v/>
      </c>
      <c r="W291">
        <f>HYPERLINK("https://klasma.github.io/Logging_2283/klagomålsmail/A 54153-2021 FSC-klagomål mail.docx", "A 54153-2021")</f>
        <v/>
      </c>
      <c r="X291">
        <f>HYPERLINK("https://klasma.github.io/Logging_2283/tillsyn/A 54153-2021 tillsynsbegäran.docx", "A 54153-2021")</f>
        <v/>
      </c>
      <c r="Y291">
        <f>HYPERLINK("https://klasma.github.io/Logging_2283/tillsynsmail/A 54153-2021 tillsynsbegäran mail.docx", "A 54153-2021")</f>
        <v/>
      </c>
    </row>
    <row r="292" ht="15" customHeight="1">
      <c r="A292" t="inlineStr">
        <is>
          <t>A 20347-2025</t>
        </is>
      </c>
      <c r="B292" s="1" t="n">
        <v>45775</v>
      </c>
      <c r="C292" s="1" t="n">
        <v>45991</v>
      </c>
      <c r="D292" t="inlineStr">
        <is>
          <t>VÄSTERNORRLANDS LÄN</t>
        </is>
      </c>
      <c r="E292" t="inlineStr">
        <is>
          <t>SOLLEFTEÅ</t>
        </is>
      </c>
      <c r="G292" t="n">
        <v>8.699999999999999</v>
      </c>
      <c r="H292" t="n">
        <v>1</v>
      </c>
      <c r="I292" t="n">
        <v>1</v>
      </c>
      <c r="J292" t="n">
        <v>0</v>
      </c>
      <c r="K292" t="n">
        <v>0</v>
      </c>
      <c r="L292" t="n">
        <v>0</v>
      </c>
      <c r="M292" t="n">
        <v>0</v>
      </c>
      <c r="N292" t="n">
        <v>0</v>
      </c>
      <c r="O292" t="n">
        <v>0</v>
      </c>
      <c r="P292" t="n">
        <v>0</v>
      </c>
      <c r="Q292" t="n">
        <v>2</v>
      </c>
      <c r="R292" s="2" t="inlineStr">
        <is>
          <t>Gräsull
Fläcknycklar</t>
        </is>
      </c>
      <c r="S292">
        <f>HYPERLINK("https://klasma.github.io/Logging_2283/artfynd/A 20347-2025 artfynd.xlsx", "A 20347-2025")</f>
        <v/>
      </c>
      <c r="T292">
        <f>HYPERLINK("https://klasma.github.io/Logging_2283/kartor/A 20347-2025 karta.png", "A 20347-2025")</f>
        <v/>
      </c>
      <c r="V292">
        <f>HYPERLINK("https://klasma.github.io/Logging_2283/klagomål/A 20347-2025 FSC-klagomål.docx", "A 20347-2025")</f>
        <v/>
      </c>
      <c r="W292">
        <f>HYPERLINK("https://klasma.github.io/Logging_2283/klagomålsmail/A 20347-2025 FSC-klagomål mail.docx", "A 20347-2025")</f>
        <v/>
      </c>
      <c r="X292">
        <f>HYPERLINK("https://klasma.github.io/Logging_2283/tillsyn/A 20347-2025 tillsynsbegäran.docx", "A 20347-2025")</f>
        <v/>
      </c>
      <c r="Y292">
        <f>HYPERLINK("https://klasma.github.io/Logging_2283/tillsynsmail/A 20347-2025 tillsynsbegäran mail.docx", "A 20347-2025")</f>
        <v/>
      </c>
    </row>
    <row r="293" ht="15" customHeight="1">
      <c r="A293" t="inlineStr">
        <is>
          <t>A 20329-2025</t>
        </is>
      </c>
      <c r="B293" s="1" t="n">
        <v>45775</v>
      </c>
      <c r="C293" s="1" t="n">
        <v>45991</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2515-2024</t>
        </is>
      </c>
      <c r="B294" s="1" t="n">
        <v>45313</v>
      </c>
      <c r="C294" s="1" t="n">
        <v>45991</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59997-2024</t>
        </is>
      </c>
      <c r="B295" s="1" t="n">
        <v>45642.40715277778</v>
      </c>
      <c r="C295" s="1" t="n">
        <v>45991</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45083-2022</t>
        </is>
      </c>
      <c r="B296" s="1" t="n">
        <v>44841</v>
      </c>
      <c r="C296" s="1" t="n">
        <v>45991</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53949-2023</t>
        </is>
      </c>
      <c r="B297" s="1" t="n">
        <v>45224</v>
      </c>
      <c r="C297" s="1" t="n">
        <v>45991</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59020-2024</t>
        </is>
      </c>
      <c r="B298" s="1" t="n">
        <v>45636.67765046296</v>
      </c>
      <c r="C298" s="1" t="n">
        <v>45991</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12269-2025</t>
        </is>
      </c>
      <c r="B299" s="1" t="n">
        <v>45729.63542824074</v>
      </c>
      <c r="C299" s="1" t="n">
        <v>45991</v>
      </c>
      <c r="D299" t="inlineStr">
        <is>
          <t>VÄSTERNORRLANDS LÄN</t>
        </is>
      </c>
      <c r="E299" t="inlineStr">
        <is>
          <t>SOLLEFTEÅ</t>
        </is>
      </c>
      <c r="G299" t="n">
        <v>10.9</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12269-2025 artfynd.xlsx", "A 12269-2025")</f>
        <v/>
      </c>
      <c r="T299">
        <f>HYPERLINK("https://klasma.github.io/Logging_2283/kartor/A 12269-2025 karta.png", "A 12269-2025")</f>
        <v/>
      </c>
      <c r="V299">
        <f>HYPERLINK("https://klasma.github.io/Logging_2283/klagomål/A 12269-2025 FSC-klagomål.docx", "A 12269-2025")</f>
        <v/>
      </c>
      <c r="W299">
        <f>HYPERLINK("https://klasma.github.io/Logging_2283/klagomålsmail/A 12269-2025 FSC-klagomål mail.docx", "A 12269-2025")</f>
        <v/>
      </c>
      <c r="X299">
        <f>HYPERLINK("https://klasma.github.io/Logging_2283/tillsyn/A 12269-2025 tillsynsbegäran.docx", "A 12269-2025")</f>
        <v/>
      </c>
      <c r="Y299">
        <f>HYPERLINK("https://klasma.github.io/Logging_2283/tillsynsmail/A 12269-2025 tillsynsbegäran mail.docx", "A 12269-2025")</f>
        <v/>
      </c>
    </row>
    <row r="300" ht="15" customHeight="1">
      <c r="A300" t="inlineStr">
        <is>
          <t>A 2347-2025</t>
        </is>
      </c>
      <c r="B300" s="1" t="n">
        <v>45673.67782407408</v>
      </c>
      <c r="C300" s="1" t="n">
        <v>45991</v>
      </c>
      <c r="D300" t="inlineStr">
        <is>
          <t>VÄSTERNORRLANDS LÄN</t>
        </is>
      </c>
      <c r="E300" t="inlineStr">
        <is>
          <t>SOLLEFTEÅ</t>
        </is>
      </c>
      <c r="F300" t="inlineStr">
        <is>
          <t>SCA</t>
        </is>
      </c>
      <c r="G300" t="n">
        <v>3.3</v>
      </c>
      <c r="H300" t="n">
        <v>1</v>
      </c>
      <c r="I300" t="n">
        <v>0</v>
      </c>
      <c r="J300" t="n">
        <v>2</v>
      </c>
      <c r="K300" t="n">
        <v>0</v>
      </c>
      <c r="L300" t="n">
        <v>0</v>
      </c>
      <c r="M300" t="n">
        <v>0</v>
      </c>
      <c r="N300" t="n">
        <v>0</v>
      </c>
      <c r="O300" t="n">
        <v>2</v>
      </c>
      <c r="P300" t="n">
        <v>0</v>
      </c>
      <c r="Q300" t="n">
        <v>2</v>
      </c>
      <c r="R300" s="2" t="inlineStr">
        <is>
          <t>Garnlav
Spillkråka</t>
        </is>
      </c>
      <c r="S300">
        <f>HYPERLINK("https://klasma.github.io/Logging_2283/artfynd/A 2347-2025 artfynd.xlsx", "A 2347-2025")</f>
        <v/>
      </c>
      <c r="T300">
        <f>HYPERLINK("https://klasma.github.io/Logging_2283/kartor/A 2347-2025 karta.png", "A 2347-2025")</f>
        <v/>
      </c>
      <c r="V300">
        <f>HYPERLINK("https://klasma.github.io/Logging_2283/klagomål/A 2347-2025 FSC-klagomål.docx", "A 2347-2025")</f>
        <v/>
      </c>
      <c r="W300">
        <f>HYPERLINK("https://klasma.github.io/Logging_2283/klagomålsmail/A 2347-2025 FSC-klagomål mail.docx", "A 2347-2025")</f>
        <v/>
      </c>
      <c r="X300">
        <f>HYPERLINK("https://klasma.github.io/Logging_2283/tillsyn/A 2347-2025 tillsynsbegäran.docx", "A 2347-2025")</f>
        <v/>
      </c>
      <c r="Y300">
        <f>HYPERLINK("https://klasma.github.io/Logging_2283/tillsynsmail/A 2347-2025 tillsynsbegäran mail.docx", "A 2347-2025")</f>
        <v/>
      </c>
      <c r="Z300">
        <f>HYPERLINK("https://klasma.github.io/Logging_2283/fåglar/A 2347-2025 prioriterade fågelarter.docx", "A 2347-2025")</f>
        <v/>
      </c>
    </row>
    <row r="301" ht="15" customHeight="1">
      <c r="A301" t="inlineStr">
        <is>
          <t>A 7837-2025</t>
        </is>
      </c>
      <c r="B301" s="1" t="n">
        <v>45706</v>
      </c>
      <c r="C301" s="1" t="n">
        <v>45991</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45991</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21742-2025</t>
        </is>
      </c>
      <c r="B303" s="1" t="n">
        <v>45783.59428240741</v>
      </c>
      <c r="C303" s="1" t="n">
        <v>45991</v>
      </c>
      <c r="D303" t="inlineStr">
        <is>
          <t>VÄSTERNORRLANDS LÄN</t>
        </is>
      </c>
      <c r="E303" t="inlineStr">
        <is>
          <t>SOLLEFTEÅ</t>
        </is>
      </c>
      <c r="F303" t="inlineStr">
        <is>
          <t>SCA</t>
        </is>
      </c>
      <c r="G303" t="n">
        <v>1.5</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21742-2025 artfynd.xlsx", "A 21742-2025")</f>
        <v/>
      </c>
      <c r="T303">
        <f>HYPERLINK("https://klasma.github.io/Logging_2283/kartor/A 21742-2025 karta.png", "A 21742-2025")</f>
        <v/>
      </c>
      <c r="V303">
        <f>HYPERLINK("https://klasma.github.io/Logging_2283/klagomål/A 21742-2025 FSC-klagomål.docx", "A 21742-2025")</f>
        <v/>
      </c>
      <c r="W303">
        <f>HYPERLINK("https://klasma.github.io/Logging_2283/klagomålsmail/A 21742-2025 FSC-klagomål mail.docx", "A 21742-2025")</f>
        <v/>
      </c>
      <c r="X303">
        <f>HYPERLINK("https://klasma.github.io/Logging_2283/tillsyn/A 21742-2025 tillsynsbegäran.docx", "A 21742-2025")</f>
        <v/>
      </c>
      <c r="Y303">
        <f>HYPERLINK("https://klasma.github.io/Logging_2283/tillsynsmail/A 21742-2025 tillsynsbegäran mail.docx", "A 21742-2025")</f>
        <v/>
      </c>
    </row>
    <row r="304" ht="15" customHeight="1">
      <c r="A304" t="inlineStr">
        <is>
          <t>A 21485-2025</t>
        </is>
      </c>
      <c r="B304" s="1" t="n">
        <v>45782.59512731482</v>
      </c>
      <c r="C304" s="1" t="n">
        <v>45991</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34812-2024</t>
        </is>
      </c>
      <c r="B305" s="1" t="n">
        <v>45526</v>
      </c>
      <c r="C305" s="1" t="n">
        <v>45991</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45991</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22518-2025</t>
        </is>
      </c>
      <c r="B307" s="1" t="n">
        <v>45786.67831018518</v>
      </c>
      <c r="C307" s="1" t="n">
        <v>45991</v>
      </c>
      <c r="D307" t="inlineStr">
        <is>
          <t>VÄSTERNORRLANDS LÄN</t>
        </is>
      </c>
      <c r="E307" t="inlineStr">
        <is>
          <t>SOLLEFTEÅ</t>
        </is>
      </c>
      <c r="F307" t="inlineStr">
        <is>
          <t>SCA</t>
        </is>
      </c>
      <c r="G307" t="n">
        <v>4</v>
      </c>
      <c r="H307" t="n">
        <v>0</v>
      </c>
      <c r="I307" t="n">
        <v>0</v>
      </c>
      <c r="J307" t="n">
        <v>2</v>
      </c>
      <c r="K307" t="n">
        <v>0</v>
      </c>
      <c r="L307" t="n">
        <v>0</v>
      </c>
      <c r="M307" t="n">
        <v>0</v>
      </c>
      <c r="N307" t="n">
        <v>0</v>
      </c>
      <c r="O307" t="n">
        <v>2</v>
      </c>
      <c r="P307" t="n">
        <v>0</v>
      </c>
      <c r="Q307" t="n">
        <v>2</v>
      </c>
      <c r="R307" s="2" t="inlineStr">
        <is>
          <t>Garnlav
Ullticka</t>
        </is>
      </c>
      <c r="S307">
        <f>HYPERLINK("https://klasma.github.io/Logging_2283/artfynd/A 22518-2025 artfynd.xlsx", "A 22518-2025")</f>
        <v/>
      </c>
      <c r="T307">
        <f>HYPERLINK("https://klasma.github.io/Logging_2283/kartor/A 22518-2025 karta.png", "A 22518-2025")</f>
        <v/>
      </c>
      <c r="V307">
        <f>HYPERLINK("https://klasma.github.io/Logging_2283/klagomål/A 22518-2025 FSC-klagomål.docx", "A 22518-2025")</f>
        <v/>
      </c>
      <c r="W307">
        <f>HYPERLINK("https://klasma.github.io/Logging_2283/klagomålsmail/A 22518-2025 FSC-klagomål mail.docx", "A 22518-2025")</f>
        <v/>
      </c>
      <c r="X307">
        <f>HYPERLINK("https://klasma.github.io/Logging_2283/tillsyn/A 22518-2025 tillsynsbegäran.docx", "A 22518-2025")</f>
        <v/>
      </c>
      <c r="Y307">
        <f>HYPERLINK("https://klasma.github.io/Logging_2283/tillsynsmail/A 22518-2025 tillsynsbegäran mail.docx", "A 22518-2025")</f>
        <v/>
      </c>
    </row>
    <row r="308" ht="15" customHeight="1">
      <c r="A308" t="inlineStr">
        <is>
          <t>A 22808-2025</t>
        </is>
      </c>
      <c r="B308" s="1" t="n">
        <v>45789</v>
      </c>
      <c r="C308" s="1" t="n">
        <v>45991</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58572-2021</t>
        </is>
      </c>
      <c r="B309" s="1" t="n">
        <v>44488</v>
      </c>
      <c r="C309" s="1" t="n">
        <v>45991</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45991</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45991</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67402-2021</t>
        </is>
      </c>
      <c r="B312" s="1" t="n">
        <v>44523</v>
      </c>
      <c r="C312" s="1" t="n">
        <v>45991</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51019-2021</t>
        </is>
      </c>
      <c r="B313" s="1" t="n">
        <v>44460</v>
      </c>
      <c r="C313" s="1" t="n">
        <v>45991</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15101-2021</t>
        </is>
      </c>
      <c r="B314" s="1" t="n">
        <v>44281.93871527778</v>
      </c>
      <c r="C314" s="1" t="n">
        <v>45991</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45991</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45991</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45991</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45991</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45991</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45991</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37206-2024</t>
        </is>
      </c>
      <c r="B321" s="1" t="n">
        <v>45539</v>
      </c>
      <c r="C321" s="1" t="n">
        <v>45991</v>
      </c>
      <c r="D321" t="inlineStr">
        <is>
          <t>VÄSTERNORRLANDS LÄN</t>
        </is>
      </c>
      <c r="E321" t="inlineStr">
        <is>
          <t>SOLLEFTEÅ</t>
        </is>
      </c>
      <c r="F321" t="inlineStr">
        <is>
          <t>SCA</t>
        </is>
      </c>
      <c r="G321" t="n">
        <v>3.6</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37206-2024 artfynd.xlsx", "A 37206-2024")</f>
        <v/>
      </c>
      <c r="T321">
        <f>HYPERLINK("https://klasma.github.io/Logging_2283/kartor/A 37206-2024 karta.png", "A 37206-2024")</f>
        <v/>
      </c>
      <c r="V321">
        <f>HYPERLINK("https://klasma.github.io/Logging_2283/klagomål/A 37206-2024 FSC-klagomål.docx", "A 37206-2024")</f>
        <v/>
      </c>
      <c r="W321">
        <f>HYPERLINK("https://klasma.github.io/Logging_2283/klagomålsmail/A 37206-2024 FSC-klagomål mail.docx", "A 37206-2024")</f>
        <v/>
      </c>
      <c r="X321">
        <f>HYPERLINK("https://klasma.github.io/Logging_2283/tillsyn/A 37206-2024 tillsynsbegäran.docx", "A 37206-2024")</f>
        <v/>
      </c>
      <c r="Y321">
        <f>HYPERLINK("https://klasma.github.io/Logging_2283/tillsynsmail/A 37206-2024 tillsynsbegäran mail.docx", "A 37206-2024")</f>
        <v/>
      </c>
      <c r="Z321">
        <f>HYPERLINK("https://klasma.github.io/Logging_2283/fåglar/A 37206-2024 prioriterade fågelarter.docx", "A 37206-2024")</f>
        <v/>
      </c>
    </row>
    <row r="322" ht="15" customHeight="1">
      <c r="A322" t="inlineStr">
        <is>
          <t>A 23169-2025</t>
        </is>
      </c>
      <c r="B322" s="1" t="n">
        <v>45791.42752314815</v>
      </c>
      <c r="C322" s="1" t="n">
        <v>45991</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22214-2025</t>
        </is>
      </c>
      <c r="B323" s="1" t="n">
        <v>45785.65792824074</v>
      </c>
      <c r="C323" s="1" t="n">
        <v>45991</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53039-2023</t>
        </is>
      </c>
      <c r="B324" s="1" t="n">
        <v>45226</v>
      </c>
      <c r="C324" s="1" t="n">
        <v>45991</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26019-2025</t>
        </is>
      </c>
      <c r="B325" s="1" t="n">
        <v>45804.67811342593</v>
      </c>
      <c r="C325" s="1" t="n">
        <v>45991</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45991</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22428-2025</t>
        </is>
      </c>
      <c r="B327" s="1" t="n">
        <v>45786.57351851852</v>
      </c>
      <c r="C327" s="1" t="n">
        <v>45991</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48087-2023</t>
        </is>
      </c>
      <c r="B328" s="1" t="n">
        <v>45204</v>
      </c>
      <c r="C328" s="1" t="n">
        <v>45991</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42554-2025</t>
        </is>
      </c>
      <c r="B329" s="1" t="n">
        <v>45905.59445601852</v>
      </c>
      <c r="C329" s="1" t="n">
        <v>45991</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3959-2024</t>
        </is>
      </c>
      <c r="B330" s="1" t="n">
        <v>45322</v>
      </c>
      <c r="C330" s="1" t="n">
        <v>45991</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11667-2025</t>
        </is>
      </c>
      <c r="B331" s="1" t="n">
        <v>45727.51074074074</v>
      </c>
      <c r="C331" s="1" t="n">
        <v>45991</v>
      </c>
      <c r="D331" t="inlineStr">
        <is>
          <t>VÄSTERNORRLANDS LÄN</t>
        </is>
      </c>
      <c r="E331" t="inlineStr">
        <is>
          <t>SOLLEFTEÅ</t>
        </is>
      </c>
      <c r="F331" t="inlineStr">
        <is>
          <t>SCA</t>
        </is>
      </c>
      <c r="G331" t="n">
        <v>4.5</v>
      </c>
      <c r="H331" t="n">
        <v>1</v>
      </c>
      <c r="I331" t="n">
        <v>0</v>
      </c>
      <c r="J331" t="n">
        <v>1</v>
      </c>
      <c r="K331" t="n">
        <v>0</v>
      </c>
      <c r="L331" t="n">
        <v>0</v>
      </c>
      <c r="M331" t="n">
        <v>0</v>
      </c>
      <c r="N331" t="n">
        <v>0</v>
      </c>
      <c r="O331" t="n">
        <v>1</v>
      </c>
      <c r="P331" t="n">
        <v>0</v>
      </c>
      <c r="Q331" t="n">
        <v>1</v>
      </c>
      <c r="R331" s="2" t="inlineStr">
        <is>
          <t>Järpe</t>
        </is>
      </c>
      <c r="S331">
        <f>HYPERLINK("https://klasma.github.io/Logging_2283/artfynd/A 11667-2025 artfynd.xlsx", "A 11667-2025")</f>
        <v/>
      </c>
      <c r="T331">
        <f>HYPERLINK("https://klasma.github.io/Logging_2283/kartor/A 11667-2025 karta.png", "A 11667-2025")</f>
        <v/>
      </c>
      <c r="V331">
        <f>HYPERLINK("https://klasma.github.io/Logging_2283/klagomål/A 11667-2025 FSC-klagomål.docx", "A 11667-2025")</f>
        <v/>
      </c>
      <c r="W331">
        <f>HYPERLINK("https://klasma.github.io/Logging_2283/klagomålsmail/A 11667-2025 FSC-klagomål mail.docx", "A 11667-2025")</f>
        <v/>
      </c>
      <c r="X331">
        <f>HYPERLINK("https://klasma.github.io/Logging_2283/tillsyn/A 11667-2025 tillsynsbegäran.docx", "A 11667-2025")</f>
        <v/>
      </c>
      <c r="Y331">
        <f>HYPERLINK("https://klasma.github.io/Logging_2283/tillsynsmail/A 11667-2025 tillsynsbegäran mail.docx", "A 11667-2025")</f>
        <v/>
      </c>
      <c r="Z331">
        <f>HYPERLINK("https://klasma.github.io/Logging_2283/fåglar/A 11667-2025 prioriterade fågelarter.docx", "A 11667-2025")</f>
        <v/>
      </c>
    </row>
    <row r="332" ht="15" customHeight="1">
      <c r="A332" t="inlineStr">
        <is>
          <t>A 25310-2023</t>
        </is>
      </c>
      <c r="B332" s="1" t="n">
        <v>45086</v>
      </c>
      <c r="C332" s="1" t="n">
        <v>45991</v>
      </c>
      <c r="D332" t="inlineStr">
        <is>
          <t>VÄSTERNORRLANDS LÄN</t>
        </is>
      </c>
      <c r="E332" t="inlineStr">
        <is>
          <t>SOLLEFTEÅ</t>
        </is>
      </c>
      <c r="F332" t="inlineStr">
        <is>
          <t>SCA</t>
        </is>
      </c>
      <c r="G332" t="n">
        <v>1.1</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25310-2023 artfynd.xlsx", "A 25310-2023")</f>
        <v/>
      </c>
      <c r="T332">
        <f>HYPERLINK("https://klasma.github.io/Logging_2283/kartor/A 25310-2023 karta.png", "A 25310-2023")</f>
        <v/>
      </c>
      <c r="V332">
        <f>HYPERLINK("https://klasma.github.io/Logging_2283/klagomål/A 25310-2023 FSC-klagomål.docx", "A 25310-2023")</f>
        <v/>
      </c>
      <c r="W332">
        <f>HYPERLINK("https://klasma.github.io/Logging_2283/klagomålsmail/A 25310-2023 FSC-klagomål mail.docx", "A 25310-2023")</f>
        <v/>
      </c>
      <c r="X332">
        <f>HYPERLINK("https://klasma.github.io/Logging_2283/tillsyn/A 25310-2023 tillsynsbegäran.docx", "A 25310-2023")</f>
        <v/>
      </c>
      <c r="Y332">
        <f>HYPERLINK("https://klasma.github.io/Logging_2283/tillsynsmail/A 25310-2023 tillsynsbegäran mail.docx", "A 25310-2023")</f>
        <v/>
      </c>
      <c r="Z332">
        <f>HYPERLINK("https://klasma.github.io/Logging_2283/fåglar/A 25310-2023 prioriterade fågelarter.docx", "A 25310-2023")</f>
        <v/>
      </c>
    </row>
    <row r="333" ht="15" customHeight="1">
      <c r="A333" t="inlineStr">
        <is>
          <t>A 30948-2025</t>
        </is>
      </c>
      <c r="B333" s="1" t="n">
        <v>45832.42745370371</v>
      </c>
      <c r="C333" s="1" t="n">
        <v>45991</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51786-2025</t>
        </is>
      </c>
      <c r="B334" s="1" t="n">
        <v>45951.67787037037</v>
      </c>
      <c r="C334" s="1" t="n">
        <v>45991</v>
      </c>
      <c r="D334" t="inlineStr">
        <is>
          <t>VÄSTERNORRLANDS LÄN</t>
        </is>
      </c>
      <c r="E334" t="inlineStr">
        <is>
          <t>SOLLEFTEÅ</t>
        </is>
      </c>
      <c r="F334" t="inlineStr">
        <is>
          <t>SCA</t>
        </is>
      </c>
      <c r="G334" t="n">
        <v>19.8</v>
      </c>
      <c r="H334" t="n">
        <v>0</v>
      </c>
      <c r="I334" t="n">
        <v>0</v>
      </c>
      <c r="J334" t="n">
        <v>1</v>
      </c>
      <c r="K334" t="n">
        <v>0</v>
      </c>
      <c r="L334" t="n">
        <v>0</v>
      </c>
      <c r="M334" t="n">
        <v>0</v>
      </c>
      <c r="N334" t="n">
        <v>0</v>
      </c>
      <c r="O334" t="n">
        <v>1</v>
      </c>
      <c r="P334" t="n">
        <v>0</v>
      </c>
      <c r="Q334" t="n">
        <v>1</v>
      </c>
      <c r="R334" s="2" t="inlineStr">
        <is>
          <t>Motaggsvamp</t>
        </is>
      </c>
      <c r="S334">
        <f>HYPERLINK("https://klasma.github.io/Logging_2283/artfynd/A 51786-2025 artfynd.xlsx", "A 51786-2025")</f>
        <v/>
      </c>
      <c r="T334">
        <f>HYPERLINK("https://klasma.github.io/Logging_2283/kartor/A 51786-2025 karta.png", "A 51786-2025")</f>
        <v/>
      </c>
      <c r="V334">
        <f>HYPERLINK("https://klasma.github.io/Logging_2283/klagomål/A 51786-2025 FSC-klagomål.docx", "A 51786-2025")</f>
        <v/>
      </c>
      <c r="W334">
        <f>HYPERLINK("https://klasma.github.io/Logging_2283/klagomålsmail/A 51786-2025 FSC-klagomål mail.docx", "A 51786-2025")</f>
        <v/>
      </c>
      <c r="X334">
        <f>HYPERLINK("https://klasma.github.io/Logging_2283/tillsyn/A 51786-2025 tillsynsbegäran.docx", "A 51786-2025")</f>
        <v/>
      </c>
      <c r="Y334">
        <f>HYPERLINK("https://klasma.github.io/Logging_2283/tillsynsmail/A 51786-2025 tillsynsbegäran mail.docx", "A 51786-2025")</f>
        <v/>
      </c>
    </row>
    <row r="335" ht="15" customHeight="1">
      <c r="A335" t="inlineStr">
        <is>
          <t>A 32101-2025</t>
        </is>
      </c>
      <c r="B335" s="1" t="n">
        <v>45835.46914351852</v>
      </c>
      <c r="C335" s="1" t="n">
        <v>45991</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52218-2025</t>
        </is>
      </c>
      <c r="B336" s="1" t="n">
        <v>45953.43634259259</v>
      </c>
      <c r="C336" s="1" t="n">
        <v>45991</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33853-2025</t>
        </is>
      </c>
      <c r="B337" s="1" t="n">
        <v>45842.51097222222</v>
      </c>
      <c r="C337" s="1" t="n">
        <v>45991</v>
      </c>
      <c r="D337" t="inlineStr">
        <is>
          <t>VÄSTERNORRLANDS LÄN</t>
        </is>
      </c>
      <c r="E337" t="inlineStr">
        <is>
          <t>SOLLEFTEÅ</t>
        </is>
      </c>
      <c r="F337" t="inlineStr">
        <is>
          <t>SCA</t>
        </is>
      </c>
      <c r="G337" t="n">
        <v>6.5</v>
      </c>
      <c r="H337" t="n">
        <v>1</v>
      </c>
      <c r="I337" t="n">
        <v>0</v>
      </c>
      <c r="J337" t="n">
        <v>0</v>
      </c>
      <c r="K337" t="n">
        <v>0</v>
      </c>
      <c r="L337" t="n">
        <v>0</v>
      </c>
      <c r="M337" t="n">
        <v>0</v>
      </c>
      <c r="N337" t="n">
        <v>0</v>
      </c>
      <c r="O337" t="n">
        <v>0</v>
      </c>
      <c r="P337" t="n">
        <v>0</v>
      </c>
      <c r="Q337" t="n">
        <v>1</v>
      </c>
      <c r="R337" s="2" t="inlineStr">
        <is>
          <t>Tjäder</t>
        </is>
      </c>
      <c r="S337">
        <f>HYPERLINK("https://klasma.github.io/Logging_2283/artfynd/A 33853-2025 artfynd.xlsx", "A 33853-2025")</f>
        <v/>
      </c>
      <c r="T337">
        <f>HYPERLINK("https://klasma.github.io/Logging_2283/kartor/A 33853-2025 karta.png", "A 33853-2025")</f>
        <v/>
      </c>
      <c r="V337">
        <f>HYPERLINK("https://klasma.github.io/Logging_2283/klagomål/A 33853-2025 FSC-klagomål.docx", "A 33853-2025")</f>
        <v/>
      </c>
      <c r="W337">
        <f>HYPERLINK("https://klasma.github.io/Logging_2283/klagomålsmail/A 33853-2025 FSC-klagomål mail.docx", "A 33853-2025")</f>
        <v/>
      </c>
      <c r="X337">
        <f>HYPERLINK("https://klasma.github.io/Logging_2283/tillsyn/A 33853-2025 tillsynsbegäran.docx", "A 33853-2025")</f>
        <v/>
      </c>
      <c r="Y337">
        <f>HYPERLINK("https://klasma.github.io/Logging_2283/tillsynsmail/A 33853-2025 tillsynsbegäran mail.docx", "A 33853-2025")</f>
        <v/>
      </c>
      <c r="Z337">
        <f>HYPERLINK("https://klasma.github.io/Logging_2283/fåglar/A 33853-2025 prioriterade fågelarter.docx", "A 33853-2025")</f>
        <v/>
      </c>
    </row>
    <row r="338" ht="15" customHeight="1">
      <c r="A338" t="inlineStr">
        <is>
          <t>A 34865-2025</t>
        </is>
      </c>
      <c r="B338" s="1" t="n">
        <v>45849.4421412037</v>
      </c>
      <c r="C338" s="1" t="n">
        <v>45991</v>
      </c>
      <c r="D338" t="inlineStr">
        <is>
          <t>VÄSTERNORRLANDS LÄN</t>
        </is>
      </c>
      <c r="E338" t="inlineStr">
        <is>
          <t>SOLLEFTEÅ</t>
        </is>
      </c>
      <c r="G338" t="n">
        <v>3.3</v>
      </c>
      <c r="H338" t="n">
        <v>1</v>
      </c>
      <c r="I338" t="n">
        <v>0</v>
      </c>
      <c r="J338" t="n">
        <v>1</v>
      </c>
      <c r="K338" t="n">
        <v>0</v>
      </c>
      <c r="L338" t="n">
        <v>0</v>
      </c>
      <c r="M338" t="n">
        <v>0</v>
      </c>
      <c r="N338" t="n">
        <v>0</v>
      </c>
      <c r="O338" t="n">
        <v>1</v>
      </c>
      <c r="P338" t="n">
        <v>0</v>
      </c>
      <c r="Q338" t="n">
        <v>1</v>
      </c>
      <c r="R338" s="2" t="inlineStr">
        <is>
          <t>Spillkråka</t>
        </is>
      </c>
      <c r="S338">
        <f>HYPERLINK("https://klasma.github.io/Logging_2283/artfynd/A 34865-2025 artfynd.xlsx", "A 34865-2025")</f>
        <v/>
      </c>
      <c r="T338">
        <f>HYPERLINK("https://klasma.github.io/Logging_2283/kartor/A 34865-2025 karta.png", "A 34865-2025")</f>
        <v/>
      </c>
      <c r="V338">
        <f>HYPERLINK("https://klasma.github.io/Logging_2283/klagomål/A 34865-2025 FSC-klagomål.docx", "A 34865-2025")</f>
        <v/>
      </c>
      <c r="W338">
        <f>HYPERLINK("https://klasma.github.io/Logging_2283/klagomålsmail/A 34865-2025 FSC-klagomål mail.docx", "A 34865-2025")</f>
        <v/>
      </c>
      <c r="X338">
        <f>HYPERLINK("https://klasma.github.io/Logging_2283/tillsyn/A 34865-2025 tillsynsbegäran.docx", "A 34865-2025")</f>
        <v/>
      </c>
      <c r="Y338">
        <f>HYPERLINK("https://klasma.github.io/Logging_2283/tillsynsmail/A 34865-2025 tillsynsbegäran mail.docx", "A 34865-2025")</f>
        <v/>
      </c>
      <c r="Z338">
        <f>HYPERLINK("https://klasma.github.io/Logging_2283/fåglar/A 34865-2025 prioriterade fågelarter.docx", "A 34865-2025")</f>
        <v/>
      </c>
    </row>
    <row r="339" ht="15" customHeight="1">
      <c r="A339" t="inlineStr">
        <is>
          <t>A 35217-2025</t>
        </is>
      </c>
      <c r="B339" s="1" t="n">
        <v>45853.49020833334</v>
      </c>
      <c r="C339" s="1" t="n">
        <v>45991</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Mattlummer</t>
        </is>
      </c>
      <c r="S339">
        <f>HYPERLINK("https://klasma.github.io/Logging_2283/artfynd/A 35217-2025 artfynd.xlsx", "A 35217-2025")</f>
        <v/>
      </c>
      <c r="T339">
        <f>HYPERLINK("https://klasma.github.io/Logging_2283/kartor/A 35217-2025 karta.png", "A 35217-2025")</f>
        <v/>
      </c>
      <c r="V339">
        <f>HYPERLINK("https://klasma.github.io/Logging_2283/klagomål/A 35217-2025 FSC-klagomål.docx", "A 35217-2025")</f>
        <v/>
      </c>
      <c r="W339">
        <f>HYPERLINK("https://klasma.github.io/Logging_2283/klagomålsmail/A 35217-2025 FSC-klagomål mail.docx", "A 35217-2025")</f>
        <v/>
      </c>
      <c r="X339">
        <f>HYPERLINK("https://klasma.github.io/Logging_2283/tillsyn/A 35217-2025 tillsynsbegäran.docx", "A 35217-2025")</f>
        <v/>
      </c>
      <c r="Y339">
        <f>HYPERLINK("https://klasma.github.io/Logging_2283/tillsynsmail/A 35217-2025 tillsynsbegäran mail.docx", "A 35217-2025")</f>
        <v/>
      </c>
    </row>
    <row r="340" ht="15" customHeight="1">
      <c r="A340" t="inlineStr">
        <is>
          <t>A 53822-2025</t>
        </is>
      </c>
      <c r="B340" s="1" t="n">
        <v>45961.32806712963</v>
      </c>
      <c r="C340" s="1" t="n">
        <v>45991</v>
      </c>
      <c r="D340" t="inlineStr">
        <is>
          <t>VÄSTERNORRLANDS LÄN</t>
        </is>
      </c>
      <c r="E340" t="inlineStr">
        <is>
          <t>SOLLEFTEÅ</t>
        </is>
      </c>
      <c r="G340" t="n">
        <v>2.1</v>
      </c>
      <c r="H340" t="n">
        <v>1</v>
      </c>
      <c r="I340" t="n">
        <v>0</v>
      </c>
      <c r="J340" t="n">
        <v>0</v>
      </c>
      <c r="K340" t="n">
        <v>0</v>
      </c>
      <c r="L340" t="n">
        <v>0</v>
      </c>
      <c r="M340" t="n">
        <v>0</v>
      </c>
      <c r="N340" t="n">
        <v>0</v>
      </c>
      <c r="O340" t="n">
        <v>0</v>
      </c>
      <c r="P340" t="n">
        <v>0</v>
      </c>
      <c r="Q340" t="n">
        <v>1</v>
      </c>
      <c r="R340" s="2" t="inlineStr">
        <is>
          <t>Sångsvan</t>
        </is>
      </c>
      <c r="S340">
        <f>HYPERLINK("https://klasma.github.io/Logging_2283/artfynd/A 53822-2025 artfynd.xlsx", "A 53822-2025")</f>
        <v/>
      </c>
      <c r="T340">
        <f>HYPERLINK("https://klasma.github.io/Logging_2283/kartor/A 53822-2025 karta.png", "A 53822-2025")</f>
        <v/>
      </c>
      <c r="V340">
        <f>HYPERLINK("https://klasma.github.io/Logging_2283/klagomål/A 53822-2025 FSC-klagomål.docx", "A 53822-2025")</f>
        <v/>
      </c>
      <c r="W340">
        <f>HYPERLINK("https://klasma.github.io/Logging_2283/klagomålsmail/A 53822-2025 FSC-klagomål mail.docx", "A 53822-2025")</f>
        <v/>
      </c>
      <c r="X340">
        <f>HYPERLINK("https://klasma.github.io/Logging_2283/tillsyn/A 53822-2025 tillsynsbegäran.docx", "A 53822-2025")</f>
        <v/>
      </c>
      <c r="Y340">
        <f>HYPERLINK("https://klasma.github.io/Logging_2283/tillsynsmail/A 53822-2025 tillsynsbegäran mail.docx", "A 53822-2025")</f>
        <v/>
      </c>
      <c r="Z340">
        <f>HYPERLINK("https://klasma.github.io/Logging_2283/fåglar/A 53822-2025 prioriterade fågelarter.docx", "A 53822-2025")</f>
        <v/>
      </c>
    </row>
    <row r="341" ht="15" customHeight="1">
      <c r="A341" t="inlineStr">
        <is>
          <t>A 39897-2024</t>
        </is>
      </c>
      <c r="B341" s="1" t="n">
        <v>45553.48841435185</v>
      </c>
      <c r="C341" s="1" t="n">
        <v>45991</v>
      </c>
      <c r="D341" t="inlineStr">
        <is>
          <t>VÄSTERNORRLANDS LÄN</t>
        </is>
      </c>
      <c r="E341" t="inlineStr">
        <is>
          <t>SOLLEFTEÅ</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HYPERLINK("https://klasma.github.io/Logging_2283/artfynd/A 39897-2024 artfynd.xlsx", "A 39897-2024")</f>
        <v/>
      </c>
      <c r="T341">
        <f>HYPERLINK("https://klasma.github.io/Logging_2283/kartor/A 39897-2024 karta.png", "A 39897-2024")</f>
        <v/>
      </c>
      <c r="V341">
        <f>HYPERLINK("https://klasma.github.io/Logging_2283/klagomål/A 39897-2024 FSC-klagomål.docx", "A 39897-2024")</f>
        <v/>
      </c>
      <c r="W341">
        <f>HYPERLINK("https://klasma.github.io/Logging_2283/klagomålsmail/A 39897-2024 FSC-klagomål mail.docx", "A 39897-2024")</f>
        <v/>
      </c>
      <c r="X341">
        <f>HYPERLINK("https://klasma.github.io/Logging_2283/tillsyn/A 39897-2024 tillsynsbegäran.docx", "A 39897-2024")</f>
        <v/>
      </c>
      <c r="Y341">
        <f>HYPERLINK("https://klasma.github.io/Logging_2283/tillsynsmail/A 39897-2024 tillsynsbegäran mail.docx", "A 39897-2024")</f>
        <v/>
      </c>
    </row>
    <row r="342" ht="15" customHeight="1">
      <c r="A342" t="inlineStr">
        <is>
          <t>A 39565-2023</t>
        </is>
      </c>
      <c r="B342" s="1" t="n">
        <v>45167</v>
      </c>
      <c r="C342" s="1" t="n">
        <v>45991</v>
      </c>
      <c r="D342" t="inlineStr">
        <is>
          <t>VÄSTERNORRLANDS LÄN</t>
        </is>
      </c>
      <c r="E342" t="inlineStr">
        <is>
          <t>SOLLEFTEÅ</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39565-2023 artfynd.xlsx", "A 39565-2023")</f>
        <v/>
      </c>
      <c r="T342">
        <f>HYPERLINK("https://klasma.github.io/Logging_2283/kartor/A 39565-2023 karta.png", "A 39565-2023")</f>
        <v/>
      </c>
      <c r="V342">
        <f>HYPERLINK("https://klasma.github.io/Logging_2283/klagomål/A 39565-2023 FSC-klagomål.docx", "A 39565-2023")</f>
        <v/>
      </c>
      <c r="W342">
        <f>HYPERLINK("https://klasma.github.io/Logging_2283/klagomålsmail/A 39565-2023 FSC-klagomål mail.docx", "A 39565-2023")</f>
        <v/>
      </c>
      <c r="X342">
        <f>HYPERLINK("https://klasma.github.io/Logging_2283/tillsyn/A 39565-2023 tillsynsbegäran.docx", "A 39565-2023")</f>
        <v/>
      </c>
      <c r="Y342">
        <f>HYPERLINK("https://klasma.github.io/Logging_2283/tillsynsmail/A 39565-2023 tillsynsbegäran mail.docx", "A 39565-2023")</f>
        <v/>
      </c>
    </row>
    <row r="343" ht="15" customHeight="1">
      <c r="A343" t="inlineStr">
        <is>
          <t>A 27106-2022</t>
        </is>
      </c>
      <c r="B343" s="1" t="n">
        <v>44741</v>
      </c>
      <c r="C343" s="1" t="n">
        <v>45991</v>
      </c>
      <c r="D343" t="inlineStr">
        <is>
          <t>VÄSTERNORRLANDS LÄN</t>
        </is>
      </c>
      <c r="E343" t="inlineStr">
        <is>
          <t>SOLLEFTEÅ</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HYPERLINK("https://klasma.github.io/Logging_2283/artfynd/A 27106-2022 artfynd.xlsx", "A 27106-2022")</f>
        <v/>
      </c>
      <c r="T343">
        <f>HYPERLINK("https://klasma.github.io/Logging_2283/kartor/A 27106-2022 karta.png", "A 27106-2022")</f>
        <v/>
      </c>
      <c r="V343">
        <f>HYPERLINK("https://klasma.github.io/Logging_2283/klagomål/A 27106-2022 FSC-klagomål.docx", "A 27106-2022")</f>
        <v/>
      </c>
      <c r="W343">
        <f>HYPERLINK("https://klasma.github.io/Logging_2283/klagomålsmail/A 27106-2022 FSC-klagomål mail.docx", "A 27106-2022")</f>
        <v/>
      </c>
      <c r="X343">
        <f>HYPERLINK("https://klasma.github.io/Logging_2283/tillsyn/A 27106-2022 tillsynsbegäran.docx", "A 27106-2022")</f>
        <v/>
      </c>
      <c r="Y343">
        <f>HYPERLINK("https://klasma.github.io/Logging_2283/tillsynsmail/A 27106-2022 tillsynsbegäran mail.docx", "A 27106-2022")</f>
        <v/>
      </c>
    </row>
    <row r="344" ht="15" customHeight="1">
      <c r="A344" t="inlineStr">
        <is>
          <t>A 8541-2024</t>
        </is>
      </c>
      <c r="B344" s="1" t="n">
        <v>45351</v>
      </c>
      <c r="C344" s="1" t="n">
        <v>45991</v>
      </c>
      <c r="D344" t="inlineStr">
        <is>
          <t>VÄSTERNORRLANDS LÄN</t>
        </is>
      </c>
      <c r="E344" t="inlineStr">
        <is>
          <t>SOLLEFTEÅ</t>
        </is>
      </c>
      <c r="F344" t="inlineStr">
        <is>
          <t>Kommuner</t>
        </is>
      </c>
      <c r="G344" t="n">
        <v>0.6</v>
      </c>
      <c r="H344" t="n">
        <v>0</v>
      </c>
      <c r="I344" t="n">
        <v>0</v>
      </c>
      <c r="J344" t="n">
        <v>1</v>
      </c>
      <c r="K344" t="n">
        <v>0</v>
      </c>
      <c r="L344" t="n">
        <v>0</v>
      </c>
      <c r="M344" t="n">
        <v>0</v>
      </c>
      <c r="N344" t="n">
        <v>0</v>
      </c>
      <c r="O344" t="n">
        <v>1</v>
      </c>
      <c r="P344" t="n">
        <v>0</v>
      </c>
      <c r="Q344" t="n">
        <v>1</v>
      </c>
      <c r="R344" s="2" t="inlineStr">
        <is>
          <t>Granticka</t>
        </is>
      </c>
      <c r="S344">
        <f>HYPERLINK("https://klasma.github.io/Logging_2283/artfynd/A 8541-2024 artfynd.xlsx", "A 8541-2024")</f>
        <v/>
      </c>
      <c r="T344">
        <f>HYPERLINK("https://klasma.github.io/Logging_2283/kartor/A 8541-2024 karta.png", "A 8541-2024")</f>
        <v/>
      </c>
      <c r="V344">
        <f>HYPERLINK("https://klasma.github.io/Logging_2283/klagomål/A 8541-2024 FSC-klagomål.docx", "A 8541-2024")</f>
        <v/>
      </c>
      <c r="W344">
        <f>HYPERLINK("https://klasma.github.io/Logging_2283/klagomålsmail/A 8541-2024 FSC-klagomål mail.docx", "A 8541-2024")</f>
        <v/>
      </c>
      <c r="X344">
        <f>HYPERLINK("https://klasma.github.io/Logging_2283/tillsyn/A 8541-2024 tillsynsbegäran.docx", "A 8541-2024")</f>
        <v/>
      </c>
      <c r="Y344">
        <f>HYPERLINK("https://klasma.github.io/Logging_2283/tillsynsmail/A 8541-2024 tillsynsbegäran mail.docx", "A 8541-2024")</f>
        <v/>
      </c>
    </row>
    <row r="345" ht="15" customHeight="1">
      <c r="A345" t="inlineStr">
        <is>
          <t>A 55722-2025</t>
        </is>
      </c>
      <c r="B345" s="1" t="n">
        <v>45972.51136574074</v>
      </c>
      <c r="C345" s="1" t="n">
        <v>45991</v>
      </c>
      <c r="D345" t="inlineStr">
        <is>
          <t>VÄSTERNORRLANDS LÄN</t>
        </is>
      </c>
      <c r="E345" t="inlineStr">
        <is>
          <t>SOLLEFTEÅ</t>
        </is>
      </c>
      <c r="F345" t="inlineStr">
        <is>
          <t>SCA</t>
        </is>
      </c>
      <c r="G345" t="n">
        <v>3.3</v>
      </c>
      <c r="H345" t="n">
        <v>0</v>
      </c>
      <c r="I345" t="n">
        <v>0</v>
      </c>
      <c r="J345" t="n">
        <v>1</v>
      </c>
      <c r="K345" t="n">
        <v>0</v>
      </c>
      <c r="L345" t="n">
        <v>0</v>
      </c>
      <c r="M345" t="n">
        <v>0</v>
      </c>
      <c r="N345" t="n">
        <v>0</v>
      </c>
      <c r="O345" t="n">
        <v>1</v>
      </c>
      <c r="P345" t="n">
        <v>0</v>
      </c>
      <c r="Q345" t="n">
        <v>1</v>
      </c>
      <c r="R345" s="2" t="inlineStr">
        <is>
          <t>Violettgrå tagellav</t>
        </is>
      </c>
      <c r="S345">
        <f>HYPERLINK("https://klasma.github.io/Logging_2283/artfynd/A 55722-2025 artfynd.xlsx", "A 55722-2025")</f>
        <v/>
      </c>
      <c r="T345">
        <f>HYPERLINK("https://klasma.github.io/Logging_2283/kartor/A 55722-2025 karta.png", "A 55722-2025")</f>
        <v/>
      </c>
      <c r="V345">
        <f>HYPERLINK("https://klasma.github.io/Logging_2283/klagomål/A 55722-2025 FSC-klagomål.docx", "A 55722-2025")</f>
        <v/>
      </c>
      <c r="W345">
        <f>HYPERLINK("https://klasma.github.io/Logging_2283/klagomålsmail/A 55722-2025 FSC-klagomål mail.docx", "A 55722-2025")</f>
        <v/>
      </c>
      <c r="X345">
        <f>HYPERLINK("https://klasma.github.io/Logging_2283/tillsyn/A 55722-2025 tillsynsbegäran.docx", "A 55722-2025")</f>
        <v/>
      </c>
      <c r="Y345">
        <f>HYPERLINK("https://klasma.github.io/Logging_2283/tillsynsmail/A 55722-2025 tillsynsbegäran mail.docx", "A 55722-2025")</f>
        <v/>
      </c>
    </row>
    <row r="346" ht="15" customHeight="1">
      <c r="A346" t="inlineStr">
        <is>
          <t>A 22862-2021</t>
        </is>
      </c>
      <c r="B346" s="1" t="n">
        <v>44326</v>
      </c>
      <c r="C346" s="1" t="n">
        <v>45991</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56444-2025</t>
        </is>
      </c>
      <c r="B347" s="1" t="n">
        <v>45975.3480324074</v>
      </c>
      <c r="C347" s="1" t="n">
        <v>45991</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56048-2025</t>
        </is>
      </c>
      <c r="B348" s="1" t="n">
        <v>45973</v>
      </c>
      <c r="C348" s="1" t="n">
        <v>45991</v>
      </c>
      <c r="D348" t="inlineStr">
        <is>
          <t>VÄSTERNORRLANDS LÄN</t>
        </is>
      </c>
      <c r="E348" t="inlineStr">
        <is>
          <t>SOLLEFTEÅ</t>
        </is>
      </c>
      <c r="G348" t="n">
        <v>3.6</v>
      </c>
      <c r="H348" t="n">
        <v>1</v>
      </c>
      <c r="I348" t="n">
        <v>0</v>
      </c>
      <c r="J348" t="n">
        <v>0</v>
      </c>
      <c r="K348" t="n">
        <v>0</v>
      </c>
      <c r="L348" t="n">
        <v>0</v>
      </c>
      <c r="M348" t="n">
        <v>0</v>
      </c>
      <c r="N348" t="n">
        <v>0</v>
      </c>
      <c r="O348" t="n">
        <v>0</v>
      </c>
      <c r="P348" t="n">
        <v>0</v>
      </c>
      <c r="Q348" t="n">
        <v>1</v>
      </c>
      <c r="R348" s="2" t="inlineStr">
        <is>
          <t>Tjäder</t>
        </is>
      </c>
      <c r="S348">
        <f>HYPERLINK("https://klasma.github.io/Logging_2283/artfynd/A 56048-2025 artfynd.xlsx", "A 56048-2025")</f>
        <v/>
      </c>
      <c r="T348">
        <f>HYPERLINK("https://klasma.github.io/Logging_2283/kartor/A 56048-2025 karta.png", "A 56048-2025")</f>
        <v/>
      </c>
      <c r="V348">
        <f>HYPERLINK("https://klasma.github.io/Logging_2283/klagomål/A 56048-2025 FSC-klagomål.docx", "A 56048-2025")</f>
        <v/>
      </c>
      <c r="W348">
        <f>HYPERLINK("https://klasma.github.io/Logging_2283/klagomålsmail/A 56048-2025 FSC-klagomål mail.docx", "A 56048-2025")</f>
        <v/>
      </c>
      <c r="X348">
        <f>HYPERLINK("https://klasma.github.io/Logging_2283/tillsyn/A 56048-2025 tillsynsbegäran.docx", "A 56048-2025")</f>
        <v/>
      </c>
      <c r="Y348">
        <f>HYPERLINK("https://klasma.github.io/Logging_2283/tillsynsmail/A 56048-2025 tillsynsbegäran mail.docx", "A 56048-2025")</f>
        <v/>
      </c>
      <c r="Z348">
        <f>HYPERLINK("https://klasma.github.io/Logging_2283/fåglar/A 56048-2025 prioriterade fågelarter.docx", "A 56048-2025")</f>
        <v/>
      </c>
    </row>
    <row r="349" ht="15" customHeight="1">
      <c r="A349" t="inlineStr">
        <is>
          <t>A 56421-2025</t>
        </is>
      </c>
      <c r="B349" s="1" t="n">
        <v>45975.34498842592</v>
      </c>
      <c r="C349" s="1" t="n">
        <v>45991</v>
      </c>
      <c r="D349" t="inlineStr">
        <is>
          <t>VÄSTERNORRLANDS LÄN</t>
        </is>
      </c>
      <c r="E349" t="inlineStr">
        <is>
          <t>SOLLEFTEÅ</t>
        </is>
      </c>
      <c r="F349" t="inlineStr">
        <is>
          <t>SCA</t>
        </is>
      </c>
      <c r="G349" t="n">
        <v>2.2</v>
      </c>
      <c r="H349" t="n">
        <v>0</v>
      </c>
      <c r="I349" t="n">
        <v>0</v>
      </c>
      <c r="J349" t="n">
        <v>1</v>
      </c>
      <c r="K349" t="n">
        <v>0</v>
      </c>
      <c r="L349" t="n">
        <v>0</v>
      </c>
      <c r="M349" t="n">
        <v>0</v>
      </c>
      <c r="N349" t="n">
        <v>0</v>
      </c>
      <c r="O349" t="n">
        <v>1</v>
      </c>
      <c r="P349" t="n">
        <v>0</v>
      </c>
      <c r="Q349" t="n">
        <v>1</v>
      </c>
      <c r="R349" s="2" t="inlineStr">
        <is>
          <t>Harticka</t>
        </is>
      </c>
      <c r="S349">
        <f>HYPERLINK("https://klasma.github.io/Logging_2283/artfynd/A 56421-2025 artfynd.xlsx", "A 56421-2025")</f>
        <v/>
      </c>
      <c r="T349">
        <f>HYPERLINK("https://klasma.github.io/Logging_2283/kartor/A 56421-2025 karta.png", "A 56421-2025")</f>
        <v/>
      </c>
      <c r="V349">
        <f>HYPERLINK("https://klasma.github.io/Logging_2283/klagomål/A 56421-2025 FSC-klagomål.docx", "A 56421-2025")</f>
        <v/>
      </c>
      <c r="W349">
        <f>HYPERLINK("https://klasma.github.io/Logging_2283/klagomålsmail/A 56421-2025 FSC-klagomål mail.docx", "A 56421-2025")</f>
        <v/>
      </c>
      <c r="X349">
        <f>HYPERLINK("https://klasma.github.io/Logging_2283/tillsyn/A 56421-2025 tillsynsbegäran.docx", "A 56421-2025")</f>
        <v/>
      </c>
      <c r="Y349">
        <f>HYPERLINK("https://klasma.github.io/Logging_2283/tillsynsmail/A 56421-2025 tillsynsbegäran mail.docx", "A 56421-2025")</f>
        <v/>
      </c>
    </row>
    <row r="350" ht="15" customHeight="1">
      <c r="A350" t="inlineStr">
        <is>
          <t>A 35295-2023</t>
        </is>
      </c>
      <c r="B350" s="1" t="n">
        <v>45145</v>
      </c>
      <c r="C350" s="1" t="n">
        <v>45991</v>
      </c>
      <c r="D350" t="inlineStr">
        <is>
          <t>VÄSTERNORRLANDS LÄN</t>
        </is>
      </c>
      <c r="E350" t="inlineStr">
        <is>
          <t>SOLLEFTEÅ</t>
        </is>
      </c>
      <c r="F350" t="inlineStr">
        <is>
          <t>SCA</t>
        </is>
      </c>
      <c r="G350" t="n">
        <v>8.9</v>
      </c>
      <c r="H350" t="n">
        <v>1</v>
      </c>
      <c r="I350" t="n">
        <v>0</v>
      </c>
      <c r="J350" t="n">
        <v>1</v>
      </c>
      <c r="K350" t="n">
        <v>0</v>
      </c>
      <c r="L350" t="n">
        <v>0</v>
      </c>
      <c r="M350" t="n">
        <v>0</v>
      </c>
      <c r="N350" t="n">
        <v>0</v>
      </c>
      <c r="O350" t="n">
        <v>1</v>
      </c>
      <c r="P350" t="n">
        <v>0</v>
      </c>
      <c r="Q350" t="n">
        <v>1</v>
      </c>
      <c r="R350" s="2" t="inlineStr">
        <is>
          <t>Talltita</t>
        </is>
      </c>
      <c r="S350">
        <f>HYPERLINK("https://klasma.github.io/Logging_2283/artfynd/A 35295-2023 artfynd.xlsx", "A 35295-2023")</f>
        <v/>
      </c>
      <c r="T350">
        <f>HYPERLINK("https://klasma.github.io/Logging_2283/kartor/A 35295-2023 karta.png", "A 35295-2023")</f>
        <v/>
      </c>
      <c r="V350">
        <f>HYPERLINK("https://klasma.github.io/Logging_2283/klagomål/A 35295-2023 FSC-klagomål.docx", "A 35295-2023")</f>
        <v/>
      </c>
      <c r="W350">
        <f>HYPERLINK("https://klasma.github.io/Logging_2283/klagomålsmail/A 35295-2023 FSC-klagomål mail.docx", "A 35295-2023")</f>
        <v/>
      </c>
      <c r="X350">
        <f>HYPERLINK("https://klasma.github.io/Logging_2283/tillsyn/A 35295-2023 tillsynsbegäran.docx", "A 35295-2023")</f>
        <v/>
      </c>
      <c r="Y350">
        <f>HYPERLINK("https://klasma.github.io/Logging_2283/tillsynsmail/A 35295-2023 tillsynsbegäran mail.docx", "A 35295-2023")</f>
        <v/>
      </c>
      <c r="Z350">
        <f>HYPERLINK("https://klasma.github.io/Logging_2283/fåglar/A 35295-2023 prioriterade fågelarter.docx", "A 35295-2023")</f>
        <v/>
      </c>
    </row>
    <row r="351" ht="15" customHeight="1">
      <c r="A351" t="inlineStr">
        <is>
          <t>A 48526-2025</t>
        </is>
      </c>
      <c r="B351" s="1" t="n">
        <v>45936.40723379629</v>
      </c>
      <c r="C351" s="1" t="n">
        <v>45991</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49251-2025</t>
        </is>
      </c>
      <c r="B352" s="1" t="n">
        <v>45938</v>
      </c>
      <c r="C352" s="1" t="n">
        <v>45991</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Granticka</t>
        </is>
      </c>
      <c r="S352">
        <f>HYPERLINK("https://klasma.github.io/Logging_2283/artfynd/A 49251-2025 artfynd.xlsx", "A 49251-2025")</f>
        <v/>
      </c>
      <c r="T352">
        <f>HYPERLINK("https://klasma.github.io/Logging_2283/kartor/A 49251-2025 karta.png", "A 49251-2025")</f>
        <v/>
      </c>
      <c r="V352">
        <f>HYPERLINK("https://klasma.github.io/Logging_2283/klagomål/A 49251-2025 FSC-klagomål.docx", "A 49251-2025")</f>
        <v/>
      </c>
      <c r="W352">
        <f>HYPERLINK("https://klasma.github.io/Logging_2283/klagomålsmail/A 49251-2025 FSC-klagomål mail.docx", "A 49251-2025")</f>
        <v/>
      </c>
      <c r="X352">
        <f>HYPERLINK("https://klasma.github.io/Logging_2283/tillsyn/A 49251-2025 tillsynsbegäran.docx", "A 49251-2025")</f>
        <v/>
      </c>
      <c r="Y352">
        <f>HYPERLINK("https://klasma.github.io/Logging_2283/tillsynsmail/A 49251-2025 tillsynsbegäran mail.docx", "A 49251-2025")</f>
        <v/>
      </c>
    </row>
    <row r="353" ht="15" customHeight="1">
      <c r="A353" t="inlineStr">
        <is>
          <t>A 21708-2022</t>
        </is>
      </c>
      <c r="B353" s="1" t="n">
        <v>44707</v>
      </c>
      <c r="C353" s="1" t="n">
        <v>45991</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49651-2025</t>
        </is>
      </c>
      <c r="B354" s="1" t="n">
        <v>45939.62670138889</v>
      </c>
      <c r="C354" s="1" t="n">
        <v>45991</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57987-2025</t>
        </is>
      </c>
      <c r="B355" s="1" t="n">
        <v>45982.41984953704</v>
      </c>
      <c r="C355" s="1" t="n">
        <v>45991</v>
      </c>
      <c r="D355" t="inlineStr">
        <is>
          <t>VÄSTERNORRLANDS LÄN</t>
        </is>
      </c>
      <c r="E355" t="inlineStr">
        <is>
          <t>SOLLEFTEÅ</t>
        </is>
      </c>
      <c r="G355" t="n">
        <v>2.8</v>
      </c>
      <c r="H355" t="n">
        <v>0</v>
      </c>
      <c r="I355" t="n">
        <v>1</v>
      </c>
      <c r="J355" t="n">
        <v>0</v>
      </c>
      <c r="K355" t="n">
        <v>0</v>
      </c>
      <c r="L355" t="n">
        <v>0</v>
      </c>
      <c r="M355" t="n">
        <v>0</v>
      </c>
      <c r="N355" t="n">
        <v>0</v>
      </c>
      <c r="O355" t="n">
        <v>0</v>
      </c>
      <c r="P355" t="n">
        <v>0</v>
      </c>
      <c r="Q355" t="n">
        <v>1</v>
      </c>
      <c r="R355" s="2" t="inlineStr">
        <is>
          <t>Stuplav</t>
        </is>
      </c>
      <c r="S355">
        <f>HYPERLINK("https://klasma.github.io/Logging_2283/artfynd/A 57987-2025 artfynd.xlsx", "A 57987-2025")</f>
        <v/>
      </c>
      <c r="T355">
        <f>HYPERLINK("https://klasma.github.io/Logging_2283/kartor/A 57987-2025 karta.png", "A 57987-2025")</f>
        <v/>
      </c>
      <c r="V355">
        <f>HYPERLINK("https://klasma.github.io/Logging_2283/klagomål/A 57987-2025 FSC-klagomål.docx", "A 57987-2025")</f>
        <v/>
      </c>
      <c r="W355">
        <f>HYPERLINK("https://klasma.github.io/Logging_2283/klagomålsmail/A 57987-2025 FSC-klagomål mail.docx", "A 57987-2025")</f>
        <v/>
      </c>
      <c r="X355">
        <f>HYPERLINK("https://klasma.github.io/Logging_2283/tillsyn/A 57987-2025 tillsynsbegäran.docx", "A 57987-2025")</f>
        <v/>
      </c>
      <c r="Y355">
        <f>HYPERLINK("https://klasma.github.io/Logging_2283/tillsynsmail/A 57987-2025 tillsynsbegäran mail.docx", "A 57987-2025")</f>
        <v/>
      </c>
    </row>
    <row r="356" ht="15" customHeight="1">
      <c r="A356" t="inlineStr">
        <is>
          <t>A 21360-2021</t>
        </is>
      </c>
      <c r="B356" s="1" t="n">
        <v>44320</v>
      </c>
      <c r="C356" s="1" t="n">
        <v>45991</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21962-2025</t>
        </is>
      </c>
      <c r="B357" s="1" t="n">
        <v>45784</v>
      </c>
      <c r="C357" s="1" t="n">
        <v>45991</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54734-2024</t>
        </is>
      </c>
      <c r="B358" s="1" t="n">
        <v>45618.43879629629</v>
      </c>
      <c r="C358" s="1" t="n">
        <v>45991</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45991</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45991</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45991</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1343-2025</t>
        </is>
      </c>
      <c r="B362" s="1" t="n">
        <v>45667.6043287037</v>
      </c>
      <c r="C362" s="1" t="n">
        <v>45991</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68651-2020</t>
        </is>
      </c>
      <c r="B363" s="1" t="n">
        <v>44186</v>
      </c>
      <c r="C363" s="1" t="n">
        <v>45991</v>
      </c>
      <c r="D363" t="inlineStr">
        <is>
          <t>VÄSTERNORRLANDS LÄN</t>
        </is>
      </c>
      <c r="E363" t="inlineStr">
        <is>
          <t>SOLLEFTEÅ</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HYPERLINK("https://klasma.github.io/Logging_2283/artfynd/A 68651-2020 artfynd.xlsx", "A 68651-2020")</f>
        <v/>
      </c>
      <c r="T363">
        <f>HYPERLINK("https://klasma.github.io/Logging_2283/kartor/A 68651-2020 karta.png", "A 68651-2020")</f>
        <v/>
      </c>
      <c r="V363">
        <f>HYPERLINK("https://klasma.github.io/Logging_2283/klagomål/A 68651-2020 FSC-klagomål.docx", "A 68651-2020")</f>
        <v/>
      </c>
      <c r="W363">
        <f>HYPERLINK("https://klasma.github.io/Logging_2283/klagomålsmail/A 68651-2020 FSC-klagomål mail.docx", "A 68651-2020")</f>
        <v/>
      </c>
      <c r="X363">
        <f>HYPERLINK("https://klasma.github.io/Logging_2283/tillsyn/A 68651-2020 tillsynsbegäran.docx", "A 68651-2020")</f>
        <v/>
      </c>
      <c r="Y363">
        <f>HYPERLINK("https://klasma.github.io/Logging_2283/tillsynsmail/A 68651-2020 tillsynsbegäran mail.docx", "A 68651-2020")</f>
        <v/>
      </c>
    </row>
    <row r="364" ht="15" customHeight="1">
      <c r="A364" t="inlineStr">
        <is>
          <t>A 31920-2023</t>
        </is>
      </c>
      <c r="B364" s="1" t="n">
        <v>45118</v>
      </c>
      <c r="C364" s="1" t="n">
        <v>45991</v>
      </c>
      <c r="D364" t="inlineStr">
        <is>
          <t>VÄSTERNORRLANDS LÄN</t>
        </is>
      </c>
      <c r="E364" t="inlineStr">
        <is>
          <t>SOLLEFTEÅ</t>
        </is>
      </c>
      <c r="F364" t="inlineStr">
        <is>
          <t>SCA</t>
        </is>
      </c>
      <c r="G364" t="n">
        <v>2</v>
      </c>
      <c r="H364" t="n">
        <v>0</v>
      </c>
      <c r="I364" t="n">
        <v>0</v>
      </c>
      <c r="J364" t="n">
        <v>1</v>
      </c>
      <c r="K364" t="n">
        <v>0</v>
      </c>
      <c r="L364" t="n">
        <v>0</v>
      </c>
      <c r="M364" t="n">
        <v>0</v>
      </c>
      <c r="N364" t="n">
        <v>0</v>
      </c>
      <c r="O364" t="n">
        <v>1</v>
      </c>
      <c r="P364" t="n">
        <v>0</v>
      </c>
      <c r="Q364" t="n">
        <v>1</v>
      </c>
      <c r="R364" s="2" t="inlineStr">
        <is>
          <t>Ullticka</t>
        </is>
      </c>
      <c r="S364">
        <f>HYPERLINK("https://klasma.github.io/Logging_2283/artfynd/A 31920-2023 artfynd.xlsx", "A 31920-2023")</f>
        <v/>
      </c>
      <c r="T364">
        <f>HYPERLINK("https://klasma.github.io/Logging_2283/kartor/A 31920-2023 karta.png", "A 31920-2023")</f>
        <v/>
      </c>
      <c r="V364">
        <f>HYPERLINK("https://klasma.github.io/Logging_2283/klagomål/A 31920-2023 FSC-klagomål.docx", "A 31920-2023")</f>
        <v/>
      </c>
      <c r="W364">
        <f>HYPERLINK("https://klasma.github.io/Logging_2283/klagomålsmail/A 31920-2023 FSC-klagomål mail.docx", "A 31920-2023")</f>
        <v/>
      </c>
      <c r="X364">
        <f>HYPERLINK("https://klasma.github.io/Logging_2283/tillsyn/A 31920-2023 tillsynsbegäran.docx", "A 31920-2023")</f>
        <v/>
      </c>
      <c r="Y364">
        <f>HYPERLINK("https://klasma.github.io/Logging_2283/tillsynsmail/A 31920-2023 tillsynsbegäran mail.docx", "A 31920-2023")</f>
        <v/>
      </c>
    </row>
    <row r="365" ht="15" customHeight="1">
      <c r="A365" t="inlineStr">
        <is>
          <t>A 44632-2024</t>
        </is>
      </c>
      <c r="B365" s="1" t="n">
        <v>45574.51446759259</v>
      </c>
      <c r="C365" s="1" t="n">
        <v>45991</v>
      </c>
      <c r="D365" t="inlineStr">
        <is>
          <t>VÄSTERNORRLANDS LÄN</t>
        </is>
      </c>
      <c r="E365" t="inlineStr">
        <is>
          <t>SOLLEFTEÅ</t>
        </is>
      </c>
      <c r="F365" t="inlineStr">
        <is>
          <t>SCA</t>
        </is>
      </c>
      <c r="G365" t="n">
        <v>3.1</v>
      </c>
      <c r="H365" t="n">
        <v>0</v>
      </c>
      <c r="I365" t="n">
        <v>1</v>
      </c>
      <c r="J365" t="n">
        <v>0</v>
      </c>
      <c r="K365" t="n">
        <v>0</v>
      </c>
      <c r="L365" t="n">
        <v>0</v>
      </c>
      <c r="M365" t="n">
        <v>0</v>
      </c>
      <c r="N365" t="n">
        <v>0</v>
      </c>
      <c r="O365" t="n">
        <v>0</v>
      </c>
      <c r="P365" t="n">
        <v>0</v>
      </c>
      <c r="Q365" t="n">
        <v>1</v>
      </c>
      <c r="R365" s="2" t="inlineStr">
        <is>
          <t>Vedticka</t>
        </is>
      </c>
      <c r="S365">
        <f>HYPERLINK("https://klasma.github.io/Logging_2283/artfynd/A 44632-2024 artfynd.xlsx", "A 44632-2024")</f>
        <v/>
      </c>
      <c r="T365">
        <f>HYPERLINK("https://klasma.github.io/Logging_2283/kartor/A 44632-2024 karta.png", "A 44632-2024")</f>
        <v/>
      </c>
      <c r="V365">
        <f>HYPERLINK("https://klasma.github.io/Logging_2283/klagomål/A 44632-2024 FSC-klagomål.docx", "A 44632-2024")</f>
        <v/>
      </c>
      <c r="W365">
        <f>HYPERLINK("https://klasma.github.io/Logging_2283/klagomålsmail/A 44632-2024 FSC-klagomål mail.docx", "A 44632-2024")</f>
        <v/>
      </c>
      <c r="X365">
        <f>HYPERLINK("https://klasma.github.io/Logging_2283/tillsyn/A 44632-2024 tillsynsbegäran.docx", "A 44632-2024")</f>
        <v/>
      </c>
      <c r="Y365">
        <f>HYPERLINK("https://klasma.github.io/Logging_2283/tillsynsmail/A 44632-2024 tillsynsbegäran mail.docx", "A 44632-2024")</f>
        <v/>
      </c>
    </row>
    <row r="366" ht="15" customHeight="1">
      <c r="A366" t="inlineStr">
        <is>
          <t>A 54558-2022</t>
        </is>
      </c>
      <c r="B366" s="1" t="n">
        <v>44882</v>
      </c>
      <c r="C366" s="1" t="n">
        <v>45991</v>
      </c>
      <c r="D366" t="inlineStr">
        <is>
          <t>VÄSTERNORRLANDS LÄN</t>
        </is>
      </c>
      <c r="E366" t="inlineStr">
        <is>
          <t>SOLLEFTEÅ</t>
        </is>
      </c>
      <c r="G366" t="n">
        <v>5.8</v>
      </c>
      <c r="H366" t="n">
        <v>0</v>
      </c>
      <c r="I366" t="n">
        <v>1</v>
      </c>
      <c r="J366" t="n">
        <v>0</v>
      </c>
      <c r="K366" t="n">
        <v>0</v>
      </c>
      <c r="L366" t="n">
        <v>0</v>
      </c>
      <c r="M366" t="n">
        <v>0</v>
      </c>
      <c r="N366" t="n">
        <v>0</v>
      </c>
      <c r="O366" t="n">
        <v>0</v>
      </c>
      <c r="P366" t="n">
        <v>0</v>
      </c>
      <c r="Q366" t="n">
        <v>1</v>
      </c>
      <c r="R366" s="2" t="inlineStr">
        <is>
          <t>Strutbräken</t>
        </is>
      </c>
      <c r="S366">
        <f>HYPERLINK("https://klasma.github.io/Logging_2283/artfynd/A 54558-2022 artfynd.xlsx", "A 54558-2022")</f>
        <v/>
      </c>
      <c r="T366">
        <f>HYPERLINK("https://klasma.github.io/Logging_2283/kartor/A 54558-2022 karta.png", "A 54558-2022")</f>
        <v/>
      </c>
      <c r="V366">
        <f>HYPERLINK("https://klasma.github.io/Logging_2283/klagomål/A 54558-2022 FSC-klagomål.docx", "A 54558-2022")</f>
        <v/>
      </c>
      <c r="W366">
        <f>HYPERLINK("https://klasma.github.io/Logging_2283/klagomålsmail/A 54558-2022 FSC-klagomål mail.docx", "A 54558-2022")</f>
        <v/>
      </c>
      <c r="X366">
        <f>HYPERLINK("https://klasma.github.io/Logging_2283/tillsyn/A 54558-2022 tillsynsbegäran.docx", "A 54558-2022")</f>
        <v/>
      </c>
      <c r="Y366">
        <f>HYPERLINK("https://klasma.github.io/Logging_2283/tillsynsmail/A 54558-2022 tillsynsbegäran mail.docx", "A 54558-2022")</f>
        <v/>
      </c>
    </row>
    <row r="367" ht="15" customHeight="1">
      <c r="A367" t="inlineStr">
        <is>
          <t>A 8903-2024</t>
        </is>
      </c>
      <c r="B367" s="1" t="n">
        <v>45355</v>
      </c>
      <c r="C367" s="1" t="n">
        <v>45991</v>
      </c>
      <c r="D367" t="inlineStr">
        <is>
          <t>VÄSTERNORRLANDS LÄN</t>
        </is>
      </c>
      <c r="E367" t="inlineStr">
        <is>
          <t>SOLLEFTEÅ</t>
        </is>
      </c>
      <c r="G367" t="n">
        <v>1.7</v>
      </c>
      <c r="H367" t="n">
        <v>0</v>
      </c>
      <c r="I367" t="n">
        <v>1</v>
      </c>
      <c r="J367" t="n">
        <v>0</v>
      </c>
      <c r="K367" t="n">
        <v>0</v>
      </c>
      <c r="L367" t="n">
        <v>0</v>
      </c>
      <c r="M367" t="n">
        <v>0</v>
      </c>
      <c r="N367" t="n">
        <v>0</v>
      </c>
      <c r="O367" t="n">
        <v>0</v>
      </c>
      <c r="P367" t="n">
        <v>0</v>
      </c>
      <c r="Q367" t="n">
        <v>1</v>
      </c>
      <c r="R367" s="2" t="inlineStr">
        <is>
          <t>Strutbräken</t>
        </is>
      </c>
      <c r="S367">
        <f>HYPERLINK("https://klasma.github.io/Logging_2283/artfynd/A 8903-2024 artfynd.xlsx", "A 8903-2024")</f>
        <v/>
      </c>
      <c r="T367">
        <f>HYPERLINK("https://klasma.github.io/Logging_2283/kartor/A 8903-2024 karta.png", "A 8903-2024")</f>
        <v/>
      </c>
      <c r="V367">
        <f>HYPERLINK("https://klasma.github.io/Logging_2283/klagomål/A 8903-2024 FSC-klagomål.docx", "A 8903-2024")</f>
        <v/>
      </c>
      <c r="W367">
        <f>HYPERLINK("https://klasma.github.io/Logging_2283/klagomålsmail/A 8903-2024 FSC-klagomål mail.docx", "A 8903-2024")</f>
        <v/>
      </c>
      <c r="X367">
        <f>HYPERLINK("https://klasma.github.io/Logging_2283/tillsyn/A 8903-2024 tillsynsbegäran.docx", "A 8903-2024")</f>
        <v/>
      </c>
      <c r="Y367">
        <f>HYPERLINK("https://klasma.github.io/Logging_2283/tillsynsmail/A 8903-2024 tillsynsbegäran mail.docx", "A 8903-2024")</f>
        <v/>
      </c>
    </row>
    <row r="368" ht="15" customHeight="1">
      <c r="A368" t="inlineStr">
        <is>
          <t>A 15669-2022</t>
        </is>
      </c>
      <c r="B368" s="1" t="n">
        <v>44662</v>
      </c>
      <c r="C368" s="1" t="n">
        <v>45991</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386-2024</t>
        </is>
      </c>
      <c r="B369" s="1" t="n">
        <v>45296</v>
      </c>
      <c r="C369" s="1" t="n">
        <v>45991</v>
      </c>
      <c r="D369" t="inlineStr">
        <is>
          <t>VÄSTERNORRLANDS LÄN</t>
        </is>
      </c>
      <c r="E369" t="inlineStr">
        <is>
          <t>SOLLEFTEÅ</t>
        </is>
      </c>
      <c r="G369" t="n">
        <v>3.7</v>
      </c>
      <c r="H369" t="n">
        <v>0</v>
      </c>
      <c r="I369" t="n">
        <v>0</v>
      </c>
      <c r="J369" t="n">
        <v>1</v>
      </c>
      <c r="K369" t="n">
        <v>0</v>
      </c>
      <c r="L369" t="n">
        <v>0</v>
      </c>
      <c r="M369" t="n">
        <v>0</v>
      </c>
      <c r="N369" t="n">
        <v>0</v>
      </c>
      <c r="O369" t="n">
        <v>1</v>
      </c>
      <c r="P369" t="n">
        <v>0</v>
      </c>
      <c r="Q369" t="n">
        <v>1</v>
      </c>
      <c r="R369" s="2" t="inlineStr">
        <is>
          <t>Kolflarnlav</t>
        </is>
      </c>
      <c r="S369">
        <f>HYPERLINK("https://klasma.github.io/Logging_2283/artfynd/A 386-2024 artfynd.xlsx", "A 386-2024")</f>
        <v/>
      </c>
      <c r="T369">
        <f>HYPERLINK("https://klasma.github.io/Logging_2283/kartor/A 386-2024 karta.png", "A 386-2024")</f>
        <v/>
      </c>
      <c r="V369">
        <f>HYPERLINK("https://klasma.github.io/Logging_2283/klagomål/A 386-2024 FSC-klagomål.docx", "A 386-2024")</f>
        <v/>
      </c>
      <c r="W369">
        <f>HYPERLINK("https://klasma.github.io/Logging_2283/klagomålsmail/A 386-2024 FSC-klagomål mail.docx", "A 386-2024")</f>
        <v/>
      </c>
      <c r="X369">
        <f>HYPERLINK("https://klasma.github.io/Logging_2283/tillsyn/A 386-2024 tillsynsbegäran.docx", "A 386-2024")</f>
        <v/>
      </c>
      <c r="Y369">
        <f>HYPERLINK("https://klasma.github.io/Logging_2283/tillsynsmail/A 386-2024 tillsynsbegäran mail.docx", "A 386-2024")</f>
        <v/>
      </c>
    </row>
    <row r="370" ht="15" customHeight="1">
      <c r="A370" t="inlineStr">
        <is>
          <t>A 39995-2024</t>
        </is>
      </c>
      <c r="B370" s="1" t="n">
        <v>45553.63572916666</v>
      </c>
      <c r="C370" s="1" t="n">
        <v>45991</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Garnlav</t>
        </is>
      </c>
      <c r="S370">
        <f>HYPERLINK("https://klasma.github.io/Logging_2283/artfynd/A 39995-2024 artfynd.xlsx", "A 39995-2024")</f>
        <v/>
      </c>
      <c r="T370">
        <f>HYPERLINK("https://klasma.github.io/Logging_2283/kartor/A 39995-2024 karta.png", "A 39995-2024")</f>
        <v/>
      </c>
      <c r="V370">
        <f>HYPERLINK("https://klasma.github.io/Logging_2283/klagomål/A 39995-2024 FSC-klagomål.docx", "A 39995-2024")</f>
        <v/>
      </c>
      <c r="W370">
        <f>HYPERLINK("https://klasma.github.io/Logging_2283/klagomålsmail/A 39995-2024 FSC-klagomål mail.docx", "A 39995-2024")</f>
        <v/>
      </c>
      <c r="X370">
        <f>HYPERLINK("https://klasma.github.io/Logging_2283/tillsyn/A 39995-2024 tillsynsbegäran.docx", "A 39995-2024")</f>
        <v/>
      </c>
      <c r="Y370">
        <f>HYPERLINK("https://klasma.github.io/Logging_2283/tillsynsmail/A 39995-2024 tillsynsbegäran mail.docx", "A 39995-2024")</f>
        <v/>
      </c>
    </row>
    <row r="371" ht="15" customHeight="1">
      <c r="A371" t="inlineStr">
        <is>
          <t>A 38363-2022</t>
        </is>
      </c>
      <c r="B371" s="1" t="n">
        <v>44812</v>
      </c>
      <c r="C371" s="1" t="n">
        <v>45991</v>
      </c>
      <c r="D371" t="inlineStr">
        <is>
          <t>VÄSTERNORRLANDS LÄN</t>
        </is>
      </c>
      <c r="E371" t="inlineStr">
        <is>
          <t>SOLLEFTEÅ</t>
        </is>
      </c>
      <c r="F371" t="inlineStr">
        <is>
          <t>Kommuner</t>
        </is>
      </c>
      <c r="G371" t="n">
        <v>16</v>
      </c>
      <c r="H371" t="n">
        <v>0</v>
      </c>
      <c r="I371" t="n">
        <v>0</v>
      </c>
      <c r="J371" t="n">
        <v>1</v>
      </c>
      <c r="K371" t="n">
        <v>0</v>
      </c>
      <c r="L371" t="n">
        <v>0</v>
      </c>
      <c r="M371" t="n">
        <v>0</v>
      </c>
      <c r="N371" t="n">
        <v>0</v>
      </c>
      <c r="O371" t="n">
        <v>1</v>
      </c>
      <c r="P371" t="n">
        <v>0</v>
      </c>
      <c r="Q371" t="n">
        <v>1</v>
      </c>
      <c r="R371" s="2" t="inlineStr">
        <is>
          <t>Garnlav</t>
        </is>
      </c>
      <c r="S371">
        <f>HYPERLINK("https://klasma.github.io/Logging_2283/artfynd/A 38363-2022 artfynd.xlsx", "A 38363-2022")</f>
        <v/>
      </c>
      <c r="T371">
        <f>HYPERLINK("https://klasma.github.io/Logging_2283/kartor/A 38363-2022 karta.png", "A 38363-2022")</f>
        <v/>
      </c>
      <c r="V371">
        <f>HYPERLINK("https://klasma.github.io/Logging_2283/klagomål/A 38363-2022 FSC-klagomål.docx", "A 38363-2022")</f>
        <v/>
      </c>
      <c r="W371">
        <f>HYPERLINK("https://klasma.github.io/Logging_2283/klagomålsmail/A 38363-2022 FSC-klagomål mail.docx", "A 38363-2022")</f>
        <v/>
      </c>
      <c r="X371">
        <f>HYPERLINK("https://klasma.github.io/Logging_2283/tillsyn/A 38363-2022 tillsynsbegäran.docx", "A 38363-2022")</f>
        <v/>
      </c>
      <c r="Y371">
        <f>HYPERLINK("https://klasma.github.io/Logging_2283/tillsynsmail/A 38363-2022 tillsynsbegäran mail.docx", "A 38363-2022")</f>
        <v/>
      </c>
    </row>
    <row r="372" ht="15" customHeight="1">
      <c r="A372" t="inlineStr">
        <is>
          <t>A 49366-2024</t>
        </is>
      </c>
      <c r="B372" s="1" t="n">
        <v>45595.63572916666</v>
      </c>
      <c r="C372" s="1" t="n">
        <v>45991</v>
      </c>
      <c r="D372" t="inlineStr">
        <is>
          <t>VÄSTERNORRLANDS LÄN</t>
        </is>
      </c>
      <c r="E372" t="inlineStr">
        <is>
          <t>SOLLEFTEÅ</t>
        </is>
      </c>
      <c r="F372" t="inlineStr">
        <is>
          <t>SCA</t>
        </is>
      </c>
      <c r="G372" t="n">
        <v>1.6</v>
      </c>
      <c r="H372" t="n">
        <v>1</v>
      </c>
      <c r="I372" t="n">
        <v>0</v>
      </c>
      <c r="J372" t="n">
        <v>0</v>
      </c>
      <c r="K372" t="n">
        <v>1</v>
      </c>
      <c r="L372" t="n">
        <v>0</v>
      </c>
      <c r="M372" t="n">
        <v>0</v>
      </c>
      <c r="N372" t="n">
        <v>0</v>
      </c>
      <c r="O372" t="n">
        <v>1</v>
      </c>
      <c r="P372" t="n">
        <v>1</v>
      </c>
      <c r="Q372" t="n">
        <v>1</v>
      </c>
      <c r="R372" s="2" t="inlineStr">
        <is>
          <t>Knärot</t>
        </is>
      </c>
      <c r="S372">
        <f>HYPERLINK("https://klasma.github.io/Logging_2283/artfynd/A 49366-2024 artfynd.xlsx", "A 49366-2024")</f>
        <v/>
      </c>
      <c r="T372">
        <f>HYPERLINK("https://klasma.github.io/Logging_2283/kartor/A 49366-2024 karta.png", "A 49366-2024")</f>
        <v/>
      </c>
      <c r="U372">
        <f>HYPERLINK("https://klasma.github.io/Logging_2283/knärot/A 49366-2024 karta knärot.png", "A 49366-2024")</f>
        <v/>
      </c>
      <c r="V372">
        <f>HYPERLINK("https://klasma.github.io/Logging_2283/klagomål/A 49366-2024 FSC-klagomål.docx", "A 49366-2024")</f>
        <v/>
      </c>
      <c r="W372">
        <f>HYPERLINK("https://klasma.github.io/Logging_2283/klagomålsmail/A 49366-2024 FSC-klagomål mail.docx", "A 49366-2024")</f>
        <v/>
      </c>
      <c r="X372">
        <f>HYPERLINK("https://klasma.github.io/Logging_2283/tillsyn/A 49366-2024 tillsynsbegäran.docx", "A 49366-2024")</f>
        <v/>
      </c>
      <c r="Y372">
        <f>HYPERLINK("https://klasma.github.io/Logging_2283/tillsynsmail/A 49366-2024 tillsynsbegäran mail.docx", "A 49366-2024")</f>
        <v/>
      </c>
    </row>
    <row r="373" ht="15" customHeight="1">
      <c r="A373" t="inlineStr">
        <is>
          <t>A 5033-2024</t>
        </is>
      </c>
      <c r="B373" s="1" t="n">
        <v>45329</v>
      </c>
      <c r="C373" s="1" t="n">
        <v>45991</v>
      </c>
      <c r="D373" t="inlineStr">
        <is>
          <t>VÄSTERNORRLANDS LÄN</t>
        </is>
      </c>
      <c r="E373" t="inlineStr">
        <is>
          <t>SOLLEFTEÅ</t>
        </is>
      </c>
      <c r="F373" t="inlineStr">
        <is>
          <t>Övriga Aktiebolag</t>
        </is>
      </c>
      <c r="G373" t="n">
        <v>3.2</v>
      </c>
      <c r="H373" t="n">
        <v>0</v>
      </c>
      <c r="I373" t="n">
        <v>1</v>
      </c>
      <c r="J373" t="n">
        <v>0</v>
      </c>
      <c r="K373" t="n">
        <v>0</v>
      </c>
      <c r="L373" t="n">
        <v>0</v>
      </c>
      <c r="M373" t="n">
        <v>0</v>
      </c>
      <c r="N373" t="n">
        <v>0</v>
      </c>
      <c r="O373" t="n">
        <v>0</v>
      </c>
      <c r="P373" t="n">
        <v>0</v>
      </c>
      <c r="Q373" t="n">
        <v>1</v>
      </c>
      <c r="R373" s="2" t="inlineStr">
        <is>
          <t>Kransrams</t>
        </is>
      </c>
      <c r="S373">
        <f>HYPERLINK("https://klasma.github.io/Logging_2283/artfynd/A 5033-2024 artfynd.xlsx", "A 5033-2024")</f>
        <v/>
      </c>
      <c r="T373">
        <f>HYPERLINK("https://klasma.github.io/Logging_2283/kartor/A 5033-2024 karta.png", "A 5033-2024")</f>
        <v/>
      </c>
      <c r="V373">
        <f>HYPERLINK("https://klasma.github.io/Logging_2283/klagomål/A 5033-2024 FSC-klagomål.docx", "A 5033-2024")</f>
        <v/>
      </c>
      <c r="W373">
        <f>HYPERLINK("https://klasma.github.io/Logging_2283/klagomålsmail/A 5033-2024 FSC-klagomål mail.docx", "A 5033-2024")</f>
        <v/>
      </c>
      <c r="X373">
        <f>HYPERLINK("https://klasma.github.io/Logging_2283/tillsyn/A 5033-2024 tillsynsbegäran.docx", "A 5033-2024")</f>
        <v/>
      </c>
      <c r="Y373">
        <f>HYPERLINK("https://klasma.github.io/Logging_2283/tillsynsmail/A 5033-2024 tillsynsbegäran mail.docx", "A 5033-2024")</f>
        <v/>
      </c>
    </row>
    <row r="374" ht="15" customHeight="1">
      <c r="A374" t="inlineStr">
        <is>
          <t>A 5790-2025</t>
        </is>
      </c>
      <c r="B374" s="1" t="n">
        <v>45694.65657407408</v>
      </c>
      <c r="C374" s="1" t="n">
        <v>45991</v>
      </c>
      <c r="D374" t="inlineStr">
        <is>
          <t>VÄSTERNORRLANDS LÄN</t>
        </is>
      </c>
      <c r="E374" t="inlineStr">
        <is>
          <t>SOLLEFTEÅ</t>
        </is>
      </c>
      <c r="F374" t="inlineStr">
        <is>
          <t>SCA</t>
        </is>
      </c>
      <c r="G374" t="n">
        <v>32.7</v>
      </c>
      <c r="H374" t="n">
        <v>0</v>
      </c>
      <c r="I374" t="n">
        <v>0</v>
      </c>
      <c r="J374" t="n">
        <v>1</v>
      </c>
      <c r="K374" t="n">
        <v>0</v>
      </c>
      <c r="L374" t="n">
        <v>0</v>
      </c>
      <c r="M374" t="n">
        <v>0</v>
      </c>
      <c r="N374" t="n">
        <v>0</v>
      </c>
      <c r="O374" t="n">
        <v>1</v>
      </c>
      <c r="P374" t="n">
        <v>0</v>
      </c>
      <c r="Q374" t="n">
        <v>1</v>
      </c>
      <c r="R374" s="2" t="inlineStr">
        <is>
          <t>Lunglav</t>
        </is>
      </c>
      <c r="S374">
        <f>HYPERLINK("https://klasma.github.io/Logging_2283/artfynd/A 5790-2025 artfynd.xlsx", "A 5790-2025")</f>
        <v/>
      </c>
      <c r="T374">
        <f>HYPERLINK("https://klasma.github.io/Logging_2283/kartor/A 5790-2025 karta.png", "A 5790-2025")</f>
        <v/>
      </c>
      <c r="V374">
        <f>HYPERLINK("https://klasma.github.io/Logging_2283/klagomål/A 5790-2025 FSC-klagomål.docx", "A 5790-2025")</f>
        <v/>
      </c>
      <c r="W374">
        <f>HYPERLINK("https://klasma.github.io/Logging_2283/klagomålsmail/A 5790-2025 FSC-klagomål mail.docx", "A 5790-2025")</f>
        <v/>
      </c>
      <c r="X374">
        <f>HYPERLINK("https://klasma.github.io/Logging_2283/tillsyn/A 5790-2025 tillsynsbegäran.docx", "A 5790-2025")</f>
        <v/>
      </c>
      <c r="Y374">
        <f>HYPERLINK("https://klasma.github.io/Logging_2283/tillsynsmail/A 5790-2025 tillsynsbegäran mail.docx", "A 5790-2025")</f>
        <v/>
      </c>
    </row>
    <row r="375" ht="15" customHeight="1">
      <c r="A375" t="inlineStr">
        <is>
          <t>A 53059-2023</t>
        </is>
      </c>
      <c r="B375" s="1" t="n">
        <v>45226</v>
      </c>
      <c r="C375" s="1" t="n">
        <v>45991</v>
      </c>
      <c r="D375" t="inlineStr">
        <is>
          <t>VÄSTERNORRLANDS LÄN</t>
        </is>
      </c>
      <c r="E375" t="inlineStr">
        <is>
          <t>SOLLEFTEÅ</t>
        </is>
      </c>
      <c r="F375" t="inlineStr">
        <is>
          <t>SCA</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HYPERLINK("https://klasma.github.io/Logging_2283/artfynd/A 53059-2023 artfynd.xlsx", "A 53059-2023")</f>
        <v/>
      </c>
      <c r="T375">
        <f>HYPERLINK("https://klasma.github.io/Logging_2283/kartor/A 53059-2023 karta.png", "A 53059-2023")</f>
        <v/>
      </c>
      <c r="U375">
        <f>HYPERLINK("https://klasma.github.io/Logging_2283/knärot/A 53059-2023 karta knärot.png", "A 53059-2023")</f>
        <v/>
      </c>
      <c r="V375">
        <f>HYPERLINK("https://klasma.github.io/Logging_2283/klagomål/A 53059-2023 FSC-klagomål.docx", "A 53059-2023")</f>
        <v/>
      </c>
      <c r="W375">
        <f>HYPERLINK("https://klasma.github.io/Logging_2283/klagomålsmail/A 53059-2023 FSC-klagomål mail.docx", "A 53059-2023")</f>
        <v/>
      </c>
      <c r="X375">
        <f>HYPERLINK("https://klasma.github.io/Logging_2283/tillsyn/A 53059-2023 tillsynsbegäran.docx", "A 53059-2023")</f>
        <v/>
      </c>
      <c r="Y375">
        <f>HYPERLINK("https://klasma.github.io/Logging_2283/tillsynsmail/A 53059-2023 tillsynsbegäran mail.docx", "A 53059-2023")</f>
        <v/>
      </c>
    </row>
    <row r="376" ht="15" customHeight="1">
      <c r="A376" t="inlineStr">
        <is>
          <t>A 16269-2022</t>
        </is>
      </c>
      <c r="B376" s="1" t="n">
        <v>44670</v>
      </c>
      <c r="C376" s="1" t="n">
        <v>45991</v>
      </c>
      <c r="D376" t="inlineStr">
        <is>
          <t>VÄSTERNORRLANDS LÄN</t>
        </is>
      </c>
      <c r="E376" t="inlineStr">
        <is>
          <t>SOLLEFTEÅ</t>
        </is>
      </c>
      <c r="F376" t="inlineStr">
        <is>
          <t>Holmen skog AB</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16269-2022 artfynd.xlsx", "A 16269-2022")</f>
        <v/>
      </c>
      <c r="T376">
        <f>HYPERLINK("https://klasma.github.io/Logging_2283/kartor/A 16269-2022 karta.png", "A 16269-2022")</f>
        <v/>
      </c>
      <c r="V376">
        <f>HYPERLINK("https://klasma.github.io/Logging_2283/klagomål/A 16269-2022 FSC-klagomål.docx", "A 16269-2022")</f>
        <v/>
      </c>
      <c r="W376">
        <f>HYPERLINK("https://klasma.github.io/Logging_2283/klagomålsmail/A 16269-2022 FSC-klagomål mail.docx", "A 16269-2022")</f>
        <v/>
      </c>
      <c r="X376">
        <f>HYPERLINK("https://klasma.github.io/Logging_2283/tillsyn/A 16269-2022 tillsynsbegäran.docx", "A 16269-2022")</f>
        <v/>
      </c>
      <c r="Y376">
        <f>HYPERLINK("https://klasma.github.io/Logging_2283/tillsynsmail/A 16269-2022 tillsynsbegäran mail.docx", "A 16269-2022")</f>
        <v/>
      </c>
      <c r="Z376">
        <f>HYPERLINK("https://klasma.github.io/Logging_2283/fåglar/A 16269-2022 prioriterade fågelarter.docx", "A 16269-2022")</f>
        <v/>
      </c>
    </row>
    <row r="377" ht="15" customHeight="1">
      <c r="A377" t="inlineStr">
        <is>
          <t>A 48948-2024</t>
        </is>
      </c>
      <c r="B377" s="1" t="n">
        <v>45594.42767361111</v>
      </c>
      <c r="C377" s="1" t="n">
        <v>45991</v>
      </c>
      <c r="D377" t="inlineStr">
        <is>
          <t>VÄSTERNORRLANDS LÄN</t>
        </is>
      </c>
      <c r="E377" t="inlineStr">
        <is>
          <t>SOLLEFTEÅ</t>
        </is>
      </c>
      <c r="F377" t="inlineStr">
        <is>
          <t>SCA</t>
        </is>
      </c>
      <c r="G377" t="n">
        <v>15</v>
      </c>
      <c r="H377" t="n">
        <v>1</v>
      </c>
      <c r="I377" t="n">
        <v>0</v>
      </c>
      <c r="J377" t="n">
        <v>0</v>
      </c>
      <c r="K377" t="n">
        <v>0</v>
      </c>
      <c r="L377" t="n">
        <v>0</v>
      </c>
      <c r="M377" t="n">
        <v>0</v>
      </c>
      <c r="N377" t="n">
        <v>0</v>
      </c>
      <c r="O377" t="n">
        <v>0</v>
      </c>
      <c r="P377" t="n">
        <v>0</v>
      </c>
      <c r="Q377" t="n">
        <v>1</v>
      </c>
      <c r="R377" s="2" t="inlineStr">
        <is>
          <t>Mattlummer</t>
        </is>
      </c>
      <c r="S377">
        <f>HYPERLINK("https://klasma.github.io/Logging_2283/artfynd/A 48948-2024 artfynd.xlsx", "A 48948-2024")</f>
        <v/>
      </c>
      <c r="T377">
        <f>HYPERLINK("https://klasma.github.io/Logging_2283/kartor/A 48948-2024 karta.png", "A 48948-2024")</f>
        <v/>
      </c>
      <c r="V377">
        <f>HYPERLINK("https://klasma.github.io/Logging_2283/klagomål/A 48948-2024 FSC-klagomål.docx", "A 48948-2024")</f>
        <v/>
      </c>
      <c r="W377">
        <f>HYPERLINK("https://klasma.github.io/Logging_2283/klagomålsmail/A 48948-2024 FSC-klagomål mail.docx", "A 48948-2024")</f>
        <v/>
      </c>
      <c r="X377">
        <f>HYPERLINK("https://klasma.github.io/Logging_2283/tillsyn/A 48948-2024 tillsynsbegäran.docx", "A 48948-2024")</f>
        <v/>
      </c>
      <c r="Y377">
        <f>HYPERLINK("https://klasma.github.io/Logging_2283/tillsynsmail/A 48948-2024 tillsynsbegäran mail.docx", "A 48948-2024")</f>
        <v/>
      </c>
    </row>
    <row r="378" ht="15" customHeight="1">
      <c r="A378" t="inlineStr">
        <is>
          <t>A 14805-2024</t>
        </is>
      </c>
      <c r="B378" s="1" t="n">
        <v>45397</v>
      </c>
      <c r="C378" s="1" t="n">
        <v>45991</v>
      </c>
      <c r="D378" t="inlineStr">
        <is>
          <t>VÄSTERNORRLANDS LÄN</t>
        </is>
      </c>
      <c r="E378" t="inlineStr">
        <is>
          <t>SOLLEFTEÅ</t>
        </is>
      </c>
      <c r="F378" t="inlineStr">
        <is>
          <t>SCA</t>
        </is>
      </c>
      <c r="G378" t="n">
        <v>3.5</v>
      </c>
      <c r="H378" t="n">
        <v>0</v>
      </c>
      <c r="I378" t="n">
        <v>0</v>
      </c>
      <c r="J378" t="n">
        <v>1</v>
      </c>
      <c r="K378" t="n">
        <v>0</v>
      </c>
      <c r="L378" t="n">
        <v>0</v>
      </c>
      <c r="M378" t="n">
        <v>0</v>
      </c>
      <c r="N378" t="n">
        <v>0</v>
      </c>
      <c r="O378" t="n">
        <v>1</v>
      </c>
      <c r="P378" t="n">
        <v>0</v>
      </c>
      <c r="Q378" t="n">
        <v>1</v>
      </c>
      <c r="R378" s="2" t="inlineStr">
        <is>
          <t>Dvärgbägarlav</t>
        </is>
      </c>
      <c r="S378">
        <f>HYPERLINK("https://klasma.github.io/Logging_2283/artfynd/A 14805-2024 artfynd.xlsx", "A 14805-2024")</f>
        <v/>
      </c>
      <c r="T378">
        <f>HYPERLINK("https://klasma.github.io/Logging_2283/kartor/A 14805-2024 karta.png", "A 14805-2024")</f>
        <v/>
      </c>
      <c r="V378">
        <f>HYPERLINK("https://klasma.github.io/Logging_2283/klagomål/A 14805-2024 FSC-klagomål.docx", "A 14805-2024")</f>
        <v/>
      </c>
      <c r="W378">
        <f>HYPERLINK("https://klasma.github.io/Logging_2283/klagomålsmail/A 14805-2024 FSC-klagomål mail.docx", "A 14805-2024")</f>
        <v/>
      </c>
      <c r="X378">
        <f>HYPERLINK("https://klasma.github.io/Logging_2283/tillsyn/A 14805-2024 tillsynsbegäran.docx", "A 14805-2024")</f>
        <v/>
      </c>
      <c r="Y378">
        <f>HYPERLINK("https://klasma.github.io/Logging_2283/tillsynsmail/A 14805-2024 tillsynsbegäran mail.docx", "A 14805-2024")</f>
        <v/>
      </c>
    </row>
    <row r="379" ht="15" customHeight="1">
      <c r="A379" t="inlineStr">
        <is>
          <t>A 18697-2025</t>
        </is>
      </c>
      <c r="B379" s="1" t="n">
        <v>45763.61592592593</v>
      </c>
      <c r="C379" s="1" t="n">
        <v>45991</v>
      </c>
      <c r="D379" t="inlineStr">
        <is>
          <t>VÄSTERNORRLANDS LÄN</t>
        </is>
      </c>
      <c r="E379" t="inlineStr">
        <is>
          <t>SOLLEFTEÅ</t>
        </is>
      </c>
      <c r="F379" t="inlineStr">
        <is>
          <t>SCA</t>
        </is>
      </c>
      <c r="G379" t="n">
        <v>6.4</v>
      </c>
      <c r="H379" t="n">
        <v>0</v>
      </c>
      <c r="I379" t="n">
        <v>0</v>
      </c>
      <c r="J379" t="n">
        <v>1</v>
      </c>
      <c r="K379" t="n">
        <v>0</v>
      </c>
      <c r="L379" t="n">
        <v>0</v>
      </c>
      <c r="M379" t="n">
        <v>0</v>
      </c>
      <c r="N379" t="n">
        <v>0</v>
      </c>
      <c r="O379" t="n">
        <v>1</v>
      </c>
      <c r="P379" t="n">
        <v>0</v>
      </c>
      <c r="Q379" t="n">
        <v>1</v>
      </c>
      <c r="R379" s="2" t="inlineStr">
        <is>
          <t>Kolflarnlav</t>
        </is>
      </c>
      <c r="S379">
        <f>HYPERLINK("https://klasma.github.io/Logging_2283/artfynd/A 18697-2025 artfynd.xlsx", "A 18697-2025")</f>
        <v/>
      </c>
      <c r="T379">
        <f>HYPERLINK("https://klasma.github.io/Logging_2283/kartor/A 18697-2025 karta.png", "A 18697-2025")</f>
        <v/>
      </c>
      <c r="V379">
        <f>HYPERLINK("https://klasma.github.io/Logging_2283/klagomål/A 18697-2025 FSC-klagomål.docx", "A 18697-2025")</f>
        <v/>
      </c>
      <c r="W379">
        <f>HYPERLINK("https://klasma.github.io/Logging_2283/klagomålsmail/A 18697-2025 FSC-klagomål mail.docx", "A 18697-2025")</f>
        <v/>
      </c>
      <c r="X379">
        <f>HYPERLINK("https://klasma.github.io/Logging_2283/tillsyn/A 18697-2025 tillsynsbegäran.docx", "A 18697-2025")</f>
        <v/>
      </c>
      <c r="Y379">
        <f>HYPERLINK("https://klasma.github.io/Logging_2283/tillsynsmail/A 18697-2025 tillsynsbegäran mail.docx", "A 18697-2025")</f>
        <v/>
      </c>
    </row>
    <row r="380" ht="15" customHeight="1">
      <c r="A380" t="inlineStr">
        <is>
          <t>A 22345-2025</t>
        </is>
      </c>
      <c r="B380" s="1" t="n">
        <v>45786.44869212963</v>
      </c>
      <c r="C380" s="1" t="n">
        <v>45991</v>
      </c>
      <c r="D380" t="inlineStr">
        <is>
          <t>VÄSTERNORRLANDS LÄN</t>
        </is>
      </c>
      <c r="E380" t="inlineStr">
        <is>
          <t>SOLLEFTEÅ</t>
        </is>
      </c>
      <c r="F380" t="inlineStr">
        <is>
          <t>SCA</t>
        </is>
      </c>
      <c r="G380" t="n">
        <v>7.2</v>
      </c>
      <c r="H380" t="n">
        <v>0</v>
      </c>
      <c r="I380" t="n">
        <v>0</v>
      </c>
      <c r="J380" t="n">
        <v>1</v>
      </c>
      <c r="K380" t="n">
        <v>0</v>
      </c>
      <c r="L380" t="n">
        <v>0</v>
      </c>
      <c r="M380" t="n">
        <v>0</v>
      </c>
      <c r="N380" t="n">
        <v>0</v>
      </c>
      <c r="O380" t="n">
        <v>1</v>
      </c>
      <c r="P380" t="n">
        <v>0</v>
      </c>
      <c r="Q380" t="n">
        <v>1</v>
      </c>
      <c r="R380" s="2" t="inlineStr">
        <is>
          <t>Gammelgransskål</t>
        </is>
      </c>
      <c r="S380">
        <f>HYPERLINK("https://klasma.github.io/Logging_2283/artfynd/A 22345-2025 artfynd.xlsx", "A 22345-2025")</f>
        <v/>
      </c>
      <c r="T380">
        <f>HYPERLINK("https://klasma.github.io/Logging_2283/kartor/A 22345-2025 karta.png", "A 22345-2025")</f>
        <v/>
      </c>
      <c r="V380">
        <f>HYPERLINK("https://klasma.github.io/Logging_2283/klagomål/A 22345-2025 FSC-klagomål.docx", "A 22345-2025")</f>
        <v/>
      </c>
      <c r="W380">
        <f>HYPERLINK("https://klasma.github.io/Logging_2283/klagomålsmail/A 22345-2025 FSC-klagomål mail.docx", "A 22345-2025")</f>
        <v/>
      </c>
      <c r="X380">
        <f>HYPERLINK("https://klasma.github.io/Logging_2283/tillsyn/A 22345-2025 tillsynsbegäran.docx", "A 22345-2025")</f>
        <v/>
      </c>
      <c r="Y380">
        <f>HYPERLINK("https://klasma.github.io/Logging_2283/tillsynsmail/A 22345-2025 tillsynsbegäran mail.docx", "A 22345-2025")</f>
        <v/>
      </c>
    </row>
    <row r="381" ht="15" customHeight="1">
      <c r="A381" t="inlineStr">
        <is>
          <t>A 22768-2025</t>
        </is>
      </c>
      <c r="B381" s="1" t="n">
        <v>45789.63329861111</v>
      </c>
      <c r="C381" s="1" t="n">
        <v>45991</v>
      </c>
      <c r="D381" t="inlineStr">
        <is>
          <t>VÄSTERNORRLANDS LÄN</t>
        </is>
      </c>
      <c r="E381" t="inlineStr">
        <is>
          <t>SOLLEFTEÅ</t>
        </is>
      </c>
      <c r="G381" t="n">
        <v>1.9</v>
      </c>
      <c r="H381" t="n">
        <v>0</v>
      </c>
      <c r="I381" t="n">
        <v>0</v>
      </c>
      <c r="J381" t="n">
        <v>1</v>
      </c>
      <c r="K381" t="n">
        <v>0</v>
      </c>
      <c r="L381" t="n">
        <v>0</v>
      </c>
      <c r="M381" t="n">
        <v>0</v>
      </c>
      <c r="N381" t="n">
        <v>0</v>
      </c>
      <c r="O381" t="n">
        <v>1</v>
      </c>
      <c r="P381" t="n">
        <v>0</v>
      </c>
      <c r="Q381" t="n">
        <v>1</v>
      </c>
      <c r="R381" s="2" t="inlineStr">
        <is>
          <t>Granticka</t>
        </is>
      </c>
      <c r="S381">
        <f>HYPERLINK("https://klasma.github.io/Logging_2283/artfynd/A 22768-2025 artfynd.xlsx", "A 22768-2025")</f>
        <v/>
      </c>
      <c r="T381">
        <f>HYPERLINK("https://klasma.github.io/Logging_2283/kartor/A 22768-2025 karta.png", "A 22768-2025")</f>
        <v/>
      </c>
      <c r="V381">
        <f>HYPERLINK("https://klasma.github.io/Logging_2283/klagomål/A 22768-2025 FSC-klagomål.docx", "A 22768-2025")</f>
        <v/>
      </c>
      <c r="W381">
        <f>HYPERLINK("https://klasma.github.io/Logging_2283/klagomålsmail/A 22768-2025 FSC-klagomål mail.docx", "A 22768-2025")</f>
        <v/>
      </c>
      <c r="X381">
        <f>HYPERLINK("https://klasma.github.io/Logging_2283/tillsyn/A 22768-2025 tillsynsbegäran.docx", "A 22768-2025")</f>
        <v/>
      </c>
      <c r="Y381">
        <f>HYPERLINK("https://klasma.github.io/Logging_2283/tillsynsmail/A 22768-2025 tillsynsbegäran mail.docx", "A 22768-2025")</f>
        <v/>
      </c>
    </row>
    <row r="382" ht="15" customHeight="1">
      <c r="A382" t="inlineStr">
        <is>
          <t>A 27901-2024</t>
        </is>
      </c>
      <c r="B382" s="1" t="n">
        <v>45475.92859953704</v>
      </c>
      <c r="C382" s="1" t="n">
        <v>45991</v>
      </c>
      <c r="D382" t="inlineStr">
        <is>
          <t>VÄSTERNORRLANDS LÄN</t>
        </is>
      </c>
      <c r="E382" t="inlineStr">
        <is>
          <t>SOLLEFTEÅ</t>
        </is>
      </c>
      <c r="G382" t="n">
        <v>12.7</v>
      </c>
      <c r="H382" t="n">
        <v>0</v>
      </c>
      <c r="I382" t="n">
        <v>0</v>
      </c>
      <c r="J382" t="n">
        <v>1</v>
      </c>
      <c r="K382" t="n">
        <v>0</v>
      </c>
      <c r="L382" t="n">
        <v>0</v>
      </c>
      <c r="M382" t="n">
        <v>0</v>
      </c>
      <c r="N382" t="n">
        <v>0</v>
      </c>
      <c r="O382" t="n">
        <v>1</v>
      </c>
      <c r="P382" t="n">
        <v>0</v>
      </c>
      <c r="Q382" t="n">
        <v>1</v>
      </c>
      <c r="R382" s="2" t="inlineStr">
        <is>
          <t>Garnlav</t>
        </is>
      </c>
      <c r="S382">
        <f>HYPERLINK("https://klasma.github.io/Logging_2283/artfynd/A 27901-2024 artfynd.xlsx", "A 27901-2024")</f>
        <v/>
      </c>
      <c r="T382">
        <f>HYPERLINK("https://klasma.github.io/Logging_2283/kartor/A 27901-2024 karta.png", "A 27901-2024")</f>
        <v/>
      </c>
      <c r="V382">
        <f>HYPERLINK("https://klasma.github.io/Logging_2283/klagomål/A 27901-2024 FSC-klagomål.docx", "A 27901-2024")</f>
        <v/>
      </c>
      <c r="W382">
        <f>HYPERLINK("https://klasma.github.io/Logging_2283/klagomålsmail/A 27901-2024 FSC-klagomål mail.docx", "A 27901-2024")</f>
        <v/>
      </c>
      <c r="X382">
        <f>HYPERLINK("https://klasma.github.io/Logging_2283/tillsyn/A 27901-2024 tillsynsbegäran.docx", "A 27901-2024")</f>
        <v/>
      </c>
      <c r="Y382">
        <f>HYPERLINK("https://klasma.github.io/Logging_2283/tillsynsmail/A 27901-2024 tillsynsbegäran mail.docx", "A 27901-2024")</f>
        <v/>
      </c>
    </row>
    <row r="383" ht="15" customHeight="1">
      <c r="A383" t="inlineStr">
        <is>
          <t>A 7658-2021</t>
        </is>
      </c>
      <c r="B383" s="1" t="n">
        <v>44242.42165509259</v>
      </c>
      <c r="C383" s="1" t="n">
        <v>45991</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45991</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45991</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45991</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45991</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45991</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45991</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45991</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45991</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45991</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45991</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45991</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45991</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45991</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45991</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45991</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45991</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45991</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45991</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71350-2021</t>
        </is>
      </c>
      <c r="B402" s="1" t="n">
        <v>44539</v>
      </c>
      <c r="C402" s="1" t="n">
        <v>45991</v>
      </c>
      <c r="D402" t="inlineStr">
        <is>
          <t>VÄSTERNORRLANDS LÄN</t>
        </is>
      </c>
      <c r="E402" t="inlineStr">
        <is>
          <t>SOLLEFTEÅ</t>
        </is>
      </c>
      <c r="G402" t="n">
        <v>0</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45991</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45991</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45991</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45991</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45991</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45991</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67390-2021</t>
        </is>
      </c>
      <c r="B409" s="1" t="n">
        <v>44523.93848379629</v>
      </c>
      <c r="C409" s="1" t="n">
        <v>45991</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45991</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45991</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45991</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45991</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45991</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45991</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45991</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45991</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45991</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45991</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45991</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45991</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45991</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49175-2022</t>
        </is>
      </c>
      <c r="B423" s="1" t="n">
        <v>44860.92922453704</v>
      </c>
      <c r="C423" s="1" t="n">
        <v>45991</v>
      </c>
      <c r="D423" t="inlineStr">
        <is>
          <t>VÄSTERNORRLANDS LÄN</t>
        </is>
      </c>
      <c r="E423" t="inlineStr">
        <is>
          <t>SOLLEFTEÅ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45991</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10417-2022</t>
        </is>
      </c>
      <c r="B425" s="1" t="n">
        <v>44623</v>
      </c>
      <c r="C425" s="1" t="n">
        <v>45991</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45991</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45991</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45991</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45991</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45991</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45991</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45991</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45991</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45991</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45991</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45991</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45991</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45991</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45991</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45991</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18196-2022</t>
        </is>
      </c>
      <c r="B441" s="1" t="n">
        <v>44684.94048611111</v>
      </c>
      <c r="C441" s="1" t="n">
        <v>45991</v>
      </c>
      <c r="D441" t="inlineStr">
        <is>
          <t>VÄSTERNORRLANDS LÄN</t>
        </is>
      </c>
      <c r="E441" t="inlineStr">
        <is>
          <t>SOLLEFTEÅ</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45991</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68843-2021</t>
        </is>
      </c>
      <c r="B443" s="1" t="n">
        <v>44530</v>
      </c>
      <c r="C443" s="1" t="n">
        <v>45991</v>
      </c>
      <c r="D443" t="inlineStr">
        <is>
          <t>VÄSTERNORRLANDS LÄN</t>
        </is>
      </c>
      <c r="E443" t="inlineStr">
        <is>
          <t>SOLLEFTEÅ</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35862-2021</t>
        </is>
      </c>
      <c r="B444" s="1" t="n">
        <v>44386</v>
      </c>
      <c r="C444" s="1" t="n">
        <v>45991</v>
      </c>
      <c r="D444" t="inlineStr">
        <is>
          <t>VÄSTERNORRLANDS LÄN</t>
        </is>
      </c>
      <c r="E444" t="inlineStr">
        <is>
          <t>SOLLEFTEÅ</t>
        </is>
      </c>
      <c r="G444" t="n">
        <v>5.5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45991</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44454-2022</t>
        </is>
      </c>
      <c r="B446" s="1" t="n">
        <v>44839.95543981482</v>
      </c>
      <c r="C446" s="1" t="n">
        <v>45991</v>
      </c>
      <c r="D446" t="inlineStr">
        <is>
          <t>VÄSTERNORRLANDS LÄN</t>
        </is>
      </c>
      <c r="E446" t="inlineStr">
        <is>
          <t>SOLLEFTEÅ</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1094-2022</t>
        </is>
      </c>
      <c r="B447" s="1" t="n">
        <v>44571</v>
      </c>
      <c r="C447" s="1" t="n">
        <v>45991</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45991</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45991</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45991</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45991</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45991</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45991</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45991</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45991</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45991</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45991</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45991</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45991</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45991</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45991</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45991</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45991</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45991</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45991</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45991</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45991</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45991</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45991</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45991</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45991</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45991</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45991</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45991</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45991</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45991</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45991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45991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45991</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45991</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45991</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45991</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45991</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45991</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45991</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45991</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45991</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45991</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45991</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45991</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45991</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45991</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45991</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45991</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45991</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45991</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45991</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45991</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45991</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45991</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45991</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45991</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45991</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45991</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45991</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45991</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32091-2021</t>
        </is>
      </c>
      <c r="B507" s="1" t="n">
        <v>44370</v>
      </c>
      <c r="C507" s="1" t="n">
        <v>45991</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45991</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45991</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68016-2020</t>
        </is>
      </c>
      <c r="B510" s="1" t="n">
        <v>44182</v>
      </c>
      <c r="C510" s="1" t="n">
        <v>45991</v>
      </c>
      <c r="D510" t="inlineStr">
        <is>
          <t>VÄSTERNORRLANDS LÄN</t>
        </is>
      </c>
      <c r="E510" t="inlineStr">
        <is>
          <t>SOLLEFTEÅ</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45991</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45991</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45991</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45991</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45991</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45991</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45991</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45991</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45991</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45991</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45991</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45991</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45991</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45991</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45991</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45991</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45991</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45991</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45991</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45991</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45991</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45991</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45991</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45991</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45991</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45991</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45991</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45991</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53012-2022</t>
        </is>
      </c>
      <c r="B539" s="1" t="n">
        <v>44875.95450231482</v>
      </c>
      <c r="C539" s="1" t="n">
        <v>45991</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45991</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45991</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10141-2022</t>
        </is>
      </c>
      <c r="B542" s="1" t="n">
        <v>44621</v>
      </c>
      <c r="C542" s="1" t="n">
        <v>45991</v>
      </c>
      <c r="D542" t="inlineStr">
        <is>
          <t>VÄSTERNORRLANDS LÄN</t>
        </is>
      </c>
      <c r="E542" t="inlineStr">
        <is>
          <t>SOLLEFTEÅ</t>
        </is>
      </c>
      <c r="F542" t="inlineStr">
        <is>
          <t>SCA</t>
        </is>
      </c>
      <c r="G542" t="n">
        <v>15.5</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45991</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45991</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45991</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45991</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45991</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45991</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45991</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45991</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45991</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45991</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68647-2020</t>
        </is>
      </c>
      <c r="B553" s="1" t="n">
        <v>44186</v>
      </c>
      <c r="C553" s="1" t="n">
        <v>45991</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44550.94386574074</v>
      </c>
      <c r="C554" s="1" t="n">
        <v>45991</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45991</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18097-2021</t>
        </is>
      </c>
      <c r="B556" s="1" t="n">
        <v>44302.48136574074</v>
      </c>
      <c r="C556" s="1" t="n">
        <v>45991</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45991</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45991</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45991</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45991</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68292-2020</t>
        </is>
      </c>
      <c r="B561" s="1" t="n">
        <v>44183</v>
      </c>
      <c r="C561" s="1" t="n">
        <v>45991</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45991</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36579-2021</t>
        </is>
      </c>
      <c r="B563" s="1" t="n">
        <v>44391.59509259259</v>
      </c>
      <c r="C563" s="1" t="n">
        <v>45991</v>
      </c>
      <c r="D563" t="inlineStr">
        <is>
          <t>VÄSTERNORRLANDS LÄN</t>
        </is>
      </c>
      <c r="E563" t="inlineStr">
        <is>
          <t>SOLLEFTEÅ</t>
        </is>
      </c>
      <c r="G563" t="n">
        <v>6.9</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45991</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45991</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19414-2022</t>
        </is>
      </c>
      <c r="B566" s="1" t="n">
        <v>44693</v>
      </c>
      <c r="C566" s="1" t="n">
        <v>45991</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45991</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45991</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45991</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45991</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45991</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14302-2022</t>
        </is>
      </c>
      <c r="B572" s="1" t="n">
        <v>44651</v>
      </c>
      <c r="C572" s="1" t="n">
        <v>45991</v>
      </c>
      <c r="D572" t="inlineStr">
        <is>
          <t>VÄSTERNORRLANDS LÄN</t>
        </is>
      </c>
      <c r="E572" t="inlineStr">
        <is>
          <t>SOLLEFTEÅ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27082-2022</t>
        </is>
      </c>
      <c r="B573" s="1" t="n">
        <v>44741</v>
      </c>
      <c r="C573" s="1" t="n">
        <v>45991</v>
      </c>
      <c r="D573" t="inlineStr">
        <is>
          <t>VÄSTERNORRLANDS LÄN</t>
        </is>
      </c>
      <c r="E573" t="inlineStr">
        <is>
          <t>SOLLEFTEÅ</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48240-2022</t>
        </is>
      </c>
      <c r="B574" s="1" t="n">
        <v>44858</v>
      </c>
      <c r="C574" s="1" t="n">
        <v>45991</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30236-2022</t>
        </is>
      </c>
      <c r="B575" s="1" t="n">
        <v>44757</v>
      </c>
      <c r="C575" s="1" t="n">
        <v>45991</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45991</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45991</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24734-2022</t>
        </is>
      </c>
      <c r="B578" s="1" t="n">
        <v>44727.94329861111</v>
      </c>
      <c r="C578" s="1" t="n">
        <v>45991</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45991</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45991</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30936-2022</t>
        </is>
      </c>
      <c r="B581" s="1" t="n">
        <v>44767.94028935185</v>
      </c>
      <c r="C581" s="1" t="n">
        <v>45991</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45991</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45991</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45991</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45991</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45991</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45991</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45991</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42634-2022</t>
        </is>
      </c>
      <c r="B589" s="1" t="n">
        <v>44831.94565972222</v>
      </c>
      <c r="C589" s="1" t="n">
        <v>45991</v>
      </c>
      <c r="D589" t="inlineStr">
        <is>
          <t>VÄSTERNORRLANDS LÄN</t>
        </is>
      </c>
      <c r="E589" t="inlineStr">
        <is>
          <t>SOLLEFTEÅ</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9586-2022</t>
        </is>
      </c>
      <c r="B590" s="1" t="n">
        <v>44617</v>
      </c>
      <c r="C590" s="1" t="n">
        <v>45991</v>
      </c>
      <c r="D590" t="inlineStr">
        <is>
          <t>VÄSTERNORRLANDS LÄN</t>
        </is>
      </c>
      <c r="E590" t="inlineStr">
        <is>
          <t>SOLLEFTEÅ</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12568-2022</t>
        </is>
      </c>
      <c r="B591" s="1" t="n">
        <v>44638.94277777777</v>
      </c>
      <c r="C591" s="1" t="n">
        <v>45991</v>
      </c>
      <c r="D591" t="inlineStr">
        <is>
          <t>VÄSTERNORRLANDS LÄN</t>
        </is>
      </c>
      <c r="E591" t="inlineStr">
        <is>
          <t>SOLLEFTEÅ</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45991</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45991</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50656-2022</t>
        </is>
      </c>
      <c r="B594" s="1" t="n">
        <v>44866</v>
      </c>
      <c r="C594" s="1" t="n">
        <v>45991</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16088-2022</t>
        </is>
      </c>
      <c r="B595" s="1" t="n">
        <v>44665</v>
      </c>
      <c r="C595" s="1" t="n">
        <v>45991</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45991</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44042-2022</t>
        </is>
      </c>
      <c r="B597" s="1" t="n">
        <v>44838.94877314815</v>
      </c>
      <c r="C597" s="1" t="n">
        <v>45991</v>
      </c>
      <c r="D597" t="inlineStr">
        <is>
          <t>VÄSTERNORRLANDS LÄN</t>
        </is>
      </c>
      <c r="E597" t="inlineStr">
        <is>
          <t>SOLLEFTEÅ</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45991</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45991</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22224-2021</t>
        </is>
      </c>
      <c r="B600" s="1" t="n">
        <v>44326</v>
      </c>
      <c r="C600" s="1" t="n">
        <v>45991</v>
      </c>
      <c r="D600" t="inlineStr">
        <is>
          <t>VÄSTERNORRLANDS LÄN</t>
        </is>
      </c>
      <c r="E600" t="inlineStr">
        <is>
          <t>SOLLEFTEÅ</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59309-2021</t>
        </is>
      </c>
      <c r="B601" s="1" t="n">
        <v>44490.93883101852</v>
      </c>
      <c r="C601" s="1" t="n">
        <v>45991</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68656-2020</t>
        </is>
      </c>
      <c r="B602" s="1" t="n">
        <v>44186</v>
      </c>
      <c r="C602" s="1" t="n">
        <v>45991</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45991</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24720-2021</t>
        </is>
      </c>
      <c r="B604" s="1" t="n">
        <v>44340</v>
      </c>
      <c r="C604" s="1" t="n">
        <v>45991</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58726-2021</t>
        </is>
      </c>
      <c r="B605" s="1" t="n">
        <v>44489</v>
      </c>
      <c r="C605" s="1" t="n">
        <v>45991</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45991</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45991</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45991</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45991</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45991</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44720.94123842593</v>
      </c>
      <c r="C611" s="1" t="n">
        <v>45991</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20296-2022</t>
        </is>
      </c>
      <c r="B612" s="1" t="n">
        <v>44698</v>
      </c>
      <c r="C612" s="1" t="n">
        <v>45991</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45991</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45991</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45991</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72958-2021</t>
        </is>
      </c>
      <c r="B616" s="1" t="n">
        <v>44547</v>
      </c>
      <c r="C616" s="1" t="n">
        <v>45991</v>
      </c>
      <c r="D616" t="inlineStr">
        <is>
          <t>VÄSTERNORRLANDS LÄN</t>
        </is>
      </c>
      <c r="E616" t="inlineStr">
        <is>
          <t>SOLLEFTEÅ</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35747-2022</t>
        </is>
      </c>
      <c r="B617" s="1" t="n">
        <v>44799</v>
      </c>
      <c r="C617" s="1" t="n">
        <v>45991</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45991</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28893-2022</t>
        </is>
      </c>
      <c r="B619" s="1" t="n">
        <v>44749.53978009259</v>
      </c>
      <c r="C619" s="1" t="n">
        <v>45991</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45991</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68317-2021</t>
        </is>
      </c>
      <c r="B621" s="1" t="n">
        <v>44526.94339120371</v>
      </c>
      <c r="C621" s="1" t="n">
        <v>45991</v>
      </c>
      <c r="D621" t="inlineStr">
        <is>
          <t>VÄSTERNORRLANDS LÄN</t>
        </is>
      </c>
      <c r="E621" t="inlineStr">
        <is>
          <t>SOLLEFTEÅ</t>
        </is>
      </c>
      <c r="F621" t="inlineStr">
        <is>
          <t>SCA</t>
        </is>
      </c>
      <c r="G621" t="n">
        <v>5.1</v>
      </c>
      <c r="H621" t="n">
        <v>0</v>
      </c>
      <c r="I621" t="n">
        <v>0</v>
      </c>
      <c r="J621" t="n">
        <v>0</v>
      </c>
      <c r="K621" t="n">
        <v>0</v>
      </c>
      <c r="L621" t="n">
        <v>0</v>
      </c>
      <c r="M621" t="n">
        <v>0</v>
      </c>
      <c r="N621" t="n">
        <v>0</v>
      </c>
      <c r="O621" t="n">
        <v>0</v>
      </c>
      <c r="P621" t="n">
        <v>0</v>
      </c>
      <c r="Q621" t="n">
        <v>0</v>
      </c>
      <c r="R621" s="2" t="inlineStr"/>
    </row>
    <row r="622" ht="15" customHeight="1">
      <c r="A622" t="inlineStr">
        <is>
          <t>A 72949-2021</t>
        </is>
      </c>
      <c r="B622" s="1" t="n">
        <v>44547.92181712963</v>
      </c>
      <c r="C622" s="1" t="n">
        <v>45991</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66856-2021</t>
        </is>
      </c>
      <c r="B623" s="1" t="n">
        <v>44522</v>
      </c>
      <c r="C623" s="1" t="n">
        <v>45991</v>
      </c>
      <c r="D623" t="inlineStr">
        <is>
          <t>VÄSTERNORRLANDS LÄN</t>
        </is>
      </c>
      <c r="E623" t="inlineStr">
        <is>
          <t>SOLLEFTEÅ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10139-2022</t>
        </is>
      </c>
      <c r="B624" s="1" t="n">
        <v>44621</v>
      </c>
      <c r="C624" s="1" t="n">
        <v>45991</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45991</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43220-2021</t>
        </is>
      </c>
      <c r="B626" s="1" t="n">
        <v>44431.9378125</v>
      </c>
      <c r="C626" s="1" t="n">
        <v>45991</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15241-2022</t>
        </is>
      </c>
      <c r="B627" s="1" t="n">
        <v>44658.9375</v>
      </c>
      <c r="C627" s="1" t="n">
        <v>45991</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20702-2022</t>
        </is>
      </c>
      <c r="B628" s="1" t="n">
        <v>44700.92697916667</v>
      </c>
      <c r="C628" s="1" t="n">
        <v>45991</v>
      </c>
      <c r="D628" t="inlineStr">
        <is>
          <t>VÄSTERNORRLANDS LÄN</t>
        </is>
      </c>
      <c r="E628" t="inlineStr">
        <is>
          <t>SOLLEFTEÅ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45991</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19510-2021</t>
        </is>
      </c>
      <c r="B630" s="1" t="n">
        <v>44308</v>
      </c>
      <c r="C630" s="1" t="n">
        <v>45991</v>
      </c>
      <c r="D630" t="inlineStr">
        <is>
          <t>VÄSTERNORRLANDS LÄN</t>
        </is>
      </c>
      <c r="E630" t="inlineStr">
        <is>
          <t>SOLLEFTEÅ</t>
        </is>
      </c>
      <c r="F630" t="inlineStr">
        <is>
          <t>Kyrkan</t>
        </is>
      </c>
      <c r="G630" t="n">
        <v>19.6</v>
      </c>
      <c r="H630" t="n">
        <v>0</v>
      </c>
      <c r="I630" t="n">
        <v>0</v>
      </c>
      <c r="J630" t="n">
        <v>0</v>
      </c>
      <c r="K630" t="n">
        <v>0</v>
      </c>
      <c r="L630" t="n">
        <v>0</v>
      </c>
      <c r="M630" t="n">
        <v>0</v>
      </c>
      <c r="N630" t="n">
        <v>0</v>
      </c>
      <c r="O630" t="n">
        <v>0</v>
      </c>
      <c r="P630" t="n">
        <v>0</v>
      </c>
      <c r="Q630" t="n">
        <v>0</v>
      </c>
      <c r="R630" s="2" t="inlineStr"/>
    </row>
    <row r="631" ht="15" customHeight="1">
      <c r="A631" t="inlineStr">
        <is>
          <t>A 41334-2021</t>
        </is>
      </c>
      <c r="B631" s="1" t="n">
        <v>44424</v>
      </c>
      <c r="C631" s="1" t="n">
        <v>45991</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45991</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37826-2022</t>
        </is>
      </c>
      <c r="B633" s="1" t="n">
        <v>44810.94175925926</v>
      </c>
      <c r="C633" s="1" t="n">
        <v>45991</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16083-2022</t>
        </is>
      </c>
      <c r="B634" s="1" t="n">
        <v>44665</v>
      </c>
      <c r="C634" s="1" t="n">
        <v>45991</v>
      </c>
      <c r="D634" t="inlineStr">
        <is>
          <t>VÄSTERNORRLANDS LÄN</t>
        </is>
      </c>
      <c r="E634" t="inlineStr">
        <is>
          <t>SOLLEFTEÅ</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11241-2022</t>
        </is>
      </c>
      <c r="B635" s="1" t="n">
        <v>44629</v>
      </c>
      <c r="C635" s="1" t="n">
        <v>45991</v>
      </c>
      <c r="D635" t="inlineStr">
        <is>
          <t>VÄSTERNORRLANDS LÄN</t>
        </is>
      </c>
      <c r="E635" t="inlineStr">
        <is>
          <t>SOLLEFTEÅ</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41474-2022</t>
        </is>
      </c>
      <c r="B636" s="1" t="n">
        <v>44826.94859953703</v>
      </c>
      <c r="C636" s="1" t="n">
        <v>45991</v>
      </c>
      <c r="D636" t="inlineStr">
        <is>
          <t>VÄSTERNORRLANDS LÄN</t>
        </is>
      </c>
      <c r="E636" t="inlineStr">
        <is>
          <t>SOLLEFTEÅ</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26435-2022</t>
        </is>
      </c>
      <c r="B637" s="1" t="n">
        <v>44736.93902777778</v>
      </c>
      <c r="C637" s="1" t="n">
        <v>45991</v>
      </c>
      <c r="D637" t="inlineStr">
        <is>
          <t>VÄSTERNORRLANDS LÄN</t>
        </is>
      </c>
      <c r="E637" t="inlineStr">
        <is>
          <t>SOLLEFTEÅ</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45991</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22342-2022</t>
        </is>
      </c>
      <c r="B639" s="1" t="n">
        <v>44712.94203703704</v>
      </c>
      <c r="C639" s="1" t="n">
        <v>45991</v>
      </c>
      <c r="D639" t="inlineStr">
        <is>
          <t>VÄSTERNORRLANDS LÄN</t>
        </is>
      </c>
      <c r="E639" t="inlineStr">
        <is>
          <t>SOLLEFTEÅ</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55898-2022</t>
        </is>
      </c>
      <c r="B640" s="1" t="n">
        <v>44888.95342592592</v>
      </c>
      <c r="C640" s="1" t="n">
        <v>45991</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45991</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20550-2025</t>
        </is>
      </c>
      <c r="B642" s="1" t="n">
        <v>45775.6360300926</v>
      </c>
      <c r="C642" s="1" t="n">
        <v>45991</v>
      </c>
      <c r="D642" t="inlineStr">
        <is>
          <t>VÄSTERNORRLANDS LÄN</t>
        </is>
      </c>
      <c r="E642" t="inlineStr">
        <is>
          <t>SOLLEFTEÅ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58357-2024</t>
        </is>
      </c>
      <c r="B643" s="1" t="n">
        <v>45632</v>
      </c>
      <c r="C643" s="1" t="n">
        <v>45991</v>
      </c>
      <c r="D643" t="inlineStr">
        <is>
          <t>VÄSTERNORRLANDS LÄN</t>
        </is>
      </c>
      <c r="E643" t="inlineStr">
        <is>
          <t>SOLLEFTEÅ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58360-2024</t>
        </is>
      </c>
      <c r="B644" s="1" t="n">
        <v>45632</v>
      </c>
      <c r="C644" s="1" t="n">
        <v>45991</v>
      </c>
      <c r="D644" t="inlineStr">
        <is>
          <t>VÄSTERNORRLANDS LÄN</t>
        </is>
      </c>
      <c r="E644" t="inlineStr">
        <is>
          <t>SOLLEFTEÅ</t>
        </is>
      </c>
      <c r="G644" t="n">
        <v>3.7</v>
      </c>
      <c r="H644" t="n">
        <v>0</v>
      </c>
      <c r="I644" t="n">
        <v>0</v>
      </c>
      <c r="J644" t="n">
        <v>0</v>
      </c>
      <c r="K644" t="n">
        <v>0</v>
      </c>
      <c r="L644" t="n">
        <v>0</v>
      </c>
      <c r="M644" t="n">
        <v>0</v>
      </c>
      <c r="N644" t="n">
        <v>0</v>
      </c>
      <c r="O644" t="n">
        <v>0</v>
      </c>
      <c r="P644" t="n">
        <v>0</v>
      </c>
      <c r="Q644" t="n">
        <v>0</v>
      </c>
      <c r="R644" s="2" t="inlineStr"/>
    </row>
    <row r="645" ht="15" customHeight="1">
      <c r="A645" t="inlineStr">
        <is>
          <t>A 46130-2022</t>
        </is>
      </c>
      <c r="B645" s="1" t="n">
        <v>44844</v>
      </c>
      <c r="C645" s="1" t="n">
        <v>45991</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8670-2023</t>
        </is>
      </c>
      <c r="B646" s="1" t="n">
        <v>44977</v>
      </c>
      <c r="C646" s="1" t="n">
        <v>45991</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33241-2024</t>
        </is>
      </c>
      <c r="B647" s="1" t="n">
        <v>45518.60484953703</v>
      </c>
      <c r="C647" s="1" t="n">
        <v>45991</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3555-2022</t>
        </is>
      </c>
      <c r="B648" s="1" t="n">
        <v>44585.93820601852</v>
      </c>
      <c r="C648" s="1" t="n">
        <v>45991</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17422-2025</t>
        </is>
      </c>
      <c r="B649" s="1" t="n">
        <v>45757.38570601852</v>
      </c>
      <c r="C649" s="1" t="n">
        <v>45991</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18149-2023</t>
        </is>
      </c>
      <c r="B650" s="1" t="n">
        <v>45040</v>
      </c>
      <c r="C650" s="1" t="n">
        <v>45991</v>
      </c>
      <c r="D650" t="inlineStr">
        <is>
          <t>VÄSTERNORRLANDS LÄN</t>
        </is>
      </c>
      <c r="E650" t="inlineStr">
        <is>
          <t>SOLLEFTEÅ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20458-2025</t>
        </is>
      </c>
      <c r="B651" s="1" t="n">
        <v>45775.52623842593</v>
      </c>
      <c r="C651" s="1" t="n">
        <v>45991</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2431-2025</t>
        </is>
      </c>
      <c r="B652" s="1" t="n">
        <v>45674.40692129629</v>
      </c>
      <c r="C652" s="1" t="n">
        <v>45991</v>
      </c>
      <c r="D652" t="inlineStr">
        <is>
          <t>VÄSTERNORRLANDS LÄN</t>
        </is>
      </c>
      <c r="E652" t="inlineStr">
        <is>
          <t>SOLLEFTEÅ</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61345-2022</t>
        </is>
      </c>
      <c r="B653" s="1" t="n">
        <v>44915</v>
      </c>
      <c r="C653" s="1" t="n">
        <v>45991</v>
      </c>
      <c r="D653" t="inlineStr">
        <is>
          <t>VÄSTERNORRLANDS LÄN</t>
        </is>
      </c>
      <c r="E653" t="inlineStr">
        <is>
          <t>SOLLEFTEÅ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61383-2022</t>
        </is>
      </c>
      <c r="B654" s="1" t="n">
        <v>44915</v>
      </c>
      <c r="C654" s="1" t="n">
        <v>45991</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45991</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29914-2024</t>
        </is>
      </c>
      <c r="B656" s="1" t="n">
        <v>45487.92814814814</v>
      </c>
      <c r="C656" s="1" t="n">
        <v>45991</v>
      </c>
      <c r="D656" t="inlineStr">
        <is>
          <t>VÄSTERNORRLANDS LÄN</t>
        </is>
      </c>
      <c r="E656" t="inlineStr">
        <is>
          <t>SOLLEFTEÅ</t>
        </is>
      </c>
      <c r="G656" t="n">
        <v>6.3</v>
      </c>
      <c r="H656" t="n">
        <v>0</v>
      </c>
      <c r="I656" t="n">
        <v>0</v>
      </c>
      <c r="J656" t="n">
        <v>0</v>
      </c>
      <c r="K656" t="n">
        <v>0</v>
      </c>
      <c r="L656" t="n">
        <v>0</v>
      </c>
      <c r="M656" t="n">
        <v>0</v>
      </c>
      <c r="N656" t="n">
        <v>0</v>
      </c>
      <c r="O656" t="n">
        <v>0</v>
      </c>
      <c r="P656" t="n">
        <v>0</v>
      </c>
      <c r="Q656" t="n">
        <v>0</v>
      </c>
      <c r="R656" s="2" t="inlineStr"/>
    </row>
    <row r="657" ht="15" customHeight="1">
      <c r="A657" t="inlineStr">
        <is>
          <t>A 9070-2025</t>
        </is>
      </c>
      <c r="B657" s="1" t="n">
        <v>45713.65658564815</v>
      </c>
      <c r="C657" s="1" t="n">
        <v>45991</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34737-2023</t>
        </is>
      </c>
      <c r="B658" s="1" t="n">
        <v>45139</v>
      </c>
      <c r="C658" s="1" t="n">
        <v>45991</v>
      </c>
      <c r="D658" t="inlineStr">
        <is>
          <t>VÄSTERNORRLANDS LÄN</t>
        </is>
      </c>
      <c r="E658" t="inlineStr">
        <is>
          <t>SOLLEFTEÅ</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51249-2022</t>
        </is>
      </c>
      <c r="B659" s="1" t="n">
        <v>44866</v>
      </c>
      <c r="C659" s="1" t="n">
        <v>45991</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19633-2025</t>
        </is>
      </c>
      <c r="B660" s="1" t="n">
        <v>45770.64655092593</v>
      </c>
      <c r="C660" s="1" t="n">
        <v>45991</v>
      </c>
      <c r="D660" t="inlineStr">
        <is>
          <t>VÄSTERNORRLANDS LÄN</t>
        </is>
      </c>
      <c r="E660" t="inlineStr">
        <is>
          <t>SOLLEFTEÅ</t>
        </is>
      </c>
      <c r="G660" t="n">
        <v>9.9</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45991</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45991</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45991</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31477-2024</t>
        </is>
      </c>
      <c r="B664" s="1" t="n">
        <v>45505</v>
      </c>
      <c r="C664" s="1" t="n">
        <v>45991</v>
      </c>
      <c r="D664" t="inlineStr">
        <is>
          <t>VÄSTERNORRLANDS LÄN</t>
        </is>
      </c>
      <c r="E664" t="inlineStr">
        <is>
          <t>SOLLEFTEÅ</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33709-2023</t>
        </is>
      </c>
      <c r="B665" s="1" t="n">
        <v>45132.92300925926</v>
      </c>
      <c r="C665" s="1" t="n">
        <v>45991</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45991</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154-2025</t>
        </is>
      </c>
      <c r="B667" s="1" t="n">
        <v>45659</v>
      </c>
      <c r="C667" s="1" t="n">
        <v>45991</v>
      </c>
      <c r="D667" t="inlineStr">
        <is>
          <t>VÄSTERNORRLANDS LÄN</t>
        </is>
      </c>
      <c r="E667" t="inlineStr">
        <is>
          <t>SOLLEFTEÅ</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5862-2025</t>
        </is>
      </c>
      <c r="B668" s="1" t="n">
        <v>45695.35061342592</v>
      </c>
      <c r="C668" s="1" t="n">
        <v>45991</v>
      </c>
      <c r="D668" t="inlineStr">
        <is>
          <t>VÄSTERNORRLANDS LÄN</t>
        </is>
      </c>
      <c r="E668" t="inlineStr">
        <is>
          <t>SOLLEFTEÅ</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47175-2024</t>
        </is>
      </c>
      <c r="B669" s="1" t="n">
        <v>45586</v>
      </c>
      <c r="C669" s="1" t="n">
        <v>45991</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62357-2023</t>
        </is>
      </c>
      <c r="B670" s="1" t="n">
        <v>45267.95109953704</v>
      </c>
      <c r="C670" s="1" t="n">
        <v>45991</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31914-2023</t>
        </is>
      </c>
      <c r="B671" s="1" t="n">
        <v>45118</v>
      </c>
      <c r="C671" s="1" t="n">
        <v>45991</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8959-2023</t>
        </is>
      </c>
      <c r="B672" s="1" t="n">
        <v>44974</v>
      </c>
      <c r="C672" s="1" t="n">
        <v>45991</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8893-2025</t>
        </is>
      </c>
      <c r="B673" s="1" t="n">
        <v>45713.4065162037</v>
      </c>
      <c r="C673" s="1" t="n">
        <v>45991</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8894-2025</t>
        </is>
      </c>
      <c r="B674" s="1" t="n">
        <v>45713.40665509259</v>
      </c>
      <c r="C674" s="1" t="n">
        <v>45991</v>
      </c>
      <c r="D674" t="inlineStr">
        <is>
          <t>VÄSTERNORRLANDS LÄN</t>
        </is>
      </c>
      <c r="E674" t="inlineStr">
        <is>
          <t>SOLLEFTEÅ</t>
        </is>
      </c>
      <c r="G674" t="n">
        <v>8.4</v>
      </c>
      <c r="H674" t="n">
        <v>0</v>
      </c>
      <c r="I674" t="n">
        <v>0</v>
      </c>
      <c r="J674" t="n">
        <v>0</v>
      </c>
      <c r="K674" t="n">
        <v>0</v>
      </c>
      <c r="L674" t="n">
        <v>0</v>
      </c>
      <c r="M674" t="n">
        <v>0</v>
      </c>
      <c r="N674" t="n">
        <v>0</v>
      </c>
      <c r="O674" t="n">
        <v>0</v>
      </c>
      <c r="P674" t="n">
        <v>0</v>
      </c>
      <c r="Q674" t="n">
        <v>0</v>
      </c>
      <c r="R674" s="2" t="inlineStr"/>
    </row>
    <row r="675" ht="15" customHeight="1">
      <c r="A675" t="inlineStr">
        <is>
          <t>A 3276-2025</t>
        </is>
      </c>
      <c r="B675" s="1" t="n">
        <v>45679.59986111111</v>
      </c>
      <c r="C675" s="1" t="n">
        <v>45991</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45118-2022</t>
        </is>
      </c>
      <c r="B676" s="1" t="n">
        <v>44843</v>
      </c>
      <c r="C676" s="1" t="n">
        <v>45991</v>
      </c>
      <c r="D676" t="inlineStr">
        <is>
          <t>VÄSTERNORRLANDS LÄN</t>
        </is>
      </c>
      <c r="E676" t="inlineStr">
        <is>
          <t>SOLLEFTEÅ</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19949-2025</t>
        </is>
      </c>
      <c r="B677" s="1" t="n">
        <v>45771.65688657408</v>
      </c>
      <c r="C677" s="1" t="n">
        <v>45991</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2114-2023</t>
        </is>
      </c>
      <c r="B678" s="1" t="n">
        <v>44939.93809027778</v>
      </c>
      <c r="C678" s="1" t="n">
        <v>45991</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45991</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5038-2024</t>
        </is>
      </c>
      <c r="B680" s="1" t="n">
        <v>45329.88456018519</v>
      </c>
      <c r="C680" s="1" t="n">
        <v>45991</v>
      </c>
      <c r="D680" t="inlineStr">
        <is>
          <t>VÄSTERNORRLANDS LÄN</t>
        </is>
      </c>
      <c r="E680" t="inlineStr">
        <is>
          <t>SOLLEFTEÅ</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45991</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12135-2023</t>
        </is>
      </c>
      <c r="B682" s="1" t="n">
        <v>44995</v>
      </c>
      <c r="C682" s="1" t="n">
        <v>45991</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45991</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60495-2024</t>
        </is>
      </c>
      <c r="B684" s="1" t="n">
        <v>45643.65700231482</v>
      </c>
      <c r="C684" s="1" t="n">
        <v>45991</v>
      </c>
      <c r="D684" t="inlineStr">
        <is>
          <t>VÄSTERNORRLANDS LÄN</t>
        </is>
      </c>
      <c r="E684" t="inlineStr">
        <is>
          <t>SOLLEFTEÅ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32969-2022</t>
        </is>
      </c>
      <c r="B685" s="1" t="n">
        <v>44784.9402662037</v>
      </c>
      <c r="C685" s="1" t="n">
        <v>45991</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10437-2025</t>
        </is>
      </c>
      <c r="B686" s="1" t="n">
        <v>45720.67740740741</v>
      </c>
      <c r="C686" s="1" t="n">
        <v>45991</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4897-2025</t>
        </is>
      </c>
      <c r="B687" s="1" t="n">
        <v>45688.67913194445</v>
      </c>
      <c r="C687" s="1" t="n">
        <v>45991</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43512-2023</t>
        </is>
      </c>
      <c r="B688" s="1" t="n">
        <v>45181</v>
      </c>
      <c r="C688" s="1" t="n">
        <v>45991</v>
      </c>
      <c r="D688" t="inlineStr">
        <is>
          <t>VÄSTERNORRLANDS LÄN</t>
        </is>
      </c>
      <c r="E688" t="inlineStr">
        <is>
          <t>SOLLEFTEÅ</t>
        </is>
      </c>
      <c r="G688" t="n">
        <v>1.8</v>
      </c>
      <c r="H688" t="n">
        <v>0</v>
      </c>
      <c r="I688" t="n">
        <v>0</v>
      </c>
      <c r="J688" t="n">
        <v>0</v>
      </c>
      <c r="K688" t="n">
        <v>0</v>
      </c>
      <c r="L688" t="n">
        <v>0</v>
      </c>
      <c r="M688" t="n">
        <v>0</v>
      </c>
      <c r="N688" t="n">
        <v>0</v>
      </c>
      <c r="O688" t="n">
        <v>0</v>
      </c>
      <c r="P688" t="n">
        <v>0</v>
      </c>
      <c r="Q688" t="n">
        <v>0</v>
      </c>
      <c r="R688" s="2" t="inlineStr"/>
    </row>
    <row r="689" ht="15" customHeight="1">
      <c r="A689" t="inlineStr">
        <is>
          <t>A 13697-2023</t>
        </is>
      </c>
      <c r="B689" s="1" t="n">
        <v>45006.94445601852</v>
      </c>
      <c r="C689" s="1" t="n">
        <v>45991</v>
      </c>
      <c r="D689" t="inlineStr">
        <is>
          <t>VÄSTERNORRLANDS LÄN</t>
        </is>
      </c>
      <c r="E689" t="inlineStr">
        <is>
          <t>SOLLEFTEÅ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45991</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10438-2025</t>
        </is>
      </c>
      <c r="B691" s="1" t="n">
        <v>45720.67761574074</v>
      </c>
      <c r="C691" s="1" t="n">
        <v>45991</v>
      </c>
      <c r="D691" t="inlineStr">
        <is>
          <t>VÄSTERNORRLANDS LÄN</t>
        </is>
      </c>
      <c r="E691" t="inlineStr">
        <is>
          <t>SOLLEFTEÅ</t>
        </is>
      </c>
      <c r="F691" t="inlineStr">
        <is>
          <t>SCA</t>
        </is>
      </c>
      <c r="G691" t="n">
        <v>14.6</v>
      </c>
      <c r="H691" t="n">
        <v>0</v>
      </c>
      <c r="I691" t="n">
        <v>0</v>
      </c>
      <c r="J691" t="n">
        <v>0</v>
      </c>
      <c r="K691" t="n">
        <v>0</v>
      </c>
      <c r="L691" t="n">
        <v>0</v>
      </c>
      <c r="M691" t="n">
        <v>0</v>
      </c>
      <c r="N691" t="n">
        <v>0</v>
      </c>
      <c r="O691" t="n">
        <v>0</v>
      </c>
      <c r="P691" t="n">
        <v>0</v>
      </c>
      <c r="Q691" t="n">
        <v>0</v>
      </c>
      <c r="R691" s="2" t="inlineStr"/>
    </row>
    <row r="692" ht="15" customHeight="1">
      <c r="A692" t="inlineStr">
        <is>
          <t>A 8244-2024</t>
        </is>
      </c>
      <c r="B692" s="1" t="n">
        <v>45351</v>
      </c>
      <c r="C692" s="1" t="n">
        <v>45991</v>
      </c>
      <c r="D692" t="inlineStr">
        <is>
          <t>VÄSTERNORRLANDS LÄN</t>
        </is>
      </c>
      <c r="E692" t="inlineStr">
        <is>
          <t>SOLLEFTEÅ</t>
        </is>
      </c>
      <c r="F692" t="inlineStr">
        <is>
          <t>SCA</t>
        </is>
      </c>
      <c r="G692" t="n">
        <v>0.1</v>
      </c>
      <c r="H692" t="n">
        <v>0</v>
      </c>
      <c r="I692" t="n">
        <v>0</v>
      </c>
      <c r="J692" t="n">
        <v>0</v>
      </c>
      <c r="K692" t="n">
        <v>0</v>
      </c>
      <c r="L692" t="n">
        <v>0</v>
      </c>
      <c r="M692" t="n">
        <v>0</v>
      </c>
      <c r="N692" t="n">
        <v>0</v>
      </c>
      <c r="O692" t="n">
        <v>0</v>
      </c>
      <c r="P692" t="n">
        <v>0</v>
      </c>
      <c r="Q692" t="n">
        <v>0</v>
      </c>
      <c r="R692" s="2" t="inlineStr"/>
    </row>
    <row r="693" ht="15" customHeight="1">
      <c r="A693" t="inlineStr">
        <is>
          <t>A 64013-2023</t>
        </is>
      </c>
      <c r="B693" s="1" t="n">
        <v>45278</v>
      </c>
      <c r="C693" s="1" t="n">
        <v>45991</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29956-2023</t>
        </is>
      </c>
      <c r="B694" s="1" t="n">
        <v>45107</v>
      </c>
      <c r="C694" s="1" t="n">
        <v>45991</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10077-2023</t>
        </is>
      </c>
      <c r="B695" s="1" t="n">
        <v>44985.94408564815</v>
      </c>
      <c r="C695" s="1" t="n">
        <v>45991</v>
      </c>
      <c r="D695" t="inlineStr">
        <is>
          <t>VÄSTERNORRLANDS LÄN</t>
        </is>
      </c>
      <c r="E695" t="inlineStr">
        <is>
          <t>SOLLEFTEÅ</t>
        </is>
      </c>
      <c r="F695" t="inlineStr">
        <is>
          <t>SCA</t>
        </is>
      </c>
      <c r="G695" t="n">
        <v>10.8</v>
      </c>
      <c r="H695" t="n">
        <v>0</v>
      </c>
      <c r="I695" t="n">
        <v>0</v>
      </c>
      <c r="J695" t="n">
        <v>0</v>
      </c>
      <c r="K695" t="n">
        <v>0</v>
      </c>
      <c r="L695" t="n">
        <v>0</v>
      </c>
      <c r="M695" t="n">
        <v>0</v>
      </c>
      <c r="N695" t="n">
        <v>0</v>
      </c>
      <c r="O695" t="n">
        <v>0</v>
      </c>
      <c r="P695" t="n">
        <v>0</v>
      </c>
      <c r="Q695" t="n">
        <v>0</v>
      </c>
      <c r="R695" s="2" t="inlineStr"/>
    </row>
    <row r="696" ht="15" customHeight="1">
      <c r="A696" t="inlineStr">
        <is>
          <t>A 282-2023</t>
        </is>
      </c>
      <c r="B696" s="1" t="n">
        <v>44928</v>
      </c>
      <c r="C696" s="1" t="n">
        <v>45991</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17032-2025</t>
        </is>
      </c>
      <c r="B697" s="1" t="n">
        <v>45755</v>
      </c>
      <c r="C697" s="1" t="n">
        <v>45991</v>
      </c>
      <c r="D697" t="inlineStr">
        <is>
          <t>VÄSTERNORRLANDS LÄN</t>
        </is>
      </c>
      <c r="E697" t="inlineStr">
        <is>
          <t>SOLLEFTEÅ</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17999-2022</t>
        </is>
      </c>
      <c r="B698" s="1" t="n">
        <v>44683</v>
      </c>
      <c r="C698" s="1" t="n">
        <v>45991</v>
      </c>
      <c r="D698" t="inlineStr">
        <is>
          <t>VÄSTERNORRLANDS LÄN</t>
        </is>
      </c>
      <c r="E698" t="inlineStr">
        <is>
          <t>SOLLEFTEÅ</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15273-2025</t>
        </is>
      </c>
      <c r="B699" s="1" t="n">
        <v>45744.67740740741</v>
      </c>
      <c r="C699" s="1" t="n">
        <v>45991</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2045-2025</t>
        </is>
      </c>
      <c r="B700" s="1" t="n">
        <v>45672.51086805556</v>
      </c>
      <c r="C700" s="1" t="n">
        <v>45991</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47741-2023</t>
        </is>
      </c>
      <c r="B701" s="1" t="n">
        <v>45198</v>
      </c>
      <c r="C701" s="1" t="n">
        <v>45991</v>
      </c>
      <c r="D701" t="inlineStr">
        <is>
          <t>VÄSTERNORRLANDS LÄN</t>
        </is>
      </c>
      <c r="E701" t="inlineStr">
        <is>
          <t>SOLLEFTEÅ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9120-2024</t>
        </is>
      </c>
      <c r="B702" s="1" t="n">
        <v>45358.04091435186</v>
      </c>
      <c r="C702" s="1" t="n">
        <v>45991</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9122-2024</t>
        </is>
      </c>
      <c r="B703" s="1" t="n">
        <v>45358.04107638889</v>
      </c>
      <c r="C703" s="1" t="n">
        <v>45991</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16726-2024</t>
        </is>
      </c>
      <c r="B704" s="1" t="n">
        <v>45409.98535879629</v>
      </c>
      <c r="C704" s="1" t="n">
        <v>45991</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15978-2023</t>
        </is>
      </c>
      <c r="B705" s="1" t="n">
        <v>45022.94188657407</v>
      </c>
      <c r="C705" s="1" t="n">
        <v>45991</v>
      </c>
      <c r="D705" t="inlineStr">
        <is>
          <t>VÄSTERNORRLANDS LÄN</t>
        </is>
      </c>
      <c r="E705" t="inlineStr">
        <is>
          <t>SOLLEFTEÅ</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11094-2023</t>
        </is>
      </c>
      <c r="B706" s="1" t="n">
        <v>44986</v>
      </c>
      <c r="C706" s="1" t="n">
        <v>45991</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18185-2025</t>
        </is>
      </c>
      <c r="B707" s="1" t="n">
        <v>45761.66724537037</v>
      </c>
      <c r="C707" s="1" t="n">
        <v>45991</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18263-2025</t>
        </is>
      </c>
      <c r="B708" s="1" t="n">
        <v>45762.36509259259</v>
      </c>
      <c r="C708" s="1" t="n">
        <v>45991</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54538-2022</t>
        </is>
      </c>
      <c r="B709" s="1" t="n">
        <v>44882.77261574074</v>
      </c>
      <c r="C709" s="1" t="n">
        <v>45991</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58994-2024</t>
        </is>
      </c>
      <c r="B710" s="1" t="n">
        <v>45636.63717592593</v>
      </c>
      <c r="C710" s="1" t="n">
        <v>45991</v>
      </c>
      <c r="D710" t="inlineStr">
        <is>
          <t>VÄSTERNORRLANDS LÄN</t>
        </is>
      </c>
      <c r="E710" t="inlineStr">
        <is>
          <t>SOLLEFTEÅ</t>
        </is>
      </c>
      <c r="G710" t="n">
        <v>2.6</v>
      </c>
      <c r="H710" t="n">
        <v>0</v>
      </c>
      <c r="I710" t="n">
        <v>0</v>
      </c>
      <c r="J710" t="n">
        <v>0</v>
      </c>
      <c r="K710" t="n">
        <v>0</v>
      </c>
      <c r="L710" t="n">
        <v>0</v>
      </c>
      <c r="M710" t="n">
        <v>0</v>
      </c>
      <c r="N710" t="n">
        <v>0</v>
      </c>
      <c r="O710" t="n">
        <v>0</v>
      </c>
      <c r="P710" t="n">
        <v>0</v>
      </c>
      <c r="Q710" t="n">
        <v>0</v>
      </c>
      <c r="R710" s="2" t="inlineStr"/>
    </row>
    <row r="711" ht="15" customHeight="1">
      <c r="A711" t="inlineStr">
        <is>
          <t>A 16086-2024</t>
        </is>
      </c>
      <c r="B711" s="1" t="n">
        <v>45406</v>
      </c>
      <c r="C711" s="1" t="n">
        <v>45991</v>
      </c>
      <c r="D711" t="inlineStr">
        <is>
          <t>VÄSTERNORRLANDS LÄN</t>
        </is>
      </c>
      <c r="E711" t="inlineStr">
        <is>
          <t>SOLLEFTEÅ</t>
        </is>
      </c>
      <c r="G711" t="n">
        <v>15.9</v>
      </c>
      <c r="H711" t="n">
        <v>0</v>
      </c>
      <c r="I711" t="n">
        <v>0</v>
      </c>
      <c r="J711" t="n">
        <v>0</v>
      </c>
      <c r="K711" t="n">
        <v>0</v>
      </c>
      <c r="L711" t="n">
        <v>0</v>
      </c>
      <c r="M711" t="n">
        <v>0</v>
      </c>
      <c r="N711" t="n">
        <v>0</v>
      </c>
      <c r="O711" t="n">
        <v>0</v>
      </c>
      <c r="P711" t="n">
        <v>0</v>
      </c>
      <c r="Q711" t="n">
        <v>0</v>
      </c>
      <c r="R711" s="2" t="inlineStr"/>
    </row>
    <row r="712" ht="15" customHeight="1">
      <c r="A712" t="inlineStr">
        <is>
          <t>A 59501-2023</t>
        </is>
      </c>
      <c r="B712" s="1" t="n">
        <v>45254</v>
      </c>
      <c r="C712" s="1" t="n">
        <v>45991</v>
      </c>
      <c r="D712" t="inlineStr">
        <is>
          <t>VÄSTERNORRLANDS LÄN</t>
        </is>
      </c>
      <c r="E712" t="inlineStr">
        <is>
          <t>SOLLEFTEÅ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16468-2024</t>
        </is>
      </c>
      <c r="B713" s="1" t="n">
        <v>45408.0508449074</v>
      </c>
      <c r="C713" s="1" t="n">
        <v>45991</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61784-2023</t>
        </is>
      </c>
      <c r="B714" s="1" t="n">
        <v>45265</v>
      </c>
      <c r="C714" s="1" t="n">
        <v>45991</v>
      </c>
      <c r="D714" t="inlineStr">
        <is>
          <t>VÄSTERNORRLANDS LÄN</t>
        </is>
      </c>
      <c r="E714" t="inlineStr">
        <is>
          <t>SOLLEFTEÅ</t>
        </is>
      </c>
      <c r="F714" t="inlineStr">
        <is>
          <t>SCA</t>
        </is>
      </c>
      <c r="G714" t="n">
        <v>9.1</v>
      </c>
      <c r="H714" t="n">
        <v>0</v>
      </c>
      <c r="I714" t="n">
        <v>0</v>
      </c>
      <c r="J714" t="n">
        <v>0</v>
      </c>
      <c r="K714" t="n">
        <v>0</v>
      </c>
      <c r="L714" t="n">
        <v>0</v>
      </c>
      <c r="M714" t="n">
        <v>0</v>
      </c>
      <c r="N714" t="n">
        <v>0</v>
      </c>
      <c r="O714" t="n">
        <v>0</v>
      </c>
      <c r="P714" t="n">
        <v>0</v>
      </c>
      <c r="Q714" t="n">
        <v>0</v>
      </c>
      <c r="R714" s="2" t="inlineStr"/>
    </row>
    <row r="715" ht="15" customHeight="1">
      <c r="A715" t="inlineStr">
        <is>
          <t>A 24199-2024</t>
        </is>
      </c>
      <c r="B715" s="1" t="n">
        <v>45456.96634259259</v>
      </c>
      <c r="C715" s="1" t="n">
        <v>45991</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24208-2024</t>
        </is>
      </c>
      <c r="B716" s="1" t="n">
        <v>45456.9678125</v>
      </c>
      <c r="C716" s="1" t="n">
        <v>45991</v>
      </c>
      <c r="D716" t="inlineStr">
        <is>
          <t>VÄSTERNORRLANDS LÄN</t>
        </is>
      </c>
      <c r="E716" t="inlineStr">
        <is>
          <t>SOLLEFTEÅ</t>
        </is>
      </c>
      <c r="G716" t="n">
        <v>2.9</v>
      </c>
      <c r="H716" t="n">
        <v>0</v>
      </c>
      <c r="I716" t="n">
        <v>0</v>
      </c>
      <c r="J716" t="n">
        <v>0</v>
      </c>
      <c r="K716" t="n">
        <v>0</v>
      </c>
      <c r="L716" t="n">
        <v>0</v>
      </c>
      <c r="M716" t="n">
        <v>0</v>
      </c>
      <c r="N716" t="n">
        <v>0</v>
      </c>
      <c r="O716" t="n">
        <v>0</v>
      </c>
      <c r="P716" t="n">
        <v>0</v>
      </c>
      <c r="Q716" t="n">
        <v>0</v>
      </c>
      <c r="R716" s="2" t="inlineStr"/>
    </row>
    <row r="717" ht="15" customHeight="1">
      <c r="A717" t="inlineStr">
        <is>
          <t>A 24211-2024</t>
        </is>
      </c>
      <c r="B717" s="1" t="n">
        <v>45456.9681712963</v>
      </c>
      <c r="C717" s="1" t="n">
        <v>45991</v>
      </c>
      <c r="D717" t="inlineStr">
        <is>
          <t>VÄSTERNORRLANDS LÄN</t>
        </is>
      </c>
      <c r="E717" t="inlineStr">
        <is>
          <t>SOLLEFTEÅ</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34281-2022</t>
        </is>
      </c>
      <c r="B718" s="1" t="n">
        <v>44791</v>
      </c>
      <c r="C718" s="1" t="n">
        <v>45991</v>
      </c>
      <c r="D718" t="inlineStr">
        <is>
          <t>VÄSTERNORRLANDS LÄN</t>
        </is>
      </c>
      <c r="E718" t="inlineStr">
        <is>
          <t>SOLLEFTEÅ</t>
        </is>
      </c>
      <c r="G718" t="n">
        <v>1.8</v>
      </c>
      <c r="H718" t="n">
        <v>0</v>
      </c>
      <c r="I718" t="n">
        <v>0</v>
      </c>
      <c r="J718" t="n">
        <v>0</v>
      </c>
      <c r="K718" t="n">
        <v>0</v>
      </c>
      <c r="L718" t="n">
        <v>0</v>
      </c>
      <c r="M718" t="n">
        <v>0</v>
      </c>
      <c r="N718" t="n">
        <v>0</v>
      </c>
      <c r="O718" t="n">
        <v>0</v>
      </c>
      <c r="P718" t="n">
        <v>0</v>
      </c>
      <c r="Q718" t="n">
        <v>0</v>
      </c>
      <c r="R718" s="2" t="inlineStr"/>
    </row>
    <row r="719" ht="15" customHeight="1">
      <c r="A719" t="inlineStr">
        <is>
          <t>A 10554-2022</t>
        </is>
      </c>
      <c r="B719" s="1" t="n">
        <v>44623.93775462963</v>
      </c>
      <c r="C719" s="1" t="n">
        <v>45991</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43843-2024</t>
        </is>
      </c>
      <c r="B720" s="1" t="n">
        <v>45572</v>
      </c>
      <c r="C720" s="1" t="n">
        <v>45991</v>
      </c>
      <c r="D720" t="inlineStr">
        <is>
          <t>VÄSTERNORRLANDS LÄN</t>
        </is>
      </c>
      <c r="E720" t="inlineStr">
        <is>
          <t>SOLLEFTEÅ</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50720-2024</t>
        </is>
      </c>
      <c r="B721" s="1" t="n">
        <v>45602.38631944444</v>
      </c>
      <c r="C721" s="1" t="n">
        <v>45991</v>
      </c>
      <c r="D721" t="inlineStr">
        <is>
          <t>VÄSTERNORRLANDS LÄN</t>
        </is>
      </c>
      <c r="E721" t="inlineStr">
        <is>
          <t>SOLLEFTEÅ</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57487-2024</t>
        </is>
      </c>
      <c r="B722" s="1" t="n">
        <v>45630.36166666666</v>
      </c>
      <c r="C722" s="1" t="n">
        <v>45991</v>
      </c>
      <c r="D722" t="inlineStr">
        <is>
          <t>VÄSTERNORRLANDS LÄN</t>
        </is>
      </c>
      <c r="E722" t="inlineStr">
        <is>
          <t>SOLLEFTEÅ</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62171-2024</t>
        </is>
      </c>
      <c r="B723" s="1" t="n">
        <v>45657.65657407408</v>
      </c>
      <c r="C723" s="1" t="n">
        <v>45991</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19892-2025</t>
        </is>
      </c>
      <c r="B724" s="1" t="n">
        <v>45771.57461805556</v>
      </c>
      <c r="C724" s="1" t="n">
        <v>45991</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9708-2025</t>
        </is>
      </c>
      <c r="B725" s="1" t="n">
        <v>45716.38607638889</v>
      </c>
      <c r="C725" s="1" t="n">
        <v>45991</v>
      </c>
      <c r="D725" t="inlineStr">
        <is>
          <t>VÄSTERNORRLANDS LÄN</t>
        </is>
      </c>
      <c r="E725" t="inlineStr">
        <is>
          <t>SOLLEFTEÅ</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31672-2022</t>
        </is>
      </c>
      <c r="B726" s="1" t="n">
        <v>44776.36137731482</v>
      </c>
      <c r="C726" s="1" t="n">
        <v>45991</v>
      </c>
      <c r="D726" t="inlineStr">
        <is>
          <t>VÄSTERNORRLANDS LÄN</t>
        </is>
      </c>
      <c r="E726" t="inlineStr">
        <is>
          <t>SOLLEFTEÅ</t>
        </is>
      </c>
      <c r="G726" t="n">
        <v>16.3</v>
      </c>
      <c r="H726" t="n">
        <v>0</v>
      </c>
      <c r="I726" t="n">
        <v>0</v>
      </c>
      <c r="J726" t="n">
        <v>0</v>
      </c>
      <c r="K726" t="n">
        <v>0</v>
      </c>
      <c r="L726" t="n">
        <v>0</v>
      </c>
      <c r="M726" t="n">
        <v>0</v>
      </c>
      <c r="N726" t="n">
        <v>0</v>
      </c>
      <c r="O726" t="n">
        <v>0</v>
      </c>
      <c r="P726" t="n">
        <v>0</v>
      </c>
      <c r="Q726" t="n">
        <v>0</v>
      </c>
      <c r="R726" s="2" t="inlineStr"/>
    </row>
    <row r="727" ht="15" customHeight="1">
      <c r="A727" t="inlineStr">
        <is>
          <t>A 68034-2020</t>
        </is>
      </c>
      <c r="B727" s="1" t="n">
        <v>44182</v>
      </c>
      <c r="C727" s="1" t="n">
        <v>45991</v>
      </c>
      <c r="D727" t="inlineStr">
        <is>
          <t>VÄSTERNORRLANDS LÄN</t>
        </is>
      </c>
      <c r="E727" t="inlineStr">
        <is>
          <t>SOLLEFTEÅ</t>
        </is>
      </c>
      <c r="F727" t="inlineStr">
        <is>
          <t>SCA</t>
        </is>
      </c>
      <c r="G727" t="n">
        <v>17.1</v>
      </c>
      <c r="H727" t="n">
        <v>0</v>
      </c>
      <c r="I727" t="n">
        <v>0</v>
      </c>
      <c r="J727" t="n">
        <v>0</v>
      </c>
      <c r="K727" t="n">
        <v>0</v>
      </c>
      <c r="L727" t="n">
        <v>0</v>
      </c>
      <c r="M727" t="n">
        <v>0</v>
      </c>
      <c r="N727" t="n">
        <v>0</v>
      </c>
      <c r="O727" t="n">
        <v>0</v>
      </c>
      <c r="P727" t="n">
        <v>0</v>
      </c>
      <c r="Q727" t="n">
        <v>0</v>
      </c>
      <c r="R727" s="2" t="inlineStr"/>
    </row>
    <row r="728" ht="15" customHeight="1">
      <c r="A728" t="inlineStr">
        <is>
          <t>A 30692-2021</t>
        </is>
      </c>
      <c r="B728" s="1" t="n">
        <v>44365</v>
      </c>
      <c r="C728" s="1" t="n">
        <v>45991</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34397-2021</t>
        </is>
      </c>
      <c r="B729" s="1" t="n">
        <v>44379</v>
      </c>
      <c r="C729" s="1" t="n">
        <v>45991</v>
      </c>
      <c r="D729" t="inlineStr">
        <is>
          <t>VÄSTERNORRLANDS LÄN</t>
        </is>
      </c>
      <c r="E729" t="inlineStr">
        <is>
          <t>SOLLEFTEÅ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14055-2022</t>
        </is>
      </c>
      <c r="B730" s="1" t="n">
        <v>44650.93824074074</v>
      </c>
      <c r="C730" s="1" t="n">
        <v>45991</v>
      </c>
      <c r="D730" t="inlineStr">
        <is>
          <t>VÄSTERNORRLANDS LÄN</t>
        </is>
      </c>
      <c r="E730" t="inlineStr">
        <is>
          <t>SOLLEFTEÅ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54618-2023</t>
        </is>
      </c>
      <c r="B731" s="1" t="n">
        <v>45233</v>
      </c>
      <c r="C731" s="1" t="n">
        <v>45991</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55710-2024</t>
        </is>
      </c>
      <c r="B732" s="1" t="n">
        <v>45622.6985300926</v>
      </c>
      <c r="C732" s="1" t="n">
        <v>45991</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51227-2024</t>
        </is>
      </c>
      <c r="B733" s="1" t="n">
        <v>45603.65729166667</v>
      </c>
      <c r="C733" s="1" t="n">
        <v>45991</v>
      </c>
      <c r="D733" t="inlineStr">
        <is>
          <t>VÄSTERNORRLANDS LÄN</t>
        </is>
      </c>
      <c r="E733" t="inlineStr">
        <is>
          <t>SOLLEFTEÅ</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33642-2023</t>
        </is>
      </c>
      <c r="B734" s="1" t="n">
        <v>45119</v>
      </c>
      <c r="C734" s="1" t="n">
        <v>45991</v>
      </c>
      <c r="D734" t="inlineStr">
        <is>
          <t>VÄSTERNORRLANDS LÄN</t>
        </is>
      </c>
      <c r="E734" t="inlineStr">
        <is>
          <t>SOLLEFTEÅ</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63652-2023</t>
        </is>
      </c>
      <c r="B735" s="1" t="n">
        <v>45275</v>
      </c>
      <c r="C735" s="1" t="n">
        <v>45991</v>
      </c>
      <c r="D735" t="inlineStr">
        <is>
          <t>VÄSTERNORRLANDS LÄN</t>
        </is>
      </c>
      <c r="E735" t="inlineStr">
        <is>
          <t>SOLLEFTEÅ</t>
        </is>
      </c>
      <c r="G735" t="n">
        <v>4.5</v>
      </c>
      <c r="H735" t="n">
        <v>0</v>
      </c>
      <c r="I735" t="n">
        <v>0</v>
      </c>
      <c r="J735" t="n">
        <v>0</v>
      </c>
      <c r="K735" t="n">
        <v>0</v>
      </c>
      <c r="L735" t="n">
        <v>0</v>
      </c>
      <c r="M735" t="n">
        <v>0</v>
      </c>
      <c r="N735" t="n">
        <v>0</v>
      </c>
      <c r="O735" t="n">
        <v>0</v>
      </c>
      <c r="P735" t="n">
        <v>0</v>
      </c>
      <c r="Q735" t="n">
        <v>0</v>
      </c>
      <c r="R735" s="2" t="inlineStr"/>
    </row>
    <row r="736" ht="15" customHeight="1">
      <c r="A736" t="inlineStr">
        <is>
          <t>A 16511-2025</t>
        </is>
      </c>
      <c r="B736" s="1" t="n">
        <v>45751</v>
      </c>
      <c r="C736" s="1" t="n">
        <v>45991</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5059-2024</t>
        </is>
      </c>
      <c r="B737" s="1" t="n">
        <v>45329</v>
      </c>
      <c r="C737" s="1" t="n">
        <v>45991</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46850-2024</t>
        </is>
      </c>
      <c r="B738" s="1" t="n">
        <v>45583.61513888889</v>
      </c>
      <c r="C738" s="1" t="n">
        <v>45991</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55622-2023</t>
        </is>
      </c>
      <c r="B739" s="1" t="n">
        <v>45238</v>
      </c>
      <c r="C739" s="1" t="n">
        <v>45991</v>
      </c>
      <c r="D739" t="inlineStr">
        <is>
          <t>VÄSTERNORRLANDS LÄN</t>
        </is>
      </c>
      <c r="E739" t="inlineStr">
        <is>
          <t>SOLLEFTEÅ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51029-2021</t>
        </is>
      </c>
      <c r="B740" s="1" t="n">
        <v>44460.94086805556</v>
      </c>
      <c r="C740" s="1" t="n">
        <v>45991</v>
      </c>
      <c r="D740" t="inlineStr">
        <is>
          <t>VÄSTERNORRLANDS LÄN</t>
        </is>
      </c>
      <c r="E740" t="inlineStr">
        <is>
          <t>SOLLEFTEÅ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3424-2025</t>
        </is>
      </c>
      <c r="B741" s="1" t="n">
        <v>45680</v>
      </c>
      <c r="C741" s="1" t="n">
        <v>45991</v>
      </c>
      <c r="D741" t="inlineStr">
        <is>
          <t>VÄSTERNORRLANDS LÄN</t>
        </is>
      </c>
      <c r="E741" t="inlineStr">
        <is>
          <t>SOLLEFTEÅ</t>
        </is>
      </c>
      <c r="G741" t="n">
        <v>1.4</v>
      </c>
      <c r="H741" t="n">
        <v>0</v>
      </c>
      <c r="I741" t="n">
        <v>0</v>
      </c>
      <c r="J741" t="n">
        <v>0</v>
      </c>
      <c r="K741" t="n">
        <v>0</v>
      </c>
      <c r="L741" t="n">
        <v>0</v>
      </c>
      <c r="M741" t="n">
        <v>0</v>
      </c>
      <c r="N741" t="n">
        <v>0</v>
      </c>
      <c r="O741" t="n">
        <v>0</v>
      </c>
      <c r="P741" t="n">
        <v>0</v>
      </c>
      <c r="Q741" t="n">
        <v>0</v>
      </c>
      <c r="R741" s="2" t="inlineStr"/>
    </row>
    <row r="742" ht="15" customHeight="1">
      <c r="A742" t="inlineStr">
        <is>
          <t>A 27382-2023</t>
        </is>
      </c>
      <c r="B742" s="1" t="n">
        <v>45096.93920138889</v>
      </c>
      <c r="C742" s="1" t="n">
        <v>45991</v>
      </c>
      <c r="D742" t="inlineStr">
        <is>
          <t>VÄSTERNORRLANDS LÄN</t>
        </is>
      </c>
      <c r="E742" t="inlineStr">
        <is>
          <t>SOLLEFTEÅ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27384-2023</t>
        </is>
      </c>
      <c r="B743" s="1" t="n">
        <v>45096.939375</v>
      </c>
      <c r="C743" s="1" t="n">
        <v>45991</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27391-2023</t>
        </is>
      </c>
      <c r="B744" s="1" t="n">
        <v>45096.93991898148</v>
      </c>
      <c r="C744" s="1" t="n">
        <v>45991</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13639-2025</t>
        </is>
      </c>
      <c r="B745" s="1" t="n">
        <v>45736.65710648148</v>
      </c>
      <c r="C745" s="1" t="n">
        <v>45991</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13637-2025</t>
        </is>
      </c>
      <c r="B746" s="1" t="n">
        <v>45736.65681712963</v>
      </c>
      <c r="C746" s="1" t="n">
        <v>45991</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13652-2025</t>
        </is>
      </c>
      <c r="B747" s="1" t="n">
        <v>45736.71909722222</v>
      </c>
      <c r="C747" s="1" t="n">
        <v>45991</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2456-2025</t>
        </is>
      </c>
      <c r="B748" s="1" t="n">
        <v>45673</v>
      </c>
      <c r="C748" s="1" t="n">
        <v>45991</v>
      </c>
      <c r="D748" t="inlineStr">
        <is>
          <t>VÄSTERNORRLANDS LÄN</t>
        </is>
      </c>
      <c r="E748" t="inlineStr">
        <is>
          <t>SOLLEFTEÅ</t>
        </is>
      </c>
      <c r="F748" t="inlineStr">
        <is>
          <t>Kommuner</t>
        </is>
      </c>
      <c r="G748" t="n">
        <v>2.7</v>
      </c>
      <c r="H748" t="n">
        <v>0</v>
      </c>
      <c r="I748" t="n">
        <v>0</v>
      </c>
      <c r="J748" t="n">
        <v>0</v>
      </c>
      <c r="K748" t="n">
        <v>0</v>
      </c>
      <c r="L748" t="n">
        <v>0</v>
      </c>
      <c r="M748" t="n">
        <v>0</v>
      </c>
      <c r="N748" t="n">
        <v>0</v>
      </c>
      <c r="O748" t="n">
        <v>0</v>
      </c>
      <c r="P748" t="n">
        <v>0</v>
      </c>
      <c r="Q748" t="n">
        <v>0</v>
      </c>
      <c r="R748" s="2" t="inlineStr"/>
    </row>
    <row r="749" ht="15" customHeight="1">
      <c r="A749" t="inlineStr">
        <is>
          <t>A 19682-2025</t>
        </is>
      </c>
      <c r="B749" s="1" t="n">
        <v>45770.85163194445</v>
      </c>
      <c r="C749" s="1" t="n">
        <v>45991</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45778-2024</t>
        </is>
      </c>
      <c r="B750" s="1" t="n">
        <v>45579.66471064815</v>
      </c>
      <c r="C750" s="1" t="n">
        <v>45991</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61089-2024</t>
        </is>
      </c>
      <c r="B751" s="1" t="n">
        <v>45644</v>
      </c>
      <c r="C751" s="1" t="n">
        <v>45991</v>
      </c>
      <c r="D751" t="inlineStr">
        <is>
          <t>VÄSTERNORRLANDS LÄN</t>
        </is>
      </c>
      <c r="E751" t="inlineStr">
        <is>
          <t>SOLLEFTEÅ</t>
        </is>
      </c>
      <c r="G751" t="n">
        <v>4.5</v>
      </c>
      <c r="H751" t="n">
        <v>0</v>
      </c>
      <c r="I751" t="n">
        <v>0</v>
      </c>
      <c r="J751" t="n">
        <v>0</v>
      </c>
      <c r="K751" t="n">
        <v>0</v>
      </c>
      <c r="L751" t="n">
        <v>0</v>
      </c>
      <c r="M751" t="n">
        <v>0</v>
      </c>
      <c r="N751" t="n">
        <v>0</v>
      </c>
      <c r="O751" t="n">
        <v>0</v>
      </c>
      <c r="P751" t="n">
        <v>0</v>
      </c>
      <c r="Q751" t="n">
        <v>0</v>
      </c>
      <c r="R751" s="2" t="inlineStr"/>
    </row>
    <row r="752" ht="15" customHeight="1">
      <c r="A752" t="inlineStr">
        <is>
          <t>A 11334-2024</t>
        </is>
      </c>
      <c r="B752" s="1" t="n">
        <v>45372</v>
      </c>
      <c r="C752" s="1" t="n">
        <v>45991</v>
      </c>
      <c r="D752" t="inlineStr">
        <is>
          <t>VÄSTERNORRLANDS LÄN</t>
        </is>
      </c>
      <c r="E752" t="inlineStr">
        <is>
          <t>SOLLEFTEÅ</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8414-2024</t>
        </is>
      </c>
      <c r="B753" s="1" t="n">
        <v>45352</v>
      </c>
      <c r="C753" s="1" t="n">
        <v>45991</v>
      </c>
      <c r="D753" t="inlineStr">
        <is>
          <t>VÄSTERNORRLANDS LÄN</t>
        </is>
      </c>
      <c r="E753" t="inlineStr">
        <is>
          <t>SOLLEFTEÅ</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10240-2025</t>
        </is>
      </c>
      <c r="B754" s="1" t="n">
        <v>45720.34508101852</v>
      </c>
      <c r="C754" s="1" t="n">
        <v>45991</v>
      </c>
      <c r="D754" t="inlineStr">
        <is>
          <t>VÄSTERNORRLANDS LÄN</t>
        </is>
      </c>
      <c r="E754" t="inlineStr">
        <is>
          <t>SOLLEFTEÅ</t>
        </is>
      </c>
      <c r="F754" t="inlineStr">
        <is>
          <t>SCA</t>
        </is>
      </c>
      <c r="G754" t="n">
        <v>18.8</v>
      </c>
      <c r="H754" t="n">
        <v>0</v>
      </c>
      <c r="I754" t="n">
        <v>0</v>
      </c>
      <c r="J754" t="n">
        <v>0</v>
      </c>
      <c r="K754" t="n">
        <v>0</v>
      </c>
      <c r="L754" t="n">
        <v>0</v>
      </c>
      <c r="M754" t="n">
        <v>0</v>
      </c>
      <c r="N754" t="n">
        <v>0</v>
      </c>
      <c r="O754" t="n">
        <v>0</v>
      </c>
      <c r="P754" t="n">
        <v>0</v>
      </c>
      <c r="Q754" t="n">
        <v>0</v>
      </c>
      <c r="R754" s="2" t="inlineStr"/>
    </row>
    <row r="755" ht="15" customHeight="1">
      <c r="A755" t="inlineStr">
        <is>
          <t>A 35277-2023</t>
        </is>
      </c>
      <c r="B755" s="1" t="n">
        <v>45145</v>
      </c>
      <c r="C755" s="1" t="n">
        <v>45991</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31005-2022</t>
        </is>
      </c>
      <c r="B756" s="1" t="n">
        <v>44768</v>
      </c>
      <c r="C756" s="1" t="n">
        <v>45991</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42664-2022</t>
        </is>
      </c>
      <c r="B757" s="1" t="n">
        <v>44831</v>
      </c>
      <c r="C757" s="1" t="n">
        <v>45991</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51544-2022</t>
        </is>
      </c>
      <c r="B758" s="1" t="n">
        <v>44869</v>
      </c>
      <c r="C758" s="1" t="n">
        <v>45991</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25799-2024</t>
        </is>
      </c>
      <c r="B759" s="1" t="n">
        <v>45463</v>
      </c>
      <c r="C759" s="1" t="n">
        <v>45991</v>
      </c>
      <c r="D759" t="inlineStr">
        <is>
          <t>VÄSTERNORRLANDS LÄN</t>
        </is>
      </c>
      <c r="E759" t="inlineStr">
        <is>
          <t>SOLLEFTEÅ</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769-2025</t>
        </is>
      </c>
      <c r="B760" s="1" t="n">
        <v>45659</v>
      </c>
      <c r="C760" s="1" t="n">
        <v>45991</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2422-2025</t>
        </is>
      </c>
      <c r="B761" s="1" t="n">
        <v>45674.38592592593</v>
      </c>
      <c r="C761" s="1" t="n">
        <v>45991</v>
      </c>
      <c r="D761" t="inlineStr">
        <is>
          <t>VÄSTERNORRLANDS LÄN</t>
        </is>
      </c>
      <c r="E761" t="inlineStr">
        <is>
          <t>SOLLEFTEÅ</t>
        </is>
      </c>
      <c r="F761" t="inlineStr">
        <is>
          <t>SCA</t>
        </is>
      </c>
      <c r="G761" t="n">
        <v>27.9</v>
      </c>
      <c r="H761" t="n">
        <v>0</v>
      </c>
      <c r="I761" t="n">
        <v>0</v>
      </c>
      <c r="J761" t="n">
        <v>0</v>
      </c>
      <c r="K761" t="n">
        <v>0</v>
      </c>
      <c r="L761" t="n">
        <v>0</v>
      </c>
      <c r="M761" t="n">
        <v>0</v>
      </c>
      <c r="N761" t="n">
        <v>0</v>
      </c>
      <c r="O761" t="n">
        <v>0</v>
      </c>
      <c r="P761" t="n">
        <v>0</v>
      </c>
      <c r="Q761" t="n">
        <v>0</v>
      </c>
      <c r="R761" s="2" t="inlineStr"/>
    </row>
    <row r="762" ht="15" customHeight="1">
      <c r="A762" t="inlineStr">
        <is>
          <t>A 3211-2024</t>
        </is>
      </c>
      <c r="B762" s="1" t="n">
        <v>45316</v>
      </c>
      <c r="C762" s="1" t="n">
        <v>45991</v>
      </c>
      <c r="D762" t="inlineStr">
        <is>
          <t>VÄSTERNORRLANDS LÄN</t>
        </is>
      </c>
      <c r="E762" t="inlineStr">
        <is>
          <t>SOLLEFTEÅ</t>
        </is>
      </c>
      <c r="G762" t="n">
        <v>2.6</v>
      </c>
      <c r="H762" t="n">
        <v>0</v>
      </c>
      <c r="I762" t="n">
        <v>0</v>
      </c>
      <c r="J762" t="n">
        <v>0</v>
      </c>
      <c r="K762" t="n">
        <v>0</v>
      </c>
      <c r="L762" t="n">
        <v>0</v>
      </c>
      <c r="M762" t="n">
        <v>0</v>
      </c>
      <c r="N762" t="n">
        <v>0</v>
      </c>
      <c r="O762" t="n">
        <v>0</v>
      </c>
      <c r="P762" t="n">
        <v>0</v>
      </c>
      <c r="Q762" t="n">
        <v>0</v>
      </c>
      <c r="R762" s="2" t="inlineStr"/>
    </row>
    <row r="763" ht="15" customHeight="1">
      <c r="A763" t="inlineStr">
        <is>
          <t>A 45940-2024</t>
        </is>
      </c>
      <c r="B763" s="1" t="n">
        <v>45580.53167824074</v>
      </c>
      <c r="C763" s="1" t="n">
        <v>45991</v>
      </c>
      <c r="D763" t="inlineStr">
        <is>
          <t>VÄSTERNORRLANDS LÄN</t>
        </is>
      </c>
      <c r="E763" t="inlineStr">
        <is>
          <t>SOLLEFTEÅ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45975-2024</t>
        </is>
      </c>
      <c r="B764" s="1" t="n">
        <v>45580.59425925926</v>
      </c>
      <c r="C764" s="1" t="n">
        <v>45991</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33312-2024</t>
        </is>
      </c>
      <c r="B765" s="1" t="n">
        <v>45518.97113425926</v>
      </c>
      <c r="C765" s="1" t="n">
        <v>45991</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43008-2024</t>
        </is>
      </c>
      <c r="B766" s="1" t="n">
        <v>45567.38574074074</v>
      </c>
      <c r="C766" s="1" t="n">
        <v>45991</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22471-2024</t>
        </is>
      </c>
      <c r="B767" s="1" t="n">
        <v>45446</v>
      </c>
      <c r="C767" s="1" t="n">
        <v>45991</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15955-2025</t>
        </is>
      </c>
      <c r="B768" s="1" t="n">
        <v>45749.5113425926</v>
      </c>
      <c r="C768" s="1" t="n">
        <v>45991</v>
      </c>
      <c r="D768" t="inlineStr">
        <is>
          <t>VÄSTERNORRLANDS LÄN</t>
        </is>
      </c>
      <c r="E768" t="inlineStr">
        <is>
          <t>SOLLEFTEÅ</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36211-2023</t>
        </is>
      </c>
      <c r="B769" s="1" t="n">
        <v>45149.95234953704</v>
      </c>
      <c r="C769" s="1" t="n">
        <v>45991</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20061-2022</t>
        </is>
      </c>
      <c r="B770" s="1" t="n">
        <v>44697.94140046297</v>
      </c>
      <c r="C770" s="1" t="n">
        <v>45991</v>
      </c>
      <c r="D770" t="inlineStr">
        <is>
          <t>VÄSTERNORRLANDS LÄN</t>
        </is>
      </c>
      <c r="E770" t="inlineStr">
        <is>
          <t>SOLLEFTEÅ</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8104-2025</t>
        </is>
      </c>
      <c r="B771" s="1" t="n">
        <v>45707.69835648148</v>
      </c>
      <c r="C771" s="1" t="n">
        <v>45991</v>
      </c>
      <c r="D771" t="inlineStr">
        <is>
          <t>VÄSTERNORRLANDS LÄN</t>
        </is>
      </c>
      <c r="E771" t="inlineStr">
        <is>
          <t>SOLLEFTEÅ</t>
        </is>
      </c>
      <c r="F771" t="inlineStr">
        <is>
          <t>SCA</t>
        </is>
      </c>
      <c r="G771" t="n">
        <v>8.4</v>
      </c>
      <c r="H771" t="n">
        <v>0</v>
      </c>
      <c r="I771" t="n">
        <v>0</v>
      </c>
      <c r="J771" t="n">
        <v>0</v>
      </c>
      <c r="K771" t="n">
        <v>0</v>
      </c>
      <c r="L771" t="n">
        <v>0</v>
      </c>
      <c r="M771" t="n">
        <v>0</v>
      </c>
      <c r="N771" t="n">
        <v>0</v>
      </c>
      <c r="O771" t="n">
        <v>0</v>
      </c>
      <c r="P771" t="n">
        <v>0</v>
      </c>
      <c r="Q771" t="n">
        <v>0</v>
      </c>
      <c r="R771" s="2" t="inlineStr"/>
    </row>
    <row r="772" ht="15" customHeight="1">
      <c r="A772" t="inlineStr">
        <is>
          <t>A 8124-2025</t>
        </is>
      </c>
      <c r="B772" s="1" t="n">
        <v>45707</v>
      </c>
      <c r="C772" s="1" t="n">
        <v>45991</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24393-2025</t>
        </is>
      </c>
      <c r="B773" s="1" t="n">
        <v>45797.63653935185</v>
      </c>
      <c r="C773" s="1" t="n">
        <v>45991</v>
      </c>
      <c r="D773" t="inlineStr">
        <is>
          <t>VÄSTERNORRLANDS LÄN</t>
        </is>
      </c>
      <c r="E773" t="inlineStr">
        <is>
          <t>SOLLEFTEÅ</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2044-2025</t>
        </is>
      </c>
      <c r="B774" s="1" t="n">
        <v>45672</v>
      </c>
      <c r="C774" s="1" t="n">
        <v>45991</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28290-2024</t>
        </is>
      </c>
      <c r="B775" s="1" t="n">
        <v>45477.46743055555</v>
      </c>
      <c r="C775" s="1" t="n">
        <v>45991</v>
      </c>
      <c r="D775" t="inlineStr">
        <is>
          <t>VÄSTERNORRLANDS LÄN</t>
        </is>
      </c>
      <c r="E775" t="inlineStr">
        <is>
          <t>SOLLEFTEÅ</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33110-2024</t>
        </is>
      </c>
      <c r="B776" s="1" t="n">
        <v>45517</v>
      </c>
      <c r="C776" s="1" t="n">
        <v>45991</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41787-2024</t>
        </is>
      </c>
      <c r="B777" s="1" t="n">
        <v>45561.34986111111</v>
      </c>
      <c r="C777" s="1" t="n">
        <v>45991</v>
      </c>
      <c r="D777" t="inlineStr">
        <is>
          <t>VÄSTERNORRLANDS LÄN</t>
        </is>
      </c>
      <c r="E777" t="inlineStr">
        <is>
          <t>SOLLEFTEÅ</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37354-2024</t>
        </is>
      </c>
      <c r="B778" s="1" t="n">
        <v>45540.54201388889</v>
      </c>
      <c r="C778" s="1" t="n">
        <v>45991</v>
      </c>
      <c r="D778" t="inlineStr">
        <is>
          <t>VÄSTERNORRLANDS LÄN</t>
        </is>
      </c>
      <c r="E778" t="inlineStr">
        <is>
          <t>SOLLEFTEÅ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34395-2021</t>
        </is>
      </c>
      <c r="B779" s="1" t="n">
        <v>44379</v>
      </c>
      <c r="C779" s="1" t="n">
        <v>45991</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12164-2023</t>
        </is>
      </c>
      <c r="B780" s="1" t="n">
        <v>44995</v>
      </c>
      <c r="C780" s="1" t="n">
        <v>45991</v>
      </c>
      <c r="D780" t="inlineStr">
        <is>
          <t>VÄSTERNORRLANDS LÄN</t>
        </is>
      </c>
      <c r="E780" t="inlineStr">
        <is>
          <t>SOLLEFTEÅ</t>
        </is>
      </c>
      <c r="G780" t="n">
        <v>18.3</v>
      </c>
      <c r="H780" t="n">
        <v>0</v>
      </c>
      <c r="I780" t="n">
        <v>0</v>
      </c>
      <c r="J780" t="n">
        <v>0</v>
      </c>
      <c r="K780" t="n">
        <v>0</v>
      </c>
      <c r="L780" t="n">
        <v>0</v>
      </c>
      <c r="M780" t="n">
        <v>0</v>
      </c>
      <c r="N780" t="n">
        <v>0</v>
      </c>
      <c r="O780" t="n">
        <v>0</v>
      </c>
      <c r="P780" t="n">
        <v>0</v>
      </c>
      <c r="Q780" t="n">
        <v>0</v>
      </c>
      <c r="R780" s="2" t="inlineStr"/>
    </row>
    <row r="781" ht="15" customHeight="1">
      <c r="A781" t="inlineStr">
        <is>
          <t>A 23889-2025</t>
        </is>
      </c>
      <c r="B781" s="1" t="n">
        <v>45793.79209490741</v>
      </c>
      <c r="C781" s="1" t="n">
        <v>45991</v>
      </c>
      <c r="D781" t="inlineStr">
        <is>
          <t>VÄSTERNORRLANDS LÄN</t>
        </is>
      </c>
      <c r="E781" t="inlineStr">
        <is>
          <t>SOLLEFTEÅ</t>
        </is>
      </c>
      <c r="G781" t="n">
        <v>6.3</v>
      </c>
      <c r="H781" t="n">
        <v>0</v>
      </c>
      <c r="I781" t="n">
        <v>0</v>
      </c>
      <c r="J781" t="n">
        <v>0</v>
      </c>
      <c r="K781" t="n">
        <v>0</v>
      </c>
      <c r="L781" t="n">
        <v>0</v>
      </c>
      <c r="M781" t="n">
        <v>0</v>
      </c>
      <c r="N781" t="n">
        <v>0</v>
      </c>
      <c r="O781" t="n">
        <v>0</v>
      </c>
      <c r="P781" t="n">
        <v>0</v>
      </c>
      <c r="Q781" t="n">
        <v>0</v>
      </c>
      <c r="R781" s="2" t="inlineStr"/>
    </row>
    <row r="782" ht="15" customHeight="1">
      <c r="A782" t="inlineStr">
        <is>
          <t>A 1464-2025</t>
        </is>
      </c>
      <c r="B782" s="1" t="n">
        <v>45670.365</v>
      </c>
      <c r="C782" s="1" t="n">
        <v>45991</v>
      </c>
      <c r="D782" t="inlineStr">
        <is>
          <t>VÄSTERNORRLANDS LÄN</t>
        </is>
      </c>
      <c r="E782" t="inlineStr">
        <is>
          <t>SOLLEFTEÅ</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45991</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15809-2022</t>
        </is>
      </c>
      <c r="B784" s="1" t="n">
        <v>44663</v>
      </c>
      <c r="C784" s="1" t="n">
        <v>45991</v>
      </c>
      <c r="D784" t="inlineStr">
        <is>
          <t>VÄSTERNORRLANDS LÄN</t>
        </is>
      </c>
      <c r="E784" t="inlineStr">
        <is>
          <t>SOLLEFTEÅ</t>
        </is>
      </c>
      <c r="F784" t="inlineStr">
        <is>
          <t>SCA</t>
        </is>
      </c>
      <c r="G784" t="n">
        <v>16.3</v>
      </c>
      <c r="H784" t="n">
        <v>0</v>
      </c>
      <c r="I784" t="n">
        <v>0</v>
      </c>
      <c r="J784" t="n">
        <v>0</v>
      </c>
      <c r="K784" t="n">
        <v>0</v>
      </c>
      <c r="L784" t="n">
        <v>0</v>
      </c>
      <c r="M784" t="n">
        <v>0</v>
      </c>
      <c r="N784" t="n">
        <v>0</v>
      </c>
      <c r="O784" t="n">
        <v>0</v>
      </c>
      <c r="P784" t="n">
        <v>0</v>
      </c>
      <c r="Q784" t="n">
        <v>0</v>
      </c>
      <c r="R784" s="2" t="inlineStr"/>
    </row>
    <row r="785" ht="15" customHeight="1">
      <c r="A785" t="inlineStr">
        <is>
          <t>A 48490-2024</t>
        </is>
      </c>
      <c r="B785" s="1" t="n">
        <v>45592</v>
      </c>
      <c r="C785" s="1" t="n">
        <v>45991</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48491-2024</t>
        </is>
      </c>
      <c r="B786" s="1" t="n">
        <v>45592</v>
      </c>
      <c r="C786" s="1" t="n">
        <v>45991</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16562-2023</t>
        </is>
      </c>
      <c r="B787" s="1" t="n">
        <v>45029</v>
      </c>
      <c r="C787" s="1" t="n">
        <v>45991</v>
      </c>
      <c r="D787" t="inlineStr">
        <is>
          <t>VÄSTERNORRLANDS LÄN</t>
        </is>
      </c>
      <c r="E787" t="inlineStr">
        <is>
          <t>SOLLEFTEÅ</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10549-2023</t>
        </is>
      </c>
      <c r="B788" s="1" t="n">
        <v>44987</v>
      </c>
      <c r="C788" s="1" t="n">
        <v>45991</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50844-2023</t>
        </is>
      </c>
      <c r="B789" s="1" t="n">
        <v>45217</v>
      </c>
      <c r="C789" s="1" t="n">
        <v>45991</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8099-2025</t>
        </is>
      </c>
      <c r="B790" s="1" t="n">
        <v>45707.69086805556</v>
      </c>
      <c r="C790" s="1" t="n">
        <v>45991</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62098-2023</t>
        </is>
      </c>
      <c r="B791" s="1" t="n">
        <v>45266</v>
      </c>
      <c r="C791" s="1" t="n">
        <v>45991</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60420-2022</t>
        </is>
      </c>
      <c r="B792" s="1" t="n">
        <v>44910</v>
      </c>
      <c r="C792" s="1" t="n">
        <v>45991</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24693-2025</t>
        </is>
      </c>
      <c r="B793" s="1" t="n">
        <v>45798.6775462963</v>
      </c>
      <c r="C793" s="1" t="n">
        <v>45991</v>
      </c>
      <c r="D793" t="inlineStr">
        <is>
          <t>VÄSTERNORRLANDS LÄN</t>
        </is>
      </c>
      <c r="E793" t="inlineStr">
        <is>
          <t>SOLLEFTEÅ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14712-2025</t>
        </is>
      </c>
      <c r="B794" s="1" t="n">
        <v>45742.61008101852</v>
      </c>
      <c r="C794" s="1" t="n">
        <v>45991</v>
      </c>
      <c r="D794" t="inlineStr">
        <is>
          <t>VÄSTERNORRLANDS LÄN</t>
        </is>
      </c>
      <c r="E794" t="inlineStr">
        <is>
          <t>SOLLEFTEÅ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61384-2022</t>
        </is>
      </c>
      <c r="B795" s="1" t="n">
        <v>44915</v>
      </c>
      <c r="C795" s="1" t="n">
        <v>45991</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38562-2025</t>
        </is>
      </c>
      <c r="B796" s="1" t="n">
        <v>45884.44865740741</v>
      </c>
      <c r="C796" s="1" t="n">
        <v>45991</v>
      </c>
      <c r="D796" t="inlineStr">
        <is>
          <t>VÄSTERNORRLANDS LÄN</t>
        </is>
      </c>
      <c r="E796" t="inlineStr">
        <is>
          <t>SOLLEFTEÅ</t>
        </is>
      </c>
      <c r="G796" t="n">
        <v>7.1</v>
      </c>
      <c r="H796" t="n">
        <v>0</v>
      </c>
      <c r="I796" t="n">
        <v>0</v>
      </c>
      <c r="J796" t="n">
        <v>0</v>
      </c>
      <c r="K796" t="n">
        <v>0</v>
      </c>
      <c r="L796" t="n">
        <v>0</v>
      </c>
      <c r="M796" t="n">
        <v>0</v>
      </c>
      <c r="N796" t="n">
        <v>0</v>
      </c>
      <c r="O796" t="n">
        <v>0</v>
      </c>
      <c r="P796" t="n">
        <v>0</v>
      </c>
      <c r="Q796" t="n">
        <v>0</v>
      </c>
      <c r="R796" s="2" t="inlineStr"/>
    </row>
    <row r="797" ht="15" customHeight="1">
      <c r="A797" t="inlineStr">
        <is>
          <t>A 23394-2021</t>
        </is>
      </c>
      <c r="B797" s="1" t="n">
        <v>44333</v>
      </c>
      <c r="C797" s="1" t="n">
        <v>45991</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36513-2023</t>
        </is>
      </c>
      <c r="B798" s="1" t="n">
        <v>45152.9537037037</v>
      </c>
      <c r="C798" s="1" t="n">
        <v>45991</v>
      </c>
      <c r="D798" t="inlineStr">
        <is>
          <t>VÄSTERNORRLANDS LÄN</t>
        </is>
      </c>
      <c r="E798" t="inlineStr">
        <is>
          <t>SOLLEFTEÅ</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24531-2025</t>
        </is>
      </c>
      <c r="B799" s="1" t="n">
        <v>45798.42810185185</v>
      </c>
      <c r="C799" s="1" t="n">
        <v>45991</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57019-2022</t>
        </is>
      </c>
      <c r="B800" s="1" t="n">
        <v>44894.95877314815</v>
      </c>
      <c r="C800" s="1" t="n">
        <v>45991</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24532-2025</t>
        </is>
      </c>
      <c r="B801" s="1" t="n">
        <v>45798.42820601852</v>
      </c>
      <c r="C801" s="1" t="n">
        <v>45991</v>
      </c>
      <c r="D801" t="inlineStr">
        <is>
          <t>VÄSTERNORRLANDS LÄN</t>
        </is>
      </c>
      <c r="E801" t="inlineStr">
        <is>
          <t>SOLLEFTEÅ</t>
        </is>
      </c>
      <c r="G801" t="n">
        <v>6.5</v>
      </c>
      <c r="H801" t="n">
        <v>0</v>
      </c>
      <c r="I801" t="n">
        <v>0</v>
      </c>
      <c r="J801" t="n">
        <v>0</v>
      </c>
      <c r="K801" t="n">
        <v>0</v>
      </c>
      <c r="L801" t="n">
        <v>0</v>
      </c>
      <c r="M801" t="n">
        <v>0</v>
      </c>
      <c r="N801" t="n">
        <v>0</v>
      </c>
      <c r="O801" t="n">
        <v>0</v>
      </c>
      <c r="P801" t="n">
        <v>0</v>
      </c>
      <c r="Q801" t="n">
        <v>0</v>
      </c>
      <c r="R801" s="2" t="inlineStr"/>
    </row>
    <row r="802" ht="15" customHeight="1">
      <c r="A802" t="inlineStr">
        <is>
          <t>A 51735-2024</t>
        </is>
      </c>
      <c r="B802" s="1" t="n">
        <v>45607.40127314815</v>
      </c>
      <c r="C802" s="1" t="n">
        <v>45991</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7003-2025</t>
        </is>
      </c>
      <c r="B803" s="1" t="n">
        <v>45701</v>
      </c>
      <c r="C803" s="1" t="n">
        <v>45991</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279-2023</t>
        </is>
      </c>
      <c r="B804" s="1" t="n">
        <v>44928</v>
      </c>
      <c r="C804" s="1" t="n">
        <v>45991</v>
      </c>
      <c r="D804" t="inlineStr">
        <is>
          <t>VÄSTERNORRLANDS LÄN</t>
        </is>
      </c>
      <c r="E804" t="inlineStr">
        <is>
          <t>SOLLEFTEÅ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24759-2025</t>
        </is>
      </c>
      <c r="B805" s="1" t="n">
        <v>45799.38284722222</v>
      </c>
      <c r="C805" s="1" t="n">
        <v>45991</v>
      </c>
      <c r="D805" t="inlineStr">
        <is>
          <t>VÄSTERNORRLANDS LÄN</t>
        </is>
      </c>
      <c r="E805" t="inlineStr">
        <is>
          <t>SOLLEFTEÅ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24760-2025</t>
        </is>
      </c>
      <c r="B806" s="1" t="n">
        <v>45799</v>
      </c>
      <c r="C806" s="1" t="n">
        <v>45991</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40354-2024</t>
        </is>
      </c>
      <c r="B807" s="1" t="n">
        <v>45555.36525462963</v>
      </c>
      <c r="C807" s="1" t="n">
        <v>45991</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24596-2023</t>
        </is>
      </c>
      <c r="B808" s="1" t="n">
        <v>45083.94011574074</v>
      </c>
      <c r="C808" s="1" t="n">
        <v>45991</v>
      </c>
      <c r="D808" t="inlineStr">
        <is>
          <t>VÄSTERNORRLANDS LÄN</t>
        </is>
      </c>
      <c r="E808" t="inlineStr">
        <is>
          <t>SOLLEFTEÅ</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24730-2025</t>
        </is>
      </c>
      <c r="B809" s="1" t="n">
        <v>45799.34150462963</v>
      </c>
      <c r="C809" s="1" t="n">
        <v>45991</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45991</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44392-2023</t>
        </is>
      </c>
      <c r="B811" s="1" t="n">
        <v>45188.94527777778</v>
      </c>
      <c r="C811" s="1" t="n">
        <v>45991</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44045-2022</t>
        </is>
      </c>
      <c r="B812" s="1" t="n">
        <v>44838</v>
      </c>
      <c r="C812" s="1" t="n">
        <v>45991</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58179-2021</t>
        </is>
      </c>
      <c r="B813" s="1" t="n">
        <v>44487</v>
      </c>
      <c r="C813" s="1" t="n">
        <v>45991</v>
      </c>
      <c r="D813" t="inlineStr">
        <is>
          <t>VÄSTERNORRLANDS LÄN</t>
        </is>
      </c>
      <c r="E813" t="inlineStr">
        <is>
          <t>SOLLEFTEÅ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38560-2025</t>
        </is>
      </c>
      <c r="B814" s="1" t="n">
        <v>45884.44844907407</v>
      </c>
      <c r="C814" s="1" t="n">
        <v>45991</v>
      </c>
      <c r="D814" t="inlineStr">
        <is>
          <t>VÄSTERNORRLANDS LÄN</t>
        </is>
      </c>
      <c r="E814" t="inlineStr">
        <is>
          <t>SOLLEFTEÅ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38561-2025</t>
        </is>
      </c>
      <c r="B815" s="1" t="n">
        <v>45884.44849537037</v>
      </c>
      <c r="C815" s="1" t="n">
        <v>45991</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24787-2025</t>
        </is>
      </c>
      <c r="B816" s="1" t="n">
        <v>45799.42791666667</v>
      </c>
      <c r="C816" s="1" t="n">
        <v>45991</v>
      </c>
      <c r="D816" t="inlineStr">
        <is>
          <t>VÄSTERNORRLANDS LÄN</t>
        </is>
      </c>
      <c r="E816" t="inlineStr">
        <is>
          <t>SOLLEFTEÅ</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25313-2025</t>
        </is>
      </c>
      <c r="B817" s="1" t="n">
        <v>45799</v>
      </c>
      <c r="C817" s="1" t="n">
        <v>45991</v>
      </c>
      <c r="D817" t="inlineStr">
        <is>
          <t>VÄSTERNORRLANDS LÄN</t>
        </is>
      </c>
      <c r="E817" t="inlineStr">
        <is>
          <t>SOLLEFTEÅ</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24488-2025</t>
        </is>
      </c>
      <c r="B818" s="1" t="n">
        <v>45798.38576388889</v>
      </c>
      <c r="C818" s="1" t="n">
        <v>45991</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20507-2024</t>
        </is>
      </c>
      <c r="B819" s="1" t="n">
        <v>45435</v>
      </c>
      <c r="C819" s="1" t="n">
        <v>45991</v>
      </c>
      <c r="D819" t="inlineStr">
        <is>
          <t>VÄSTERNORRLANDS LÄN</t>
        </is>
      </c>
      <c r="E819" t="inlineStr">
        <is>
          <t>SOLLEFTEÅ</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38931-2025</t>
        </is>
      </c>
      <c r="B820" s="1" t="n">
        <v>45887.63664351852</v>
      </c>
      <c r="C820" s="1" t="n">
        <v>45991</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24552-2025</t>
        </is>
      </c>
      <c r="B821" s="1" t="n">
        <v>45798.44865740741</v>
      </c>
      <c r="C821" s="1" t="n">
        <v>45991</v>
      </c>
      <c r="D821" t="inlineStr">
        <is>
          <t>VÄSTERNORRLANDS LÄN</t>
        </is>
      </c>
      <c r="E821" t="inlineStr">
        <is>
          <t>SOLLEFTEÅ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4935-2025</t>
        </is>
      </c>
      <c r="B822" s="1" t="n">
        <v>45688.68496527777</v>
      </c>
      <c r="C822" s="1" t="n">
        <v>45991</v>
      </c>
      <c r="D822" t="inlineStr">
        <is>
          <t>VÄSTERNORRLANDS LÄN</t>
        </is>
      </c>
      <c r="E822" t="inlineStr">
        <is>
          <t>SOLLEFTEÅ</t>
        </is>
      </c>
      <c r="G822" t="n">
        <v>6.5</v>
      </c>
      <c r="H822" t="n">
        <v>0</v>
      </c>
      <c r="I822" t="n">
        <v>0</v>
      </c>
      <c r="J822" t="n">
        <v>0</v>
      </c>
      <c r="K822" t="n">
        <v>0</v>
      </c>
      <c r="L822" t="n">
        <v>0</v>
      </c>
      <c r="M822" t="n">
        <v>0</v>
      </c>
      <c r="N822" t="n">
        <v>0</v>
      </c>
      <c r="O822" t="n">
        <v>0</v>
      </c>
      <c r="P822" t="n">
        <v>0</v>
      </c>
      <c r="Q822" t="n">
        <v>0</v>
      </c>
      <c r="R822" s="2" t="inlineStr"/>
    </row>
    <row r="823" ht="15" customHeight="1">
      <c r="A823" t="inlineStr">
        <is>
          <t>A 24530-2025</t>
        </is>
      </c>
      <c r="B823" s="1" t="n">
        <v>45798.42799768518</v>
      </c>
      <c r="C823" s="1" t="n">
        <v>45991</v>
      </c>
      <c r="D823" t="inlineStr">
        <is>
          <t>VÄSTERNORRLANDS LÄN</t>
        </is>
      </c>
      <c r="E823" t="inlineStr">
        <is>
          <t>SOLLEFTEÅ</t>
        </is>
      </c>
      <c r="G823" t="n">
        <v>1.9</v>
      </c>
      <c r="H823" t="n">
        <v>0</v>
      </c>
      <c r="I823" t="n">
        <v>0</v>
      </c>
      <c r="J823" t="n">
        <v>0</v>
      </c>
      <c r="K823" t="n">
        <v>0</v>
      </c>
      <c r="L823" t="n">
        <v>0</v>
      </c>
      <c r="M823" t="n">
        <v>0</v>
      </c>
      <c r="N823" t="n">
        <v>0</v>
      </c>
      <c r="O823" t="n">
        <v>0</v>
      </c>
      <c r="P823" t="n">
        <v>0</v>
      </c>
      <c r="Q823" t="n">
        <v>0</v>
      </c>
      <c r="R823" s="2" t="inlineStr"/>
    </row>
    <row r="824" ht="15" customHeight="1">
      <c r="A824" t="inlineStr">
        <is>
          <t>A 59371-2022</t>
        </is>
      </c>
      <c r="B824" s="1" t="n">
        <v>44904</v>
      </c>
      <c r="C824" s="1" t="n">
        <v>45991</v>
      </c>
      <c r="D824" t="inlineStr">
        <is>
          <t>VÄSTERNORRLANDS LÄN</t>
        </is>
      </c>
      <c r="E824" t="inlineStr">
        <is>
          <t>SOLLEFTEÅ</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54307-2023</t>
        </is>
      </c>
      <c r="B825" s="1" t="n">
        <v>45225</v>
      </c>
      <c r="C825" s="1" t="n">
        <v>45991</v>
      </c>
      <c r="D825" t="inlineStr">
        <is>
          <t>VÄSTERNORRLANDS LÄN</t>
        </is>
      </c>
      <c r="E825" t="inlineStr">
        <is>
          <t>SOLLEFTEÅ</t>
        </is>
      </c>
      <c r="G825" t="n">
        <v>2.9</v>
      </c>
      <c r="H825" t="n">
        <v>0</v>
      </c>
      <c r="I825" t="n">
        <v>0</v>
      </c>
      <c r="J825" t="n">
        <v>0</v>
      </c>
      <c r="K825" t="n">
        <v>0</v>
      </c>
      <c r="L825" t="n">
        <v>0</v>
      </c>
      <c r="M825" t="n">
        <v>0</v>
      </c>
      <c r="N825" t="n">
        <v>0</v>
      </c>
      <c r="O825" t="n">
        <v>0</v>
      </c>
      <c r="P825" t="n">
        <v>0</v>
      </c>
      <c r="Q825" t="n">
        <v>0</v>
      </c>
      <c r="R825" s="2" t="inlineStr"/>
    </row>
    <row r="826" ht="15" customHeight="1">
      <c r="A826" t="inlineStr">
        <is>
          <t>A 5255-2024</t>
        </is>
      </c>
      <c r="B826" s="1" t="n">
        <v>45330</v>
      </c>
      <c r="C826" s="1" t="n">
        <v>45991</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38492-2025</t>
        </is>
      </c>
      <c r="B827" s="1" t="n">
        <v>45884.36496527777</v>
      </c>
      <c r="C827" s="1" t="n">
        <v>45991</v>
      </c>
      <c r="D827" t="inlineStr">
        <is>
          <t>VÄSTERNORRLANDS LÄN</t>
        </is>
      </c>
      <c r="E827" t="inlineStr">
        <is>
          <t>SOLLEFTEÅ</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47177-2023</t>
        </is>
      </c>
      <c r="B828" s="1" t="n">
        <v>45201</v>
      </c>
      <c r="C828" s="1" t="n">
        <v>45991</v>
      </c>
      <c r="D828" t="inlineStr">
        <is>
          <t>VÄSTERNORRLANDS LÄN</t>
        </is>
      </c>
      <c r="E828" t="inlineStr">
        <is>
          <t>SOLLEFTEÅ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25238-2025</t>
        </is>
      </c>
      <c r="B829" s="1" t="n">
        <v>45800.49016203704</v>
      </c>
      <c r="C829" s="1" t="n">
        <v>45991</v>
      </c>
      <c r="D829" t="inlineStr">
        <is>
          <t>VÄSTERNORRLANDS LÄN</t>
        </is>
      </c>
      <c r="E829" t="inlineStr">
        <is>
          <t>SOLLEFTEÅ</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56260-2023</t>
        </is>
      </c>
      <c r="B830" s="1" t="n">
        <v>45240</v>
      </c>
      <c r="C830" s="1" t="n">
        <v>45991</v>
      </c>
      <c r="D830" t="inlineStr">
        <is>
          <t>VÄSTERNORRLANDS LÄN</t>
        </is>
      </c>
      <c r="E830" t="inlineStr">
        <is>
          <t>SOLLEFTEÅ</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25517-2025</t>
        </is>
      </c>
      <c r="B831" s="1" t="n">
        <v>45803.37570601852</v>
      </c>
      <c r="C831" s="1" t="n">
        <v>45991</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25145-2025</t>
        </is>
      </c>
      <c r="B832" s="1" t="n">
        <v>45800</v>
      </c>
      <c r="C832" s="1" t="n">
        <v>45991</v>
      </c>
      <c r="D832" t="inlineStr">
        <is>
          <t>VÄSTERNORRLANDS LÄN</t>
        </is>
      </c>
      <c r="E832" t="inlineStr">
        <is>
          <t>SOLLEFTEÅ</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10428-2023</t>
        </is>
      </c>
      <c r="B833" s="1" t="n">
        <v>44981</v>
      </c>
      <c r="C833" s="1" t="n">
        <v>45991</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27943-2022</t>
        </is>
      </c>
      <c r="B834" s="1" t="n">
        <v>44743</v>
      </c>
      <c r="C834" s="1" t="n">
        <v>45991</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25297-2025</t>
        </is>
      </c>
      <c r="B835" s="1" t="n">
        <v>45800.5684837963</v>
      </c>
      <c r="C835" s="1" t="n">
        <v>45991</v>
      </c>
      <c r="D835" t="inlineStr">
        <is>
          <t>VÄSTERNORRLANDS LÄN</t>
        </is>
      </c>
      <c r="E835" t="inlineStr">
        <is>
          <t>SOLLEFTEÅ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25132-2025</t>
        </is>
      </c>
      <c r="B836" s="1" t="n">
        <v>45800</v>
      </c>
      <c r="C836" s="1" t="n">
        <v>45991</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326-2025</t>
        </is>
      </c>
      <c r="B837" s="1" t="n">
        <v>45660.65653935185</v>
      </c>
      <c r="C837" s="1" t="n">
        <v>45991</v>
      </c>
      <c r="D837" t="inlineStr">
        <is>
          <t>VÄSTERNORRLANDS LÄN</t>
        </is>
      </c>
      <c r="E837" t="inlineStr">
        <is>
          <t>SOLLEFTEÅ</t>
        </is>
      </c>
      <c r="F837" t="inlineStr">
        <is>
          <t>SCA</t>
        </is>
      </c>
      <c r="G837" t="n">
        <v>5.1</v>
      </c>
      <c r="H837" t="n">
        <v>0</v>
      </c>
      <c r="I837" t="n">
        <v>0</v>
      </c>
      <c r="J837" t="n">
        <v>0</v>
      </c>
      <c r="K837" t="n">
        <v>0</v>
      </c>
      <c r="L837" t="n">
        <v>0</v>
      </c>
      <c r="M837" t="n">
        <v>0</v>
      </c>
      <c r="N837" t="n">
        <v>0</v>
      </c>
      <c r="O837" t="n">
        <v>0</v>
      </c>
      <c r="P837" t="n">
        <v>0</v>
      </c>
      <c r="Q837" t="n">
        <v>0</v>
      </c>
      <c r="R837" s="2" t="inlineStr"/>
    </row>
    <row r="838" ht="15" customHeight="1">
      <c r="A838" t="inlineStr">
        <is>
          <t>A 12107-2023</t>
        </is>
      </c>
      <c r="B838" s="1" t="n">
        <v>44995</v>
      </c>
      <c r="C838" s="1" t="n">
        <v>45991</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25833-2025</t>
        </is>
      </c>
      <c r="B839" s="1" t="n">
        <v>45804.44827546296</v>
      </c>
      <c r="C839" s="1" t="n">
        <v>45991</v>
      </c>
      <c r="D839" t="inlineStr">
        <is>
          <t>VÄSTERNORRLANDS LÄN</t>
        </is>
      </c>
      <c r="E839" t="inlineStr">
        <is>
          <t>SOLLEFTEÅ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39433-2025</t>
        </is>
      </c>
      <c r="B840" s="1" t="n">
        <v>45889.67799768518</v>
      </c>
      <c r="C840" s="1" t="n">
        <v>45991</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39195-2025</t>
        </is>
      </c>
      <c r="B841" s="1" t="n">
        <v>45888</v>
      </c>
      <c r="C841" s="1" t="n">
        <v>45991</v>
      </c>
      <c r="D841" t="inlineStr">
        <is>
          <t>VÄSTERNORRLANDS LÄN</t>
        </is>
      </c>
      <c r="E841" t="inlineStr">
        <is>
          <t>SOLLEFTEÅ</t>
        </is>
      </c>
      <c r="G841" t="n">
        <v>4.7</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45991</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55439-2024</t>
        </is>
      </c>
      <c r="B843" s="1" t="n">
        <v>45622.40663194445</v>
      </c>
      <c r="C843" s="1" t="n">
        <v>45991</v>
      </c>
      <c r="D843" t="inlineStr">
        <is>
          <t>VÄSTERNORRLANDS LÄN</t>
        </is>
      </c>
      <c r="E843" t="inlineStr">
        <is>
          <t>SOLLEFTEÅ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25243-2025</t>
        </is>
      </c>
      <c r="B844" s="1" t="n">
        <v>45800.49063657408</v>
      </c>
      <c r="C844" s="1" t="n">
        <v>45991</v>
      </c>
      <c r="D844" t="inlineStr">
        <is>
          <t>VÄSTERNORRLANDS LÄN</t>
        </is>
      </c>
      <c r="E844" t="inlineStr">
        <is>
          <t>SOLLEFTEÅ</t>
        </is>
      </c>
      <c r="G844" t="n">
        <v>3.2</v>
      </c>
      <c r="H844" t="n">
        <v>0</v>
      </c>
      <c r="I844" t="n">
        <v>0</v>
      </c>
      <c r="J844" t="n">
        <v>0</v>
      </c>
      <c r="K844" t="n">
        <v>0</v>
      </c>
      <c r="L844" t="n">
        <v>0</v>
      </c>
      <c r="M844" t="n">
        <v>0</v>
      </c>
      <c r="N844" t="n">
        <v>0</v>
      </c>
      <c r="O844" t="n">
        <v>0</v>
      </c>
      <c r="P844" t="n">
        <v>0</v>
      </c>
      <c r="Q844" t="n">
        <v>0</v>
      </c>
      <c r="R844" s="2" t="inlineStr"/>
    </row>
    <row r="845" ht="15" customHeight="1">
      <c r="A845" t="inlineStr">
        <is>
          <t>A 73367-2021</t>
        </is>
      </c>
      <c r="B845" s="1" t="n">
        <v>44550</v>
      </c>
      <c r="C845" s="1" t="n">
        <v>45991</v>
      </c>
      <c r="D845" t="inlineStr">
        <is>
          <t>VÄSTERNORRLANDS LÄN</t>
        </is>
      </c>
      <c r="E845" t="inlineStr">
        <is>
          <t>SOLLEFTEÅ</t>
        </is>
      </c>
      <c r="G845" t="n">
        <v>10.8</v>
      </c>
      <c r="H845" t="n">
        <v>0</v>
      </c>
      <c r="I845" t="n">
        <v>0</v>
      </c>
      <c r="J845" t="n">
        <v>0</v>
      </c>
      <c r="K845" t="n">
        <v>0</v>
      </c>
      <c r="L845" t="n">
        <v>0</v>
      </c>
      <c r="M845" t="n">
        <v>0</v>
      </c>
      <c r="N845" t="n">
        <v>0</v>
      </c>
      <c r="O845" t="n">
        <v>0</v>
      </c>
      <c r="P845" t="n">
        <v>0</v>
      </c>
      <c r="Q845" t="n">
        <v>0</v>
      </c>
      <c r="R845" s="2" t="inlineStr"/>
    </row>
    <row r="846" ht="15" customHeight="1">
      <c r="A846" t="inlineStr">
        <is>
          <t>A 295-2025</t>
        </is>
      </c>
      <c r="B846" s="1" t="n">
        <v>45660.53206018519</v>
      </c>
      <c r="C846" s="1" t="n">
        <v>45991</v>
      </c>
      <c r="D846" t="inlineStr">
        <is>
          <t>VÄSTERNORRLANDS LÄN</t>
        </is>
      </c>
      <c r="E846" t="inlineStr">
        <is>
          <t>SOLLEFTEÅ</t>
        </is>
      </c>
      <c r="F846" t="inlineStr">
        <is>
          <t>SCA</t>
        </is>
      </c>
      <c r="G846" t="n">
        <v>30.7</v>
      </c>
      <c r="H846" t="n">
        <v>0</v>
      </c>
      <c r="I846" t="n">
        <v>0</v>
      </c>
      <c r="J846" t="n">
        <v>0</v>
      </c>
      <c r="K846" t="n">
        <v>0</v>
      </c>
      <c r="L846" t="n">
        <v>0</v>
      </c>
      <c r="M846" t="n">
        <v>0</v>
      </c>
      <c r="N846" t="n">
        <v>0</v>
      </c>
      <c r="O846" t="n">
        <v>0</v>
      </c>
      <c r="P846" t="n">
        <v>0</v>
      </c>
      <c r="Q846" t="n">
        <v>0</v>
      </c>
      <c r="R846" s="2" t="inlineStr"/>
    </row>
    <row r="847" ht="15" customHeight="1">
      <c r="A847" t="inlineStr">
        <is>
          <t>A 25963-2025</t>
        </is>
      </c>
      <c r="B847" s="1" t="n">
        <v>45804.61568287037</v>
      </c>
      <c r="C847" s="1" t="n">
        <v>45991</v>
      </c>
      <c r="D847" t="inlineStr">
        <is>
          <t>VÄSTERNORRLANDS LÄN</t>
        </is>
      </c>
      <c r="E847" t="inlineStr">
        <is>
          <t>SOLLEFTEÅ</t>
        </is>
      </c>
      <c r="G847" t="n">
        <v>4.3</v>
      </c>
      <c r="H847" t="n">
        <v>0</v>
      </c>
      <c r="I847" t="n">
        <v>0</v>
      </c>
      <c r="J847" t="n">
        <v>0</v>
      </c>
      <c r="K847" t="n">
        <v>0</v>
      </c>
      <c r="L847" t="n">
        <v>0</v>
      </c>
      <c r="M847" t="n">
        <v>0</v>
      </c>
      <c r="N847" t="n">
        <v>0</v>
      </c>
      <c r="O847" t="n">
        <v>0</v>
      </c>
      <c r="P847" t="n">
        <v>0</v>
      </c>
      <c r="Q847" t="n">
        <v>0</v>
      </c>
      <c r="R847" s="2" t="inlineStr"/>
    </row>
    <row r="848" ht="15" customHeight="1">
      <c r="A848" t="inlineStr">
        <is>
          <t>A 48088-2023</t>
        </is>
      </c>
      <c r="B848" s="1" t="n">
        <v>45204.94657407407</v>
      </c>
      <c r="C848" s="1" t="n">
        <v>45991</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40819-2024</t>
        </is>
      </c>
      <c r="B849" s="1" t="n">
        <v>45558.55271990741</v>
      </c>
      <c r="C849" s="1" t="n">
        <v>45991</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25242-2025</t>
        </is>
      </c>
      <c r="B850" s="1" t="n">
        <v>45800.49059027778</v>
      </c>
      <c r="C850" s="1" t="n">
        <v>45991</v>
      </c>
      <c r="D850" t="inlineStr">
        <is>
          <t>VÄSTERNORRLANDS LÄN</t>
        </is>
      </c>
      <c r="E850" t="inlineStr">
        <is>
          <t>SOLLEFTEÅ</t>
        </is>
      </c>
      <c r="G850" t="n">
        <v>4</v>
      </c>
      <c r="H850" t="n">
        <v>0</v>
      </c>
      <c r="I850" t="n">
        <v>0</v>
      </c>
      <c r="J850" t="n">
        <v>0</v>
      </c>
      <c r="K850" t="n">
        <v>0</v>
      </c>
      <c r="L850" t="n">
        <v>0</v>
      </c>
      <c r="M850" t="n">
        <v>0</v>
      </c>
      <c r="N850" t="n">
        <v>0</v>
      </c>
      <c r="O850" t="n">
        <v>0</v>
      </c>
      <c r="P850" t="n">
        <v>0</v>
      </c>
      <c r="Q850" t="n">
        <v>0</v>
      </c>
      <c r="R850" s="2" t="inlineStr"/>
    </row>
    <row r="851" ht="15" customHeight="1">
      <c r="A851" t="inlineStr">
        <is>
          <t>A 64115-2023</t>
        </is>
      </c>
      <c r="B851" s="1" t="n">
        <v>45279</v>
      </c>
      <c r="C851" s="1" t="n">
        <v>45991</v>
      </c>
      <c r="D851" t="inlineStr">
        <is>
          <t>VÄSTERNORRLANDS LÄN</t>
        </is>
      </c>
      <c r="E851" t="inlineStr">
        <is>
          <t>SOLLEFTEÅ</t>
        </is>
      </c>
      <c r="G851" t="n">
        <v>16.1</v>
      </c>
      <c r="H851" t="n">
        <v>0</v>
      </c>
      <c r="I851" t="n">
        <v>0</v>
      </c>
      <c r="J851" t="n">
        <v>0</v>
      </c>
      <c r="K851" t="n">
        <v>0</v>
      </c>
      <c r="L851" t="n">
        <v>0</v>
      </c>
      <c r="M851" t="n">
        <v>0</v>
      </c>
      <c r="N851" t="n">
        <v>0</v>
      </c>
      <c r="O851" t="n">
        <v>0</v>
      </c>
      <c r="P851" t="n">
        <v>0</v>
      </c>
      <c r="Q851" t="n">
        <v>0</v>
      </c>
      <c r="R851" s="2" t="inlineStr"/>
    </row>
    <row r="852" ht="15" customHeight="1">
      <c r="A852" t="inlineStr">
        <is>
          <t>A 4895-2025</t>
        </is>
      </c>
      <c r="B852" s="1" t="n">
        <v>45688.67891203704</v>
      </c>
      <c r="C852" s="1" t="n">
        <v>45991</v>
      </c>
      <c r="D852" t="inlineStr">
        <is>
          <t>VÄSTERNORRLANDS LÄN</t>
        </is>
      </c>
      <c r="E852" t="inlineStr">
        <is>
          <t>SOLLEFTEÅ</t>
        </is>
      </c>
      <c r="F852" t="inlineStr">
        <is>
          <t>SCA</t>
        </is>
      </c>
      <c r="G852" t="n">
        <v>0.3</v>
      </c>
      <c r="H852" t="n">
        <v>0</v>
      </c>
      <c r="I852" t="n">
        <v>0</v>
      </c>
      <c r="J852" t="n">
        <v>0</v>
      </c>
      <c r="K852" t="n">
        <v>0</v>
      </c>
      <c r="L852" t="n">
        <v>0</v>
      </c>
      <c r="M852" t="n">
        <v>0</v>
      </c>
      <c r="N852" t="n">
        <v>0</v>
      </c>
      <c r="O852" t="n">
        <v>0</v>
      </c>
      <c r="P852" t="n">
        <v>0</v>
      </c>
      <c r="Q852" t="n">
        <v>0</v>
      </c>
      <c r="R852" s="2" t="inlineStr"/>
    </row>
    <row r="853" ht="15" customHeight="1">
      <c r="A853" t="inlineStr">
        <is>
          <t>A 4909-2025</t>
        </is>
      </c>
      <c r="B853" s="1" t="n">
        <v>45688</v>
      </c>
      <c r="C853" s="1" t="n">
        <v>45991</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64133-2023</t>
        </is>
      </c>
      <c r="B854" s="1" t="n">
        <v>45279</v>
      </c>
      <c r="C854" s="1" t="n">
        <v>45991</v>
      </c>
      <c r="D854" t="inlineStr">
        <is>
          <t>VÄSTERNORRLANDS LÄN</t>
        </is>
      </c>
      <c r="E854" t="inlineStr">
        <is>
          <t>SOLLEFTEÅ</t>
        </is>
      </c>
      <c r="G854" t="n">
        <v>3.7</v>
      </c>
      <c r="H854" t="n">
        <v>0</v>
      </c>
      <c r="I854" t="n">
        <v>0</v>
      </c>
      <c r="J854" t="n">
        <v>0</v>
      </c>
      <c r="K854" t="n">
        <v>0</v>
      </c>
      <c r="L854" t="n">
        <v>0</v>
      </c>
      <c r="M854" t="n">
        <v>0</v>
      </c>
      <c r="N854" t="n">
        <v>0</v>
      </c>
      <c r="O854" t="n">
        <v>0</v>
      </c>
      <c r="P854" t="n">
        <v>0</v>
      </c>
      <c r="Q854" t="n">
        <v>0</v>
      </c>
      <c r="R854" s="2" t="inlineStr"/>
    </row>
    <row r="855" ht="15" customHeight="1">
      <c r="A855" t="inlineStr">
        <is>
          <t>A 14718-2023</t>
        </is>
      </c>
      <c r="B855" s="1" t="n">
        <v>45012</v>
      </c>
      <c r="C855" s="1" t="n">
        <v>45991</v>
      </c>
      <c r="D855" t="inlineStr">
        <is>
          <t>VÄSTERNORRLANDS LÄN</t>
        </is>
      </c>
      <c r="E855" t="inlineStr">
        <is>
          <t>SOLLEFTEÅ</t>
        </is>
      </c>
      <c r="G855" t="n">
        <v>6</v>
      </c>
      <c r="H855" t="n">
        <v>0</v>
      </c>
      <c r="I855" t="n">
        <v>0</v>
      </c>
      <c r="J855" t="n">
        <v>0</v>
      </c>
      <c r="K855" t="n">
        <v>0</v>
      </c>
      <c r="L855" t="n">
        <v>0</v>
      </c>
      <c r="M855" t="n">
        <v>0</v>
      </c>
      <c r="N855" t="n">
        <v>0</v>
      </c>
      <c r="O855" t="n">
        <v>0</v>
      </c>
      <c r="P855" t="n">
        <v>0</v>
      </c>
      <c r="Q855" t="n">
        <v>0</v>
      </c>
      <c r="R855" s="2" t="inlineStr"/>
    </row>
    <row r="856" ht="15" customHeight="1">
      <c r="A856" t="inlineStr">
        <is>
          <t>A 25939-2025</t>
        </is>
      </c>
      <c r="B856" s="1" t="n">
        <v>45804.5943287037</v>
      </c>
      <c r="C856" s="1" t="n">
        <v>45991</v>
      </c>
      <c r="D856" t="inlineStr">
        <is>
          <t>VÄSTERNORRLANDS LÄN</t>
        </is>
      </c>
      <c r="E856" t="inlineStr">
        <is>
          <t>SOLLEFTEÅ</t>
        </is>
      </c>
      <c r="F856" t="inlineStr">
        <is>
          <t>SCA</t>
        </is>
      </c>
      <c r="G856" t="n">
        <v>11.3</v>
      </c>
      <c r="H856" t="n">
        <v>0</v>
      </c>
      <c r="I856" t="n">
        <v>0</v>
      </c>
      <c r="J856" t="n">
        <v>0</v>
      </c>
      <c r="K856" t="n">
        <v>0</v>
      </c>
      <c r="L856" t="n">
        <v>0</v>
      </c>
      <c r="M856" t="n">
        <v>0</v>
      </c>
      <c r="N856" t="n">
        <v>0</v>
      </c>
      <c r="O856" t="n">
        <v>0</v>
      </c>
      <c r="P856" t="n">
        <v>0</v>
      </c>
      <c r="Q856" t="n">
        <v>0</v>
      </c>
      <c r="R856" s="2" t="inlineStr"/>
    </row>
    <row r="857" ht="15" customHeight="1">
      <c r="A857" t="inlineStr">
        <is>
          <t>A 26088-2025</t>
        </is>
      </c>
      <c r="B857" s="1" t="n">
        <v>45805.34497685185</v>
      </c>
      <c r="C857" s="1" t="n">
        <v>45991</v>
      </c>
      <c r="D857" t="inlineStr">
        <is>
          <t>VÄSTERNORRLANDS LÄN</t>
        </is>
      </c>
      <c r="E857" t="inlineStr">
        <is>
          <t>SOLLEFTEÅ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45991</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45991</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10725-2025</t>
        </is>
      </c>
      <c r="B860" s="1" t="n">
        <v>45722</v>
      </c>
      <c r="C860" s="1" t="n">
        <v>45991</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61790-2024</t>
        </is>
      </c>
      <c r="B861" s="1" t="n">
        <v>45649</v>
      </c>
      <c r="C861" s="1" t="n">
        <v>45991</v>
      </c>
      <c r="D861" t="inlineStr">
        <is>
          <t>VÄSTERNORRLANDS LÄN</t>
        </is>
      </c>
      <c r="E861" t="inlineStr">
        <is>
          <t>SOLLEFTEÅ</t>
        </is>
      </c>
      <c r="F861" t="inlineStr">
        <is>
          <t>Övriga statliga verk och myndigheter</t>
        </is>
      </c>
      <c r="G861" t="n">
        <v>3.5</v>
      </c>
      <c r="H861" t="n">
        <v>0</v>
      </c>
      <c r="I861" t="n">
        <v>0</v>
      </c>
      <c r="J861" t="n">
        <v>0</v>
      </c>
      <c r="K861" t="n">
        <v>0</v>
      </c>
      <c r="L861" t="n">
        <v>0</v>
      </c>
      <c r="M861" t="n">
        <v>0</v>
      </c>
      <c r="N861" t="n">
        <v>0</v>
      </c>
      <c r="O861" t="n">
        <v>0</v>
      </c>
      <c r="P861" t="n">
        <v>0</v>
      </c>
      <c r="Q861" t="n">
        <v>0</v>
      </c>
      <c r="R861" s="2" t="inlineStr"/>
    </row>
    <row r="862" ht="15" customHeight="1">
      <c r="A862" t="inlineStr">
        <is>
          <t>A 31562-2024</t>
        </is>
      </c>
      <c r="B862" s="1" t="n">
        <v>45505</v>
      </c>
      <c r="C862" s="1" t="n">
        <v>45991</v>
      </c>
      <c r="D862" t="inlineStr">
        <is>
          <t>VÄSTERNORRLANDS LÄN</t>
        </is>
      </c>
      <c r="E862" t="inlineStr">
        <is>
          <t>SOLLEFTEÅ</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25854-2025</t>
        </is>
      </c>
      <c r="B863" s="1" t="n">
        <v>45804.46920138889</v>
      </c>
      <c r="C863" s="1" t="n">
        <v>45991</v>
      </c>
      <c r="D863" t="inlineStr">
        <is>
          <t>VÄSTERNORRLANDS LÄN</t>
        </is>
      </c>
      <c r="E863" t="inlineStr">
        <is>
          <t>SOLLEFTEÅ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47965-2024</t>
        </is>
      </c>
      <c r="B864" s="1" t="n">
        <v>45589.38638888889</v>
      </c>
      <c r="C864" s="1" t="n">
        <v>45991</v>
      </c>
      <c r="D864" t="inlineStr">
        <is>
          <t>VÄSTERNORRLANDS LÄN</t>
        </is>
      </c>
      <c r="E864" t="inlineStr">
        <is>
          <t>SOLLEFTEÅ</t>
        </is>
      </c>
      <c r="G864" t="n">
        <v>3.4</v>
      </c>
      <c r="H864" t="n">
        <v>0</v>
      </c>
      <c r="I864" t="n">
        <v>0</v>
      </c>
      <c r="J864" t="n">
        <v>0</v>
      </c>
      <c r="K864" t="n">
        <v>0</v>
      </c>
      <c r="L864" t="n">
        <v>0</v>
      </c>
      <c r="M864" t="n">
        <v>0</v>
      </c>
      <c r="N864" t="n">
        <v>0</v>
      </c>
      <c r="O864" t="n">
        <v>0</v>
      </c>
      <c r="P864" t="n">
        <v>0</v>
      </c>
      <c r="Q864" t="n">
        <v>0</v>
      </c>
      <c r="R864" s="2" t="inlineStr"/>
    </row>
    <row r="865" ht="15" customHeight="1">
      <c r="A865" t="inlineStr">
        <is>
          <t>A 27593-2022</t>
        </is>
      </c>
      <c r="B865" s="1" t="n">
        <v>44742</v>
      </c>
      <c r="C865" s="1" t="n">
        <v>45991</v>
      </c>
      <c r="D865" t="inlineStr">
        <is>
          <t>VÄSTERNORRLANDS LÄN</t>
        </is>
      </c>
      <c r="E865" t="inlineStr">
        <is>
          <t>SOLLEFTEÅ</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52438-2024</t>
        </is>
      </c>
      <c r="B866" s="1" t="n">
        <v>45609.48300925926</v>
      </c>
      <c r="C866" s="1" t="n">
        <v>45991</v>
      </c>
      <c r="D866" t="inlineStr">
        <is>
          <t>VÄSTERNORRLANDS LÄN</t>
        </is>
      </c>
      <c r="E866" t="inlineStr">
        <is>
          <t>SOLLEFTEÅ</t>
        </is>
      </c>
      <c r="G866" t="n">
        <v>1</v>
      </c>
      <c r="H866" t="n">
        <v>0</v>
      </c>
      <c r="I866" t="n">
        <v>0</v>
      </c>
      <c r="J866" t="n">
        <v>0</v>
      </c>
      <c r="K866" t="n">
        <v>0</v>
      </c>
      <c r="L866" t="n">
        <v>0</v>
      </c>
      <c r="M866" t="n">
        <v>0</v>
      </c>
      <c r="N866" t="n">
        <v>0</v>
      </c>
      <c r="O866" t="n">
        <v>0</v>
      </c>
      <c r="P866" t="n">
        <v>0</v>
      </c>
      <c r="Q866" t="n">
        <v>0</v>
      </c>
      <c r="R866" s="2" t="inlineStr"/>
    </row>
    <row r="867" ht="15" customHeight="1">
      <c r="A867" t="inlineStr">
        <is>
          <t>A 40115-2023</t>
        </is>
      </c>
      <c r="B867" s="1" t="n">
        <v>45168.93859953704</v>
      </c>
      <c r="C867" s="1" t="n">
        <v>45991</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17096-2025</t>
        </is>
      </c>
      <c r="B868" s="1" t="n">
        <v>45755.65662037037</v>
      </c>
      <c r="C868" s="1" t="n">
        <v>45991</v>
      </c>
      <c r="D868" t="inlineStr">
        <is>
          <t>VÄSTERNORRLANDS LÄN</t>
        </is>
      </c>
      <c r="E868" t="inlineStr">
        <is>
          <t>SOLLEFTEÅ</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25855-2025</t>
        </is>
      </c>
      <c r="B869" s="1" t="n">
        <v>45804.46934027778</v>
      </c>
      <c r="C869" s="1" t="n">
        <v>45991</v>
      </c>
      <c r="D869" t="inlineStr">
        <is>
          <t>VÄSTERNORRLANDS LÄN</t>
        </is>
      </c>
      <c r="E869" t="inlineStr">
        <is>
          <t>SOLLEFTEÅ</t>
        </is>
      </c>
      <c r="F869" t="inlineStr">
        <is>
          <t>SCA</t>
        </is>
      </c>
      <c r="G869" t="n">
        <v>8.6</v>
      </c>
      <c r="H869" t="n">
        <v>0</v>
      </c>
      <c r="I869" t="n">
        <v>0</v>
      </c>
      <c r="J869" t="n">
        <v>0</v>
      </c>
      <c r="K869" t="n">
        <v>0</v>
      </c>
      <c r="L869" t="n">
        <v>0</v>
      </c>
      <c r="M869" t="n">
        <v>0</v>
      </c>
      <c r="N869" t="n">
        <v>0</v>
      </c>
      <c r="O869" t="n">
        <v>0</v>
      </c>
      <c r="P869" t="n">
        <v>0</v>
      </c>
      <c r="Q869" t="n">
        <v>0</v>
      </c>
      <c r="R869" s="2" t="inlineStr"/>
    </row>
    <row r="870" ht="15" customHeight="1">
      <c r="A870" t="inlineStr">
        <is>
          <t>A 12730-2023</t>
        </is>
      </c>
      <c r="B870" s="1" t="n">
        <v>45000.92381944445</v>
      </c>
      <c r="C870" s="1" t="n">
        <v>45991</v>
      </c>
      <c r="D870" t="inlineStr">
        <is>
          <t>VÄSTERNORRLANDS LÄN</t>
        </is>
      </c>
      <c r="E870" t="inlineStr">
        <is>
          <t>SOLLEFTEÅ</t>
        </is>
      </c>
      <c r="G870" t="n">
        <v>7.4</v>
      </c>
      <c r="H870" t="n">
        <v>0</v>
      </c>
      <c r="I870" t="n">
        <v>0</v>
      </c>
      <c r="J870" t="n">
        <v>0</v>
      </c>
      <c r="K870" t="n">
        <v>0</v>
      </c>
      <c r="L870" t="n">
        <v>0</v>
      </c>
      <c r="M870" t="n">
        <v>0</v>
      </c>
      <c r="N870" t="n">
        <v>0</v>
      </c>
      <c r="O870" t="n">
        <v>0</v>
      </c>
      <c r="P870" t="n">
        <v>0</v>
      </c>
      <c r="Q870" t="n">
        <v>0</v>
      </c>
      <c r="R870" s="2" t="inlineStr"/>
    </row>
    <row r="871" ht="15" customHeight="1">
      <c r="A871" t="inlineStr">
        <is>
          <t>A 12733-2023</t>
        </is>
      </c>
      <c r="B871" s="1" t="n">
        <v>45000</v>
      </c>
      <c r="C871" s="1" t="n">
        <v>45991</v>
      </c>
      <c r="D871" t="inlineStr">
        <is>
          <t>VÄSTERNORRLANDS LÄN</t>
        </is>
      </c>
      <c r="E871" t="inlineStr">
        <is>
          <t>SOLLEFTEÅ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25857-2025</t>
        </is>
      </c>
      <c r="B872" s="1" t="n">
        <v>45804.46956018519</v>
      </c>
      <c r="C872" s="1" t="n">
        <v>45991</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39270-2025</t>
        </is>
      </c>
      <c r="B873" s="1" t="n">
        <v>45889.38609953703</v>
      </c>
      <c r="C873" s="1" t="n">
        <v>45991</v>
      </c>
      <c r="D873" t="inlineStr">
        <is>
          <t>VÄSTERNORRLANDS LÄN</t>
        </is>
      </c>
      <c r="E873" t="inlineStr">
        <is>
          <t>SOLLEFTEÅ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39286-2025</t>
        </is>
      </c>
      <c r="B874" s="1" t="n">
        <v>45889.40690972222</v>
      </c>
      <c r="C874" s="1" t="n">
        <v>45991</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25079-2023</t>
        </is>
      </c>
      <c r="B875" s="1" t="n">
        <v>45086</v>
      </c>
      <c r="C875" s="1" t="n">
        <v>45991</v>
      </c>
      <c r="D875" t="inlineStr">
        <is>
          <t>VÄSTERNORRLANDS LÄN</t>
        </is>
      </c>
      <c r="E875" t="inlineStr">
        <is>
          <t>SOLLEFTEÅ</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26477-2025</t>
        </is>
      </c>
      <c r="B876" s="1" t="n">
        <v>45807.47011574074</v>
      </c>
      <c r="C876" s="1" t="n">
        <v>45991</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26409-2025</t>
        </is>
      </c>
      <c r="B877" s="1" t="n">
        <v>45807.344375</v>
      </c>
      <c r="C877" s="1" t="n">
        <v>45991</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26426-2025</t>
        </is>
      </c>
      <c r="B878" s="1" t="n">
        <v>45807.38574074074</v>
      </c>
      <c r="C878" s="1" t="n">
        <v>45991</v>
      </c>
      <c r="D878" t="inlineStr">
        <is>
          <t>VÄSTERNORRLANDS LÄN</t>
        </is>
      </c>
      <c r="E878" t="inlineStr">
        <is>
          <t>SOLLEFTEÅ</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37381-2023</t>
        </is>
      </c>
      <c r="B879" s="1" t="n">
        <v>45155</v>
      </c>
      <c r="C879" s="1" t="n">
        <v>45991</v>
      </c>
      <c r="D879" t="inlineStr">
        <is>
          <t>VÄSTERNORRLANDS LÄN</t>
        </is>
      </c>
      <c r="E879" t="inlineStr">
        <is>
          <t>SOLLEFTEÅ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34316-2024</t>
        </is>
      </c>
      <c r="B880" s="1" t="n">
        <v>45524</v>
      </c>
      <c r="C880" s="1" t="n">
        <v>45991</v>
      </c>
      <c r="D880" t="inlineStr">
        <is>
          <t>VÄSTERNORRLANDS LÄN</t>
        </is>
      </c>
      <c r="E880" t="inlineStr">
        <is>
          <t>SOLLEFTEÅ</t>
        </is>
      </c>
      <c r="F880" t="inlineStr">
        <is>
          <t>Övriga statliga verk och myndigheter</t>
        </is>
      </c>
      <c r="G880" t="n">
        <v>0.5</v>
      </c>
      <c r="H880" t="n">
        <v>0</v>
      </c>
      <c r="I880" t="n">
        <v>0</v>
      </c>
      <c r="J880" t="n">
        <v>0</v>
      </c>
      <c r="K880" t="n">
        <v>0</v>
      </c>
      <c r="L880" t="n">
        <v>0</v>
      </c>
      <c r="M880" t="n">
        <v>0</v>
      </c>
      <c r="N880" t="n">
        <v>0</v>
      </c>
      <c r="O880" t="n">
        <v>0</v>
      </c>
      <c r="P880" t="n">
        <v>0</v>
      </c>
      <c r="Q880" t="n">
        <v>0</v>
      </c>
      <c r="R880" s="2" t="inlineStr"/>
    </row>
    <row r="881" ht="15" customHeight="1">
      <c r="A881" t="inlineStr">
        <is>
          <t>A 49417-2023</t>
        </is>
      </c>
      <c r="B881" s="1" t="n">
        <v>45205</v>
      </c>
      <c r="C881" s="1" t="n">
        <v>45991</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21364-2024</t>
        </is>
      </c>
      <c r="B882" s="1" t="n">
        <v>45440.95248842592</v>
      </c>
      <c r="C882" s="1" t="n">
        <v>45991</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26570-2025</t>
        </is>
      </c>
      <c r="B883" s="1" t="n">
        <v>45807.67743055556</v>
      </c>
      <c r="C883" s="1" t="n">
        <v>45991</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39656-2025</t>
        </is>
      </c>
      <c r="B884" s="1" t="n">
        <v>45890</v>
      </c>
      <c r="C884" s="1" t="n">
        <v>45991</v>
      </c>
      <c r="D884" t="inlineStr">
        <is>
          <t>VÄSTERNORRLANDS LÄN</t>
        </is>
      </c>
      <c r="E884" t="inlineStr">
        <is>
          <t>SOLLEFTEÅ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39515-2025</t>
        </is>
      </c>
      <c r="B885" s="1" t="n">
        <v>45890.42078703704</v>
      </c>
      <c r="C885" s="1" t="n">
        <v>45991</v>
      </c>
      <c r="D885" t="inlineStr">
        <is>
          <t>VÄSTERNORRLANDS LÄN</t>
        </is>
      </c>
      <c r="E885" t="inlineStr">
        <is>
          <t>SOLLEFTEÅ</t>
        </is>
      </c>
      <c r="G885" t="n">
        <v>5.3</v>
      </c>
      <c r="H885" t="n">
        <v>0</v>
      </c>
      <c r="I885" t="n">
        <v>0</v>
      </c>
      <c r="J885" t="n">
        <v>0</v>
      </c>
      <c r="K885" t="n">
        <v>0</v>
      </c>
      <c r="L885" t="n">
        <v>0</v>
      </c>
      <c r="M885" t="n">
        <v>0</v>
      </c>
      <c r="N885" t="n">
        <v>0</v>
      </c>
      <c r="O885" t="n">
        <v>0</v>
      </c>
      <c r="P885" t="n">
        <v>0</v>
      </c>
      <c r="Q885" t="n">
        <v>0</v>
      </c>
      <c r="R885" s="2" t="inlineStr"/>
    </row>
    <row r="886" ht="15" customHeight="1">
      <c r="A886" t="inlineStr">
        <is>
          <t>A 47471-2024</t>
        </is>
      </c>
      <c r="B886" s="1" t="n">
        <v>45587.57324074074</v>
      </c>
      <c r="C886" s="1" t="n">
        <v>45991</v>
      </c>
      <c r="D886" t="inlineStr">
        <is>
          <t>VÄSTERNORRLANDS LÄN</t>
        </is>
      </c>
      <c r="E886" t="inlineStr">
        <is>
          <t>SOLLEFTEÅ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26478-2025</t>
        </is>
      </c>
      <c r="B887" s="1" t="n">
        <v>45807.47013888889</v>
      </c>
      <c r="C887" s="1" t="n">
        <v>45991</v>
      </c>
      <c r="D887" t="inlineStr">
        <is>
          <t>VÄSTERNORRLANDS LÄN</t>
        </is>
      </c>
      <c r="E887" t="inlineStr">
        <is>
          <t>SOLLEFTEÅ</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66178-2021</t>
        </is>
      </c>
      <c r="B888" s="1" t="n">
        <v>44517</v>
      </c>
      <c r="C888" s="1" t="n">
        <v>45991</v>
      </c>
      <c r="D888" t="inlineStr">
        <is>
          <t>VÄSTERNORRLANDS LÄN</t>
        </is>
      </c>
      <c r="E888" t="inlineStr">
        <is>
          <t>SOLLEFTEÅ</t>
        </is>
      </c>
      <c r="F888" t="inlineStr">
        <is>
          <t>SCA</t>
        </is>
      </c>
      <c r="G888" t="n">
        <v>31.7</v>
      </c>
      <c r="H888" t="n">
        <v>0</v>
      </c>
      <c r="I888" t="n">
        <v>0</v>
      </c>
      <c r="J888" t="n">
        <v>0</v>
      </c>
      <c r="K888" t="n">
        <v>0</v>
      </c>
      <c r="L888" t="n">
        <v>0</v>
      </c>
      <c r="M888" t="n">
        <v>0</v>
      </c>
      <c r="N888" t="n">
        <v>0</v>
      </c>
      <c r="O888" t="n">
        <v>0</v>
      </c>
      <c r="P888" t="n">
        <v>0</v>
      </c>
      <c r="Q888" t="n">
        <v>0</v>
      </c>
      <c r="R888" s="2" t="inlineStr"/>
    </row>
    <row r="889" ht="15" customHeight="1">
      <c r="A889" t="inlineStr">
        <is>
          <t>A 39568-2025</t>
        </is>
      </c>
      <c r="B889" s="1" t="n">
        <v>45890.48993055556</v>
      </c>
      <c r="C889" s="1" t="n">
        <v>45991</v>
      </c>
      <c r="D889" t="inlineStr">
        <is>
          <t>VÄSTERNORRLANDS LÄN</t>
        </is>
      </c>
      <c r="E889" t="inlineStr">
        <is>
          <t>SOLLEFTEÅ</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39935-2025</t>
        </is>
      </c>
      <c r="B890" s="1" t="n">
        <v>45891</v>
      </c>
      <c r="C890" s="1" t="n">
        <v>45991</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39475-2025</t>
        </is>
      </c>
      <c r="B891" s="1" t="n">
        <v>45890.34447916667</v>
      </c>
      <c r="C891" s="1" t="n">
        <v>45991</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12022-2022</t>
        </is>
      </c>
      <c r="B892" s="1" t="n">
        <v>44635.94396990741</v>
      </c>
      <c r="C892" s="1" t="n">
        <v>45991</v>
      </c>
      <c r="D892" t="inlineStr">
        <is>
          <t>VÄSTERNORRLANDS LÄN</t>
        </is>
      </c>
      <c r="E892" t="inlineStr">
        <is>
          <t>SOLLEFTEÅ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13492-2022</t>
        </is>
      </c>
      <c r="B893" s="1" t="n">
        <v>44646.92120370371</v>
      </c>
      <c r="C893" s="1" t="n">
        <v>45991</v>
      </c>
      <c r="D893" t="inlineStr">
        <is>
          <t>VÄSTERNORRLANDS LÄN</t>
        </is>
      </c>
      <c r="E893" t="inlineStr">
        <is>
          <t>SOLLEFTEÅ</t>
        </is>
      </c>
      <c r="G893" t="n">
        <v>8.4</v>
      </c>
      <c r="H893" t="n">
        <v>0</v>
      </c>
      <c r="I893" t="n">
        <v>0</v>
      </c>
      <c r="J893" t="n">
        <v>0</v>
      </c>
      <c r="K893" t="n">
        <v>0</v>
      </c>
      <c r="L893" t="n">
        <v>0</v>
      </c>
      <c r="M893" t="n">
        <v>0</v>
      </c>
      <c r="N893" t="n">
        <v>0</v>
      </c>
      <c r="O893" t="n">
        <v>0</v>
      </c>
      <c r="P893" t="n">
        <v>0</v>
      </c>
      <c r="Q893" t="n">
        <v>0</v>
      </c>
      <c r="R893" s="2" t="inlineStr"/>
    </row>
    <row r="894" ht="15" customHeight="1">
      <c r="A894" t="inlineStr">
        <is>
          <t>A 26916-2025</t>
        </is>
      </c>
      <c r="B894" s="1" t="n">
        <v>45811.37184027778</v>
      </c>
      <c r="C894" s="1" t="n">
        <v>45991</v>
      </c>
      <c r="D894" t="inlineStr">
        <is>
          <t>VÄSTERNORRLANDS LÄN</t>
        </is>
      </c>
      <c r="E894" t="inlineStr">
        <is>
          <t>SOLLEFTEÅ</t>
        </is>
      </c>
      <c r="G894" t="n">
        <v>6.7</v>
      </c>
      <c r="H894" t="n">
        <v>0</v>
      </c>
      <c r="I894" t="n">
        <v>0</v>
      </c>
      <c r="J894" t="n">
        <v>0</v>
      </c>
      <c r="K894" t="n">
        <v>0</v>
      </c>
      <c r="L894" t="n">
        <v>0</v>
      </c>
      <c r="M894" t="n">
        <v>0</v>
      </c>
      <c r="N894" t="n">
        <v>0</v>
      </c>
      <c r="O894" t="n">
        <v>0</v>
      </c>
      <c r="P894" t="n">
        <v>0</v>
      </c>
      <c r="Q894" t="n">
        <v>0</v>
      </c>
      <c r="R894" s="2" t="inlineStr"/>
    </row>
    <row r="895" ht="15" customHeight="1">
      <c r="A895" t="inlineStr">
        <is>
          <t>A 39602-2025</t>
        </is>
      </c>
      <c r="B895" s="1" t="n">
        <v>45890.55296296296</v>
      </c>
      <c r="C895" s="1" t="n">
        <v>45991</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39619-2025</t>
        </is>
      </c>
      <c r="B896" s="1" t="n">
        <v>45890.57347222222</v>
      </c>
      <c r="C896" s="1" t="n">
        <v>45991</v>
      </c>
      <c r="D896" t="inlineStr">
        <is>
          <t>VÄSTERNORRLANDS LÄN</t>
        </is>
      </c>
      <c r="E896" t="inlineStr">
        <is>
          <t>SOLLEFTEÅ</t>
        </is>
      </c>
      <c r="F896" t="inlineStr">
        <is>
          <t>SCA</t>
        </is>
      </c>
      <c r="G896" t="n">
        <v>6.6</v>
      </c>
      <c r="H896" t="n">
        <v>0</v>
      </c>
      <c r="I896" t="n">
        <v>0</v>
      </c>
      <c r="J896" t="n">
        <v>0</v>
      </c>
      <c r="K896" t="n">
        <v>0</v>
      </c>
      <c r="L896" t="n">
        <v>0</v>
      </c>
      <c r="M896" t="n">
        <v>0</v>
      </c>
      <c r="N896" t="n">
        <v>0</v>
      </c>
      <c r="O896" t="n">
        <v>0</v>
      </c>
      <c r="P896" t="n">
        <v>0</v>
      </c>
      <c r="Q896" t="n">
        <v>0</v>
      </c>
      <c r="R896" s="2" t="inlineStr"/>
    </row>
    <row r="897" ht="15" customHeight="1">
      <c r="A897" t="inlineStr">
        <is>
          <t>A 56261-2023</t>
        </is>
      </c>
      <c r="B897" s="1" t="n">
        <v>45240</v>
      </c>
      <c r="C897" s="1" t="n">
        <v>45991</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32733-2023</t>
        </is>
      </c>
      <c r="B898" s="1" t="n">
        <v>45121</v>
      </c>
      <c r="C898" s="1" t="n">
        <v>45991</v>
      </c>
      <c r="D898" t="inlineStr">
        <is>
          <t>VÄSTERNORRLANDS LÄN</t>
        </is>
      </c>
      <c r="E898" t="inlineStr">
        <is>
          <t>SOLLEFTEÅ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30464-2024</t>
        </is>
      </c>
      <c r="B899" s="1" t="n">
        <v>45491.94599537037</v>
      </c>
      <c r="C899" s="1" t="n">
        <v>45991</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30466-2024</t>
        </is>
      </c>
      <c r="B900" s="1" t="n">
        <v>45491.94641203704</v>
      </c>
      <c r="C900" s="1" t="n">
        <v>45991</v>
      </c>
      <c r="D900" t="inlineStr">
        <is>
          <t>VÄSTERNORRLANDS LÄN</t>
        </is>
      </c>
      <c r="E900" t="inlineStr">
        <is>
          <t>SOLLEFTEÅ</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7332-2023</t>
        </is>
      </c>
      <c r="B901" s="1" t="n">
        <v>44970</v>
      </c>
      <c r="C901" s="1" t="n">
        <v>45991</v>
      </c>
      <c r="D901" t="inlineStr">
        <is>
          <t>VÄSTERNORRLANDS LÄN</t>
        </is>
      </c>
      <c r="E901" t="inlineStr">
        <is>
          <t>SOLLEFTEÅ</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53379-2023</t>
        </is>
      </c>
      <c r="B902" s="1" t="n">
        <v>45222</v>
      </c>
      <c r="C902" s="1" t="n">
        <v>45991</v>
      </c>
      <c r="D902" t="inlineStr">
        <is>
          <t>VÄSTERNORRLANDS LÄN</t>
        </is>
      </c>
      <c r="E902" t="inlineStr">
        <is>
          <t>SOLLEFTEÅ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48489-2024</t>
        </is>
      </c>
      <c r="B903" s="1" t="n">
        <v>45592</v>
      </c>
      <c r="C903" s="1" t="n">
        <v>45991</v>
      </c>
      <c r="D903" t="inlineStr">
        <is>
          <t>VÄSTERNORRLANDS LÄN</t>
        </is>
      </c>
      <c r="E903" t="inlineStr">
        <is>
          <t>SOLLEFTEÅ</t>
        </is>
      </c>
      <c r="F903" t="inlineStr">
        <is>
          <t>SCA</t>
        </is>
      </c>
      <c r="G903" t="n">
        <v>3.9</v>
      </c>
      <c r="H903" t="n">
        <v>0</v>
      </c>
      <c r="I903" t="n">
        <v>0</v>
      </c>
      <c r="J903" t="n">
        <v>0</v>
      </c>
      <c r="K903" t="n">
        <v>0</v>
      </c>
      <c r="L903" t="n">
        <v>0</v>
      </c>
      <c r="M903" t="n">
        <v>0</v>
      </c>
      <c r="N903" t="n">
        <v>0</v>
      </c>
      <c r="O903" t="n">
        <v>0</v>
      </c>
      <c r="P903" t="n">
        <v>0</v>
      </c>
      <c r="Q903" t="n">
        <v>0</v>
      </c>
      <c r="R903" s="2" t="inlineStr"/>
    </row>
    <row r="904" ht="15" customHeight="1">
      <c r="A904" t="inlineStr">
        <is>
          <t>A 59579-2023</t>
        </is>
      </c>
      <c r="B904" s="1" t="n">
        <v>45253</v>
      </c>
      <c r="C904" s="1" t="n">
        <v>45991</v>
      </c>
      <c r="D904" t="inlineStr">
        <is>
          <t>VÄSTERNORRLANDS LÄN</t>
        </is>
      </c>
      <c r="E904" t="inlineStr">
        <is>
          <t>SOLLEFTEÅ</t>
        </is>
      </c>
      <c r="G904" t="n">
        <v>6.2</v>
      </c>
      <c r="H904" t="n">
        <v>0</v>
      </c>
      <c r="I904" t="n">
        <v>0</v>
      </c>
      <c r="J904" t="n">
        <v>0</v>
      </c>
      <c r="K904" t="n">
        <v>0</v>
      </c>
      <c r="L904" t="n">
        <v>0</v>
      </c>
      <c r="M904" t="n">
        <v>0</v>
      </c>
      <c r="N904" t="n">
        <v>0</v>
      </c>
      <c r="O904" t="n">
        <v>0</v>
      </c>
      <c r="P904" t="n">
        <v>0</v>
      </c>
      <c r="Q904" t="n">
        <v>0</v>
      </c>
      <c r="R904" s="2" t="inlineStr"/>
    </row>
    <row r="905" ht="15" customHeight="1">
      <c r="A905" t="inlineStr">
        <is>
          <t>A 26642-2025</t>
        </is>
      </c>
      <c r="B905" s="1" t="n">
        <v>45810.36521990741</v>
      </c>
      <c r="C905" s="1" t="n">
        <v>45991</v>
      </c>
      <c r="D905" t="inlineStr">
        <is>
          <t>VÄSTERNORRLANDS LÄN</t>
        </is>
      </c>
      <c r="E905" t="inlineStr">
        <is>
          <t>SOLLEFTEÅ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9950-2025</t>
        </is>
      </c>
      <c r="B906" s="1" t="n">
        <v>45719.34416666667</v>
      </c>
      <c r="C906" s="1" t="n">
        <v>45991</v>
      </c>
      <c r="D906" t="inlineStr">
        <is>
          <t>VÄSTERNORRLANDS LÄN</t>
        </is>
      </c>
      <c r="E906" t="inlineStr">
        <is>
          <t>SOLLEFTEÅ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39664-2025</t>
        </is>
      </c>
      <c r="B907" s="1" t="n">
        <v>45890.63596064815</v>
      </c>
      <c r="C907" s="1" t="n">
        <v>45991</v>
      </c>
      <c r="D907" t="inlineStr">
        <is>
          <t>VÄSTERNORRLANDS LÄN</t>
        </is>
      </c>
      <c r="E907" t="inlineStr">
        <is>
          <t>SOLLEFTEÅ</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39671-2025</t>
        </is>
      </c>
      <c r="B908" s="1" t="n">
        <v>45890</v>
      </c>
      <c r="C908" s="1" t="n">
        <v>45991</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60328-2023</t>
        </is>
      </c>
      <c r="B909" s="1" t="n">
        <v>45258</v>
      </c>
      <c r="C909" s="1" t="n">
        <v>45991</v>
      </c>
      <c r="D909" t="inlineStr">
        <is>
          <t>VÄSTERNORRLANDS LÄN</t>
        </is>
      </c>
      <c r="E909" t="inlineStr">
        <is>
          <t>SOLLEFTEÅ</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26641-2025</t>
        </is>
      </c>
      <c r="B910" s="1" t="n">
        <v>45810.36509259259</v>
      </c>
      <c r="C910" s="1" t="n">
        <v>45991</v>
      </c>
      <c r="D910" t="inlineStr">
        <is>
          <t>VÄSTERNORRLANDS LÄN</t>
        </is>
      </c>
      <c r="E910" t="inlineStr">
        <is>
          <t>SOLLEFTEÅ</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32735-2023</t>
        </is>
      </c>
      <c r="B911" s="1" t="n">
        <v>45121</v>
      </c>
      <c r="C911" s="1" t="n">
        <v>45991</v>
      </c>
      <c r="D911" t="inlineStr">
        <is>
          <t>VÄSTERNORRLANDS LÄN</t>
        </is>
      </c>
      <c r="E911" t="inlineStr">
        <is>
          <t>SOLLEFTEÅ</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45991</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26953-2025</t>
        </is>
      </c>
      <c r="B913" s="1" t="n">
        <v>45811.44856481482</v>
      </c>
      <c r="C913" s="1" t="n">
        <v>45991</v>
      </c>
      <c r="D913" t="inlineStr">
        <is>
          <t>VÄSTERNORRLANDS LÄN</t>
        </is>
      </c>
      <c r="E913" t="inlineStr">
        <is>
          <t>SOLLEFTEÅ</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57107-2024</t>
        </is>
      </c>
      <c r="B914" s="1" t="n">
        <v>45629</v>
      </c>
      <c r="C914" s="1" t="n">
        <v>45991</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26733-2025</t>
        </is>
      </c>
      <c r="B915" s="1" t="n">
        <v>45810.51078703703</v>
      </c>
      <c r="C915" s="1" t="n">
        <v>45991</v>
      </c>
      <c r="D915" t="inlineStr">
        <is>
          <t>VÄSTERNORRLANDS LÄN</t>
        </is>
      </c>
      <c r="E915" t="inlineStr">
        <is>
          <t>SOLLEFTEÅ</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15154-2024</t>
        </is>
      </c>
      <c r="B916" s="1" t="n">
        <v>45399.94466435185</v>
      </c>
      <c r="C916" s="1" t="n">
        <v>45991</v>
      </c>
      <c r="D916" t="inlineStr">
        <is>
          <t>VÄSTERNORRLANDS LÄN</t>
        </is>
      </c>
      <c r="E916" t="inlineStr">
        <is>
          <t>SOLLEFTEÅ</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40174-2025</t>
        </is>
      </c>
      <c r="B917" s="1" t="n">
        <v>45894.63587962963</v>
      </c>
      <c r="C917" s="1" t="n">
        <v>45991</v>
      </c>
      <c r="D917" t="inlineStr">
        <is>
          <t>VÄSTERNORRLANDS LÄN</t>
        </is>
      </c>
      <c r="E917" t="inlineStr">
        <is>
          <t>SOLLEFTEÅ</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40450-2025</t>
        </is>
      </c>
      <c r="B918" s="1" t="n">
        <v>45895.63584490741</v>
      </c>
      <c r="C918" s="1" t="n">
        <v>45991</v>
      </c>
      <c r="D918" t="inlineStr">
        <is>
          <t>VÄSTERNORRLANDS LÄN</t>
        </is>
      </c>
      <c r="E918" t="inlineStr">
        <is>
          <t>SOLLEFTEÅ</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40048-2025</t>
        </is>
      </c>
      <c r="B919" s="1" t="n">
        <v>45894.40679398148</v>
      </c>
      <c r="C919" s="1" t="n">
        <v>45991</v>
      </c>
      <c r="D919" t="inlineStr">
        <is>
          <t>VÄSTERNORRLANDS LÄN</t>
        </is>
      </c>
      <c r="E919" t="inlineStr">
        <is>
          <t>SOLLEFTEÅ</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40050-2025</t>
        </is>
      </c>
      <c r="B920" s="1" t="n">
        <v>45894.40717592592</v>
      </c>
      <c r="C920" s="1" t="n">
        <v>45991</v>
      </c>
      <c r="D920" t="inlineStr">
        <is>
          <t>VÄSTERNORRLANDS LÄN</t>
        </is>
      </c>
      <c r="E920" t="inlineStr">
        <is>
          <t>SOLLEFTEÅ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40008-2025</t>
        </is>
      </c>
      <c r="B921" s="1" t="n">
        <v>45894.34431712963</v>
      </c>
      <c r="C921" s="1" t="n">
        <v>45991</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7258-2024</t>
        </is>
      </c>
      <c r="B922" s="1" t="n">
        <v>45344.74564814815</v>
      </c>
      <c r="C922" s="1" t="n">
        <v>45991</v>
      </c>
      <c r="D922" t="inlineStr">
        <is>
          <t>VÄSTERNORRLANDS LÄN</t>
        </is>
      </c>
      <c r="E922" t="inlineStr">
        <is>
          <t>SOLLEFTEÅ</t>
        </is>
      </c>
      <c r="G922" t="n">
        <v>4.1</v>
      </c>
      <c r="H922" t="n">
        <v>0</v>
      </c>
      <c r="I922" t="n">
        <v>0</v>
      </c>
      <c r="J922" t="n">
        <v>0</v>
      </c>
      <c r="K922" t="n">
        <v>0</v>
      </c>
      <c r="L922" t="n">
        <v>0</v>
      </c>
      <c r="M922" t="n">
        <v>0</v>
      </c>
      <c r="N922" t="n">
        <v>0</v>
      </c>
      <c r="O922" t="n">
        <v>0</v>
      </c>
      <c r="P922" t="n">
        <v>0</v>
      </c>
      <c r="Q922" t="n">
        <v>0</v>
      </c>
      <c r="R922" s="2" t="inlineStr"/>
    </row>
    <row r="923" ht="15" customHeight="1">
      <c r="A923" t="inlineStr">
        <is>
          <t>A 40302-2025</t>
        </is>
      </c>
      <c r="B923" s="1" t="n">
        <v>45895.40662037037</v>
      </c>
      <c r="C923" s="1" t="n">
        <v>45991</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10256-2023</t>
        </is>
      </c>
      <c r="B924" s="1" t="n">
        <v>44980</v>
      </c>
      <c r="C924" s="1" t="n">
        <v>45991</v>
      </c>
      <c r="D924" t="inlineStr">
        <is>
          <t>VÄSTERNORRLANDS LÄN</t>
        </is>
      </c>
      <c r="E924" t="inlineStr">
        <is>
          <t>SOLLEFTEÅ</t>
        </is>
      </c>
      <c r="G924" t="n">
        <v>6.4</v>
      </c>
      <c r="H924" t="n">
        <v>0</v>
      </c>
      <c r="I924" t="n">
        <v>0</v>
      </c>
      <c r="J924" t="n">
        <v>0</v>
      </c>
      <c r="K924" t="n">
        <v>0</v>
      </c>
      <c r="L924" t="n">
        <v>0</v>
      </c>
      <c r="M924" t="n">
        <v>0</v>
      </c>
      <c r="N924" t="n">
        <v>0</v>
      </c>
      <c r="O924" t="n">
        <v>0</v>
      </c>
      <c r="P924" t="n">
        <v>0</v>
      </c>
      <c r="Q924" t="n">
        <v>0</v>
      </c>
      <c r="R924" s="2" t="inlineStr"/>
    </row>
    <row r="925" ht="15" customHeight="1">
      <c r="A925" t="inlineStr">
        <is>
          <t>A 40190-2025</t>
        </is>
      </c>
      <c r="B925" s="1" t="n">
        <v>45894.65664351852</v>
      </c>
      <c r="C925" s="1" t="n">
        <v>45991</v>
      </c>
      <c r="D925" t="inlineStr">
        <is>
          <t>VÄSTERNORRLANDS LÄN</t>
        </is>
      </c>
      <c r="E925" t="inlineStr">
        <is>
          <t>SOLLEFTEÅ</t>
        </is>
      </c>
      <c r="F925" t="inlineStr">
        <is>
          <t>SCA</t>
        </is>
      </c>
      <c r="G925" t="n">
        <v>6.5</v>
      </c>
      <c r="H925" t="n">
        <v>0</v>
      </c>
      <c r="I925" t="n">
        <v>0</v>
      </c>
      <c r="J925" t="n">
        <v>0</v>
      </c>
      <c r="K925" t="n">
        <v>0</v>
      </c>
      <c r="L925" t="n">
        <v>0</v>
      </c>
      <c r="M925" t="n">
        <v>0</v>
      </c>
      <c r="N925" t="n">
        <v>0</v>
      </c>
      <c r="O925" t="n">
        <v>0</v>
      </c>
      <c r="P925" t="n">
        <v>0</v>
      </c>
      <c r="Q925" t="n">
        <v>0</v>
      </c>
      <c r="R925" s="2" t="inlineStr"/>
    </row>
    <row r="926" ht="15" customHeight="1">
      <c r="A926" t="inlineStr">
        <is>
          <t>A 35795-2024</t>
        </is>
      </c>
      <c r="B926" s="1" t="n">
        <v>45532</v>
      </c>
      <c r="C926" s="1" t="n">
        <v>45991</v>
      </c>
      <c r="D926" t="inlineStr">
        <is>
          <t>VÄSTERNORRLANDS LÄN</t>
        </is>
      </c>
      <c r="E926" t="inlineStr">
        <is>
          <t>SOLLEFTEÅ</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35803-2024</t>
        </is>
      </c>
      <c r="B927" s="1" t="n">
        <v>45532.64506944444</v>
      </c>
      <c r="C927" s="1" t="n">
        <v>45991</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40468-2025</t>
        </is>
      </c>
      <c r="B928" s="1" t="n">
        <v>45895.66416666667</v>
      </c>
      <c r="C928" s="1" t="n">
        <v>45991</v>
      </c>
      <c r="D928" t="inlineStr">
        <is>
          <t>VÄSTERNORRLANDS LÄN</t>
        </is>
      </c>
      <c r="E928" t="inlineStr">
        <is>
          <t>SOLLEFTEÅ</t>
        </is>
      </c>
      <c r="G928" t="n">
        <v>1</v>
      </c>
      <c r="H928" t="n">
        <v>0</v>
      </c>
      <c r="I928" t="n">
        <v>0</v>
      </c>
      <c r="J928" t="n">
        <v>0</v>
      </c>
      <c r="K928" t="n">
        <v>0</v>
      </c>
      <c r="L928" t="n">
        <v>0</v>
      </c>
      <c r="M928" t="n">
        <v>0</v>
      </c>
      <c r="N928" t="n">
        <v>0</v>
      </c>
      <c r="O928" t="n">
        <v>0</v>
      </c>
      <c r="P928" t="n">
        <v>0</v>
      </c>
      <c r="Q928" t="n">
        <v>0</v>
      </c>
      <c r="R928" s="2" t="inlineStr"/>
    </row>
    <row r="929" ht="15" customHeight="1">
      <c r="A929" t="inlineStr">
        <is>
          <t>A 40049-2025</t>
        </is>
      </c>
      <c r="B929" s="1" t="n">
        <v>45894</v>
      </c>
      <c r="C929" s="1" t="n">
        <v>45991</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11039-2023</t>
        </is>
      </c>
      <c r="B930" s="1" t="n">
        <v>44991.94622685185</v>
      </c>
      <c r="C930" s="1" t="n">
        <v>45991</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40358-2025</t>
        </is>
      </c>
      <c r="B931" s="1" t="n">
        <v>45895.48995370371</v>
      </c>
      <c r="C931" s="1" t="n">
        <v>45991</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22473-2024</t>
        </is>
      </c>
      <c r="B932" s="1" t="n">
        <v>45446</v>
      </c>
      <c r="C932" s="1" t="n">
        <v>45991</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26935-2025</t>
        </is>
      </c>
      <c r="B933" s="1" t="n">
        <v>45811.40413194444</v>
      </c>
      <c r="C933" s="1" t="n">
        <v>45991</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26952-2025</t>
        </is>
      </c>
      <c r="B934" s="1" t="n">
        <v>45811.4484375</v>
      </c>
      <c r="C934" s="1" t="n">
        <v>45991</v>
      </c>
      <c r="D934" t="inlineStr">
        <is>
          <t>VÄSTERNORRLANDS LÄN</t>
        </is>
      </c>
      <c r="E934" t="inlineStr">
        <is>
          <t>SOLLEFTEÅ</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38972-2025</t>
        </is>
      </c>
      <c r="B935" s="1" t="n">
        <v>45887</v>
      </c>
      <c r="C935" s="1" t="n">
        <v>45991</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31662-2024</t>
        </is>
      </c>
      <c r="B936" s="1" t="n">
        <v>45506.92857638889</v>
      </c>
      <c r="C936" s="1" t="n">
        <v>45991</v>
      </c>
      <c r="D936" t="inlineStr">
        <is>
          <t>VÄSTERNORRLANDS LÄN</t>
        </is>
      </c>
      <c r="E936" t="inlineStr">
        <is>
          <t>SOLLEFTEÅ</t>
        </is>
      </c>
      <c r="G936" t="n">
        <v>11.7</v>
      </c>
      <c r="H936" t="n">
        <v>0</v>
      </c>
      <c r="I936" t="n">
        <v>0</v>
      </c>
      <c r="J936" t="n">
        <v>0</v>
      </c>
      <c r="K936" t="n">
        <v>0</v>
      </c>
      <c r="L936" t="n">
        <v>0</v>
      </c>
      <c r="M936" t="n">
        <v>0</v>
      </c>
      <c r="N936" t="n">
        <v>0</v>
      </c>
      <c r="O936" t="n">
        <v>0</v>
      </c>
      <c r="P936" t="n">
        <v>0</v>
      </c>
      <c r="Q936" t="n">
        <v>0</v>
      </c>
      <c r="R936" s="2" t="inlineStr"/>
    </row>
    <row r="937" ht="15" customHeight="1">
      <c r="A937" t="inlineStr">
        <is>
          <t>A 52709-2024</t>
        </is>
      </c>
      <c r="B937" s="1" t="n">
        <v>45610.42753472222</v>
      </c>
      <c r="C937" s="1" t="n">
        <v>45991</v>
      </c>
      <c r="D937" t="inlineStr">
        <is>
          <t>VÄSTERNORRLANDS LÄN</t>
        </is>
      </c>
      <c r="E937" t="inlineStr">
        <is>
          <t>SOLLEFTEÅ</t>
        </is>
      </c>
      <c r="F937" t="inlineStr">
        <is>
          <t>SCA</t>
        </is>
      </c>
      <c r="G937" t="n">
        <v>11.6</v>
      </c>
      <c r="H937" t="n">
        <v>0</v>
      </c>
      <c r="I937" t="n">
        <v>0</v>
      </c>
      <c r="J937" t="n">
        <v>0</v>
      </c>
      <c r="K937" t="n">
        <v>0</v>
      </c>
      <c r="L937" t="n">
        <v>0</v>
      </c>
      <c r="M937" t="n">
        <v>0</v>
      </c>
      <c r="N937" t="n">
        <v>0</v>
      </c>
      <c r="O937" t="n">
        <v>0</v>
      </c>
      <c r="P937" t="n">
        <v>0</v>
      </c>
      <c r="Q937" t="n">
        <v>0</v>
      </c>
      <c r="R937" s="2" t="inlineStr"/>
    </row>
    <row r="938" ht="15" customHeight="1">
      <c r="A938" t="inlineStr">
        <is>
          <t>A 44533-2023</t>
        </is>
      </c>
      <c r="B938" s="1" t="n">
        <v>45183</v>
      </c>
      <c r="C938" s="1" t="n">
        <v>45991</v>
      </c>
      <c r="D938" t="inlineStr">
        <is>
          <t>VÄSTERNORRLANDS LÄN</t>
        </is>
      </c>
      <c r="E938" t="inlineStr">
        <is>
          <t>SOLLEFTEÅ</t>
        </is>
      </c>
      <c r="G938" t="n">
        <v>2.2</v>
      </c>
      <c r="H938" t="n">
        <v>0</v>
      </c>
      <c r="I938" t="n">
        <v>0</v>
      </c>
      <c r="J938" t="n">
        <v>0</v>
      </c>
      <c r="K938" t="n">
        <v>0</v>
      </c>
      <c r="L938" t="n">
        <v>0</v>
      </c>
      <c r="M938" t="n">
        <v>0</v>
      </c>
      <c r="N938" t="n">
        <v>0</v>
      </c>
      <c r="O938" t="n">
        <v>0</v>
      </c>
      <c r="P938" t="n">
        <v>0</v>
      </c>
      <c r="Q938" t="n">
        <v>0</v>
      </c>
      <c r="R938" s="2" t="inlineStr"/>
    </row>
    <row r="939" ht="15" customHeight="1">
      <c r="A939" t="inlineStr">
        <is>
          <t>A 38973-2025</t>
        </is>
      </c>
      <c r="B939" s="1" t="n">
        <v>45887</v>
      </c>
      <c r="C939" s="1" t="n">
        <v>45991</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40175-2025</t>
        </is>
      </c>
      <c r="B940" s="1" t="n">
        <v>45894.63609953703</v>
      </c>
      <c r="C940" s="1" t="n">
        <v>45991</v>
      </c>
      <c r="D940" t="inlineStr">
        <is>
          <t>VÄSTERNORRLANDS LÄN</t>
        </is>
      </c>
      <c r="E940" t="inlineStr">
        <is>
          <t>SOLLEFTEÅ</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31453-2022</t>
        </is>
      </c>
      <c r="B941" s="1" t="n">
        <v>44774.94159722222</v>
      </c>
      <c r="C941" s="1" t="n">
        <v>45991</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25847-2024</t>
        </is>
      </c>
      <c r="B942" s="1" t="n">
        <v>45467</v>
      </c>
      <c r="C942" s="1" t="n">
        <v>45991</v>
      </c>
      <c r="D942" t="inlineStr">
        <is>
          <t>VÄSTERNORRLANDS LÄN</t>
        </is>
      </c>
      <c r="E942" t="inlineStr">
        <is>
          <t>SOLLEFTEÅ</t>
        </is>
      </c>
      <c r="G942" t="n">
        <v>1.5</v>
      </c>
      <c r="H942" t="n">
        <v>0</v>
      </c>
      <c r="I942" t="n">
        <v>0</v>
      </c>
      <c r="J942" t="n">
        <v>0</v>
      </c>
      <c r="K942" t="n">
        <v>0</v>
      </c>
      <c r="L942" t="n">
        <v>0</v>
      </c>
      <c r="M942" t="n">
        <v>0</v>
      </c>
      <c r="N942" t="n">
        <v>0</v>
      </c>
      <c r="O942" t="n">
        <v>0</v>
      </c>
      <c r="P942" t="n">
        <v>0</v>
      </c>
      <c r="Q942" t="n">
        <v>0</v>
      </c>
      <c r="R942" s="2" t="inlineStr"/>
    </row>
    <row r="943" ht="15" customHeight="1">
      <c r="A943" t="inlineStr">
        <is>
          <t>A 25851-2024</t>
        </is>
      </c>
      <c r="B943" s="1" t="n">
        <v>45467.44688657407</v>
      </c>
      <c r="C943" s="1" t="n">
        <v>45991</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26896-2025</t>
        </is>
      </c>
      <c r="B944" s="1" t="n">
        <v>45811.33834490741</v>
      </c>
      <c r="C944" s="1" t="n">
        <v>45991</v>
      </c>
      <c r="D944" t="inlineStr">
        <is>
          <t>VÄSTERNORRLANDS LÄN</t>
        </is>
      </c>
      <c r="E944" t="inlineStr">
        <is>
          <t>SOLLEFTEÅ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40304-2025</t>
        </is>
      </c>
      <c r="B945" s="1" t="n">
        <v>45895.40690972222</v>
      </c>
      <c r="C945" s="1" t="n">
        <v>45991</v>
      </c>
      <c r="D945" t="inlineStr">
        <is>
          <t>VÄSTERNORRLANDS LÄN</t>
        </is>
      </c>
      <c r="E945" t="inlineStr">
        <is>
          <t>SOLLEFTEÅ</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6284-2025</t>
        </is>
      </c>
      <c r="B946" s="1" t="n">
        <v>45698.63611111111</v>
      </c>
      <c r="C946" s="1" t="n">
        <v>45991</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40014-2025</t>
        </is>
      </c>
      <c r="B947" s="1" t="n">
        <v>45894</v>
      </c>
      <c r="C947" s="1" t="n">
        <v>45991</v>
      </c>
      <c r="D947" t="inlineStr">
        <is>
          <t>VÄSTERNORRLANDS LÄN</t>
        </is>
      </c>
      <c r="E947" t="inlineStr">
        <is>
          <t>SOLLEFTEÅ</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40136-2025</t>
        </is>
      </c>
      <c r="B948" s="1" t="n">
        <v>45894.5588425926</v>
      </c>
      <c r="C948" s="1" t="n">
        <v>45991</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8033-2024</t>
        </is>
      </c>
      <c r="B949" s="1" t="n">
        <v>45350.95284722222</v>
      </c>
      <c r="C949" s="1" t="n">
        <v>45991</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9966-2025</t>
        </is>
      </c>
      <c r="B950" s="1" t="n">
        <v>45719</v>
      </c>
      <c r="C950" s="1" t="n">
        <v>45991</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20204-2025</t>
        </is>
      </c>
      <c r="B951" s="1" t="n">
        <v>45772.61537037037</v>
      </c>
      <c r="C951" s="1" t="n">
        <v>45991</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45991</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24461-2024</t>
        </is>
      </c>
      <c r="B953" s="1" t="n">
        <v>45457.96806712963</v>
      </c>
      <c r="C953" s="1" t="n">
        <v>45991</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27288-2025</t>
        </is>
      </c>
      <c r="B954" s="1" t="n">
        <v>45812.55234953704</v>
      </c>
      <c r="C954" s="1" t="n">
        <v>45991</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40962-2025</t>
        </is>
      </c>
      <c r="B955" s="1" t="n">
        <v>45897.6983912037</v>
      </c>
      <c r="C955" s="1" t="n">
        <v>45991</v>
      </c>
      <c r="D955" t="inlineStr">
        <is>
          <t>VÄSTERNORRLANDS LÄN</t>
        </is>
      </c>
      <c r="E955" t="inlineStr">
        <is>
          <t>SOLLEFTEÅ</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7184-2025</t>
        </is>
      </c>
      <c r="B956" s="1" t="n">
        <v>45702</v>
      </c>
      <c r="C956" s="1" t="n">
        <v>45991</v>
      </c>
      <c r="D956" t="inlineStr">
        <is>
          <t>VÄSTERNORRLANDS LÄN</t>
        </is>
      </c>
      <c r="E956" t="inlineStr">
        <is>
          <t>SOLLEFTEÅ</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40492-2025</t>
        </is>
      </c>
      <c r="B957" s="1" t="n">
        <v>45896</v>
      </c>
      <c r="C957" s="1" t="n">
        <v>45991</v>
      </c>
      <c r="D957" t="inlineStr">
        <is>
          <t>VÄSTERNORRLANDS LÄN</t>
        </is>
      </c>
      <c r="E957" t="inlineStr">
        <is>
          <t>SOLLEFTEÅ</t>
        </is>
      </c>
      <c r="F957" t="inlineStr">
        <is>
          <t>Holmen skog AB</t>
        </is>
      </c>
      <c r="G957" t="n">
        <v>7.8</v>
      </c>
      <c r="H957" t="n">
        <v>0</v>
      </c>
      <c r="I957" t="n">
        <v>0</v>
      </c>
      <c r="J957" t="n">
        <v>0</v>
      </c>
      <c r="K957" t="n">
        <v>0</v>
      </c>
      <c r="L957" t="n">
        <v>0</v>
      </c>
      <c r="M957" t="n">
        <v>0</v>
      </c>
      <c r="N957" t="n">
        <v>0</v>
      </c>
      <c r="O957" t="n">
        <v>0</v>
      </c>
      <c r="P957" t="n">
        <v>0</v>
      </c>
      <c r="Q957" t="n">
        <v>0</v>
      </c>
      <c r="R957" s="2" t="inlineStr"/>
    </row>
    <row r="958" ht="15" customHeight="1">
      <c r="A958" t="inlineStr">
        <is>
          <t>A 6172-2022</t>
        </is>
      </c>
      <c r="B958" s="1" t="n">
        <v>44599.93700231481</v>
      </c>
      <c r="C958" s="1" t="n">
        <v>45991</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7157-2025</t>
        </is>
      </c>
      <c r="B959" s="1" t="n">
        <v>45702.38637731481</v>
      </c>
      <c r="C959" s="1" t="n">
        <v>45991</v>
      </c>
      <c r="D959" t="inlineStr">
        <is>
          <t>VÄSTERNORRLANDS LÄN</t>
        </is>
      </c>
      <c r="E959" t="inlineStr">
        <is>
          <t>SOLLEFTEÅ</t>
        </is>
      </c>
      <c r="G959" t="n">
        <v>12.5</v>
      </c>
      <c r="H959" t="n">
        <v>0</v>
      </c>
      <c r="I959" t="n">
        <v>0</v>
      </c>
      <c r="J959" t="n">
        <v>0</v>
      </c>
      <c r="K959" t="n">
        <v>0</v>
      </c>
      <c r="L959" t="n">
        <v>0</v>
      </c>
      <c r="M959" t="n">
        <v>0</v>
      </c>
      <c r="N959" t="n">
        <v>0</v>
      </c>
      <c r="O959" t="n">
        <v>0</v>
      </c>
      <c r="P959" t="n">
        <v>0</v>
      </c>
      <c r="Q959" t="n">
        <v>0</v>
      </c>
      <c r="R959" s="2" t="inlineStr"/>
    </row>
    <row r="960" ht="15" customHeight="1">
      <c r="A960" t="inlineStr">
        <is>
          <t>A 27142-2025</t>
        </is>
      </c>
      <c r="B960" s="1" t="n">
        <v>45812.28087962963</v>
      </c>
      <c r="C960" s="1" t="n">
        <v>45991</v>
      </c>
      <c r="D960" t="inlineStr">
        <is>
          <t>VÄSTERNORRLANDS LÄN</t>
        </is>
      </c>
      <c r="E960" t="inlineStr">
        <is>
          <t>SOLLEFTEÅ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41025-2025</t>
        </is>
      </c>
      <c r="B961" s="1" t="n">
        <v>45897</v>
      </c>
      <c r="C961" s="1" t="n">
        <v>45991</v>
      </c>
      <c r="D961" t="inlineStr">
        <is>
          <t>VÄSTERNORRLANDS LÄN</t>
        </is>
      </c>
      <c r="E961" t="inlineStr">
        <is>
          <t>SOLLEFTEÅ</t>
        </is>
      </c>
      <c r="G961" t="n">
        <v>9.1</v>
      </c>
      <c r="H961" t="n">
        <v>0</v>
      </c>
      <c r="I961" t="n">
        <v>0</v>
      </c>
      <c r="J961" t="n">
        <v>0</v>
      </c>
      <c r="K961" t="n">
        <v>0</v>
      </c>
      <c r="L961" t="n">
        <v>0</v>
      </c>
      <c r="M961" t="n">
        <v>0</v>
      </c>
      <c r="N961" t="n">
        <v>0</v>
      </c>
      <c r="O961" t="n">
        <v>0</v>
      </c>
      <c r="P961" t="n">
        <v>0</v>
      </c>
      <c r="Q961" t="n">
        <v>0</v>
      </c>
      <c r="R961" s="2" t="inlineStr"/>
    </row>
    <row r="962" ht="15" customHeight="1">
      <c r="A962" t="inlineStr">
        <is>
          <t>A 22750-2023</t>
        </is>
      </c>
      <c r="B962" s="1" t="n">
        <v>45071.94090277778</v>
      </c>
      <c r="C962" s="1" t="n">
        <v>45991</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40752-2025</t>
        </is>
      </c>
      <c r="B963" s="1" t="n">
        <v>45897.38592592593</v>
      </c>
      <c r="C963" s="1" t="n">
        <v>45991</v>
      </c>
      <c r="D963" t="inlineStr">
        <is>
          <t>VÄSTERNORRLANDS LÄN</t>
        </is>
      </c>
      <c r="E963" t="inlineStr">
        <is>
          <t>SOLLEFTEÅ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27427-2025</t>
        </is>
      </c>
      <c r="B964" s="1" t="n">
        <v>45813.28706018518</v>
      </c>
      <c r="C964" s="1" t="n">
        <v>45991</v>
      </c>
      <c r="D964" t="inlineStr">
        <is>
          <t>VÄSTERNORRLANDS LÄN</t>
        </is>
      </c>
      <c r="E964" t="inlineStr">
        <is>
          <t>SOLLEFTEÅ</t>
        </is>
      </c>
      <c r="G964" t="n">
        <v>2.9</v>
      </c>
      <c r="H964" t="n">
        <v>0</v>
      </c>
      <c r="I964" t="n">
        <v>0</v>
      </c>
      <c r="J964" t="n">
        <v>0</v>
      </c>
      <c r="K964" t="n">
        <v>0</v>
      </c>
      <c r="L964" t="n">
        <v>0</v>
      </c>
      <c r="M964" t="n">
        <v>0</v>
      </c>
      <c r="N964" t="n">
        <v>0</v>
      </c>
      <c r="O964" t="n">
        <v>0</v>
      </c>
      <c r="P964" t="n">
        <v>0</v>
      </c>
      <c r="Q964" t="n">
        <v>0</v>
      </c>
      <c r="R964" s="2" t="inlineStr"/>
    </row>
    <row r="965" ht="15" customHeight="1">
      <c r="A965" t="inlineStr">
        <is>
          <t>A 27167-2025</t>
        </is>
      </c>
      <c r="B965" s="1" t="n">
        <v>45812.34465277778</v>
      </c>
      <c r="C965" s="1" t="n">
        <v>45991</v>
      </c>
      <c r="D965" t="inlineStr">
        <is>
          <t>VÄSTERNORRLANDS LÄN</t>
        </is>
      </c>
      <c r="E965" t="inlineStr">
        <is>
          <t>SOLLEFTEÅ</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27519-2025</t>
        </is>
      </c>
      <c r="B966" s="1" t="n">
        <v>45813.44186342593</v>
      </c>
      <c r="C966" s="1" t="n">
        <v>45991</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40701-2025</t>
        </is>
      </c>
      <c r="B967" s="1" t="n">
        <v>45897.32884259259</v>
      </c>
      <c r="C967" s="1" t="n">
        <v>45991</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27407-2025</t>
        </is>
      </c>
      <c r="B968" s="1" t="n">
        <v>45812.74519675926</v>
      </c>
      <c r="C968" s="1" t="n">
        <v>45991</v>
      </c>
      <c r="D968" t="inlineStr">
        <is>
          <t>VÄSTERNORRLANDS LÄN</t>
        </is>
      </c>
      <c r="E968" t="inlineStr">
        <is>
          <t>SOLLEFTEÅ</t>
        </is>
      </c>
      <c r="G968" t="n">
        <v>23.2</v>
      </c>
      <c r="H968" t="n">
        <v>0</v>
      </c>
      <c r="I968" t="n">
        <v>0</v>
      </c>
      <c r="J968" t="n">
        <v>0</v>
      </c>
      <c r="K968" t="n">
        <v>0</v>
      </c>
      <c r="L968" t="n">
        <v>0</v>
      </c>
      <c r="M968" t="n">
        <v>0</v>
      </c>
      <c r="N968" t="n">
        <v>0</v>
      </c>
      <c r="O968" t="n">
        <v>0</v>
      </c>
      <c r="P968" t="n">
        <v>0</v>
      </c>
      <c r="Q968" t="n">
        <v>0</v>
      </c>
      <c r="R968" s="2" t="inlineStr"/>
    </row>
    <row r="969" ht="15" customHeight="1">
      <c r="A969" t="inlineStr">
        <is>
          <t>A 27592-2025</t>
        </is>
      </c>
      <c r="B969" s="1" t="n">
        <v>45813.5191550926</v>
      </c>
      <c r="C969" s="1" t="n">
        <v>45991</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40515-2025</t>
        </is>
      </c>
      <c r="B970" s="1" t="n">
        <v>45896</v>
      </c>
      <c r="C970" s="1" t="n">
        <v>45991</v>
      </c>
      <c r="D970" t="inlineStr">
        <is>
          <t>VÄSTERNORRLANDS LÄN</t>
        </is>
      </c>
      <c r="E970" t="inlineStr">
        <is>
          <t>SOLLEFTEÅ</t>
        </is>
      </c>
      <c r="G970" t="n">
        <v>7.3</v>
      </c>
      <c r="H970" t="n">
        <v>0</v>
      </c>
      <c r="I970" t="n">
        <v>0</v>
      </c>
      <c r="J970" t="n">
        <v>0</v>
      </c>
      <c r="K970" t="n">
        <v>0</v>
      </c>
      <c r="L970" t="n">
        <v>0</v>
      </c>
      <c r="M970" t="n">
        <v>0</v>
      </c>
      <c r="N970" t="n">
        <v>0</v>
      </c>
      <c r="O970" t="n">
        <v>0</v>
      </c>
      <c r="P970" t="n">
        <v>0</v>
      </c>
      <c r="Q970" t="n">
        <v>0</v>
      </c>
      <c r="R970" s="2" t="inlineStr"/>
    </row>
    <row r="971" ht="15" customHeight="1">
      <c r="A971" t="inlineStr">
        <is>
          <t>A 39449-2024</t>
        </is>
      </c>
      <c r="B971" s="1" t="n">
        <v>45551.61609953704</v>
      </c>
      <c r="C971" s="1" t="n">
        <v>45991</v>
      </c>
      <c r="D971" t="inlineStr">
        <is>
          <t>VÄSTERNORRLANDS LÄN</t>
        </is>
      </c>
      <c r="E971" t="inlineStr">
        <is>
          <t>SOLLEFTEÅ</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27660-2025</t>
        </is>
      </c>
      <c r="B972" s="1" t="n">
        <v>45813.61490740741</v>
      </c>
      <c r="C972" s="1" t="n">
        <v>45991</v>
      </c>
      <c r="D972" t="inlineStr">
        <is>
          <t>VÄSTERNORRLANDS LÄN</t>
        </is>
      </c>
      <c r="E972" t="inlineStr">
        <is>
          <t>SOLLEFTEÅ</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45991</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27789-2024</t>
        </is>
      </c>
      <c r="B974" s="1" t="n">
        <v>45475</v>
      </c>
      <c r="C974" s="1" t="n">
        <v>45991</v>
      </c>
      <c r="D974" t="inlineStr">
        <is>
          <t>VÄSTERNORRLANDS LÄN</t>
        </is>
      </c>
      <c r="E974" t="inlineStr">
        <is>
          <t>SOLLEFTEÅ</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56416-2023</t>
        </is>
      </c>
      <c r="B975" s="1" t="n">
        <v>45237</v>
      </c>
      <c r="C975" s="1" t="n">
        <v>45991</v>
      </c>
      <c r="D975" t="inlineStr">
        <is>
          <t>VÄSTERNORRLANDS LÄN</t>
        </is>
      </c>
      <c r="E975" t="inlineStr">
        <is>
          <t>SOLLEFTEÅ</t>
        </is>
      </c>
      <c r="G975" t="n">
        <v>11.2</v>
      </c>
      <c r="H975" t="n">
        <v>0</v>
      </c>
      <c r="I975" t="n">
        <v>0</v>
      </c>
      <c r="J975" t="n">
        <v>0</v>
      </c>
      <c r="K975" t="n">
        <v>0</v>
      </c>
      <c r="L975" t="n">
        <v>0</v>
      </c>
      <c r="M975" t="n">
        <v>0</v>
      </c>
      <c r="N975" t="n">
        <v>0</v>
      </c>
      <c r="O975" t="n">
        <v>0</v>
      </c>
      <c r="P975" t="n">
        <v>0</v>
      </c>
      <c r="Q975" t="n">
        <v>0</v>
      </c>
      <c r="R975" s="2" t="inlineStr"/>
    </row>
    <row r="976" ht="15" customHeight="1">
      <c r="A976" t="inlineStr">
        <is>
          <t>A 40754-2025</t>
        </is>
      </c>
      <c r="B976" s="1" t="n">
        <v>45897.38653935185</v>
      </c>
      <c r="C976" s="1" t="n">
        <v>45991</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40651-2025</t>
        </is>
      </c>
      <c r="B977" s="1" t="n">
        <v>45896.63585648148</v>
      </c>
      <c r="C977" s="1" t="n">
        <v>45991</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40662-2025</t>
        </is>
      </c>
      <c r="B978" s="1" t="n">
        <v>45896.6487037037</v>
      </c>
      <c r="C978" s="1" t="n">
        <v>45991</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15429-2025</t>
        </is>
      </c>
      <c r="B979" s="1" t="n">
        <v>45747.47</v>
      </c>
      <c r="C979" s="1" t="n">
        <v>45991</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12617-2025</t>
        </is>
      </c>
      <c r="B980" s="1" t="n">
        <v>45733.34895833334</v>
      </c>
      <c r="C980" s="1" t="n">
        <v>45991</v>
      </c>
      <c r="D980" t="inlineStr">
        <is>
          <t>VÄSTERNORRLANDS LÄN</t>
        </is>
      </c>
      <c r="E980" t="inlineStr">
        <is>
          <t>SOLLEFTEÅ</t>
        </is>
      </c>
      <c r="G980" t="n">
        <v>5.6</v>
      </c>
      <c r="H980" t="n">
        <v>0</v>
      </c>
      <c r="I980" t="n">
        <v>0</v>
      </c>
      <c r="J980" t="n">
        <v>0</v>
      </c>
      <c r="K980" t="n">
        <v>0</v>
      </c>
      <c r="L980" t="n">
        <v>0</v>
      </c>
      <c r="M980" t="n">
        <v>0</v>
      </c>
      <c r="N980" t="n">
        <v>0</v>
      </c>
      <c r="O980" t="n">
        <v>0</v>
      </c>
      <c r="P980" t="n">
        <v>0</v>
      </c>
      <c r="Q980" t="n">
        <v>0</v>
      </c>
      <c r="R980" s="2" t="inlineStr"/>
    </row>
    <row r="981" ht="15" customHeight="1">
      <c r="A981" t="inlineStr">
        <is>
          <t>A 41413-2024</t>
        </is>
      </c>
      <c r="B981" s="1" t="n">
        <v>45560.345</v>
      </c>
      <c r="C981" s="1" t="n">
        <v>45991</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23025-2024</t>
        </is>
      </c>
      <c r="B982" s="1" t="n">
        <v>45450.36578703704</v>
      </c>
      <c r="C982" s="1" t="n">
        <v>45991</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54575-2024</t>
        </is>
      </c>
      <c r="B983" s="1" t="n">
        <v>45617.65232638889</v>
      </c>
      <c r="C983" s="1" t="n">
        <v>45991</v>
      </c>
      <c r="D983" t="inlineStr">
        <is>
          <t>VÄSTERNORRLANDS LÄN</t>
        </is>
      </c>
      <c r="E983" t="inlineStr">
        <is>
          <t>SOLLEFTEÅ</t>
        </is>
      </c>
      <c r="F983" t="inlineStr">
        <is>
          <t>Holmen skog AB</t>
        </is>
      </c>
      <c r="G983" t="n">
        <v>1.7</v>
      </c>
      <c r="H983" t="n">
        <v>0</v>
      </c>
      <c r="I983" t="n">
        <v>0</v>
      </c>
      <c r="J983" t="n">
        <v>0</v>
      </c>
      <c r="K983" t="n">
        <v>0</v>
      </c>
      <c r="L983" t="n">
        <v>0</v>
      </c>
      <c r="M983" t="n">
        <v>0</v>
      </c>
      <c r="N983" t="n">
        <v>0</v>
      </c>
      <c r="O983" t="n">
        <v>0</v>
      </c>
      <c r="P983" t="n">
        <v>0</v>
      </c>
      <c r="Q983" t="n">
        <v>0</v>
      </c>
      <c r="R983" s="2" t="inlineStr"/>
      <c r="U983">
        <f>HYPERLINK("https://klasma.github.io/Logging_2283/knärot/A 54575-2024 karta knärot.png", "A 54575-2024")</f>
        <v/>
      </c>
      <c r="V983">
        <f>HYPERLINK("https://klasma.github.io/Logging_2283/klagomål/A 54575-2024 FSC-klagomål.docx", "A 54575-2024")</f>
        <v/>
      </c>
      <c r="W983">
        <f>HYPERLINK("https://klasma.github.io/Logging_2283/klagomålsmail/A 54575-2024 FSC-klagomål mail.docx", "A 54575-2024")</f>
        <v/>
      </c>
      <c r="X983">
        <f>HYPERLINK("https://klasma.github.io/Logging_2283/tillsyn/A 54575-2024 tillsynsbegäran.docx", "A 54575-2024")</f>
        <v/>
      </c>
      <c r="Y983">
        <f>HYPERLINK("https://klasma.github.io/Logging_2283/tillsynsmail/A 54575-2024 tillsynsbegäran mail.docx", "A 54575-2024")</f>
        <v/>
      </c>
    </row>
    <row r="984" ht="15" customHeight="1">
      <c r="A984" t="inlineStr">
        <is>
          <t>A 41502-2025</t>
        </is>
      </c>
      <c r="B984" s="1" t="n">
        <v>45901</v>
      </c>
      <c r="C984" s="1" t="n">
        <v>45991</v>
      </c>
      <c r="D984" t="inlineStr">
        <is>
          <t>VÄSTERNORRLANDS LÄN</t>
        </is>
      </c>
      <c r="E984" t="inlineStr">
        <is>
          <t>SOLLEFTEÅ</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45991</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36004-2024</t>
        </is>
      </c>
      <c r="B986" s="1" t="n">
        <v>45533.54848379629</v>
      </c>
      <c r="C986" s="1" t="n">
        <v>45991</v>
      </c>
      <c r="D986" t="inlineStr">
        <is>
          <t>VÄSTERNORRLANDS LÄN</t>
        </is>
      </c>
      <c r="E986" t="inlineStr">
        <is>
          <t>SOLLEFTEÅ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41305-2025</t>
        </is>
      </c>
      <c r="B987" s="1" t="n">
        <v>45898.69850694444</v>
      </c>
      <c r="C987" s="1" t="n">
        <v>45991</v>
      </c>
      <c r="D987" t="inlineStr">
        <is>
          <t>VÄSTERNORRLANDS LÄN</t>
        </is>
      </c>
      <c r="E987" t="inlineStr">
        <is>
          <t>SOLLEFTEÅ</t>
        </is>
      </c>
      <c r="F987" t="inlineStr">
        <is>
          <t>SCA</t>
        </is>
      </c>
      <c r="G987" t="n">
        <v>6.3</v>
      </c>
      <c r="H987" t="n">
        <v>0</v>
      </c>
      <c r="I987" t="n">
        <v>0</v>
      </c>
      <c r="J987" t="n">
        <v>0</v>
      </c>
      <c r="K987" t="n">
        <v>0</v>
      </c>
      <c r="L987" t="n">
        <v>0</v>
      </c>
      <c r="M987" t="n">
        <v>0</v>
      </c>
      <c r="N987" t="n">
        <v>0</v>
      </c>
      <c r="O987" t="n">
        <v>0</v>
      </c>
      <c r="P987" t="n">
        <v>0</v>
      </c>
      <c r="Q987" t="n">
        <v>0</v>
      </c>
      <c r="R987" s="2" t="inlineStr"/>
    </row>
    <row r="988" ht="15" customHeight="1">
      <c r="A988" t="inlineStr">
        <is>
          <t>A 27748-2025</t>
        </is>
      </c>
      <c r="B988" s="1" t="n">
        <v>45815.67740740741</v>
      </c>
      <c r="C988" s="1" t="n">
        <v>45991</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45991</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27956-2025</t>
        </is>
      </c>
      <c r="B990" s="1" t="n">
        <v>45817.5344675926</v>
      </c>
      <c r="C990" s="1" t="n">
        <v>45991</v>
      </c>
      <c r="D990" t="inlineStr">
        <is>
          <t>VÄSTERNORRLANDS LÄN</t>
        </is>
      </c>
      <c r="E990" t="inlineStr">
        <is>
          <t>SOLLEFTEÅ</t>
        </is>
      </c>
      <c r="F990" t="inlineStr">
        <is>
          <t>Holmen skog AB</t>
        </is>
      </c>
      <c r="G990" t="n">
        <v>4</v>
      </c>
      <c r="H990" t="n">
        <v>0</v>
      </c>
      <c r="I990" t="n">
        <v>0</v>
      </c>
      <c r="J990" t="n">
        <v>0</v>
      </c>
      <c r="K990" t="n">
        <v>0</v>
      </c>
      <c r="L990" t="n">
        <v>0</v>
      </c>
      <c r="M990" t="n">
        <v>0</v>
      </c>
      <c r="N990" t="n">
        <v>0</v>
      </c>
      <c r="O990" t="n">
        <v>0</v>
      </c>
      <c r="P990" t="n">
        <v>0</v>
      </c>
      <c r="Q990" t="n">
        <v>0</v>
      </c>
      <c r="R990" s="2" t="inlineStr"/>
    </row>
    <row r="991" ht="15" customHeight="1">
      <c r="A991" t="inlineStr">
        <is>
          <t>A 19433-2021</t>
        </is>
      </c>
      <c r="B991" s="1" t="n">
        <v>44309.94400462963</v>
      </c>
      <c r="C991" s="1" t="n">
        <v>45991</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27822-2025</t>
        </is>
      </c>
      <c r="B992" s="1" t="n">
        <v>45817.34410879629</v>
      </c>
      <c r="C992" s="1" t="n">
        <v>45991</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41513-2025</t>
        </is>
      </c>
      <c r="B993" s="1" t="n">
        <v>45901.54069444445</v>
      </c>
      <c r="C993" s="1" t="n">
        <v>45991</v>
      </c>
      <c r="D993" t="inlineStr">
        <is>
          <t>VÄSTERNORRLANDS LÄN</t>
        </is>
      </c>
      <c r="E993" t="inlineStr">
        <is>
          <t>SOLLEFTEÅ</t>
        </is>
      </c>
      <c r="G993" t="n">
        <v>3.5</v>
      </c>
      <c r="H993" t="n">
        <v>0</v>
      </c>
      <c r="I993" t="n">
        <v>0</v>
      </c>
      <c r="J993" t="n">
        <v>0</v>
      </c>
      <c r="K993" t="n">
        <v>0</v>
      </c>
      <c r="L993" t="n">
        <v>0</v>
      </c>
      <c r="M993" t="n">
        <v>0</v>
      </c>
      <c r="N993" t="n">
        <v>0</v>
      </c>
      <c r="O993" t="n">
        <v>0</v>
      </c>
      <c r="P993" t="n">
        <v>0</v>
      </c>
      <c r="Q993" t="n">
        <v>0</v>
      </c>
      <c r="R993" s="2" t="inlineStr"/>
    </row>
    <row r="994" ht="15" customHeight="1">
      <c r="A994" t="inlineStr">
        <is>
          <t>A 41543-2025</t>
        </is>
      </c>
      <c r="B994" s="1" t="n">
        <v>45901.57386574074</v>
      </c>
      <c r="C994" s="1" t="n">
        <v>45991</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51505-2024</t>
        </is>
      </c>
      <c r="B995" s="1" t="n">
        <v>45604</v>
      </c>
      <c r="C995" s="1" t="n">
        <v>45991</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7014-2025</t>
        </is>
      </c>
      <c r="B996" s="1" t="n">
        <v>45701.61085648148</v>
      </c>
      <c r="C996" s="1" t="n">
        <v>45991</v>
      </c>
      <c r="D996" t="inlineStr">
        <is>
          <t>VÄSTERNORRLANDS LÄN</t>
        </is>
      </c>
      <c r="E996" t="inlineStr">
        <is>
          <t>SOLLEFTEÅ</t>
        </is>
      </c>
      <c r="G996" t="n">
        <v>9.6</v>
      </c>
      <c r="H996" t="n">
        <v>0</v>
      </c>
      <c r="I996" t="n">
        <v>0</v>
      </c>
      <c r="J996" t="n">
        <v>0</v>
      </c>
      <c r="K996" t="n">
        <v>0</v>
      </c>
      <c r="L996" t="n">
        <v>0</v>
      </c>
      <c r="M996" t="n">
        <v>0</v>
      </c>
      <c r="N996" t="n">
        <v>0</v>
      </c>
      <c r="O996" t="n">
        <v>0</v>
      </c>
      <c r="P996" t="n">
        <v>0</v>
      </c>
      <c r="Q996" t="n">
        <v>0</v>
      </c>
      <c r="R996" s="2" t="inlineStr"/>
    </row>
    <row r="997" ht="15" customHeight="1">
      <c r="A997" t="inlineStr">
        <is>
          <t>A 41001-2025</t>
        </is>
      </c>
      <c r="B997" s="1" t="n">
        <v>45898</v>
      </c>
      <c r="C997" s="1" t="n">
        <v>45991</v>
      </c>
      <c r="D997" t="inlineStr">
        <is>
          <t>VÄSTERNORRLANDS LÄN</t>
        </is>
      </c>
      <c r="E997" t="inlineStr">
        <is>
          <t>SOLLEFTEÅ</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41617-2025</t>
        </is>
      </c>
      <c r="B998" s="1" t="n">
        <v>45901.69834490741</v>
      </c>
      <c r="C998" s="1" t="n">
        <v>45991</v>
      </c>
      <c r="D998" t="inlineStr">
        <is>
          <t>VÄSTERNORRLANDS LÄN</t>
        </is>
      </c>
      <c r="E998" t="inlineStr">
        <is>
          <t>SOLLEFTEÅ</t>
        </is>
      </c>
      <c r="F998" t="inlineStr">
        <is>
          <t>SCA</t>
        </is>
      </c>
      <c r="G998" t="n">
        <v>7.9</v>
      </c>
      <c r="H998" t="n">
        <v>0</v>
      </c>
      <c r="I998" t="n">
        <v>0</v>
      </c>
      <c r="J998" t="n">
        <v>0</v>
      </c>
      <c r="K998" t="n">
        <v>0</v>
      </c>
      <c r="L998" t="n">
        <v>0</v>
      </c>
      <c r="M998" t="n">
        <v>0</v>
      </c>
      <c r="N998" t="n">
        <v>0</v>
      </c>
      <c r="O998" t="n">
        <v>0</v>
      </c>
      <c r="P998" t="n">
        <v>0</v>
      </c>
      <c r="Q998" t="n">
        <v>0</v>
      </c>
      <c r="R998" s="2" t="inlineStr"/>
    </row>
    <row r="999" ht="15" customHeight="1">
      <c r="A999" t="inlineStr">
        <is>
          <t>A 40997-2025</t>
        </is>
      </c>
      <c r="B999" s="1" t="n">
        <v>45898.34453703704</v>
      </c>
      <c r="C999" s="1" t="n">
        <v>45991</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41449-2025</t>
        </is>
      </c>
      <c r="B1000" s="1" t="n">
        <v>45901.42787037037</v>
      </c>
      <c r="C1000" s="1" t="n">
        <v>45991</v>
      </c>
      <c r="D1000" t="inlineStr">
        <is>
          <t>VÄSTERNORRLANDS LÄN</t>
        </is>
      </c>
      <c r="E1000" t="inlineStr">
        <is>
          <t>SOLLEFTEÅ</t>
        </is>
      </c>
      <c r="F1000" t="inlineStr">
        <is>
          <t>SCA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41472-2025</t>
        </is>
      </c>
      <c r="B1001" s="1" t="n">
        <v>45901.4693287037</v>
      </c>
      <c r="C1001" s="1" t="n">
        <v>45991</v>
      </c>
      <c r="D1001" t="inlineStr">
        <is>
          <t>VÄSTERNORRLANDS LÄN</t>
        </is>
      </c>
      <c r="E1001" t="inlineStr">
        <is>
          <t>SOLLEFTEÅ</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45991</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28579-2025</t>
        </is>
      </c>
      <c r="B1003" s="1" t="n">
        <v>45819.57334490741</v>
      </c>
      <c r="C1003" s="1" t="n">
        <v>45991</v>
      </c>
      <c r="D1003" t="inlineStr">
        <is>
          <t>VÄSTERNORRLANDS LÄN</t>
        </is>
      </c>
      <c r="E1003" t="inlineStr">
        <is>
          <t>SOLLEFTEÅ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61201-2024</t>
        </is>
      </c>
      <c r="B1004" s="1" t="n">
        <v>45645.6360300926</v>
      </c>
      <c r="C1004" s="1" t="n">
        <v>45991</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47955-2024</t>
        </is>
      </c>
      <c r="B1005" s="1" t="n">
        <v>45589.3703125</v>
      </c>
      <c r="C1005" s="1" t="n">
        <v>45991</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657-2025</t>
        </is>
      </c>
      <c r="B1006" s="1" t="n">
        <v>45664.67766203704</v>
      </c>
      <c r="C1006" s="1" t="n">
        <v>45991</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28686-2025</t>
        </is>
      </c>
      <c r="B1007" s="1" t="n">
        <v>45819</v>
      </c>
      <c r="C1007" s="1" t="n">
        <v>45991</v>
      </c>
      <c r="D1007" t="inlineStr">
        <is>
          <t>VÄSTERNORRLANDS LÄN</t>
        </is>
      </c>
      <c r="E1007" t="inlineStr">
        <is>
          <t>SOLLEFTEÅ</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28672-2025</t>
        </is>
      </c>
      <c r="B1008" s="1" t="n">
        <v>45819.6754050926</v>
      </c>
      <c r="C1008" s="1" t="n">
        <v>45991</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42631-2024</t>
        </is>
      </c>
      <c r="B1009" s="1" t="n">
        <v>45565</v>
      </c>
      <c r="C1009" s="1" t="n">
        <v>45991</v>
      </c>
      <c r="D1009" t="inlineStr">
        <is>
          <t>VÄSTERNORRLANDS LÄN</t>
        </is>
      </c>
      <c r="E1009" t="inlineStr">
        <is>
          <t>SOLLEFTEÅ</t>
        </is>
      </c>
      <c r="F1009" t="inlineStr">
        <is>
          <t>Holmen skog AB</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14656-2025</t>
        </is>
      </c>
      <c r="B1010" s="1" t="n">
        <v>45742.51074074074</v>
      </c>
      <c r="C1010" s="1" t="n">
        <v>45991</v>
      </c>
      <c r="D1010" t="inlineStr">
        <is>
          <t>VÄSTERNORRLANDS LÄN</t>
        </is>
      </c>
      <c r="E1010" t="inlineStr">
        <is>
          <t>SOLLEFTEÅ</t>
        </is>
      </c>
      <c r="F1010" t="inlineStr">
        <is>
          <t>SCA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6896-2025</t>
        </is>
      </c>
      <c r="B1011" s="1" t="n">
        <v>45701.38577546296</v>
      </c>
      <c r="C1011" s="1" t="n">
        <v>45991</v>
      </c>
      <c r="D1011" t="inlineStr">
        <is>
          <t>VÄSTERNORRLANDS LÄN</t>
        </is>
      </c>
      <c r="E1011" t="inlineStr">
        <is>
          <t>SOLLEFTEÅ</t>
        </is>
      </c>
      <c r="F1011" t="inlineStr">
        <is>
          <t>SCA</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41540-2025</t>
        </is>
      </c>
      <c r="B1012" s="1" t="n">
        <v>45901.56833333334</v>
      </c>
      <c r="C1012" s="1" t="n">
        <v>45991</v>
      </c>
      <c r="D1012" t="inlineStr">
        <is>
          <t>VÄSTERNORRLANDS LÄN</t>
        </is>
      </c>
      <c r="E1012" t="inlineStr">
        <is>
          <t>SOLLEFTEÅ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3001-2022</t>
        </is>
      </c>
      <c r="B1013" s="1" t="n">
        <v>44581</v>
      </c>
      <c r="C1013" s="1" t="n">
        <v>45991</v>
      </c>
      <c r="D1013" t="inlineStr">
        <is>
          <t>VÄSTERNORRLANDS LÄN</t>
        </is>
      </c>
      <c r="E1013" t="inlineStr">
        <is>
          <t>SOLLEFTEÅ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28142-2025</t>
        </is>
      </c>
      <c r="B1014" s="1" t="n">
        <v>45818.34538194445</v>
      </c>
      <c r="C1014" s="1" t="n">
        <v>45991</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28195-2025</t>
        </is>
      </c>
      <c r="B1015" s="1" t="n">
        <v>45818</v>
      </c>
      <c r="C1015" s="1" t="n">
        <v>45991</v>
      </c>
      <c r="D1015" t="inlineStr">
        <is>
          <t>VÄSTERNORRLANDS LÄN</t>
        </is>
      </c>
      <c r="E1015" t="inlineStr">
        <is>
          <t>SOLLEFTEÅ</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600-2025</t>
        </is>
      </c>
      <c r="B1016" s="1" t="n">
        <v>45664.59428240741</v>
      </c>
      <c r="C1016" s="1" t="n">
        <v>45991</v>
      </c>
      <c r="D1016" t="inlineStr">
        <is>
          <t>VÄSTERNORRLANDS LÄN</t>
        </is>
      </c>
      <c r="E1016" t="inlineStr">
        <is>
          <t>SOLLEFTEÅ</t>
        </is>
      </c>
      <c r="F1016" t="inlineStr">
        <is>
          <t>SCA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41473-2025</t>
        </is>
      </c>
      <c r="B1017" s="1" t="n">
        <v>45901.46952546296</v>
      </c>
      <c r="C1017" s="1" t="n">
        <v>45991</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29142-2025</t>
        </is>
      </c>
      <c r="B1018" s="1" t="n">
        <v>45821.61518518518</v>
      </c>
      <c r="C1018" s="1" t="n">
        <v>45991</v>
      </c>
      <c r="D1018" t="inlineStr">
        <is>
          <t>VÄSTERNORRLANDS LÄN</t>
        </is>
      </c>
      <c r="E1018" t="inlineStr">
        <is>
          <t>SOLLEFTEÅ</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21092-2024</t>
        </is>
      </c>
      <c r="B1019" s="1" t="n">
        <v>45439.95009259259</v>
      </c>
      <c r="C1019" s="1" t="n">
        <v>45991</v>
      </c>
      <c r="D1019" t="inlineStr">
        <is>
          <t>VÄSTERNORRLANDS LÄN</t>
        </is>
      </c>
      <c r="E1019" t="inlineStr">
        <is>
          <t>SOLLEFTEÅ</t>
        </is>
      </c>
      <c r="F1019" t="inlineStr">
        <is>
          <t>SCA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28698-2025</t>
        </is>
      </c>
      <c r="B1020" s="1" t="n">
        <v>45819.925625</v>
      </c>
      <c r="C1020" s="1" t="n">
        <v>45991</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29103-2025</t>
        </is>
      </c>
      <c r="B1021" s="1" t="n">
        <v>45821.57219907407</v>
      </c>
      <c r="C1021" s="1" t="n">
        <v>45991</v>
      </c>
      <c r="D1021" t="inlineStr">
        <is>
          <t>VÄSTERNORRLANDS LÄN</t>
        </is>
      </c>
      <c r="E1021" t="inlineStr">
        <is>
          <t>SOLLEFTEÅ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44661-2024</t>
        </is>
      </c>
      <c r="B1022" s="1" t="n">
        <v>45574.53180555555</v>
      </c>
      <c r="C1022" s="1" t="n">
        <v>45991</v>
      </c>
      <c r="D1022" t="inlineStr">
        <is>
          <t>VÄSTERNORRLANDS LÄN</t>
        </is>
      </c>
      <c r="E1022" t="inlineStr">
        <is>
          <t>SOLLEFTEÅ</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28715-2025</t>
        </is>
      </c>
      <c r="B1023" s="1" t="n">
        <v>45820</v>
      </c>
      <c r="C1023" s="1" t="n">
        <v>45991</v>
      </c>
      <c r="D1023" t="inlineStr">
        <is>
          <t>VÄSTERNORRLANDS LÄN</t>
        </is>
      </c>
      <c r="E1023" t="inlineStr">
        <is>
          <t>SOLLEFTEÅ</t>
        </is>
      </c>
      <c r="F1023" t="inlineStr">
        <is>
          <t>SCA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28719-2025</t>
        </is>
      </c>
      <c r="B1024" s="1" t="n">
        <v>45820</v>
      </c>
      <c r="C1024" s="1" t="n">
        <v>45991</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42064-2025</t>
        </is>
      </c>
      <c r="B1025" s="1" t="n">
        <v>45903.6527199074</v>
      </c>
      <c r="C1025" s="1" t="n">
        <v>45991</v>
      </c>
      <c r="D1025" t="inlineStr">
        <is>
          <t>VÄSTERNORRLANDS LÄN</t>
        </is>
      </c>
      <c r="E1025" t="inlineStr">
        <is>
          <t>SOLLEFTEÅ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41925-2025</t>
        </is>
      </c>
      <c r="B1026" s="1" t="n">
        <v>45903.4275</v>
      </c>
      <c r="C1026" s="1" t="n">
        <v>45991</v>
      </c>
      <c r="D1026" t="inlineStr">
        <is>
          <t>VÄSTERNORRLANDS LÄN</t>
        </is>
      </c>
      <c r="E1026" t="inlineStr">
        <is>
          <t>SOLLEFTEÅ</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28993-2025</t>
        </is>
      </c>
      <c r="B1027" s="1" t="n">
        <v>45821.38574074074</v>
      </c>
      <c r="C1027" s="1" t="n">
        <v>45991</v>
      </c>
      <c r="D1027" t="inlineStr">
        <is>
          <t>VÄSTERNORRLANDS LÄN</t>
        </is>
      </c>
      <c r="E1027" t="inlineStr">
        <is>
          <t>SOLLEFTEÅ</t>
        </is>
      </c>
      <c r="F1027" t="inlineStr">
        <is>
          <t>SCA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28994-2025</t>
        </is>
      </c>
      <c r="B1028" s="1" t="n">
        <v>45821.38587962963</v>
      </c>
      <c r="C1028" s="1" t="n">
        <v>45991</v>
      </c>
      <c r="D1028" t="inlineStr">
        <is>
          <t>VÄSTERNORRLANDS LÄN</t>
        </is>
      </c>
      <c r="E1028" t="inlineStr">
        <is>
          <t>SOLLEFTEÅ</t>
        </is>
      </c>
      <c r="F1028" t="inlineStr">
        <is>
          <t>SCA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1466-2025</t>
        </is>
      </c>
      <c r="B1029" s="1" t="n">
        <v>45670</v>
      </c>
      <c r="C1029" s="1" t="n">
        <v>45991</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42081-2025</t>
        </is>
      </c>
      <c r="B1030" s="1" t="n">
        <v>45902</v>
      </c>
      <c r="C1030" s="1" t="n">
        <v>45991</v>
      </c>
      <c r="D1030" t="inlineStr">
        <is>
          <t>VÄSTERNORRLANDS LÄN</t>
        </is>
      </c>
      <c r="E1030" t="inlineStr">
        <is>
          <t>SOLLEFTEÅ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41948-2025</t>
        </is>
      </c>
      <c r="B1031" s="1" t="n">
        <v>45903.45092592593</v>
      </c>
      <c r="C1031" s="1" t="n">
        <v>45991</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28995-2025</t>
        </is>
      </c>
      <c r="B1032" s="1" t="n">
        <v>45821.38596064815</v>
      </c>
      <c r="C1032" s="1" t="n">
        <v>45991</v>
      </c>
      <c r="D1032" t="inlineStr">
        <is>
          <t>VÄSTERNORRLANDS LÄN</t>
        </is>
      </c>
      <c r="E1032" t="inlineStr">
        <is>
          <t>SOLLEFTEÅ</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28743-2025</t>
        </is>
      </c>
      <c r="B1033" s="1" t="n">
        <v>45820.38586805556</v>
      </c>
      <c r="C1033" s="1" t="n">
        <v>45991</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29039-2025</t>
        </is>
      </c>
      <c r="B1034" s="1" t="n">
        <v>45821.44844907407</v>
      </c>
      <c r="C1034" s="1" t="n">
        <v>45991</v>
      </c>
      <c r="D1034" t="inlineStr">
        <is>
          <t>VÄSTERNORRLANDS LÄN</t>
        </is>
      </c>
      <c r="E1034" t="inlineStr">
        <is>
          <t>SOLLEFTEÅ</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19556-2024</t>
        </is>
      </c>
      <c r="B1035" s="1" t="n">
        <v>45429</v>
      </c>
      <c r="C1035" s="1" t="n">
        <v>45991</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45991</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45991</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54330-2023</t>
        </is>
      </c>
      <c r="B1038" s="1" t="n">
        <v>45232.95814814815</v>
      </c>
      <c r="C1038" s="1" t="n">
        <v>45991</v>
      </c>
      <c r="D1038" t="inlineStr">
        <is>
          <t>VÄSTERNORRLANDS LÄN</t>
        </is>
      </c>
      <c r="E1038" t="inlineStr">
        <is>
          <t>SOLLEFTEÅ</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41829-2025</t>
        </is>
      </c>
      <c r="B1039" s="1" t="n">
        <v>45902</v>
      </c>
      <c r="C1039" s="1" t="n">
        <v>45991</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29309-2025</t>
        </is>
      </c>
      <c r="B1040" s="1" t="n">
        <v>45824.46333333333</v>
      </c>
      <c r="C1040" s="1" t="n">
        <v>45991</v>
      </c>
      <c r="D1040" t="inlineStr">
        <is>
          <t>VÄSTERNORRLANDS LÄN</t>
        </is>
      </c>
      <c r="E1040" t="inlineStr">
        <is>
          <t>SOLLEFTEÅ</t>
        </is>
      </c>
      <c r="F1040" t="inlineStr">
        <is>
          <t>Holmen skog AB</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63529-2023</t>
        </is>
      </c>
      <c r="B1041" s="1" t="n">
        <v>45274.94859953703</v>
      </c>
      <c r="C1041" s="1" t="n">
        <v>45991</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29435-2025</t>
        </is>
      </c>
      <c r="B1042" s="1" t="n">
        <v>45824.65762731482</v>
      </c>
      <c r="C1042" s="1" t="n">
        <v>45991</v>
      </c>
      <c r="D1042" t="inlineStr">
        <is>
          <t>VÄSTERNORRLANDS LÄN</t>
        </is>
      </c>
      <c r="E1042" t="inlineStr">
        <is>
          <t>SOLLEFTEÅ</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23488-2023</t>
        </is>
      </c>
      <c r="B1043" s="1" t="n">
        <v>45072</v>
      </c>
      <c r="C1043" s="1" t="n">
        <v>45991</v>
      </c>
      <c r="D1043" t="inlineStr">
        <is>
          <t>VÄSTERNORRLANDS LÄN</t>
        </is>
      </c>
      <c r="E1043" t="inlineStr">
        <is>
          <t>SOLLEFTEÅ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49629-2024</t>
        </is>
      </c>
      <c r="B1044" s="1" t="n">
        <v>45596</v>
      </c>
      <c r="C1044" s="1" t="n">
        <v>45991</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42041-2025</t>
        </is>
      </c>
      <c r="B1045" s="1" t="n">
        <v>45903.61568287037</v>
      </c>
      <c r="C1045" s="1" t="n">
        <v>45991</v>
      </c>
      <c r="D1045" t="inlineStr">
        <is>
          <t>VÄSTERNORRLANDS LÄN</t>
        </is>
      </c>
      <c r="E1045" t="inlineStr">
        <is>
          <t>SOLLEFTEÅ</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50757-2023</t>
        </is>
      </c>
      <c r="B1046" s="1" t="n">
        <v>45217</v>
      </c>
      <c r="C1046" s="1" t="n">
        <v>45991</v>
      </c>
      <c r="D1046" t="inlineStr">
        <is>
          <t>VÄSTERNORRLANDS LÄN</t>
        </is>
      </c>
      <c r="E1046" t="inlineStr">
        <is>
          <t>SOLLEFTEÅ</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41478-2022</t>
        </is>
      </c>
      <c r="B1047" s="1" t="n">
        <v>44826.94892361111</v>
      </c>
      <c r="C1047" s="1" t="n">
        <v>45991</v>
      </c>
      <c r="D1047" t="inlineStr">
        <is>
          <t>VÄSTERNORRLANDS LÄN</t>
        </is>
      </c>
      <c r="E1047" t="inlineStr">
        <is>
          <t>SOLLEFTEÅ</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29759-2025</t>
        </is>
      </c>
      <c r="B1048" s="1" t="n">
        <v>45825</v>
      </c>
      <c r="C1048" s="1" t="n">
        <v>45991</v>
      </c>
      <c r="D1048" t="inlineStr">
        <is>
          <t>VÄSTERNORRLANDS LÄN</t>
        </is>
      </c>
      <c r="E1048" t="inlineStr">
        <is>
          <t>SOLLEFTEÅ</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26014-2025</t>
        </is>
      </c>
      <c r="B1049" s="1" t="n">
        <v>45804.67773148148</v>
      </c>
      <c r="C1049" s="1" t="n">
        <v>45991</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9328-2024</t>
        </is>
      </c>
      <c r="B1050" s="1" t="n">
        <v>45358.99144675926</v>
      </c>
      <c r="C1050" s="1" t="n">
        <v>45991</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16709-2024</t>
        </is>
      </c>
      <c r="B1051" s="1" t="n">
        <v>45409.07737268518</v>
      </c>
      <c r="C1051" s="1" t="n">
        <v>45991</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29011-2025</t>
        </is>
      </c>
      <c r="B1052" s="1" t="n">
        <v>45821.40659722222</v>
      </c>
      <c r="C1052" s="1" t="n">
        <v>45991</v>
      </c>
      <c r="D1052" t="inlineStr">
        <is>
          <t>VÄSTERNORRLANDS LÄN</t>
        </is>
      </c>
      <c r="E1052" t="inlineStr">
        <is>
          <t>SOLLEFTEÅ</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29535-2025</t>
        </is>
      </c>
      <c r="B1053" s="1" t="n">
        <v>45825.34486111111</v>
      </c>
      <c r="C1053" s="1" t="n">
        <v>45991</v>
      </c>
      <c r="D1053" t="inlineStr">
        <is>
          <t>VÄSTERNORRLANDS LÄN</t>
        </is>
      </c>
      <c r="E1053" t="inlineStr">
        <is>
          <t>SOLLEFTEÅ</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29760-2025</t>
        </is>
      </c>
      <c r="B1054" s="1" t="n">
        <v>45825.61805555555</v>
      </c>
      <c r="C1054" s="1" t="n">
        <v>45991</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29769-2025</t>
        </is>
      </c>
      <c r="B1055" s="1" t="n">
        <v>45825.62796296296</v>
      </c>
      <c r="C1055" s="1" t="n">
        <v>45991</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53855-2024</t>
        </is>
      </c>
      <c r="B1056" s="1" t="n">
        <v>45615.63724537037</v>
      </c>
      <c r="C1056" s="1" t="n">
        <v>45991</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29436-2025</t>
        </is>
      </c>
      <c r="B1057" s="1" t="n">
        <v>45824.65766203704</v>
      </c>
      <c r="C1057" s="1" t="n">
        <v>45991</v>
      </c>
      <c r="D1057" t="inlineStr">
        <is>
          <t>VÄSTERNORRLANDS LÄN</t>
        </is>
      </c>
      <c r="E1057" t="inlineStr">
        <is>
          <t>SOLLEFTEÅ</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29445-2025</t>
        </is>
      </c>
      <c r="B1058" s="1" t="n">
        <v>45824.66322916667</v>
      </c>
      <c r="C1058" s="1" t="n">
        <v>45991</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29762-2025</t>
        </is>
      </c>
      <c r="B1059" s="1" t="n">
        <v>45825.61826388889</v>
      </c>
      <c r="C1059" s="1" t="n">
        <v>45991</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54045-2023</t>
        </is>
      </c>
      <c r="B1060" s="1" t="n">
        <v>45231.96743055555</v>
      </c>
      <c r="C1060" s="1" t="n">
        <v>45991</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42199-2025</t>
        </is>
      </c>
      <c r="B1061" s="1" t="n">
        <v>45904.48640046296</v>
      </c>
      <c r="C1061" s="1" t="n">
        <v>45991</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45991</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31428-2025</t>
        </is>
      </c>
      <c r="B1063" s="1" t="n">
        <v>45833.4930787037</v>
      </c>
      <c r="C1063" s="1" t="n">
        <v>45991</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42396-2025</t>
        </is>
      </c>
      <c r="B1064" s="1" t="n">
        <v>45905.36559027778</v>
      </c>
      <c r="C1064" s="1" t="n">
        <v>45991</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29562-2025</t>
        </is>
      </c>
      <c r="B1065" s="1" t="n">
        <v>45825</v>
      </c>
      <c r="C1065" s="1" t="n">
        <v>45991</v>
      </c>
      <c r="D1065" t="inlineStr">
        <is>
          <t>VÄSTERNORRLANDS LÄN</t>
        </is>
      </c>
      <c r="E1065" t="inlineStr">
        <is>
          <t>SOLLEFTEÅ</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30369-2025</t>
        </is>
      </c>
      <c r="B1066" s="1" t="n">
        <v>45827.55729166666</v>
      </c>
      <c r="C1066" s="1" t="n">
        <v>45991</v>
      </c>
      <c r="D1066" t="inlineStr">
        <is>
          <t>VÄSTERNORRLANDS LÄN</t>
        </is>
      </c>
      <c r="E1066" t="inlineStr">
        <is>
          <t>SOLLEFTEÅ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30389-2025</t>
        </is>
      </c>
      <c r="B1067" s="1" t="n">
        <v>45827.57356481482</v>
      </c>
      <c r="C1067" s="1" t="n">
        <v>45991</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16632-2025</t>
        </is>
      </c>
      <c r="B1068" s="1" t="n">
        <v>45754.36490740741</v>
      </c>
      <c r="C1068" s="1" t="n">
        <v>45991</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29884-2025</t>
        </is>
      </c>
      <c r="B1069" s="1" t="n">
        <v>45826.36582175926</v>
      </c>
      <c r="C1069" s="1" t="n">
        <v>45991</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30279-2025</t>
        </is>
      </c>
      <c r="B1070" s="1" t="n">
        <v>45827</v>
      </c>
      <c r="C1070" s="1" t="n">
        <v>45991</v>
      </c>
      <c r="D1070" t="inlineStr">
        <is>
          <t>VÄSTERNORRLANDS LÄN</t>
        </is>
      </c>
      <c r="E1070" t="inlineStr">
        <is>
          <t>SOLLEFTEÅ</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11009-2024</t>
        </is>
      </c>
      <c r="B1071" s="1" t="n">
        <v>45370</v>
      </c>
      <c r="C1071" s="1" t="n">
        <v>45991</v>
      </c>
      <c r="D1071" t="inlineStr">
        <is>
          <t>VÄSTERNORRLANDS LÄN</t>
        </is>
      </c>
      <c r="E1071" t="inlineStr">
        <is>
          <t>SOLLEFTEÅ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42127-2025</t>
        </is>
      </c>
      <c r="B1072" s="1" t="n">
        <v>45904.34502314815</v>
      </c>
      <c r="C1072" s="1" t="n">
        <v>45991</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42192-2025</t>
        </is>
      </c>
      <c r="B1073" s="1" t="n">
        <v>45904.47975694444</v>
      </c>
      <c r="C1073" s="1" t="n">
        <v>45991</v>
      </c>
      <c r="D1073" t="inlineStr">
        <is>
          <t>VÄSTERNORRLANDS LÄN</t>
        </is>
      </c>
      <c r="E1073" t="inlineStr">
        <is>
          <t>SOLLEFTEÅ</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30311-2025</t>
        </is>
      </c>
      <c r="B1074" s="1" t="n">
        <v>45827.49015046296</v>
      </c>
      <c r="C1074" s="1" t="n">
        <v>45991</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42191-2025</t>
        </is>
      </c>
      <c r="B1075" s="1" t="n">
        <v>45904.47394675926</v>
      </c>
      <c r="C1075" s="1" t="n">
        <v>45991</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8880-2023</t>
        </is>
      </c>
      <c r="B1076" s="1" t="n">
        <v>44978.94346064814</v>
      </c>
      <c r="C1076" s="1" t="n">
        <v>45991</v>
      </c>
      <c r="D1076" t="inlineStr">
        <is>
          <t>VÄSTERNORRLANDS LÄN</t>
        </is>
      </c>
      <c r="E1076" t="inlineStr">
        <is>
          <t>SOLLEFTEÅ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42201-2025</t>
        </is>
      </c>
      <c r="B1077" s="1" t="n">
        <v>45904.48965277777</v>
      </c>
      <c r="C1077" s="1" t="n">
        <v>45991</v>
      </c>
      <c r="D1077" t="inlineStr">
        <is>
          <t>VÄSTERNORRLANDS LÄN</t>
        </is>
      </c>
      <c r="E1077" t="inlineStr">
        <is>
          <t>SOLLEFTEÅ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42733-2025</t>
        </is>
      </c>
      <c r="B1078" s="1" t="n">
        <v>45908.4071875</v>
      </c>
      <c r="C1078" s="1" t="n">
        <v>45991</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30018-2025</t>
        </is>
      </c>
      <c r="B1079" s="1" t="n">
        <v>45826.55332175926</v>
      </c>
      <c r="C1079" s="1" t="n">
        <v>45991</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30020-2025</t>
        </is>
      </c>
      <c r="B1080" s="1" t="n">
        <v>45826.55337962963</v>
      </c>
      <c r="C1080" s="1" t="n">
        <v>45991</v>
      </c>
      <c r="D1080" t="inlineStr">
        <is>
          <t>VÄSTERNORRLANDS LÄN</t>
        </is>
      </c>
      <c r="E1080" t="inlineStr">
        <is>
          <t>SOLLEFTEÅ</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51527-2025</t>
        </is>
      </c>
      <c r="B1081" s="1" t="n">
        <v>45950.67748842593</v>
      </c>
      <c r="C1081" s="1" t="n">
        <v>45991</v>
      </c>
      <c r="D1081" t="inlineStr">
        <is>
          <t>VÄSTERNORRLANDS LÄN</t>
        </is>
      </c>
      <c r="E1081" t="inlineStr">
        <is>
          <t>SOLLEFTEÅ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51942-2024</t>
        </is>
      </c>
      <c r="B1082" s="1" t="n">
        <v>45607.63592592593</v>
      </c>
      <c r="C1082" s="1" t="n">
        <v>45991</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51603-2025</t>
        </is>
      </c>
      <c r="B1083" s="1" t="n">
        <v>45951.38317129629</v>
      </c>
      <c r="C1083" s="1" t="n">
        <v>45991</v>
      </c>
      <c r="D1083" t="inlineStr">
        <is>
          <t>VÄSTERNORRLANDS LÄN</t>
        </is>
      </c>
      <c r="E1083" t="inlineStr">
        <is>
          <t>SOLLEFTEÅ</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22690-2024</t>
        </is>
      </c>
      <c r="B1084" s="1" t="n">
        <v>45448.31293981482</v>
      </c>
      <c r="C1084" s="1" t="n">
        <v>45991</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50963-2024</t>
        </is>
      </c>
      <c r="B1085" s="1" t="n">
        <v>45603.32388888889</v>
      </c>
      <c r="C1085" s="1" t="n">
        <v>45991</v>
      </c>
      <c r="D1085" t="inlineStr">
        <is>
          <t>VÄSTERNORRLANDS LÄN</t>
        </is>
      </c>
      <c r="E1085" t="inlineStr">
        <is>
          <t>SOLLEFTEÅ</t>
        </is>
      </c>
      <c r="F1085" t="inlineStr">
        <is>
          <t>Holmen skog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51259-2025</t>
        </is>
      </c>
      <c r="B1086" s="1" t="n">
        <v>45949.44818287037</v>
      </c>
      <c r="C1086" s="1" t="n">
        <v>45991</v>
      </c>
      <c r="D1086" t="inlineStr">
        <is>
          <t>VÄSTERNORRLANDS LÄN</t>
        </is>
      </c>
      <c r="E1086" t="inlineStr">
        <is>
          <t>SOLLEFTEÅ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51321-2025</t>
        </is>
      </c>
      <c r="B1087" s="1" t="n">
        <v>45950.38615740741</v>
      </c>
      <c r="C1087" s="1" t="n">
        <v>45991</v>
      </c>
      <c r="D1087" t="inlineStr">
        <is>
          <t>VÄSTERNORRLANDS LÄN</t>
        </is>
      </c>
      <c r="E1087" t="inlineStr">
        <is>
          <t>SOLLEFTEÅ</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42901-2025</t>
        </is>
      </c>
      <c r="B1088" s="1" t="n">
        <v>45908.67736111111</v>
      </c>
      <c r="C1088" s="1" t="n">
        <v>45991</v>
      </c>
      <c r="D1088" t="inlineStr">
        <is>
          <t>VÄSTERNORRLANDS LÄN</t>
        </is>
      </c>
      <c r="E1088" t="inlineStr">
        <is>
          <t>SOLLEFTEÅ</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51451-2025</t>
        </is>
      </c>
      <c r="B1089" s="1" t="n">
        <v>45950.59311342592</v>
      </c>
      <c r="C1089" s="1" t="n">
        <v>45991</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29883-2025</t>
        </is>
      </c>
      <c r="B1090" s="1" t="n">
        <v>45826.36568287037</v>
      </c>
      <c r="C1090" s="1" t="n">
        <v>45991</v>
      </c>
      <c r="D1090" t="inlineStr">
        <is>
          <t>VÄSTERNORRLANDS LÄN</t>
        </is>
      </c>
      <c r="E1090" t="inlineStr">
        <is>
          <t>SOLLEFTEÅ</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30401-2025</t>
        </is>
      </c>
      <c r="B1091" s="1" t="n">
        <v>45827.59135416667</v>
      </c>
      <c r="C1091" s="1" t="n">
        <v>45991</v>
      </c>
      <c r="D1091" t="inlineStr">
        <is>
          <t>VÄSTERNORRLANDS LÄN</t>
        </is>
      </c>
      <c r="E1091" t="inlineStr">
        <is>
          <t>SOLLEFTEÅ</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51575-2025</t>
        </is>
      </c>
      <c r="B1092" s="1" t="n">
        <v>45951.34452546296</v>
      </c>
      <c r="C1092" s="1" t="n">
        <v>45991</v>
      </c>
      <c r="D1092" t="inlineStr">
        <is>
          <t>VÄSTERNORRLANDS LÄN</t>
        </is>
      </c>
      <c r="E1092" t="inlineStr">
        <is>
          <t>SOLLEFTEÅ</t>
        </is>
      </c>
      <c r="F1092" t="inlineStr">
        <is>
          <t>SCA</t>
        </is>
      </c>
      <c r="G1092" t="n">
        <v>35.4</v>
      </c>
      <c r="H1092" t="n">
        <v>0</v>
      </c>
      <c r="I1092" t="n">
        <v>0</v>
      </c>
      <c r="J1092" t="n">
        <v>0</v>
      </c>
      <c r="K1092" t="n">
        <v>0</v>
      </c>
      <c r="L1092" t="n">
        <v>0</v>
      </c>
      <c r="M1092" t="n">
        <v>0</v>
      </c>
      <c r="N1092" t="n">
        <v>0</v>
      </c>
      <c r="O1092" t="n">
        <v>0</v>
      </c>
      <c r="P1092" t="n">
        <v>0</v>
      </c>
      <c r="Q1092" t="n">
        <v>0</v>
      </c>
      <c r="R1092" s="2" t="inlineStr"/>
    </row>
    <row r="1093" ht="15" customHeight="1">
      <c r="A1093" t="inlineStr">
        <is>
          <t>A 45801-2024</t>
        </is>
      </c>
      <c r="B1093" s="1" t="n">
        <v>45579.67798611111</v>
      </c>
      <c r="C1093" s="1" t="n">
        <v>45991</v>
      </c>
      <c r="D1093" t="inlineStr">
        <is>
          <t>VÄSTERNORRLANDS LÄN</t>
        </is>
      </c>
      <c r="E1093" t="inlineStr">
        <is>
          <t>SOLLEFTEÅ</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45802-2024</t>
        </is>
      </c>
      <c r="B1094" s="1" t="n">
        <v>45579.67818287037</v>
      </c>
      <c r="C1094" s="1" t="n">
        <v>45991</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46101-2024</t>
        </is>
      </c>
      <c r="B1095" s="1" t="n">
        <v>45581</v>
      </c>
      <c r="C1095" s="1" t="n">
        <v>45991</v>
      </c>
      <c r="D1095" t="inlineStr">
        <is>
          <t>VÄSTERNORRLANDS LÄN</t>
        </is>
      </c>
      <c r="E1095" t="inlineStr">
        <is>
          <t>SOLLEFTEÅ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45991</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30073-2025</t>
        </is>
      </c>
      <c r="B1097" s="1" t="n">
        <v>45826.63643518519</v>
      </c>
      <c r="C1097" s="1" t="n">
        <v>45991</v>
      </c>
      <c r="D1097" t="inlineStr">
        <is>
          <t>VÄSTERNORRLANDS LÄN</t>
        </is>
      </c>
      <c r="E1097" t="inlineStr">
        <is>
          <t>SOLLEFTEÅ</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14365-2024</t>
        </is>
      </c>
      <c r="B1098" s="1" t="n">
        <v>45393.94332175926</v>
      </c>
      <c r="C1098" s="1" t="n">
        <v>45991</v>
      </c>
      <c r="D1098" t="inlineStr">
        <is>
          <t>VÄSTERNORRLANDS LÄN</t>
        </is>
      </c>
      <c r="E1098" t="inlineStr">
        <is>
          <t>SOLLEFTEÅ</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22166-2025</t>
        </is>
      </c>
      <c r="B1099" s="1" t="n">
        <v>45785.59480324074</v>
      </c>
      <c r="C1099" s="1" t="n">
        <v>45991</v>
      </c>
      <c r="D1099" t="inlineStr">
        <is>
          <t>VÄSTERNORRLANDS LÄN</t>
        </is>
      </c>
      <c r="E1099" t="inlineStr">
        <is>
          <t>SOLLEFTEÅ</t>
        </is>
      </c>
      <c r="F1099" t="inlineStr">
        <is>
          <t>SCA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42778-2025</t>
        </is>
      </c>
      <c r="B1100" s="1" t="n">
        <v>45908</v>
      </c>
      <c r="C1100" s="1" t="n">
        <v>45991</v>
      </c>
      <c r="D1100" t="inlineStr">
        <is>
          <t>VÄSTERNORRLANDS LÄN</t>
        </is>
      </c>
      <c r="E1100" t="inlineStr">
        <is>
          <t>SOLLEFTEÅ</t>
        </is>
      </c>
      <c r="F1100" t="inlineStr">
        <is>
          <t>Holmen skog AB</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51591-2025</t>
        </is>
      </c>
      <c r="B1101" s="1" t="n">
        <v>45951.3653587963</v>
      </c>
      <c r="C1101" s="1" t="n">
        <v>45991</v>
      </c>
      <c r="D1101" t="inlineStr">
        <is>
          <t>VÄSTERNORRLANDS LÄN</t>
        </is>
      </c>
      <c r="E1101" t="inlineStr">
        <is>
          <t>SOLLEFTEÅ</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29946-2023</t>
        </is>
      </c>
      <c r="B1102" s="1" t="n">
        <v>45107.93818287037</v>
      </c>
      <c r="C1102" s="1" t="n">
        <v>45991</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48555-2021</t>
        </is>
      </c>
      <c r="B1103" s="1" t="n">
        <v>44452</v>
      </c>
      <c r="C1103" s="1" t="n">
        <v>45991</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42806-2025</t>
        </is>
      </c>
      <c r="B1104" s="1" t="n">
        <v>45908</v>
      </c>
      <c r="C1104" s="1" t="n">
        <v>45991</v>
      </c>
      <c r="D1104" t="inlineStr">
        <is>
          <t>VÄSTERNORRLANDS LÄN</t>
        </is>
      </c>
      <c r="E1104" t="inlineStr">
        <is>
          <t>SOLLEFTEÅ</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38102-2022</t>
        </is>
      </c>
      <c r="B1105" s="1" t="n">
        <v>44811</v>
      </c>
      <c r="C1105" s="1" t="n">
        <v>45991</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c r="U1105">
        <f>HYPERLINK("https://klasma.github.io/Logging_2283/knärot/A 38102-2022 karta knärot.png", "A 38102-2022")</f>
        <v/>
      </c>
      <c r="V1105">
        <f>HYPERLINK("https://klasma.github.io/Logging_2283/klagomål/A 38102-2022 FSC-klagomål.docx", "A 38102-2022")</f>
        <v/>
      </c>
      <c r="W1105">
        <f>HYPERLINK("https://klasma.github.io/Logging_2283/klagomålsmail/A 38102-2022 FSC-klagomål mail.docx", "A 38102-2022")</f>
        <v/>
      </c>
      <c r="X1105">
        <f>HYPERLINK("https://klasma.github.io/Logging_2283/tillsyn/A 38102-2022 tillsynsbegäran.docx", "A 38102-2022")</f>
        <v/>
      </c>
      <c r="Y1105">
        <f>HYPERLINK("https://klasma.github.io/Logging_2283/tillsynsmail/A 38102-2022 tillsynsbegäran mail.docx", "A 38102-2022")</f>
        <v/>
      </c>
    </row>
    <row r="1106" ht="15" customHeight="1">
      <c r="A1106" t="inlineStr">
        <is>
          <t>A 62038-2024</t>
        </is>
      </c>
      <c r="B1106" s="1" t="n">
        <v>45656.34410879629</v>
      </c>
      <c r="C1106" s="1" t="n">
        <v>45991</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59407-2024</t>
        </is>
      </c>
      <c r="B1107" s="1" t="n">
        <v>45638.38917824074</v>
      </c>
      <c r="C1107" s="1" t="n">
        <v>45991</v>
      </c>
      <c r="D1107" t="inlineStr">
        <is>
          <t>VÄSTERNORRLANDS LÄN</t>
        </is>
      </c>
      <c r="E1107" t="inlineStr">
        <is>
          <t>SOLLEFTEÅ</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9163-2025</t>
        </is>
      </c>
      <c r="B1108" s="1" t="n">
        <v>45714.36503472222</v>
      </c>
      <c r="C1108" s="1" t="n">
        <v>45991</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30478-2025</t>
        </is>
      </c>
      <c r="B1109" s="1" t="n">
        <v>45828.45866898148</v>
      </c>
      <c r="C1109" s="1" t="n">
        <v>45991</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c r="U1109">
        <f>HYPERLINK("https://klasma.github.io/Logging_2283/knärot/A 30478-2025 karta knärot.png", "A 30478-2025")</f>
        <v/>
      </c>
      <c r="V1109">
        <f>HYPERLINK("https://klasma.github.io/Logging_2283/klagomål/A 30478-2025 FSC-klagomål.docx", "A 30478-2025")</f>
        <v/>
      </c>
      <c r="W1109">
        <f>HYPERLINK("https://klasma.github.io/Logging_2283/klagomålsmail/A 30478-2025 FSC-klagomål mail.docx", "A 30478-2025")</f>
        <v/>
      </c>
      <c r="X1109">
        <f>HYPERLINK("https://klasma.github.io/Logging_2283/tillsyn/A 30478-2025 tillsynsbegäran.docx", "A 30478-2025")</f>
        <v/>
      </c>
      <c r="Y1109">
        <f>HYPERLINK("https://klasma.github.io/Logging_2283/tillsynsmail/A 30478-2025 tillsynsbegäran mail.docx", "A 30478-2025")</f>
        <v/>
      </c>
    </row>
    <row r="1110" ht="15" customHeight="1">
      <c r="A1110" t="inlineStr">
        <is>
          <t>A 30750-2025</t>
        </is>
      </c>
      <c r="B1110" s="1" t="n">
        <v>45831.58900462963</v>
      </c>
      <c r="C1110" s="1" t="n">
        <v>45991</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30754-2025</t>
        </is>
      </c>
      <c r="B1111" s="1" t="n">
        <v>45831.59417824074</v>
      </c>
      <c r="C1111" s="1" t="n">
        <v>45991</v>
      </c>
      <c r="D1111" t="inlineStr">
        <is>
          <t>VÄSTERNORRLANDS LÄN</t>
        </is>
      </c>
      <c r="E1111" t="inlineStr">
        <is>
          <t>SOLLEFTEÅ</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51617-2025</t>
        </is>
      </c>
      <c r="B1112" s="1" t="n">
        <v>45951.40674768519</v>
      </c>
      <c r="C1112" s="1" t="n">
        <v>45991</v>
      </c>
      <c r="D1112" t="inlineStr">
        <is>
          <t>VÄSTERNORRLANDS LÄN</t>
        </is>
      </c>
      <c r="E1112" t="inlineStr">
        <is>
          <t>SOLLEFTEÅ</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28580-2024</t>
        </is>
      </c>
      <c r="B1113" s="1" t="n">
        <v>45478</v>
      </c>
      <c r="C1113" s="1" t="n">
        <v>45991</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30774-2025</t>
        </is>
      </c>
      <c r="B1114" s="1" t="n">
        <v>45831.61501157407</v>
      </c>
      <c r="C1114" s="1" t="n">
        <v>45991</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51711-2025</t>
        </is>
      </c>
      <c r="B1115" s="1" t="n">
        <v>45951.57133101852</v>
      </c>
      <c r="C1115" s="1" t="n">
        <v>45991</v>
      </c>
      <c r="D1115" t="inlineStr">
        <is>
          <t>VÄSTERNORRLANDS LÄN</t>
        </is>
      </c>
      <c r="E1115" t="inlineStr">
        <is>
          <t>SOLLEFTEÅ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30834-2025</t>
        </is>
      </c>
      <c r="B1116" s="1" t="n">
        <v>45831.6984837963</v>
      </c>
      <c r="C1116" s="1" t="n">
        <v>45991</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6474-2023</t>
        </is>
      </c>
      <c r="B1117" s="1" t="n">
        <v>44965.94128472222</v>
      </c>
      <c r="C1117" s="1" t="n">
        <v>45991</v>
      </c>
      <c r="D1117" t="inlineStr">
        <is>
          <t>VÄSTERNORRLANDS LÄN</t>
        </is>
      </c>
      <c r="E1117" t="inlineStr">
        <is>
          <t>SOLLEFTEÅ</t>
        </is>
      </c>
      <c r="F1117" t="inlineStr">
        <is>
          <t>SCA</t>
        </is>
      </c>
      <c r="G1117" t="n">
        <v>47.3</v>
      </c>
      <c r="H1117" t="n">
        <v>0</v>
      </c>
      <c r="I1117" t="n">
        <v>0</v>
      </c>
      <c r="J1117" t="n">
        <v>0</v>
      </c>
      <c r="K1117" t="n">
        <v>0</v>
      </c>
      <c r="L1117" t="n">
        <v>0</v>
      </c>
      <c r="M1117" t="n">
        <v>0</v>
      </c>
      <c r="N1117" t="n">
        <v>0</v>
      </c>
      <c r="O1117" t="n">
        <v>0</v>
      </c>
      <c r="P1117" t="n">
        <v>0</v>
      </c>
      <c r="Q1117" t="n">
        <v>0</v>
      </c>
      <c r="R1117" s="2" t="inlineStr"/>
    </row>
    <row r="1118" ht="15" customHeight="1">
      <c r="A1118" t="inlineStr">
        <is>
          <t>A 30733-2025</t>
        </is>
      </c>
      <c r="B1118" s="1" t="n">
        <v>45831.57340277778</v>
      </c>
      <c r="C1118" s="1" t="n">
        <v>45991</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30734-2025</t>
        </is>
      </c>
      <c r="B1119" s="1" t="n">
        <v>45831.5734375</v>
      </c>
      <c r="C1119" s="1" t="n">
        <v>45991</v>
      </c>
      <c r="D1119" t="inlineStr">
        <is>
          <t>VÄSTERNORRLANDS LÄN</t>
        </is>
      </c>
      <c r="E1119" t="inlineStr">
        <is>
          <t>SOLLEFTEÅ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48019-2024</t>
        </is>
      </c>
      <c r="B1120" s="1" t="n">
        <v>45589.47023148148</v>
      </c>
      <c r="C1120" s="1" t="n">
        <v>45991</v>
      </c>
      <c r="D1120" t="inlineStr">
        <is>
          <t>VÄSTERNORRLANDS LÄN</t>
        </is>
      </c>
      <c r="E1120" t="inlineStr">
        <is>
          <t>SOLLEFTEÅ</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52035-2022</t>
        </is>
      </c>
      <c r="B1121" s="1" t="n">
        <v>44872</v>
      </c>
      <c r="C1121" s="1" t="n">
        <v>45991</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51609-2025</t>
        </is>
      </c>
      <c r="B1122" s="1" t="n">
        <v>45951.39130787037</v>
      </c>
      <c r="C1122" s="1" t="n">
        <v>45991</v>
      </c>
      <c r="D1122" t="inlineStr">
        <is>
          <t>VÄSTERNORRLANDS LÄN</t>
        </is>
      </c>
      <c r="E1122" t="inlineStr">
        <is>
          <t>SOLLEFTEÅ</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59346-2023</t>
        </is>
      </c>
      <c r="B1123" s="1" t="n">
        <v>45253</v>
      </c>
      <c r="C1123" s="1" t="n">
        <v>45991</v>
      </c>
      <c r="D1123" t="inlineStr">
        <is>
          <t>VÄSTERNORRLANDS LÄN</t>
        </is>
      </c>
      <c r="E1123" t="inlineStr">
        <is>
          <t>SOLLEFTEÅ</t>
        </is>
      </c>
      <c r="F1123" t="inlineStr">
        <is>
          <t>Holmen skog AB</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50549-2024</t>
        </is>
      </c>
      <c r="B1124" s="1" t="n">
        <v>45601</v>
      </c>
      <c r="C1124" s="1" t="n">
        <v>45991</v>
      </c>
      <c r="D1124" t="inlineStr">
        <is>
          <t>VÄSTERNORRLANDS LÄN</t>
        </is>
      </c>
      <c r="E1124" t="inlineStr">
        <is>
          <t>SOLLEFTEÅ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38769-2024</t>
        </is>
      </c>
      <c r="B1125" s="1" t="n">
        <v>45547.44914351852</v>
      </c>
      <c r="C1125" s="1" t="n">
        <v>45991</v>
      </c>
      <c r="D1125" t="inlineStr">
        <is>
          <t>VÄSTERNORRLANDS LÄN</t>
        </is>
      </c>
      <c r="E1125" t="inlineStr">
        <is>
          <t>SOLLEFTEÅ</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50624-2024</t>
        </is>
      </c>
      <c r="B1126" s="1" t="n">
        <v>45601.65728009259</v>
      </c>
      <c r="C1126" s="1" t="n">
        <v>45991</v>
      </c>
      <c r="D1126" t="inlineStr">
        <is>
          <t>VÄSTERNORRLANDS LÄN</t>
        </is>
      </c>
      <c r="E1126" t="inlineStr">
        <is>
          <t>SOLLEFTEÅ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51770-2025</t>
        </is>
      </c>
      <c r="B1127" s="1" t="n">
        <v>45951.64315972223</v>
      </c>
      <c r="C1127" s="1" t="n">
        <v>45991</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30889-2025</t>
        </is>
      </c>
      <c r="B1128" s="1" t="n">
        <v>45832.34618055556</v>
      </c>
      <c r="C1128" s="1" t="n">
        <v>45991</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51755-2025</t>
        </is>
      </c>
      <c r="B1129" s="1" t="n">
        <v>45950</v>
      </c>
      <c r="C1129" s="1" t="n">
        <v>45991</v>
      </c>
      <c r="D1129" t="inlineStr">
        <is>
          <t>VÄSTERNORRLANDS LÄN</t>
        </is>
      </c>
      <c r="E1129" t="inlineStr">
        <is>
          <t>SOLLEFTEÅ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30068-2024</t>
        </is>
      </c>
      <c r="B1130" s="1" t="n">
        <v>45488.94886574074</v>
      </c>
      <c r="C1130" s="1" t="n">
        <v>45991</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30964-2025</t>
        </is>
      </c>
      <c r="B1131" s="1" t="n">
        <v>45832.45111111111</v>
      </c>
      <c r="C1131" s="1" t="n">
        <v>45991</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31183-2025</t>
        </is>
      </c>
      <c r="B1132" s="1" t="n">
        <v>45832.67774305555</v>
      </c>
      <c r="C1132" s="1" t="n">
        <v>45991</v>
      </c>
      <c r="D1132" t="inlineStr">
        <is>
          <t>VÄSTERNORRLANDS LÄN</t>
        </is>
      </c>
      <c r="E1132" t="inlineStr">
        <is>
          <t>SOLLEFTEÅ</t>
        </is>
      </c>
      <c r="F1132" t="inlineStr">
        <is>
          <t>SCA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51521-2025</t>
        </is>
      </c>
      <c r="B1133" s="1" t="n">
        <v>45950.65715277778</v>
      </c>
      <c r="C1133" s="1" t="n">
        <v>45991</v>
      </c>
      <c r="D1133" t="inlineStr">
        <is>
          <t>VÄSTERNORRLANDS LÄN</t>
        </is>
      </c>
      <c r="E1133" t="inlineStr">
        <is>
          <t>SOLLEFTEÅ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31345-2025</t>
        </is>
      </c>
      <c r="B1134" s="1" t="n">
        <v>45833.42854166667</v>
      </c>
      <c r="C1134" s="1" t="n">
        <v>45991</v>
      </c>
      <c r="D1134" t="inlineStr">
        <is>
          <t>VÄSTERNORRLANDS LÄN</t>
        </is>
      </c>
      <c r="E1134" t="inlineStr">
        <is>
          <t>SOLLEFTEÅ</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31347-2025</t>
        </is>
      </c>
      <c r="B1135" s="1" t="n">
        <v>45833</v>
      </c>
      <c r="C1135" s="1" t="n">
        <v>45991</v>
      </c>
      <c r="D1135" t="inlineStr">
        <is>
          <t>VÄSTERNORRLANDS LÄN</t>
        </is>
      </c>
      <c r="E1135" t="inlineStr">
        <is>
          <t>SOLLEFTEÅ</t>
        </is>
      </c>
      <c r="F1135" t="inlineStr">
        <is>
          <t>SCA</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31435-2025</t>
        </is>
      </c>
      <c r="B1136" s="1" t="n">
        <v>45833.49708333334</v>
      </c>
      <c r="C1136" s="1" t="n">
        <v>45991</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31396-2025</t>
        </is>
      </c>
      <c r="B1137" s="1" t="n">
        <v>45833.4658912037</v>
      </c>
      <c r="C1137" s="1" t="n">
        <v>45991</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35470-2023</t>
        </is>
      </c>
      <c r="B1138" s="1" t="n">
        <v>45146</v>
      </c>
      <c r="C1138" s="1" t="n">
        <v>45991</v>
      </c>
      <c r="D1138" t="inlineStr">
        <is>
          <t>VÄSTERNORRLANDS LÄN</t>
        </is>
      </c>
      <c r="E1138" t="inlineStr">
        <is>
          <t>SOLLEFTEÅ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51261-2025</t>
        </is>
      </c>
      <c r="B1139" s="1" t="n">
        <v>45949.46915509259</v>
      </c>
      <c r="C1139" s="1" t="n">
        <v>45991</v>
      </c>
      <c r="D1139" t="inlineStr">
        <is>
          <t>VÄSTERNORRLANDS LÄN</t>
        </is>
      </c>
      <c r="E1139" t="inlineStr">
        <is>
          <t>SOLLEFTEÅ</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51559-2025</t>
        </is>
      </c>
      <c r="B1140" s="1" t="n">
        <v>45950.93180555556</v>
      </c>
      <c r="C1140" s="1" t="n">
        <v>45991</v>
      </c>
      <c r="D1140" t="inlineStr">
        <is>
          <t>VÄSTERNORRLANDS LÄN</t>
        </is>
      </c>
      <c r="E1140" t="inlineStr">
        <is>
          <t>SOLLEFTEÅ</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56685-2023</t>
        </is>
      </c>
      <c r="B1141" s="1" t="n">
        <v>45243.96600694444</v>
      </c>
      <c r="C1141" s="1" t="n">
        <v>45991</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31423-2025</t>
        </is>
      </c>
      <c r="B1142" s="1" t="n">
        <v>45833.48957175926</v>
      </c>
      <c r="C1142" s="1" t="n">
        <v>45991</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31306-2025</t>
        </is>
      </c>
      <c r="B1143" s="1" t="n">
        <v>45833</v>
      </c>
      <c r="C1143" s="1" t="n">
        <v>45991</v>
      </c>
      <c r="D1143" t="inlineStr">
        <is>
          <t>VÄSTERNORRLANDS LÄN</t>
        </is>
      </c>
      <c r="E1143" t="inlineStr">
        <is>
          <t>SOLLEFTEÅ</t>
        </is>
      </c>
      <c r="F1143" t="inlineStr">
        <is>
          <t>SCA</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31337-2025</t>
        </is>
      </c>
      <c r="B1144" s="1" t="n">
        <v>45833.42751157407</v>
      </c>
      <c r="C1144" s="1" t="n">
        <v>45991</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31545-2025</t>
        </is>
      </c>
      <c r="B1145" s="1" t="n">
        <v>45833.63615740741</v>
      </c>
      <c r="C1145" s="1" t="n">
        <v>45991</v>
      </c>
      <c r="D1145" t="inlineStr">
        <is>
          <t>VÄSTERNORRLANDS LÄN</t>
        </is>
      </c>
      <c r="E1145" t="inlineStr">
        <is>
          <t>SOLLEFTEÅ</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31432-2025</t>
        </is>
      </c>
      <c r="B1146" s="1" t="n">
        <v>45833.49442129629</v>
      </c>
      <c r="C1146" s="1" t="n">
        <v>45991</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31304-2025</t>
        </is>
      </c>
      <c r="B1147" s="1" t="n">
        <v>45833.38600694444</v>
      </c>
      <c r="C1147" s="1" t="n">
        <v>45991</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31338-2025</t>
        </is>
      </c>
      <c r="B1148" s="1" t="n">
        <v>45833.42768518518</v>
      </c>
      <c r="C1148" s="1" t="n">
        <v>45991</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31437-2025</t>
        </is>
      </c>
      <c r="B1149" s="1" t="n">
        <v>45833.49855324074</v>
      </c>
      <c r="C1149" s="1" t="n">
        <v>45991</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12311-2023</t>
        </is>
      </c>
      <c r="B1150" s="1" t="n">
        <v>44995</v>
      </c>
      <c r="C1150" s="1" t="n">
        <v>45991</v>
      </c>
      <c r="D1150" t="inlineStr">
        <is>
          <t>VÄSTERNORRLANDS LÄN</t>
        </is>
      </c>
      <c r="E1150" t="inlineStr">
        <is>
          <t>SOLLEFTEÅ</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31479-2025</t>
        </is>
      </c>
      <c r="B1151" s="1" t="n">
        <v>45833.57333333333</v>
      </c>
      <c r="C1151" s="1" t="n">
        <v>45991</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16710-2024</t>
        </is>
      </c>
      <c r="B1152" s="1" t="n">
        <v>45409.07748842592</v>
      </c>
      <c r="C1152" s="1" t="n">
        <v>45991</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42697-2025</t>
        </is>
      </c>
      <c r="B1153" s="1" t="n">
        <v>45908.36498842593</v>
      </c>
      <c r="C1153" s="1" t="n">
        <v>45991</v>
      </c>
      <c r="D1153" t="inlineStr">
        <is>
          <t>VÄSTERNORRLANDS LÄN</t>
        </is>
      </c>
      <c r="E1153" t="inlineStr">
        <is>
          <t>SOLLEFTEÅ</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32271-2025</t>
        </is>
      </c>
      <c r="B1154" s="1" t="n">
        <v>45835.65662037037</v>
      </c>
      <c r="C1154" s="1" t="n">
        <v>45991</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51792-2025</t>
        </is>
      </c>
      <c r="B1155" s="1" t="n">
        <v>45951.6984837963</v>
      </c>
      <c r="C1155" s="1" t="n">
        <v>45991</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32291-2025</t>
        </is>
      </c>
      <c r="B1156" s="1" t="n">
        <v>45835.69961805556</v>
      </c>
      <c r="C1156" s="1" t="n">
        <v>45991</v>
      </c>
      <c r="D1156" t="inlineStr">
        <is>
          <t>VÄSTERNORRLANDS LÄN</t>
        </is>
      </c>
      <c r="E1156" t="inlineStr">
        <is>
          <t>SOLLEFTEÅ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51529-2025</t>
        </is>
      </c>
      <c r="B1157" s="1" t="n">
        <v>45950.67769675926</v>
      </c>
      <c r="C1157" s="1" t="n">
        <v>45991</v>
      </c>
      <c r="D1157" t="inlineStr">
        <is>
          <t>VÄSTERNORRLANDS LÄN</t>
        </is>
      </c>
      <c r="E1157" t="inlineStr">
        <is>
          <t>SOLLEFTEÅ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42789-2025</t>
        </is>
      </c>
      <c r="B1158" s="1" t="n">
        <v>45908</v>
      </c>
      <c r="C1158" s="1" t="n">
        <v>45991</v>
      </c>
      <c r="D1158" t="inlineStr">
        <is>
          <t>VÄSTERNORRLANDS LÄN</t>
        </is>
      </c>
      <c r="E1158" t="inlineStr">
        <is>
          <t>SOLLEFTEÅ</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32280-2025</t>
        </is>
      </c>
      <c r="B1159" s="1" t="n">
        <v>45835.67638888889</v>
      </c>
      <c r="C1159" s="1" t="n">
        <v>45991</v>
      </c>
      <c r="D1159" t="inlineStr">
        <is>
          <t>VÄSTERNORRLANDS LÄN</t>
        </is>
      </c>
      <c r="E1159" t="inlineStr">
        <is>
          <t>SOLLEFTEÅ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16308-2025</t>
        </is>
      </c>
      <c r="B1160" s="1" t="n">
        <v>45751.34700231482</v>
      </c>
      <c r="C1160" s="1" t="n">
        <v>45991</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32069-2025</t>
        </is>
      </c>
      <c r="B1161" s="1" t="n">
        <v>45835.4487037037</v>
      </c>
      <c r="C1161" s="1" t="n">
        <v>45991</v>
      </c>
      <c r="D1161" t="inlineStr">
        <is>
          <t>VÄSTERNORRLANDS LÄN</t>
        </is>
      </c>
      <c r="E1161" t="inlineStr">
        <is>
          <t>SOLLEFTEÅ</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52078-2025</t>
        </is>
      </c>
      <c r="B1162" s="1" t="n">
        <v>45952.65828703704</v>
      </c>
      <c r="C1162" s="1" t="n">
        <v>45991</v>
      </c>
      <c r="D1162" t="inlineStr">
        <is>
          <t>VÄSTERNORRLANDS LÄN</t>
        </is>
      </c>
      <c r="E1162" t="inlineStr">
        <is>
          <t>SOLLEFTEÅ</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52023-2025</t>
        </is>
      </c>
      <c r="B1163" s="1" t="n">
        <v>45952.60252314815</v>
      </c>
      <c r="C1163" s="1" t="n">
        <v>45991</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32139-2025</t>
        </is>
      </c>
      <c r="B1164" s="1" t="n">
        <v>45835</v>
      </c>
      <c r="C1164" s="1" t="n">
        <v>45991</v>
      </c>
      <c r="D1164" t="inlineStr">
        <is>
          <t>VÄSTERNORRLANDS LÄN</t>
        </is>
      </c>
      <c r="E1164" t="inlineStr">
        <is>
          <t>SOLLEFTEÅ</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5111-2022</t>
        </is>
      </c>
      <c r="B1165" s="1" t="n">
        <v>44593.92144675926</v>
      </c>
      <c r="C1165" s="1" t="n">
        <v>45991</v>
      </c>
      <c r="D1165" t="inlineStr">
        <is>
          <t>VÄSTERNORRLANDS LÄN</t>
        </is>
      </c>
      <c r="E1165" t="inlineStr">
        <is>
          <t>SOLLEFTEÅ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43503-2025</t>
        </is>
      </c>
      <c r="B1166" s="1" t="n">
        <v>45911.55266203704</v>
      </c>
      <c r="C1166" s="1" t="n">
        <v>45991</v>
      </c>
      <c r="D1166" t="inlineStr">
        <is>
          <t>VÄSTERNORRLANDS LÄN</t>
        </is>
      </c>
      <c r="E1166" t="inlineStr">
        <is>
          <t>SOLLEFTEÅ</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43462-2025</t>
        </is>
      </c>
      <c r="B1167" s="1" t="n">
        <v>45911.46943287037</v>
      </c>
      <c r="C1167" s="1" t="n">
        <v>45991</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32073-2025</t>
        </is>
      </c>
      <c r="B1168" s="1" t="n">
        <v>45835.44931712963</v>
      </c>
      <c r="C1168" s="1" t="n">
        <v>45991</v>
      </c>
      <c r="D1168" t="inlineStr">
        <is>
          <t>VÄSTERNORRLANDS LÄN</t>
        </is>
      </c>
      <c r="E1168" t="inlineStr">
        <is>
          <t>SOLLEFTEÅ</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51870-2025</t>
        </is>
      </c>
      <c r="B1169" s="1" t="n">
        <v>45952.38590277778</v>
      </c>
      <c r="C1169" s="1" t="n">
        <v>45991</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43620-2025</t>
        </is>
      </c>
      <c r="B1170" s="1" t="n">
        <v>45911</v>
      </c>
      <c r="C1170" s="1" t="n">
        <v>45991</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28658-2025</t>
        </is>
      </c>
      <c r="B1171" s="1" t="n">
        <v>45819</v>
      </c>
      <c r="C1171" s="1" t="n">
        <v>45991</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42160-2023</t>
        </is>
      </c>
      <c r="B1172" s="1" t="n">
        <v>45177</v>
      </c>
      <c r="C1172" s="1" t="n">
        <v>45991</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18795-2025</t>
        </is>
      </c>
      <c r="B1173" s="1" t="n">
        <v>45764.34564814815</v>
      </c>
      <c r="C1173" s="1" t="n">
        <v>45991</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41456-2022</t>
        </is>
      </c>
      <c r="B1174" s="1" t="n">
        <v>44826</v>
      </c>
      <c r="C1174" s="1" t="n">
        <v>45991</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32029-2025</t>
        </is>
      </c>
      <c r="B1175" s="1" t="n">
        <v>45835.40788194445</v>
      </c>
      <c r="C1175" s="1" t="n">
        <v>45991</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52305-2025</t>
        </is>
      </c>
      <c r="B1176" s="1" t="n">
        <v>45953.63582175926</v>
      </c>
      <c r="C1176" s="1" t="n">
        <v>45991</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43845-2024</t>
        </is>
      </c>
      <c r="B1177" s="1" t="n">
        <v>45572.34483796296</v>
      </c>
      <c r="C1177" s="1" t="n">
        <v>45991</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20599-2023</t>
        </is>
      </c>
      <c r="B1178" s="1" t="n">
        <v>45057.94172453704</v>
      </c>
      <c r="C1178" s="1" t="n">
        <v>45991</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32112-2025</t>
        </is>
      </c>
      <c r="B1179" s="1" t="n">
        <v>45835.48392361111</v>
      </c>
      <c r="C1179" s="1" t="n">
        <v>45991</v>
      </c>
      <c r="D1179" t="inlineStr">
        <is>
          <t>VÄSTERNORRLANDS LÄN</t>
        </is>
      </c>
      <c r="E1179" t="inlineStr">
        <is>
          <t>SOLLEFTEÅ</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16670-2022</t>
        </is>
      </c>
      <c r="B1180" s="1" t="n">
        <v>44672.93802083333</v>
      </c>
      <c r="C1180" s="1" t="n">
        <v>45991</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51918-2025</t>
        </is>
      </c>
      <c r="B1181" s="1" t="n">
        <v>45952.48068287037</v>
      </c>
      <c r="C1181" s="1" t="n">
        <v>45991</v>
      </c>
      <c r="D1181" t="inlineStr">
        <is>
          <t>VÄSTERNORRLANDS LÄN</t>
        </is>
      </c>
      <c r="E1181" t="inlineStr">
        <is>
          <t>SOLLEFTEÅ</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43603-2025</t>
        </is>
      </c>
      <c r="B1182" s="1" t="n">
        <v>45911</v>
      </c>
      <c r="C1182" s="1" t="n">
        <v>45991</v>
      </c>
      <c r="D1182" t="inlineStr">
        <is>
          <t>VÄSTERNORRLANDS LÄN</t>
        </is>
      </c>
      <c r="E1182" t="inlineStr">
        <is>
          <t>SOLLEFTEÅ</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53325-2024</t>
        </is>
      </c>
      <c r="B1183" s="1" t="n">
        <v>45614.41177083334</v>
      </c>
      <c r="C1183" s="1" t="n">
        <v>45991</v>
      </c>
      <c r="D1183" t="inlineStr">
        <is>
          <t>VÄSTERNORRLANDS LÄN</t>
        </is>
      </c>
      <c r="E1183" t="inlineStr">
        <is>
          <t>SOLLEFTEÅ</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35420-2024</t>
        </is>
      </c>
      <c r="B1184" s="1" t="n">
        <v>45531</v>
      </c>
      <c r="C1184" s="1" t="n">
        <v>45991</v>
      </c>
      <c r="D1184" t="inlineStr">
        <is>
          <t>VÄSTERNORRLANDS LÄN</t>
        </is>
      </c>
      <c r="E1184" t="inlineStr">
        <is>
          <t>SOLLEFTEÅ</t>
        </is>
      </c>
      <c r="F1184" t="inlineStr">
        <is>
          <t>SCA</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35147-2023</t>
        </is>
      </c>
      <c r="B1185" s="1" t="n">
        <v>45142</v>
      </c>
      <c r="C1185" s="1" t="n">
        <v>45991</v>
      </c>
      <c r="D1185" t="inlineStr">
        <is>
          <t>VÄSTERNORRLANDS LÄN</t>
        </is>
      </c>
      <c r="E1185" t="inlineStr">
        <is>
          <t>SOLLEFTEÅ</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31801-2025</t>
        </is>
      </c>
      <c r="B1186" s="1" t="n">
        <v>45834.55290509259</v>
      </c>
      <c r="C1186" s="1" t="n">
        <v>45991</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51899-2025</t>
        </is>
      </c>
      <c r="B1187" s="1" t="n">
        <v>45952.44201388889</v>
      </c>
      <c r="C1187" s="1" t="n">
        <v>45991</v>
      </c>
      <c r="D1187" t="inlineStr">
        <is>
          <t>VÄSTERNORRLANDS LÄN</t>
        </is>
      </c>
      <c r="E1187" t="inlineStr">
        <is>
          <t>SOLLEFTEÅ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31665-2025</t>
        </is>
      </c>
      <c r="B1188" s="1" t="n">
        <v>45834.36497685185</v>
      </c>
      <c r="C1188" s="1" t="n">
        <v>45991</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25795-2023</t>
        </is>
      </c>
      <c r="B1189" s="1" t="n">
        <v>45085</v>
      </c>
      <c r="C1189" s="1" t="n">
        <v>45991</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31963-2025</t>
        </is>
      </c>
      <c r="B1190" s="1" t="n">
        <v>45835.34480324074</v>
      </c>
      <c r="C1190" s="1" t="n">
        <v>45991</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52236-2025</t>
        </is>
      </c>
      <c r="B1191" s="1" t="n">
        <v>45953.45596064815</v>
      </c>
      <c r="C1191" s="1" t="n">
        <v>45991</v>
      </c>
      <c r="D1191" t="inlineStr">
        <is>
          <t>VÄSTERNORRLANDS LÄN</t>
        </is>
      </c>
      <c r="E1191" t="inlineStr">
        <is>
          <t>SOLLEFTEÅ</t>
        </is>
      </c>
      <c r="F1191" t="inlineStr">
        <is>
          <t>Holmen skog AB</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4623-2023</t>
        </is>
      </c>
      <c r="B1192" s="1" t="n">
        <v>44956.94013888889</v>
      </c>
      <c r="C1192" s="1" t="n">
        <v>45991</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51880-2025</t>
        </is>
      </c>
      <c r="B1193" s="1" t="n">
        <v>45952.40435185185</v>
      </c>
      <c r="C1193" s="1" t="n">
        <v>45991</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32749-2025</t>
        </is>
      </c>
      <c r="B1194" s="1" t="n">
        <v>45839.42834490741</v>
      </c>
      <c r="C1194" s="1" t="n">
        <v>45991</v>
      </c>
      <c r="D1194" t="inlineStr">
        <is>
          <t>VÄSTERNORRLANDS LÄN</t>
        </is>
      </c>
      <c r="E1194" t="inlineStr">
        <is>
          <t>SOLLEFTEÅ</t>
        </is>
      </c>
      <c r="F1194" t="inlineStr">
        <is>
          <t>SCA</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17682-2025</t>
        </is>
      </c>
      <c r="B1195" s="1" t="n">
        <v>45758</v>
      </c>
      <c r="C1195" s="1" t="n">
        <v>45991</v>
      </c>
      <c r="D1195" t="inlineStr">
        <is>
          <t>VÄSTERNORRLANDS LÄN</t>
        </is>
      </c>
      <c r="E1195" t="inlineStr">
        <is>
          <t>SOLLEFTEÅ</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32745-2025</t>
        </is>
      </c>
      <c r="B1196" s="1" t="n">
        <v>45839.42753472222</v>
      </c>
      <c r="C1196" s="1" t="n">
        <v>45991</v>
      </c>
      <c r="D1196" t="inlineStr">
        <is>
          <t>VÄSTERNORRLANDS LÄN</t>
        </is>
      </c>
      <c r="E1196" t="inlineStr">
        <is>
          <t>SOLLEFTEÅ</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3080-2025</t>
        </is>
      </c>
      <c r="B1197" s="1" t="n">
        <v>45678</v>
      </c>
      <c r="C1197" s="1" t="n">
        <v>45991</v>
      </c>
      <c r="D1197" t="inlineStr">
        <is>
          <t>VÄSTERNORRLANDS LÄN</t>
        </is>
      </c>
      <c r="E1197" t="inlineStr">
        <is>
          <t>SOLLEFTEÅ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56256-2023</t>
        </is>
      </c>
      <c r="B1198" s="1" t="n">
        <v>45240</v>
      </c>
      <c r="C1198" s="1" t="n">
        <v>45991</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43510-2025</t>
        </is>
      </c>
      <c r="B1199" s="1" t="n">
        <v>45911</v>
      </c>
      <c r="C1199" s="1" t="n">
        <v>45991</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32346-2025</t>
        </is>
      </c>
      <c r="B1200" s="1" t="n">
        <v>45837.44827546296</v>
      </c>
      <c r="C1200" s="1" t="n">
        <v>45991</v>
      </c>
      <c r="D1200" t="inlineStr">
        <is>
          <t>VÄSTERNORRLANDS LÄN</t>
        </is>
      </c>
      <c r="E1200" t="inlineStr">
        <is>
          <t>SOLLEFTEÅ</t>
        </is>
      </c>
      <c r="F1200" t="inlineStr">
        <is>
          <t>SCA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43490-2025</t>
        </is>
      </c>
      <c r="B1201" s="1" t="n">
        <v>45911</v>
      </c>
      <c r="C1201" s="1" t="n">
        <v>45991</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12355-2025</t>
        </is>
      </c>
      <c r="B1202" s="1" t="n">
        <v>45730.36490740741</v>
      </c>
      <c r="C1202" s="1" t="n">
        <v>45991</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32338-2025</t>
        </is>
      </c>
      <c r="B1203" s="1" t="n">
        <v>45836.67751157407</v>
      </c>
      <c r="C1203" s="1" t="n">
        <v>45991</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44407-2023</t>
        </is>
      </c>
      <c r="B1204" s="1" t="n">
        <v>45188.9465625</v>
      </c>
      <c r="C1204" s="1" t="n">
        <v>45991</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44408-2023</t>
        </is>
      </c>
      <c r="B1205" s="1" t="n">
        <v>45188.94663194445</v>
      </c>
      <c r="C1205" s="1" t="n">
        <v>45991</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36139-2024</t>
        </is>
      </c>
      <c r="B1206" s="1" t="n">
        <v>45534.35474537037</v>
      </c>
      <c r="C1206" s="1" t="n">
        <v>45991</v>
      </c>
      <c r="D1206" t="inlineStr">
        <is>
          <t>VÄSTERNORRLANDS LÄN</t>
        </is>
      </c>
      <c r="E1206" t="inlineStr">
        <is>
          <t>SOLLEFTEÅ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52011-2025</t>
        </is>
      </c>
      <c r="B1207" s="1" t="n">
        <v>45952.59517361111</v>
      </c>
      <c r="C1207" s="1" t="n">
        <v>45991</v>
      </c>
      <c r="D1207" t="inlineStr">
        <is>
          <t>VÄSTERNORRLANDS LÄN</t>
        </is>
      </c>
      <c r="E1207" t="inlineStr">
        <is>
          <t>SOLLEFTEÅ</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32537-2025</t>
        </is>
      </c>
      <c r="B1208" s="1" t="n">
        <v>45838.49689814815</v>
      </c>
      <c r="C1208" s="1" t="n">
        <v>45991</v>
      </c>
      <c r="D1208" t="inlineStr">
        <is>
          <t>VÄSTERNORRLANDS LÄN</t>
        </is>
      </c>
      <c r="E1208" t="inlineStr">
        <is>
          <t>SOLLEFTEÅ</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22444-2025</t>
        </is>
      </c>
      <c r="B1209" s="1" t="n">
        <v>45786</v>
      </c>
      <c r="C1209" s="1" t="n">
        <v>45991</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52116-2025</t>
        </is>
      </c>
      <c r="B1210" s="1" t="n">
        <v>45952</v>
      </c>
      <c r="C1210" s="1" t="n">
        <v>45991</v>
      </c>
      <c r="D1210" t="inlineStr">
        <is>
          <t>VÄSTERNORRLANDS LÄN</t>
        </is>
      </c>
      <c r="E1210" t="inlineStr">
        <is>
          <t>SOLLEFTEÅ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52092-2025</t>
        </is>
      </c>
      <c r="B1211" s="1" t="n">
        <v>45952.67827546296</v>
      </c>
      <c r="C1211" s="1" t="n">
        <v>45991</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52974-2025</t>
        </is>
      </c>
      <c r="B1212" s="1" t="n">
        <v>45957.67858796296</v>
      </c>
      <c r="C1212" s="1" t="n">
        <v>45991</v>
      </c>
      <c r="D1212" t="inlineStr">
        <is>
          <t>VÄSTERNORRLANDS LÄN</t>
        </is>
      </c>
      <c r="E1212" t="inlineStr">
        <is>
          <t>SOLLEFTEÅ</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23282-2022</t>
        </is>
      </c>
      <c r="B1213" s="1" t="n">
        <v>44720</v>
      </c>
      <c r="C1213" s="1" t="n">
        <v>45991</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43863-2025</t>
        </is>
      </c>
      <c r="B1214" s="1" t="n">
        <v>45912.65672453704</v>
      </c>
      <c r="C1214" s="1" t="n">
        <v>45991</v>
      </c>
      <c r="D1214" t="inlineStr">
        <is>
          <t>VÄSTERNORRLANDS LÄN</t>
        </is>
      </c>
      <c r="E1214" t="inlineStr">
        <is>
          <t>SOLLEFTEÅ</t>
        </is>
      </c>
      <c r="F1214" t="inlineStr">
        <is>
          <t>SCA</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33502-2025</t>
        </is>
      </c>
      <c r="B1215" s="1" t="n">
        <v>45841.51101851852</v>
      </c>
      <c r="C1215" s="1" t="n">
        <v>45991</v>
      </c>
      <c r="D1215" t="inlineStr">
        <is>
          <t>VÄSTERNORRLANDS LÄN</t>
        </is>
      </c>
      <c r="E1215" t="inlineStr">
        <is>
          <t>SOLLEFTEÅ</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43980-2025</t>
        </is>
      </c>
      <c r="B1216" s="1" t="n">
        <v>45915.4221412037</v>
      </c>
      <c r="C1216" s="1" t="n">
        <v>45991</v>
      </c>
      <c r="D1216" t="inlineStr">
        <is>
          <t>VÄSTERNORRLANDS LÄN</t>
        </is>
      </c>
      <c r="E1216" t="inlineStr">
        <is>
          <t>SOLLEFTEÅ</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52499-2025</t>
        </is>
      </c>
      <c r="B1217" s="1" t="n">
        <v>45954.49407407407</v>
      </c>
      <c r="C1217" s="1" t="n">
        <v>45991</v>
      </c>
      <c r="D1217" t="inlineStr">
        <is>
          <t>VÄSTERNORRLANDS LÄN</t>
        </is>
      </c>
      <c r="E1217" t="inlineStr">
        <is>
          <t>SOLLEFTEÅ</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6066-2024</t>
        </is>
      </c>
      <c r="B1218" s="1" t="n">
        <v>45336.88386574074</v>
      </c>
      <c r="C1218" s="1" t="n">
        <v>45991</v>
      </c>
      <c r="D1218" t="inlineStr">
        <is>
          <t>VÄSTERNORRLANDS LÄN</t>
        </is>
      </c>
      <c r="E1218" t="inlineStr">
        <is>
          <t>SOLLEFTEÅ</t>
        </is>
      </c>
      <c r="F1218" t="inlineStr">
        <is>
          <t>Övriga Aktiebolag</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33430-2025</t>
        </is>
      </c>
      <c r="B1219" s="1" t="n">
        <v>45841.44829861111</v>
      </c>
      <c r="C1219" s="1" t="n">
        <v>45991</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52780-2025</t>
        </is>
      </c>
      <c r="B1220" s="1" t="n">
        <v>45957.42261574074</v>
      </c>
      <c r="C1220" s="1" t="n">
        <v>45991</v>
      </c>
      <c r="D1220" t="inlineStr">
        <is>
          <t>VÄSTERNORRLANDS LÄN</t>
        </is>
      </c>
      <c r="E1220" t="inlineStr">
        <is>
          <t>SOLLEFTEÅ</t>
        </is>
      </c>
      <c r="G1220" t="n">
        <v>12.4</v>
      </c>
      <c r="H1220" t="n">
        <v>0</v>
      </c>
      <c r="I1220" t="n">
        <v>0</v>
      </c>
      <c r="J1220" t="n">
        <v>0</v>
      </c>
      <c r="K1220" t="n">
        <v>0</v>
      </c>
      <c r="L1220" t="n">
        <v>0</v>
      </c>
      <c r="M1220" t="n">
        <v>0</v>
      </c>
      <c r="N1220" t="n">
        <v>0</v>
      </c>
      <c r="O1220" t="n">
        <v>0</v>
      </c>
      <c r="P1220" t="n">
        <v>0</v>
      </c>
      <c r="Q1220" t="n">
        <v>0</v>
      </c>
      <c r="R1220" s="2" t="inlineStr"/>
    </row>
    <row r="1221" ht="15" customHeight="1">
      <c r="A1221" t="inlineStr">
        <is>
          <t>A 33436-2025</t>
        </is>
      </c>
      <c r="B1221" s="1" t="n">
        <v>45841.44898148148</v>
      </c>
      <c r="C1221" s="1" t="n">
        <v>45991</v>
      </c>
      <c r="D1221" t="inlineStr">
        <is>
          <t>VÄSTERNORRLANDS LÄN</t>
        </is>
      </c>
      <c r="E1221" t="inlineStr">
        <is>
          <t>SOLLEFTEÅ</t>
        </is>
      </c>
      <c r="F1221" t="inlineStr">
        <is>
          <t>SCA</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33437-2025</t>
        </is>
      </c>
      <c r="B1222" s="1" t="n">
        <v>45841.4502199074</v>
      </c>
      <c r="C1222" s="1" t="n">
        <v>45991</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43879-2025</t>
        </is>
      </c>
      <c r="B1223" s="1" t="n">
        <v>45912.67804398148</v>
      </c>
      <c r="C1223" s="1" t="n">
        <v>45991</v>
      </c>
      <c r="D1223" t="inlineStr">
        <is>
          <t>VÄSTERNORRLANDS LÄN</t>
        </is>
      </c>
      <c r="E1223" t="inlineStr">
        <is>
          <t>SOLLEFTEÅ</t>
        </is>
      </c>
      <c r="F1223" t="inlineStr">
        <is>
          <t>SCA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33676-2025</t>
        </is>
      </c>
      <c r="B1224" s="1" t="n">
        <v>45841.67818287037</v>
      </c>
      <c r="C1224" s="1" t="n">
        <v>45991</v>
      </c>
      <c r="D1224" t="inlineStr">
        <is>
          <t>VÄSTERNORRLANDS LÄN</t>
        </is>
      </c>
      <c r="E1224" t="inlineStr">
        <is>
          <t>SOLLEFTEÅ</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46765-2024</t>
        </is>
      </c>
      <c r="B1225" s="1" t="n">
        <v>45583.49491898148</v>
      </c>
      <c r="C1225" s="1" t="n">
        <v>45991</v>
      </c>
      <c r="D1225" t="inlineStr">
        <is>
          <t>VÄSTERNORRLANDS LÄN</t>
        </is>
      </c>
      <c r="E1225" t="inlineStr">
        <is>
          <t>SOLLEFTEÅ</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33013-2025</t>
        </is>
      </c>
      <c r="B1226" s="1" t="n">
        <v>45840.36518518518</v>
      </c>
      <c r="C1226" s="1" t="n">
        <v>45991</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33607-2025</t>
        </is>
      </c>
      <c r="B1227" s="1" t="n">
        <v>45841.61521990741</v>
      </c>
      <c r="C1227" s="1" t="n">
        <v>45991</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33673-2025</t>
        </is>
      </c>
      <c r="B1228" s="1" t="n">
        <v>45841.67761574074</v>
      </c>
      <c r="C1228" s="1" t="n">
        <v>45991</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21349-2023</t>
        </is>
      </c>
      <c r="B1229" s="1" t="n">
        <v>45062.9390625</v>
      </c>
      <c r="C1229" s="1" t="n">
        <v>45991</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33012-2025</t>
        </is>
      </c>
      <c r="B1230" s="1" t="n">
        <v>45840.36498842593</v>
      </c>
      <c r="C1230" s="1" t="n">
        <v>45991</v>
      </c>
      <c r="D1230" t="inlineStr">
        <is>
          <t>VÄSTERNORRLANDS LÄN</t>
        </is>
      </c>
      <c r="E1230" t="inlineStr">
        <is>
          <t>SOLLEFTEÅ</t>
        </is>
      </c>
      <c r="F1230" t="inlineStr">
        <is>
          <t>SCA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44241-2025</t>
        </is>
      </c>
      <c r="B1231" s="1" t="n">
        <v>45915.67747685185</v>
      </c>
      <c r="C1231" s="1" t="n">
        <v>45991</v>
      </c>
      <c r="D1231" t="inlineStr">
        <is>
          <t>VÄSTERNORRLANDS LÄN</t>
        </is>
      </c>
      <c r="E1231" t="inlineStr">
        <is>
          <t>SOLLEFTEÅ</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44243-2025</t>
        </is>
      </c>
      <c r="B1232" s="1" t="n">
        <v>45915</v>
      </c>
      <c r="C1232" s="1" t="n">
        <v>45991</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52483-2025</t>
        </is>
      </c>
      <c r="B1233" s="1" t="n">
        <v>45954.47412037037</v>
      </c>
      <c r="C1233" s="1" t="n">
        <v>45991</v>
      </c>
      <c r="D1233" t="inlineStr">
        <is>
          <t>VÄSTERNORRLANDS LÄN</t>
        </is>
      </c>
      <c r="E1233" t="inlineStr">
        <is>
          <t>SOLLEFTEÅ</t>
        </is>
      </c>
      <c r="G1233" t="n">
        <v>10.3</v>
      </c>
      <c r="H1233" t="n">
        <v>0</v>
      </c>
      <c r="I1233" t="n">
        <v>0</v>
      </c>
      <c r="J1233" t="n">
        <v>0</v>
      </c>
      <c r="K1233" t="n">
        <v>0</v>
      </c>
      <c r="L1233" t="n">
        <v>0</v>
      </c>
      <c r="M1233" t="n">
        <v>0</v>
      </c>
      <c r="N1233" t="n">
        <v>0</v>
      </c>
      <c r="O1233" t="n">
        <v>0</v>
      </c>
      <c r="P1233" t="n">
        <v>0</v>
      </c>
      <c r="Q1233" t="n">
        <v>0</v>
      </c>
      <c r="R1233" s="2" t="inlineStr"/>
    </row>
    <row r="1234" ht="15" customHeight="1">
      <c r="A1234" t="inlineStr">
        <is>
          <t>A 33675-2025</t>
        </is>
      </c>
      <c r="B1234" s="1" t="n">
        <v>45841.67796296296</v>
      </c>
      <c r="C1234" s="1" t="n">
        <v>45991</v>
      </c>
      <c r="D1234" t="inlineStr">
        <is>
          <t>VÄSTERNORRLANDS LÄN</t>
        </is>
      </c>
      <c r="E1234" t="inlineStr">
        <is>
          <t>SOLLEFTEÅ</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25259-2023</t>
        </is>
      </c>
      <c r="B1235" s="1" t="n">
        <v>45079</v>
      </c>
      <c r="C1235" s="1" t="n">
        <v>45991</v>
      </c>
      <c r="D1235" t="inlineStr">
        <is>
          <t>VÄSTERNORRLANDS LÄN</t>
        </is>
      </c>
      <c r="E1235" t="inlineStr">
        <is>
          <t>SOLLEFTEÅ</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32071-2024</t>
        </is>
      </c>
      <c r="B1236" s="1" t="n">
        <v>45510.97246527778</v>
      </c>
      <c r="C1236" s="1" t="n">
        <v>45991</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58694-2024</t>
        </is>
      </c>
      <c r="B1237" s="1" t="n">
        <v>45635.63575231482</v>
      </c>
      <c r="C1237" s="1" t="n">
        <v>45991</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33442-2025</t>
        </is>
      </c>
      <c r="B1238" s="1" t="n">
        <v>45841.46092592592</v>
      </c>
      <c r="C1238" s="1" t="n">
        <v>45991</v>
      </c>
      <c r="D1238" t="inlineStr">
        <is>
          <t>VÄSTERNORRLANDS LÄN</t>
        </is>
      </c>
      <c r="E1238" t="inlineStr">
        <is>
          <t>SOLLEFTEÅ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33674-2025</t>
        </is>
      </c>
      <c r="B1239" s="1" t="n">
        <v>45841.67770833334</v>
      </c>
      <c r="C1239" s="1" t="n">
        <v>45991</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33452-2025</t>
        </is>
      </c>
      <c r="B1240" s="1" t="n">
        <v>45841.46940972222</v>
      </c>
      <c r="C1240" s="1" t="n">
        <v>45991</v>
      </c>
      <c r="D1240" t="inlineStr">
        <is>
          <t>VÄSTERNORRLANDS LÄN</t>
        </is>
      </c>
      <c r="E1240" t="inlineStr">
        <is>
          <t>SOLLEFTEÅ</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33825-2025</t>
        </is>
      </c>
      <c r="B1241" s="1" t="n">
        <v>45842.46930555555</v>
      </c>
      <c r="C1241" s="1" t="n">
        <v>45991</v>
      </c>
      <c r="D1241" t="inlineStr">
        <is>
          <t>VÄSTERNORRLANDS LÄN</t>
        </is>
      </c>
      <c r="E1241" t="inlineStr">
        <is>
          <t>SOLLEFTEÅ</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33855-2025</t>
        </is>
      </c>
      <c r="B1242" s="1" t="n">
        <v>45842.51125</v>
      </c>
      <c r="C1242" s="1" t="n">
        <v>45991</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13257-2025</t>
        </is>
      </c>
      <c r="B1243" s="1" t="n">
        <v>45735.51075231482</v>
      </c>
      <c r="C1243" s="1" t="n">
        <v>45991</v>
      </c>
      <c r="D1243" t="inlineStr">
        <is>
          <t>VÄSTERNORRLANDS LÄN</t>
        </is>
      </c>
      <c r="E1243" t="inlineStr">
        <is>
          <t>SOLLEFTEÅ</t>
        </is>
      </c>
      <c r="F1243" t="inlineStr">
        <is>
          <t>SCA</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38283-2021</t>
        </is>
      </c>
      <c r="B1244" s="1" t="n">
        <v>44405</v>
      </c>
      <c r="C1244" s="1" t="n">
        <v>45991</v>
      </c>
      <c r="D1244" t="inlineStr">
        <is>
          <t>VÄSTERNORRLANDS LÄN</t>
        </is>
      </c>
      <c r="E1244" t="inlineStr">
        <is>
          <t>SOLLEFTEÅ</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32924-2024</t>
        </is>
      </c>
      <c r="B1245" s="1" t="n">
        <v>45516.95292824074</v>
      </c>
      <c r="C1245" s="1" t="n">
        <v>45991</v>
      </c>
      <c r="D1245" t="inlineStr">
        <is>
          <t>VÄSTERNORRLANDS LÄN</t>
        </is>
      </c>
      <c r="E1245" t="inlineStr">
        <is>
          <t>SOLLEFTEÅ</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33936-2025</t>
        </is>
      </c>
      <c r="B1246" s="1" t="n">
        <v>45842.63630787037</v>
      </c>
      <c r="C1246" s="1" t="n">
        <v>45991</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52739-2025</t>
        </is>
      </c>
      <c r="B1247" s="1" t="n">
        <v>45957.37555555555</v>
      </c>
      <c r="C1247" s="1" t="n">
        <v>45991</v>
      </c>
      <c r="D1247" t="inlineStr">
        <is>
          <t>VÄSTERNORRLANDS LÄN</t>
        </is>
      </c>
      <c r="E1247" t="inlineStr">
        <is>
          <t>SOLLEFTEÅ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33917-2025</t>
        </is>
      </c>
      <c r="B1248" s="1" t="n">
        <v>45842.61491898148</v>
      </c>
      <c r="C1248" s="1" t="n">
        <v>45991</v>
      </c>
      <c r="D1248" t="inlineStr">
        <is>
          <t>VÄSTERNORRLANDS LÄN</t>
        </is>
      </c>
      <c r="E1248" t="inlineStr">
        <is>
          <t>SOLLEFTEÅ</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52767-2025</t>
        </is>
      </c>
      <c r="B1249" s="1" t="n">
        <v>45957.40163194444</v>
      </c>
      <c r="C1249" s="1" t="n">
        <v>45991</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8656-2024</t>
        </is>
      </c>
      <c r="B1250" s="1" t="n">
        <v>45356</v>
      </c>
      <c r="C1250" s="1" t="n">
        <v>45991</v>
      </c>
      <c r="D1250" t="inlineStr">
        <is>
          <t>VÄSTERNORRLANDS LÄN</t>
        </is>
      </c>
      <c r="E1250" t="inlineStr">
        <is>
          <t>SOLLEFTEÅ</t>
        </is>
      </c>
      <c r="F1250" t="inlineStr">
        <is>
          <t>SCA</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52393-2025</t>
        </is>
      </c>
      <c r="B1251" s="1" t="n">
        <v>45954.34443287037</v>
      </c>
      <c r="C1251" s="1" t="n">
        <v>45991</v>
      </c>
      <c r="D1251" t="inlineStr">
        <is>
          <t>VÄSTERNORRLANDS LÄN</t>
        </is>
      </c>
      <c r="E1251" t="inlineStr">
        <is>
          <t>SOLLEFTEÅ</t>
        </is>
      </c>
      <c r="F1251" t="inlineStr">
        <is>
          <t>SCA</t>
        </is>
      </c>
      <c r="G1251" t="n">
        <v>29.1</v>
      </c>
      <c r="H1251" t="n">
        <v>0</v>
      </c>
      <c r="I1251" t="n">
        <v>0</v>
      </c>
      <c r="J1251" t="n">
        <v>0</v>
      </c>
      <c r="K1251" t="n">
        <v>0</v>
      </c>
      <c r="L1251" t="n">
        <v>0</v>
      </c>
      <c r="M1251" t="n">
        <v>0</v>
      </c>
      <c r="N1251" t="n">
        <v>0</v>
      </c>
      <c r="O1251" t="n">
        <v>0</v>
      </c>
      <c r="P1251" t="n">
        <v>0</v>
      </c>
      <c r="Q1251" t="n">
        <v>0</v>
      </c>
      <c r="R1251" s="2" t="inlineStr"/>
    </row>
    <row r="1252" ht="15" customHeight="1">
      <c r="A1252" t="inlineStr">
        <is>
          <t>A 33935-2025</t>
        </is>
      </c>
      <c r="B1252" s="1" t="n">
        <v>45842.63614583333</v>
      </c>
      <c r="C1252" s="1" t="n">
        <v>45991</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34051-2025</t>
        </is>
      </c>
      <c r="B1253" s="1" t="n">
        <v>45845.40672453704</v>
      </c>
      <c r="C1253" s="1" t="n">
        <v>45991</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33852-2025</t>
        </is>
      </c>
      <c r="B1254" s="1" t="n">
        <v>45842.51079861111</v>
      </c>
      <c r="C1254" s="1" t="n">
        <v>45991</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52665-2025</t>
        </is>
      </c>
      <c r="B1255" s="1" t="n">
        <v>45955.65716435185</v>
      </c>
      <c r="C1255" s="1" t="n">
        <v>45991</v>
      </c>
      <c r="D1255" t="inlineStr">
        <is>
          <t>VÄSTERNORRLANDS LÄN</t>
        </is>
      </c>
      <c r="E1255" t="inlineStr">
        <is>
          <t>SOLLEFTEÅ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33957-2025</t>
        </is>
      </c>
      <c r="B1256" s="1" t="n">
        <v>45842.67762731481</v>
      </c>
      <c r="C1256" s="1" t="n">
        <v>45991</v>
      </c>
      <c r="D1256" t="inlineStr">
        <is>
          <t>VÄSTERNORRLANDS LÄN</t>
        </is>
      </c>
      <c r="E1256" t="inlineStr">
        <is>
          <t>SOLLEFTEÅ</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53428-2025</t>
        </is>
      </c>
      <c r="B1257" s="1" t="n">
        <v>45959.61526620371</v>
      </c>
      <c r="C1257" s="1" t="n">
        <v>45991</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34000-2025</t>
        </is>
      </c>
      <c r="B1258" s="1" t="n">
        <v>45844.37024305556</v>
      </c>
      <c r="C1258" s="1" t="n">
        <v>45991</v>
      </c>
      <c r="D1258" t="inlineStr">
        <is>
          <t>VÄSTERNORRLANDS LÄN</t>
        </is>
      </c>
      <c r="E1258" t="inlineStr">
        <is>
          <t>SOLLEFTEÅ</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33999-2025</t>
        </is>
      </c>
      <c r="B1259" s="1" t="n">
        <v>45844.36113425926</v>
      </c>
      <c r="C1259" s="1" t="n">
        <v>45991</v>
      </c>
      <c r="D1259" t="inlineStr">
        <is>
          <t>VÄSTERNORRLANDS LÄN</t>
        </is>
      </c>
      <c r="E1259" t="inlineStr">
        <is>
          <t>SOLLEFTEÅ</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53269-2025</t>
        </is>
      </c>
      <c r="B1260" s="1" t="n">
        <v>45958.6985300926</v>
      </c>
      <c r="C1260" s="1" t="n">
        <v>45991</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44387-2025</t>
        </is>
      </c>
      <c r="B1261" s="1" t="n">
        <v>45916.48994212963</v>
      </c>
      <c r="C1261" s="1" t="n">
        <v>45991</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34459-2025</t>
        </is>
      </c>
      <c r="B1262" s="1" t="n">
        <v>45847.34442129629</v>
      </c>
      <c r="C1262" s="1" t="n">
        <v>45991</v>
      </c>
      <c r="D1262" t="inlineStr">
        <is>
          <t>VÄSTERNORRLANDS LÄN</t>
        </is>
      </c>
      <c r="E1262" t="inlineStr">
        <is>
          <t>SOLLEFTEÅ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33739-2024</t>
        </is>
      </c>
      <c r="B1263" s="1" t="n">
        <v>45520.55943287037</v>
      </c>
      <c r="C1263" s="1" t="n">
        <v>45991</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25703-2024</t>
        </is>
      </c>
      <c r="B1264" s="1" t="n">
        <v>45463</v>
      </c>
      <c r="C1264" s="1" t="n">
        <v>45991</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25704-2024</t>
        </is>
      </c>
      <c r="B1265" s="1" t="n">
        <v>45463.94270833334</v>
      </c>
      <c r="C1265" s="1" t="n">
        <v>45991</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29459-2024</t>
        </is>
      </c>
      <c r="B1266" s="1" t="n">
        <v>45483.96939814815</v>
      </c>
      <c r="C1266" s="1" t="n">
        <v>45991</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34476-2025</t>
        </is>
      </c>
      <c r="B1267" s="1" t="n">
        <v>45847.36752314815</v>
      </c>
      <c r="C1267" s="1" t="n">
        <v>45991</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44746-2025</t>
        </is>
      </c>
      <c r="B1268" s="1" t="n">
        <v>45917.67760416667</v>
      </c>
      <c r="C1268" s="1" t="n">
        <v>45991</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44747-2025</t>
        </is>
      </c>
      <c r="B1269" s="1" t="n">
        <v>45917.67769675926</v>
      </c>
      <c r="C1269" s="1" t="n">
        <v>45991</v>
      </c>
      <c r="D1269" t="inlineStr">
        <is>
          <t>VÄSTERNORRLANDS LÄN</t>
        </is>
      </c>
      <c r="E1269" t="inlineStr">
        <is>
          <t>SOLLEFTEÅ</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44335-2025</t>
        </is>
      </c>
      <c r="B1270" s="1" t="n">
        <v>45916.423125</v>
      </c>
      <c r="C1270" s="1" t="n">
        <v>45991</v>
      </c>
      <c r="D1270" t="inlineStr">
        <is>
          <t>VÄSTERNORRLANDS LÄN</t>
        </is>
      </c>
      <c r="E1270" t="inlineStr">
        <is>
          <t>SOLLEFTEÅ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53468-2025</t>
        </is>
      </c>
      <c r="B1271" s="1" t="n">
        <v>45959.69859953703</v>
      </c>
      <c r="C1271" s="1" t="n">
        <v>45991</v>
      </c>
      <c r="D1271" t="inlineStr">
        <is>
          <t>VÄSTERNORRLANDS LÄN</t>
        </is>
      </c>
      <c r="E1271" t="inlineStr">
        <is>
          <t>SOLLEFTEÅ</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34462-2025</t>
        </is>
      </c>
      <c r="B1272" s="1" t="n">
        <v>45847.34498842592</v>
      </c>
      <c r="C1272" s="1" t="n">
        <v>45991</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34473-2025</t>
        </is>
      </c>
      <c r="B1273" s="1" t="n">
        <v>45847.36511574074</v>
      </c>
      <c r="C1273" s="1" t="n">
        <v>45991</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53055-2025</t>
        </is>
      </c>
      <c r="B1274" s="1" t="n">
        <v>45958.36517361111</v>
      </c>
      <c r="C1274" s="1" t="n">
        <v>45991</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44736-2025</t>
        </is>
      </c>
      <c r="B1275" s="1" t="n">
        <v>45917.656875</v>
      </c>
      <c r="C1275" s="1" t="n">
        <v>45991</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48235-2024</t>
        </is>
      </c>
      <c r="B1276" s="1" t="n">
        <v>45590</v>
      </c>
      <c r="C1276" s="1" t="n">
        <v>45991</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44295-2025</t>
        </is>
      </c>
      <c r="B1277" s="1" t="n">
        <v>45916.36495370371</v>
      </c>
      <c r="C1277" s="1" t="n">
        <v>45991</v>
      </c>
      <c r="D1277" t="inlineStr">
        <is>
          <t>VÄSTERNORRLANDS LÄN</t>
        </is>
      </c>
      <c r="E1277" t="inlineStr">
        <is>
          <t>SOLLEFTEÅ</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44556-2025</t>
        </is>
      </c>
      <c r="B1278" s="1" t="n">
        <v>45917.34424768519</v>
      </c>
      <c r="C1278" s="1" t="n">
        <v>45991</v>
      </c>
      <c r="D1278" t="inlineStr">
        <is>
          <t>VÄSTERNORRLANDS LÄN</t>
        </is>
      </c>
      <c r="E1278" t="inlineStr">
        <is>
          <t>SOLLEFTEÅ</t>
        </is>
      </c>
      <c r="F1278" t="inlineStr">
        <is>
          <t>SCA</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44327-2025</t>
        </is>
      </c>
      <c r="B1279" s="1" t="n">
        <v>45916.40755787037</v>
      </c>
      <c r="C1279" s="1" t="n">
        <v>45991</v>
      </c>
      <c r="D1279" t="inlineStr">
        <is>
          <t>VÄSTERNORRLANDS LÄN</t>
        </is>
      </c>
      <c r="E1279" t="inlineStr">
        <is>
          <t>SOLLEFTEÅ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3103-2025</t>
        </is>
      </c>
      <c r="B1280" s="1" t="n">
        <v>45678.67739583334</v>
      </c>
      <c r="C1280" s="1" t="n">
        <v>45991</v>
      </c>
      <c r="D1280" t="inlineStr">
        <is>
          <t>VÄSTERNORRLANDS LÄN</t>
        </is>
      </c>
      <c r="E1280" t="inlineStr">
        <is>
          <t>SOLLEFTEÅ</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57078-2024</t>
        </is>
      </c>
      <c r="B1281" s="1" t="n">
        <v>45629.35518518519</v>
      </c>
      <c r="C1281" s="1" t="n">
        <v>45991</v>
      </c>
      <c r="D1281" t="inlineStr">
        <is>
          <t>VÄSTERNORRLANDS LÄN</t>
        </is>
      </c>
      <c r="E1281" t="inlineStr">
        <is>
          <t>SOLLEFTEÅ</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34870-2025</t>
        </is>
      </c>
      <c r="B1282" s="1" t="n">
        <v>45849.44729166666</v>
      </c>
      <c r="C1282" s="1" t="n">
        <v>45991</v>
      </c>
      <c r="D1282" t="inlineStr">
        <is>
          <t>VÄSTERNORRLANDS LÄN</t>
        </is>
      </c>
      <c r="E1282" t="inlineStr">
        <is>
          <t>SOLLEFTEÅ</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53545-2024</t>
        </is>
      </c>
      <c r="B1283" s="1" t="n">
        <v>45614.6370949074</v>
      </c>
      <c r="C1283" s="1" t="n">
        <v>45991</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6068-2024</t>
        </is>
      </c>
      <c r="B1284" s="1" t="n">
        <v>45336.89725694444</v>
      </c>
      <c r="C1284" s="1" t="n">
        <v>45991</v>
      </c>
      <c r="D1284" t="inlineStr">
        <is>
          <t>VÄSTERNORRLANDS LÄN</t>
        </is>
      </c>
      <c r="E1284" t="inlineStr">
        <is>
          <t>SOLLEFTEÅ</t>
        </is>
      </c>
      <c r="F1284" t="inlineStr">
        <is>
          <t>Övriga Aktiebolag</t>
        </is>
      </c>
      <c r="G1284" t="n">
        <v>12.6</v>
      </c>
      <c r="H1284" t="n">
        <v>0</v>
      </c>
      <c r="I1284" t="n">
        <v>0</v>
      </c>
      <c r="J1284" t="n">
        <v>0</v>
      </c>
      <c r="K1284" t="n">
        <v>0</v>
      </c>
      <c r="L1284" t="n">
        <v>0</v>
      </c>
      <c r="M1284" t="n">
        <v>0</v>
      </c>
      <c r="N1284" t="n">
        <v>0</v>
      </c>
      <c r="O1284" t="n">
        <v>0</v>
      </c>
      <c r="P1284" t="n">
        <v>0</v>
      </c>
      <c r="Q1284" t="n">
        <v>0</v>
      </c>
      <c r="R1284" s="2" t="inlineStr"/>
    </row>
    <row r="1285" ht="15" customHeight="1">
      <c r="A1285" t="inlineStr">
        <is>
          <t>A 27025-2024</t>
        </is>
      </c>
      <c r="B1285" s="1" t="n">
        <v>45471.42071759259</v>
      </c>
      <c r="C1285" s="1" t="n">
        <v>45991</v>
      </c>
      <c r="D1285" t="inlineStr">
        <is>
          <t>VÄSTERNORRLANDS LÄN</t>
        </is>
      </c>
      <c r="E1285" t="inlineStr">
        <is>
          <t>SOLLEFTEÅ</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53098-2025</t>
        </is>
      </c>
      <c r="B1286" s="1" t="n">
        <v>45958.42774305555</v>
      </c>
      <c r="C1286" s="1" t="n">
        <v>45991</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53240-2025</t>
        </is>
      </c>
      <c r="B1287" s="1" t="n">
        <v>45958.63600694444</v>
      </c>
      <c r="C1287" s="1" t="n">
        <v>45991</v>
      </c>
      <c r="D1287" t="inlineStr">
        <is>
          <t>VÄSTERNORRLANDS LÄN</t>
        </is>
      </c>
      <c r="E1287" t="inlineStr">
        <is>
          <t>SOLLEFTEÅ</t>
        </is>
      </c>
      <c r="F1287" t="inlineStr">
        <is>
          <t>SCA</t>
        </is>
      </c>
      <c r="G1287" t="n">
        <v>36.2</v>
      </c>
      <c r="H1287" t="n">
        <v>0</v>
      </c>
      <c r="I1287" t="n">
        <v>0</v>
      </c>
      <c r="J1287" t="n">
        <v>0</v>
      </c>
      <c r="K1287" t="n">
        <v>0</v>
      </c>
      <c r="L1287" t="n">
        <v>0</v>
      </c>
      <c r="M1287" t="n">
        <v>0</v>
      </c>
      <c r="N1287" t="n">
        <v>0</v>
      </c>
      <c r="O1287" t="n">
        <v>0</v>
      </c>
      <c r="P1287" t="n">
        <v>0</v>
      </c>
      <c r="Q1287" t="n">
        <v>0</v>
      </c>
      <c r="R1287" s="2" t="inlineStr"/>
    </row>
    <row r="1288" ht="15" customHeight="1">
      <c r="A1288" t="inlineStr">
        <is>
          <t>A 53097-2025</t>
        </is>
      </c>
      <c r="B1288" s="1" t="n">
        <v>45958.42767361111</v>
      </c>
      <c r="C1288" s="1" t="n">
        <v>45991</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40575-2024</t>
        </is>
      </c>
      <c r="B1289" s="1" t="n">
        <v>45555</v>
      </c>
      <c r="C1289" s="1" t="n">
        <v>45991</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25945-2025</t>
        </is>
      </c>
      <c r="B1290" s="1" t="n">
        <v>45804</v>
      </c>
      <c r="C1290" s="1" t="n">
        <v>45991</v>
      </c>
      <c r="D1290" t="inlineStr">
        <is>
          <t>VÄSTERNORRLANDS LÄN</t>
        </is>
      </c>
      <c r="E1290" t="inlineStr">
        <is>
          <t>SOLLEFTEÅ</t>
        </is>
      </c>
      <c r="F1290" t="inlineStr">
        <is>
          <t>SCA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35041-2025</t>
        </is>
      </c>
      <c r="B1291" s="1" t="n">
        <v>45852.3443287037</v>
      </c>
      <c r="C1291" s="1" t="n">
        <v>45991</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10950-2025</t>
        </is>
      </c>
      <c r="B1292" s="1" t="n">
        <v>45723.34474537037</v>
      </c>
      <c r="C1292" s="1" t="n">
        <v>45991</v>
      </c>
      <c r="D1292" t="inlineStr">
        <is>
          <t>VÄSTERNORRLANDS LÄN</t>
        </is>
      </c>
      <c r="E1292" t="inlineStr">
        <is>
          <t>SOLLEFTEÅ</t>
        </is>
      </c>
      <c r="F1292" t="inlineStr">
        <is>
          <t>SCA</t>
        </is>
      </c>
      <c r="G1292" t="n">
        <v>32.3</v>
      </c>
      <c r="H1292" t="n">
        <v>0</v>
      </c>
      <c r="I1292" t="n">
        <v>0</v>
      </c>
      <c r="J1292" t="n">
        <v>0</v>
      </c>
      <c r="K1292" t="n">
        <v>0</v>
      </c>
      <c r="L1292" t="n">
        <v>0</v>
      </c>
      <c r="M1292" t="n">
        <v>0</v>
      </c>
      <c r="N1292" t="n">
        <v>0</v>
      </c>
      <c r="O1292" t="n">
        <v>0</v>
      </c>
      <c r="P1292" t="n">
        <v>0</v>
      </c>
      <c r="Q1292" t="n">
        <v>0</v>
      </c>
      <c r="R1292" s="2" t="inlineStr"/>
    </row>
    <row r="1293" ht="15" customHeight="1">
      <c r="A1293" t="inlineStr">
        <is>
          <t>A 35086-2025</t>
        </is>
      </c>
      <c r="B1293" s="1" t="n">
        <v>45852.51719907407</v>
      </c>
      <c r="C1293" s="1" t="n">
        <v>45991</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35066-2025</t>
        </is>
      </c>
      <c r="B1294" s="1" t="n">
        <v>45852.45013888889</v>
      </c>
      <c r="C1294" s="1" t="n">
        <v>45991</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53030-2025</t>
        </is>
      </c>
      <c r="B1295" s="1" t="n">
        <v>45958.34442129629</v>
      </c>
      <c r="C1295" s="1" t="n">
        <v>45991</v>
      </c>
      <c r="D1295" t="inlineStr">
        <is>
          <t>VÄSTERNORRLANDS LÄN</t>
        </is>
      </c>
      <c r="E1295" t="inlineStr">
        <is>
          <t>SOLLEFTEÅ</t>
        </is>
      </c>
      <c r="F1295" t="inlineStr">
        <is>
          <t>SCA</t>
        </is>
      </c>
      <c r="G1295" t="n">
        <v>11.7</v>
      </c>
      <c r="H1295" t="n">
        <v>0</v>
      </c>
      <c r="I1295" t="n">
        <v>0</v>
      </c>
      <c r="J1295" t="n">
        <v>0</v>
      </c>
      <c r="K1295" t="n">
        <v>0</v>
      </c>
      <c r="L1295" t="n">
        <v>0</v>
      </c>
      <c r="M1295" t="n">
        <v>0</v>
      </c>
      <c r="N1295" t="n">
        <v>0</v>
      </c>
      <c r="O1295" t="n">
        <v>0</v>
      </c>
      <c r="P1295" t="n">
        <v>0</v>
      </c>
      <c r="Q1295" t="n">
        <v>0</v>
      </c>
      <c r="R1295" s="2" t="inlineStr"/>
    </row>
    <row r="1296" ht="15" customHeight="1">
      <c r="A1296" t="inlineStr">
        <is>
          <t>A 39446-2024</t>
        </is>
      </c>
      <c r="B1296" s="1" t="n">
        <v>45551</v>
      </c>
      <c r="C1296" s="1" t="n">
        <v>45991</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39469-2024</t>
        </is>
      </c>
      <c r="B1297" s="1" t="n">
        <v>45551</v>
      </c>
      <c r="C1297" s="1" t="n">
        <v>45991</v>
      </c>
      <c r="D1297" t="inlineStr">
        <is>
          <t>VÄSTERNORRLANDS LÄN</t>
        </is>
      </c>
      <c r="E1297" t="inlineStr">
        <is>
          <t>SOLLEFTEÅ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44839-2025</t>
        </is>
      </c>
      <c r="B1298" s="1" t="n">
        <v>45918.42751157407</v>
      </c>
      <c r="C1298" s="1" t="n">
        <v>45991</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12965-2025</t>
        </is>
      </c>
      <c r="B1299" s="1" t="n">
        <v>45734.42753472222</v>
      </c>
      <c r="C1299" s="1" t="n">
        <v>45991</v>
      </c>
      <c r="D1299" t="inlineStr">
        <is>
          <t>VÄSTERNORRLANDS LÄN</t>
        </is>
      </c>
      <c r="E1299" t="inlineStr">
        <is>
          <t>SOLLEFTEÅ</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35042-2025</t>
        </is>
      </c>
      <c r="B1300" s="1" t="n">
        <v>45852.34447916667</v>
      </c>
      <c r="C1300" s="1" t="n">
        <v>45991</v>
      </c>
      <c r="D1300" t="inlineStr">
        <is>
          <t>VÄSTERNORRLANDS LÄN</t>
        </is>
      </c>
      <c r="E1300" t="inlineStr">
        <is>
          <t>SOLLEFTEÅ</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44907-2025</t>
        </is>
      </c>
      <c r="B1301" s="1" t="n">
        <v>45918.531875</v>
      </c>
      <c r="C1301" s="1" t="n">
        <v>45991</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27314-2024</t>
        </is>
      </c>
      <c r="B1302" s="1" t="n">
        <v>45471.94633101852</v>
      </c>
      <c r="C1302" s="1" t="n">
        <v>45991</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c r="U1302">
        <f>HYPERLINK("https://klasma.github.io/Logging_2283/knärot/A 27314-2024 karta knärot.png", "A 27314-2024")</f>
        <v/>
      </c>
      <c r="V1302">
        <f>HYPERLINK("https://klasma.github.io/Logging_2283/klagomål/A 27314-2024 FSC-klagomål.docx", "A 27314-2024")</f>
        <v/>
      </c>
      <c r="W1302">
        <f>HYPERLINK("https://klasma.github.io/Logging_2283/klagomålsmail/A 27314-2024 FSC-klagomål mail.docx", "A 27314-2024")</f>
        <v/>
      </c>
      <c r="X1302">
        <f>HYPERLINK("https://klasma.github.io/Logging_2283/tillsyn/A 27314-2024 tillsynsbegäran.docx", "A 27314-2024")</f>
        <v/>
      </c>
      <c r="Y1302">
        <f>HYPERLINK("https://klasma.github.io/Logging_2283/tillsynsmail/A 27314-2024 tillsynsbegäran mail.docx", "A 27314-2024")</f>
        <v/>
      </c>
    </row>
    <row r="1303" ht="15" customHeight="1">
      <c r="A1303" t="inlineStr">
        <is>
          <t>A 1623-2025</t>
        </is>
      </c>
      <c r="B1303" s="1" t="n">
        <v>45670.61526620371</v>
      </c>
      <c r="C1303" s="1" t="n">
        <v>45991</v>
      </c>
      <c r="D1303" t="inlineStr">
        <is>
          <t>VÄSTERNORRLANDS LÄN</t>
        </is>
      </c>
      <c r="E1303" t="inlineStr">
        <is>
          <t>SOLLEFTEÅ</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2582-2025</t>
        </is>
      </c>
      <c r="B1304" s="1" t="n">
        <v>45674.67787037037</v>
      </c>
      <c r="C1304" s="1" t="n">
        <v>45991</v>
      </c>
      <c r="D1304" t="inlineStr">
        <is>
          <t>VÄSTERNORRLANDS LÄN</t>
        </is>
      </c>
      <c r="E1304" t="inlineStr">
        <is>
          <t>SOLLEFTEÅ</t>
        </is>
      </c>
      <c r="F1304" t="inlineStr">
        <is>
          <t>SCA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53896-2025</t>
        </is>
      </c>
      <c r="B1305" s="1" t="n">
        <v>45961.42748842593</v>
      </c>
      <c r="C1305" s="1" t="n">
        <v>45991</v>
      </c>
      <c r="D1305" t="inlineStr">
        <is>
          <t>VÄSTERNORRLANDS LÄN</t>
        </is>
      </c>
      <c r="E1305" t="inlineStr">
        <is>
          <t>SOLLEFTEÅ</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11057-2025</t>
        </is>
      </c>
      <c r="B1306" s="1" t="n">
        <v>45723.51069444444</v>
      </c>
      <c r="C1306" s="1" t="n">
        <v>45991</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35132-2025</t>
        </is>
      </c>
      <c r="B1307" s="1" t="n">
        <v>45852.63618055556</v>
      </c>
      <c r="C1307" s="1" t="n">
        <v>45991</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3414-2025</t>
        </is>
      </c>
      <c r="B1308" s="1" t="n">
        <v>45680</v>
      </c>
      <c r="C1308" s="1" t="n">
        <v>45991</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44871-2025</t>
        </is>
      </c>
      <c r="B1309" s="1" t="n">
        <v>45918.46938657408</v>
      </c>
      <c r="C1309" s="1" t="n">
        <v>45991</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35286-2025</t>
        </is>
      </c>
      <c r="B1310" s="1" t="n">
        <v>45854.36512731481</v>
      </c>
      <c r="C1310" s="1" t="n">
        <v>45991</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35448-2025</t>
        </is>
      </c>
      <c r="B1311" s="1" t="n">
        <v>45855.55247685185</v>
      </c>
      <c r="C1311" s="1" t="n">
        <v>45991</v>
      </c>
      <c r="D1311" t="inlineStr">
        <is>
          <t>VÄSTERNORRLANDS LÄN</t>
        </is>
      </c>
      <c r="E1311" t="inlineStr">
        <is>
          <t>SOLLEFTEÅ</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59179-2024</t>
        </is>
      </c>
      <c r="B1312" s="1" t="n">
        <v>45637.51149305556</v>
      </c>
      <c r="C1312" s="1" t="n">
        <v>45991</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45252-2025</t>
        </is>
      </c>
      <c r="B1313" s="1" t="n">
        <v>45919.61493055556</v>
      </c>
      <c r="C1313" s="1" t="n">
        <v>45991</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53974-2025</t>
        </is>
      </c>
      <c r="B1314" s="1" t="n">
        <v>45961.55261574074</v>
      </c>
      <c r="C1314" s="1" t="n">
        <v>45991</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12379-2025</t>
        </is>
      </c>
      <c r="B1315" s="1" t="n">
        <v>45730</v>
      </c>
      <c r="C1315" s="1" t="n">
        <v>45991</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30060-2024</t>
        </is>
      </c>
      <c r="B1316" s="1" t="n">
        <v>45488.94813657407</v>
      </c>
      <c r="C1316" s="1" t="n">
        <v>45991</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41655-2023</t>
        </is>
      </c>
      <c r="B1317" s="1" t="n">
        <v>45175.95751157407</v>
      </c>
      <c r="C1317" s="1" t="n">
        <v>45991</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13598-2022</t>
        </is>
      </c>
      <c r="B1318" s="1" t="n">
        <v>44648</v>
      </c>
      <c r="C1318" s="1" t="n">
        <v>45991</v>
      </c>
      <c r="D1318" t="inlineStr">
        <is>
          <t>VÄSTERNORRLANDS LÄN</t>
        </is>
      </c>
      <c r="E1318" t="inlineStr">
        <is>
          <t>SOLLEFTEÅ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6063-2024</t>
        </is>
      </c>
      <c r="B1319" s="1" t="n">
        <v>45336.86584490741</v>
      </c>
      <c r="C1319" s="1" t="n">
        <v>45991</v>
      </c>
      <c r="D1319" t="inlineStr">
        <is>
          <t>VÄSTERNORRLANDS LÄN</t>
        </is>
      </c>
      <c r="E1319" t="inlineStr">
        <is>
          <t>SOLLEFTEÅ</t>
        </is>
      </c>
      <c r="F1319" t="inlineStr">
        <is>
          <t>Övriga Aktiebolag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35572-2025</t>
        </is>
      </c>
      <c r="B1320" s="1" t="n">
        <v>45856.59423611111</v>
      </c>
      <c r="C1320" s="1" t="n">
        <v>45991</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53550-2025</t>
        </is>
      </c>
      <c r="B1321" s="1" t="n">
        <v>45960.38583333333</v>
      </c>
      <c r="C1321" s="1" t="n">
        <v>45991</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41041-2024</t>
        </is>
      </c>
      <c r="B1322" s="1" t="n">
        <v>45558</v>
      </c>
      <c r="C1322" s="1" t="n">
        <v>45991</v>
      </c>
      <c r="D1322" t="inlineStr">
        <is>
          <t>VÄSTERNORRLANDS LÄN</t>
        </is>
      </c>
      <c r="E1322" t="inlineStr">
        <is>
          <t>SOLLEFTEÅ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41042-2024</t>
        </is>
      </c>
      <c r="B1323" s="1" t="n">
        <v>45559.36490740741</v>
      </c>
      <c r="C1323" s="1" t="n">
        <v>45991</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35513-2025</t>
        </is>
      </c>
      <c r="B1324" s="1" t="n">
        <v>45856.36520833334</v>
      </c>
      <c r="C1324" s="1" t="n">
        <v>45991</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36514-2023</t>
        </is>
      </c>
      <c r="B1325" s="1" t="n">
        <v>45152.95377314815</v>
      </c>
      <c r="C1325" s="1" t="n">
        <v>45991</v>
      </c>
      <c r="D1325" t="inlineStr">
        <is>
          <t>VÄSTERNORRLANDS LÄN</t>
        </is>
      </c>
      <c r="E1325" t="inlineStr">
        <is>
          <t>SOLLEFTEÅ</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35506-2025</t>
        </is>
      </c>
      <c r="B1326" s="1" t="n">
        <v>45856</v>
      </c>
      <c r="C1326" s="1" t="n">
        <v>45991</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37977-2022</t>
        </is>
      </c>
      <c r="B1327" s="1" t="n">
        <v>44811</v>
      </c>
      <c r="C1327" s="1" t="n">
        <v>45991</v>
      </c>
      <c r="D1327" t="inlineStr">
        <is>
          <t>VÄSTERNORRLANDS LÄN</t>
        </is>
      </c>
      <c r="E1327" t="inlineStr">
        <is>
          <t>SOLLEFTEÅ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34376-2024</t>
        </is>
      </c>
      <c r="B1328" s="1" t="n">
        <v>45525</v>
      </c>
      <c r="C1328" s="1" t="n">
        <v>45991</v>
      </c>
      <c r="D1328" t="inlineStr">
        <is>
          <t>VÄSTERNORRLANDS LÄN</t>
        </is>
      </c>
      <c r="E1328" t="inlineStr">
        <is>
          <t>SOLLEFTEÅ</t>
        </is>
      </c>
      <c r="F1328" t="inlineStr">
        <is>
          <t>Övriga statliga verk och myndigheter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43469-2022</t>
        </is>
      </c>
      <c r="B1329" s="1" t="n">
        <v>44836.80145833334</v>
      </c>
      <c r="C1329" s="1" t="n">
        <v>45991</v>
      </c>
      <c r="D1329" t="inlineStr">
        <is>
          <t>VÄSTERNORRLANDS LÄN</t>
        </is>
      </c>
      <c r="E1329" t="inlineStr">
        <is>
          <t>SOLLEFTEÅ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43842-2025</t>
        </is>
      </c>
      <c r="B1330" s="1" t="n">
        <v>45912.63587962963</v>
      </c>
      <c r="C1330" s="1" t="n">
        <v>45991</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35703-2025</t>
        </is>
      </c>
      <c r="B1331" s="1" t="n">
        <v>45860.36497685185</v>
      </c>
      <c r="C1331" s="1" t="n">
        <v>45991</v>
      </c>
      <c r="D1331" t="inlineStr">
        <is>
          <t>VÄSTERNORRLANDS LÄN</t>
        </is>
      </c>
      <c r="E1331" t="inlineStr">
        <is>
          <t>SOLLEFTEÅ</t>
        </is>
      </c>
      <c r="F1331" t="inlineStr">
        <is>
          <t>SCA</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35704-2025</t>
        </is>
      </c>
      <c r="B1332" s="1" t="n">
        <v>45860.36518518518</v>
      </c>
      <c r="C1332" s="1" t="n">
        <v>45991</v>
      </c>
      <c r="D1332" t="inlineStr">
        <is>
          <t>VÄSTERNORRLANDS LÄN</t>
        </is>
      </c>
      <c r="E1332" t="inlineStr">
        <is>
          <t>SOLLEFTEÅ</t>
        </is>
      </c>
      <c r="F1332" t="inlineStr">
        <is>
          <t>SCA</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45028-2025</t>
        </is>
      </c>
      <c r="B1333" s="1" t="n">
        <v>45918.69828703703</v>
      </c>
      <c r="C1333" s="1" t="n">
        <v>45991</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44906-2025</t>
        </is>
      </c>
      <c r="B1334" s="1" t="n">
        <v>45918.53174768519</v>
      </c>
      <c r="C1334" s="1" t="n">
        <v>45991</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42478-2025</t>
        </is>
      </c>
      <c r="B1335" s="1" t="n">
        <v>45905</v>
      </c>
      <c r="C1335" s="1" t="n">
        <v>45991</v>
      </c>
      <c r="D1335" t="inlineStr">
        <is>
          <t>VÄSTERNORRLANDS LÄN</t>
        </is>
      </c>
      <c r="E1335" t="inlineStr">
        <is>
          <t>SOLLEFTEÅ</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53530-2025</t>
        </is>
      </c>
      <c r="B1336" s="1" t="n">
        <v>45960.36521990741</v>
      </c>
      <c r="C1336" s="1" t="n">
        <v>45991</v>
      </c>
      <c r="D1336" t="inlineStr">
        <is>
          <t>VÄSTERNORRLANDS LÄN</t>
        </is>
      </c>
      <c r="E1336" t="inlineStr">
        <is>
          <t>SOLLEFTEÅ</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44873-2025</t>
        </is>
      </c>
      <c r="B1337" s="1" t="n">
        <v>45918.46966435185</v>
      </c>
      <c r="C1337" s="1" t="n">
        <v>45991</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37691-2023</t>
        </is>
      </c>
      <c r="B1338" s="1" t="n">
        <v>45156</v>
      </c>
      <c r="C1338" s="1" t="n">
        <v>45991</v>
      </c>
      <c r="D1338" t="inlineStr">
        <is>
          <t>VÄSTERNORRLANDS LÄN</t>
        </is>
      </c>
      <c r="E1338" t="inlineStr">
        <is>
          <t>SOLLEFTEÅ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31451-2025</t>
        </is>
      </c>
      <c r="B1339" s="1" t="n">
        <v>45833.53167824074</v>
      </c>
      <c r="C1339" s="1" t="n">
        <v>45991</v>
      </c>
      <c r="D1339" t="inlineStr">
        <is>
          <t>VÄSTERNORRLANDS LÄN</t>
        </is>
      </c>
      <c r="E1339" t="inlineStr">
        <is>
          <t>SOLLEFTEÅ</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42879-2025</t>
        </is>
      </c>
      <c r="B1340" s="1" t="n">
        <v>45908</v>
      </c>
      <c r="C1340" s="1" t="n">
        <v>45991</v>
      </c>
      <c r="D1340" t="inlineStr">
        <is>
          <t>VÄSTERNORRLANDS LÄN</t>
        </is>
      </c>
      <c r="E1340" t="inlineStr">
        <is>
          <t>SOLLEFTEÅ</t>
        </is>
      </c>
      <c r="F1340" t="inlineStr">
        <is>
          <t>SCA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19205-2025</t>
        </is>
      </c>
      <c r="B1341" s="1" t="n">
        <v>45769.42861111111</v>
      </c>
      <c r="C1341" s="1" t="n">
        <v>45991</v>
      </c>
      <c r="D1341" t="inlineStr">
        <is>
          <t>VÄSTERNORRLANDS LÄN</t>
        </is>
      </c>
      <c r="E1341" t="inlineStr">
        <is>
          <t>SOLLEFTEÅ</t>
        </is>
      </c>
      <c r="F1341" t="inlineStr">
        <is>
          <t>SCA</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19207-2025</t>
        </is>
      </c>
      <c r="B1342" s="1" t="n">
        <v>45769</v>
      </c>
      <c r="C1342" s="1" t="n">
        <v>45991</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35618-2025</t>
        </is>
      </c>
      <c r="B1343" s="1" t="n">
        <v>45859.41335648148</v>
      </c>
      <c r="C1343" s="1" t="n">
        <v>45991</v>
      </c>
      <c r="D1343" t="inlineStr">
        <is>
          <t>VÄSTERNORRLANDS LÄN</t>
        </is>
      </c>
      <c r="E1343" t="inlineStr">
        <is>
          <t>SOLLEFTEÅ</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22446-2025</t>
        </is>
      </c>
      <c r="B1344" s="1" t="n">
        <v>45786.59439814815</v>
      </c>
      <c r="C1344" s="1" t="n">
        <v>45991</v>
      </c>
      <c r="D1344" t="inlineStr">
        <is>
          <t>VÄSTERNORRLANDS LÄN</t>
        </is>
      </c>
      <c r="E1344" t="inlineStr">
        <is>
          <t>SOLLEFTEÅ</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35807-2025</t>
        </is>
      </c>
      <c r="B1345" s="1" t="n">
        <v>45861.40663194445</v>
      </c>
      <c r="C1345" s="1" t="n">
        <v>45991</v>
      </c>
      <c r="D1345" t="inlineStr">
        <is>
          <t>VÄSTERNORRLANDS LÄN</t>
        </is>
      </c>
      <c r="E1345" t="inlineStr">
        <is>
          <t>SOLLEFTEÅ</t>
        </is>
      </c>
      <c r="F1345" t="inlineStr">
        <is>
          <t>SCA</t>
        </is>
      </c>
      <c r="G1345" t="n">
        <v>16.7</v>
      </c>
      <c r="H1345" t="n">
        <v>0</v>
      </c>
      <c r="I1345" t="n">
        <v>0</v>
      </c>
      <c r="J1345" t="n">
        <v>0</v>
      </c>
      <c r="K1345" t="n">
        <v>0</v>
      </c>
      <c r="L1345" t="n">
        <v>0</v>
      </c>
      <c r="M1345" t="n">
        <v>0</v>
      </c>
      <c r="N1345" t="n">
        <v>0</v>
      </c>
      <c r="O1345" t="n">
        <v>0</v>
      </c>
      <c r="P1345" t="n">
        <v>0</v>
      </c>
      <c r="Q1345" t="n">
        <v>0</v>
      </c>
      <c r="R1345" s="2" t="inlineStr"/>
    </row>
    <row r="1346" ht="15" customHeight="1">
      <c r="A1346" t="inlineStr">
        <is>
          <t>A 23160-2025</t>
        </is>
      </c>
      <c r="B1346" s="1" t="n">
        <v>45791.40760416666</v>
      </c>
      <c r="C1346" s="1" t="n">
        <v>45991</v>
      </c>
      <c r="D1346" t="inlineStr">
        <is>
          <t>VÄSTERNORRLANDS LÄN</t>
        </is>
      </c>
      <c r="E1346" t="inlineStr">
        <is>
          <t>SOLLEFTEÅ</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18364-2024</t>
        </is>
      </c>
      <c r="B1347" s="1" t="n">
        <v>45422</v>
      </c>
      <c r="C1347" s="1" t="n">
        <v>45991</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53833-2025</t>
        </is>
      </c>
      <c r="B1348" s="1" t="n">
        <v>45961.34518518519</v>
      </c>
      <c r="C1348" s="1" t="n">
        <v>45991</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53867-2025</t>
        </is>
      </c>
      <c r="B1349" s="1" t="n">
        <v>45961.38581018519</v>
      </c>
      <c r="C1349" s="1" t="n">
        <v>45991</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16633-2025</t>
        </is>
      </c>
      <c r="B1350" s="1" t="n">
        <v>45754.36517361111</v>
      </c>
      <c r="C1350" s="1" t="n">
        <v>45991</v>
      </c>
      <c r="D1350" t="inlineStr">
        <is>
          <t>VÄSTERNORRLANDS LÄN</t>
        </is>
      </c>
      <c r="E1350" t="inlineStr">
        <is>
          <t>SOLLEFTEÅ</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45991</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35924-2025</t>
        </is>
      </c>
      <c r="B1352" s="1" t="n">
        <v>45862.57326388889</v>
      </c>
      <c r="C1352" s="1" t="n">
        <v>45991</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12834-2025</t>
        </is>
      </c>
      <c r="B1353" s="1" t="n">
        <v>45733.63612268519</v>
      </c>
      <c r="C1353" s="1" t="n">
        <v>45991</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12941-2025</t>
        </is>
      </c>
      <c r="B1354" s="1" t="n">
        <v>45734.36525462963</v>
      </c>
      <c r="C1354" s="1" t="n">
        <v>45991</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35261-2025</t>
        </is>
      </c>
      <c r="B1355" s="1" t="n">
        <v>45853</v>
      </c>
      <c r="C1355" s="1" t="n">
        <v>45991</v>
      </c>
      <c r="D1355" t="inlineStr">
        <is>
          <t>VÄSTERNORRLANDS LÄN</t>
        </is>
      </c>
      <c r="E1355" t="inlineStr">
        <is>
          <t>SOLLEFTEÅ</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36078-2022</t>
        </is>
      </c>
      <c r="B1356" s="1" t="n">
        <v>44802.9459375</v>
      </c>
      <c r="C1356" s="1" t="n">
        <v>45991</v>
      </c>
      <c r="D1356" t="inlineStr">
        <is>
          <t>VÄSTERNORRLANDS LÄN</t>
        </is>
      </c>
      <c r="E1356" t="inlineStr">
        <is>
          <t>SOLLEFTEÅ</t>
        </is>
      </c>
      <c r="F1356" t="inlineStr">
        <is>
          <t>SCA</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54397-2025</t>
        </is>
      </c>
      <c r="B1357" s="1" t="n">
        <v>45965.44869212963</v>
      </c>
      <c r="C1357" s="1" t="n">
        <v>45991</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22235-2024</t>
        </is>
      </c>
      <c r="B1358" s="1" t="n">
        <v>45446</v>
      </c>
      <c r="C1358" s="1" t="n">
        <v>45991</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54192-2025</t>
        </is>
      </c>
      <c r="B1359" s="1" t="n">
        <v>45964.57350694444</v>
      </c>
      <c r="C1359" s="1" t="n">
        <v>45991</v>
      </c>
      <c r="D1359" t="inlineStr">
        <is>
          <t>VÄSTERNORRLANDS LÄN</t>
        </is>
      </c>
      <c r="E1359" t="inlineStr">
        <is>
          <t>SOLLEFTEÅ</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45843-2025</t>
        </is>
      </c>
      <c r="B1360" s="1" t="n">
        <v>45923.61541666667</v>
      </c>
      <c r="C1360" s="1" t="n">
        <v>45991</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5867-2024</t>
        </is>
      </c>
      <c r="B1361" s="1" t="n">
        <v>45335.64733796296</v>
      </c>
      <c r="C1361" s="1" t="n">
        <v>45991</v>
      </c>
      <c r="D1361" t="inlineStr">
        <is>
          <t>VÄSTERNORRLANDS LÄN</t>
        </is>
      </c>
      <c r="E1361" t="inlineStr">
        <is>
          <t>SOLLEFTEÅ</t>
        </is>
      </c>
      <c r="F1361" t="inlineStr">
        <is>
          <t>Övriga Aktiebolag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54193-2025</t>
        </is>
      </c>
      <c r="B1362" s="1" t="n">
        <v>45964.57373842593</v>
      </c>
      <c r="C1362" s="1" t="n">
        <v>45991</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54194-2025</t>
        </is>
      </c>
      <c r="B1363" s="1" t="n">
        <v>45964.57395833333</v>
      </c>
      <c r="C1363" s="1" t="n">
        <v>45991</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51681-2023</t>
        </is>
      </c>
      <c r="B1364" s="1" t="n">
        <v>45215</v>
      </c>
      <c r="C1364" s="1" t="n">
        <v>45991</v>
      </c>
      <c r="D1364" t="inlineStr">
        <is>
          <t>VÄSTERNORRLANDS LÄN</t>
        </is>
      </c>
      <c r="E1364" t="inlineStr">
        <is>
          <t>SOLLEFTEÅ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29125-2025</t>
        </is>
      </c>
      <c r="B1365" s="1" t="n">
        <v>45821.59459490741</v>
      </c>
      <c r="C1365" s="1" t="n">
        <v>45991</v>
      </c>
      <c r="D1365" t="inlineStr">
        <is>
          <t>VÄSTERNORRLANDS LÄN</t>
        </is>
      </c>
      <c r="E1365" t="inlineStr">
        <is>
          <t>SOLLEFTEÅ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36135-2025</t>
        </is>
      </c>
      <c r="B1366" s="1" t="n">
        <v>45866.63594907407</v>
      </c>
      <c r="C1366" s="1" t="n">
        <v>45991</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36068-2025</t>
        </is>
      </c>
      <c r="B1367" s="1" t="n">
        <v>45866.42752314815</v>
      </c>
      <c r="C1367" s="1" t="n">
        <v>45991</v>
      </c>
      <c r="D1367" t="inlineStr">
        <is>
          <t>VÄSTERNORRLANDS LÄN</t>
        </is>
      </c>
      <c r="E1367" t="inlineStr">
        <is>
          <t>SOLLEFTEÅ</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54472-2025</t>
        </is>
      </c>
      <c r="B1368" s="1" t="n">
        <v>45965.57381944444</v>
      </c>
      <c r="C1368" s="1" t="n">
        <v>45991</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36095-2025</t>
        </is>
      </c>
      <c r="B1369" s="1" t="n">
        <v>45866.49006944444</v>
      </c>
      <c r="C1369" s="1" t="n">
        <v>45991</v>
      </c>
      <c r="D1369" t="inlineStr">
        <is>
          <t>VÄSTERNORRLANDS LÄN</t>
        </is>
      </c>
      <c r="E1369" t="inlineStr">
        <is>
          <t>SOLLEFTEÅ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54255-2025</t>
        </is>
      </c>
      <c r="B1370" s="1" t="n">
        <v>45964.65692129629</v>
      </c>
      <c r="C1370" s="1" t="n">
        <v>45991</v>
      </c>
      <c r="D1370" t="inlineStr">
        <is>
          <t>VÄSTERNORRLANDS LÄN</t>
        </is>
      </c>
      <c r="E1370" t="inlineStr">
        <is>
          <t>SOLLEFTEÅ</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54272-2025</t>
        </is>
      </c>
      <c r="B1371" s="1" t="n">
        <v>45964.67846064815</v>
      </c>
      <c r="C1371" s="1" t="n">
        <v>45991</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33496-2025</t>
        </is>
      </c>
      <c r="B1372" s="1" t="n">
        <v>45841</v>
      </c>
      <c r="C1372" s="1" t="n">
        <v>45991</v>
      </c>
      <c r="D1372" t="inlineStr">
        <is>
          <t>VÄSTERNORRLANDS LÄN</t>
        </is>
      </c>
      <c r="E1372" t="inlineStr">
        <is>
          <t>SOLLEFTEÅ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36064-2025</t>
        </is>
      </c>
      <c r="B1373" s="1" t="n">
        <v>45866</v>
      </c>
      <c r="C1373" s="1" t="n">
        <v>45991</v>
      </c>
      <c r="D1373" t="inlineStr">
        <is>
          <t>VÄSTERNORRLANDS LÄN</t>
        </is>
      </c>
      <c r="E1373" t="inlineStr">
        <is>
          <t>SOLLEFTEÅ</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14730-2025</t>
        </is>
      </c>
      <c r="B1374" s="1" t="n">
        <v>45742.63587962963</v>
      </c>
      <c r="C1374" s="1" t="n">
        <v>45991</v>
      </c>
      <c r="D1374" t="inlineStr">
        <is>
          <t>VÄSTERNORRLANDS LÄN</t>
        </is>
      </c>
      <c r="E1374" t="inlineStr">
        <is>
          <t>SOLLEFTEÅ</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53466-2025</t>
        </is>
      </c>
      <c r="B1375" s="1" t="n">
        <v>45959</v>
      </c>
      <c r="C1375" s="1" t="n">
        <v>45991</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45593-2025</t>
        </is>
      </c>
      <c r="B1376" s="1" t="n">
        <v>45922.67783564814</v>
      </c>
      <c r="C1376" s="1" t="n">
        <v>45991</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36274-2025</t>
        </is>
      </c>
      <c r="B1377" s="1" t="n">
        <v>45867.63579861111</v>
      </c>
      <c r="C1377" s="1" t="n">
        <v>45991</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33495-2025</t>
        </is>
      </c>
      <c r="B1378" s="1" t="n">
        <v>45841</v>
      </c>
      <c r="C1378" s="1" t="n">
        <v>45991</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54486-2025</t>
        </is>
      </c>
      <c r="B1379" s="1" t="n">
        <v>45965.59438657408</v>
      </c>
      <c r="C1379" s="1" t="n">
        <v>45991</v>
      </c>
      <c r="D1379" t="inlineStr">
        <is>
          <t>VÄSTERNORRLANDS LÄN</t>
        </is>
      </c>
      <c r="E1379" t="inlineStr">
        <is>
          <t>SOLLEFTEÅ</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36224-2025</t>
        </is>
      </c>
      <c r="B1380" s="1" t="n">
        <v>45867.51116898148</v>
      </c>
      <c r="C1380" s="1" t="n">
        <v>45991</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45569-2025</t>
        </is>
      </c>
      <c r="B1381" s="1" t="n">
        <v>45922.65694444445</v>
      </c>
      <c r="C1381" s="1" t="n">
        <v>45991</v>
      </c>
      <c r="D1381" t="inlineStr">
        <is>
          <t>VÄSTERNORRLANDS LÄN</t>
        </is>
      </c>
      <c r="E1381" t="inlineStr">
        <is>
          <t>SOLLEFTEÅ</t>
        </is>
      </c>
      <c r="F1381" t="inlineStr">
        <is>
          <t>SCA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29860-2025</t>
        </is>
      </c>
      <c r="B1382" s="1" t="n">
        <v>45826.34638888889</v>
      </c>
      <c r="C1382" s="1" t="n">
        <v>45991</v>
      </c>
      <c r="D1382" t="inlineStr">
        <is>
          <t>VÄSTERNORRLANDS LÄN</t>
        </is>
      </c>
      <c r="E1382" t="inlineStr">
        <is>
          <t>SOLLEFTEÅ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20101-2025</t>
        </is>
      </c>
      <c r="B1383" s="1" t="n">
        <v>45772</v>
      </c>
      <c r="C1383" s="1" t="n">
        <v>45991</v>
      </c>
      <c r="D1383" t="inlineStr">
        <is>
          <t>VÄSTERNORRLANDS LÄN</t>
        </is>
      </c>
      <c r="E1383" t="inlineStr">
        <is>
          <t>SOLLEFTEÅ</t>
        </is>
      </c>
      <c r="F1383" t="inlineStr">
        <is>
          <t>SCA</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8652-2024</t>
        </is>
      </c>
      <c r="B1384" s="1" t="n">
        <v>45356</v>
      </c>
      <c r="C1384" s="1" t="n">
        <v>45991</v>
      </c>
      <c r="D1384" t="inlineStr">
        <is>
          <t>VÄSTERNORRLANDS LÄN</t>
        </is>
      </c>
      <c r="E1384" t="inlineStr">
        <is>
          <t>SOLLEFTEÅ</t>
        </is>
      </c>
      <c r="F1384" t="inlineStr">
        <is>
          <t>SCA</t>
        </is>
      </c>
      <c r="G1384" t="n">
        <v>38.6</v>
      </c>
      <c r="H1384" t="n">
        <v>0</v>
      </c>
      <c r="I1384" t="n">
        <v>0</v>
      </c>
      <c r="J1384" t="n">
        <v>0</v>
      </c>
      <c r="K1384" t="n">
        <v>0</v>
      </c>
      <c r="L1384" t="n">
        <v>0</v>
      </c>
      <c r="M1384" t="n">
        <v>0</v>
      </c>
      <c r="N1384" t="n">
        <v>0</v>
      </c>
      <c r="O1384" t="n">
        <v>0</v>
      </c>
      <c r="P1384" t="n">
        <v>0</v>
      </c>
      <c r="Q1384" t="n">
        <v>0</v>
      </c>
      <c r="R1384" s="2" t="inlineStr"/>
    </row>
    <row r="1385" ht="15" customHeight="1">
      <c r="A1385" t="inlineStr">
        <is>
          <t>A 36300-2025</t>
        </is>
      </c>
      <c r="B1385" s="1" t="n">
        <v>45867.6984375</v>
      </c>
      <c r="C1385" s="1" t="n">
        <v>45991</v>
      </c>
      <c r="D1385" t="inlineStr">
        <is>
          <t>VÄSTERNORRLANDS LÄN</t>
        </is>
      </c>
      <c r="E1385" t="inlineStr">
        <is>
          <t>SOLLEFTEÅ</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45340-2025</t>
        </is>
      </c>
      <c r="B1386" s="1" t="n">
        <v>45922.34421296296</v>
      </c>
      <c r="C1386" s="1" t="n">
        <v>45991</v>
      </c>
      <c r="D1386" t="inlineStr">
        <is>
          <t>VÄSTERNORRLANDS LÄN</t>
        </is>
      </c>
      <c r="E1386" t="inlineStr">
        <is>
          <t>SOLLEFTEÅ</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36063-2025</t>
        </is>
      </c>
      <c r="B1387" s="1" t="n">
        <v>45866</v>
      </c>
      <c r="C1387" s="1" t="n">
        <v>45991</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36373-2025</t>
        </is>
      </c>
      <c r="B1388" s="1" t="n">
        <v>45868.55256944444</v>
      </c>
      <c r="C1388" s="1" t="n">
        <v>45991</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36432-2025</t>
        </is>
      </c>
      <c r="B1389" s="1" t="n">
        <v>45869.36505787037</v>
      </c>
      <c r="C1389" s="1" t="n">
        <v>45991</v>
      </c>
      <c r="D1389" t="inlineStr">
        <is>
          <t>VÄSTERNORRLANDS LÄN</t>
        </is>
      </c>
      <c r="E1389" t="inlineStr">
        <is>
          <t>SOLLEFTEÅ</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36545-2025</t>
        </is>
      </c>
      <c r="B1390" s="1" t="n">
        <v>45869.67761574074</v>
      </c>
      <c r="C1390" s="1" t="n">
        <v>45991</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36324-2025</t>
        </is>
      </c>
      <c r="B1391" s="1" t="n">
        <v>45868.40707175926</v>
      </c>
      <c r="C1391" s="1" t="n">
        <v>45991</v>
      </c>
      <c r="D1391" t="inlineStr">
        <is>
          <t>VÄSTERNORRLANDS LÄN</t>
        </is>
      </c>
      <c r="E1391" t="inlineStr">
        <is>
          <t>SOLLEFTEÅ</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36312-2025</t>
        </is>
      </c>
      <c r="B1392" s="1" t="n">
        <v>45868.34444444445</v>
      </c>
      <c r="C1392" s="1" t="n">
        <v>45991</v>
      </c>
      <c r="D1392" t="inlineStr">
        <is>
          <t>VÄSTERNORRLANDS LÄN</t>
        </is>
      </c>
      <c r="E1392" t="inlineStr">
        <is>
          <t>SOLLEFTEÅ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11026-2025</t>
        </is>
      </c>
      <c r="B1393" s="1" t="n">
        <v>45723.46961805555</v>
      </c>
      <c r="C1393" s="1" t="n">
        <v>45991</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36313-2025</t>
        </is>
      </c>
      <c r="B1394" s="1" t="n">
        <v>45868.34456018519</v>
      </c>
      <c r="C1394" s="1" t="n">
        <v>45991</v>
      </c>
      <c r="D1394" t="inlineStr">
        <is>
          <t>VÄSTERNORRLANDS LÄN</t>
        </is>
      </c>
      <c r="E1394" t="inlineStr">
        <is>
          <t>SOLLEFTEÅ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1465-2025</t>
        </is>
      </c>
      <c r="B1395" s="1" t="n">
        <v>45670.36513888889</v>
      </c>
      <c r="C1395" s="1" t="n">
        <v>45991</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33713-2023</t>
        </is>
      </c>
      <c r="B1396" s="1" t="n">
        <v>45132.94952546297</v>
      </c>
      <c r="C1396" s="1" t="n">
        <v>45991</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54471-2025</t>
        </is>
      </c>
      <c r="B1397" s="1" t="n">
        <v>45965.57357638889</v>
      </c>
      <c r="C1397" s="1" t="n">
        <v>45991</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27293-2024</t>
        </is>
      </c>
      <c r="B1398" s="1" t="n">
        <v>45471.94259259259</v>
      </c>
      <c r="C1398" s="1" t="n">
        <v>45991</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53382-2025</t>
        </is>
      </c>
      <c r="B1399" s="1" t="n">
        <v>45959</v>
      </c>
      <c r="C1399" s="1" t="n">
        <v>45991</v>
      </c>
      <c r="D1399" t="inlineStr">
        <is>
          <t>VÄSTERNORRLANDS LÄN</t>
        </is>
      </c>
      <c r="E1399" t="inlineStr">
        <is>
          <t>SOLLEFTEÅ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36558-2025</t>
        </is>
      </c>
      <c r="B1400" s="1" t="n">
        <v>45870.35769675926</v>
      </c>
      <c r="C1400" s="1" t="n">
        <v>45991</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36561-2025</t>
        </is>
      </c>
      <c r="B1401" s="1" t="n">
        <v>45870.36722222222</v>
      </c>
      <c r="C1401" s="1" t="n">
        <v>45991</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54271-2025</t>
        </is>
      </c>
      <c r="B1402" s="1" t="n">
        <v>45964.67839120371</v>
      </c>
      <c r="C1402" s="1" t="n">
        <v>45991</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45991</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49171-2022</t>
        </is>
      </c>
      <c r="B1404" s="1" t="n">
        <v>44860.9269212963</v>
      </c>
      <c r="C1404" s="1" t="n">
        <v>45991</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54487-2025</t>
        </is>
      </c>
      <c r="B1405" s="1" t="n">
        <v>45965.59460648148</v>
      </c>
      <c r="C1405" s="1" t="n">
        <v>45991</v>
      </c>
      <c r="D1405" t="inlineStr">
        <is>
          <t>VÄSTERNORRLANDS LÄN</t>
        </is>
      </c>
      <c r="E1405" t="inlineStr">
        <is>
          <t>SOLLEFTEÅ</t>
        </is>
      </c>
      <c r="F1405" t="inlineStr">
        <is>
          <t>SCA</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36065-2025</t>
        </is>
      </c>
      <c r="B1406" s="1" t="n">
        <v>45866</v>
      </c>
      <c r="C1406" s="1" t="n">
        <v>45991</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36567-2025</t>
        </is>
      </c>
      <c r="B1407" s="1" t="n">
        <v>45870.38320601852</v>
      </c>
      <c r="C1407" s="1" t="n">
        <v>45991</v>
      </c>
      <c r="D1407" t="inlineStr">
        <is>
          <t>VÄSTERNORRLANDS LÄN</t>
        </is>
      </c>
      <c r="E1407" t="inlineStr">
        <is>
          <t>SOLLEFTEÅ</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45794-2025</t>
        </is>
      </c>
      <c r="B1408" s="1" t="n">
        <v>45923.57380787037</v>
      </c>
      <c r="C1408" s="1" t="n">
        <v>45991</v>
      </c>
      <c r="D1408" t="inlineStr">
        <is>
          <t>VÄSTERNORRLANDS LÄN</t>
        </is>
      </c>
      <c r="E1408" t="inlineStr">
        <is>
          <t>SOLLEFTEÅ</t>
        </is>
      </c>
      <c r="F1408" t="inlineStr">
        <is>
          <t>SCA</t>
        </is>
      </c>
      <c r="G1408" t="n">
        <v>34.9</v>
      </c>
      <c r="H1408" t="n">
        <v>0</v>
      </c>
      <c r="I1408" t="n">
        <v>0</v>
      </c>
      <c r="J1408" t="n">
        <v>0</v>
      </c>
      <c r="K1408" t="n">
        <v>0</v>
      </c>
      <c r="L1408" t="n">
        <v>0</v>
      </c>
      <c r="M1408" t="n">
        <v>0</v>
      </c>
      <c r="N1408" t="n">
        <v>0</v>
      </c>
      <c r="O1408" t="n">
        <v>0</v>
      </c>
      <c r="P1408" t="n">
        <v>0</v>
      </c>
      <c r="Q1408" t="n">
        <v>0</v>
      </c>
      <c r="R1408" s="2" t="inlineStr"/>
    </row>
    <row r="1409" ht="15" customHeight="1">
      <c r="A1409" t="inlineStr">
        <is>
          <t>A 31395-2025</t>
        </is>
      </c>
      <c r="B1409" s="1" t="n">
        <v>45833.46438657407</v>
      </c>
      <c r="C1409" s="1" t="n">
        <v>45991</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40355-2024</t>
        </is>
      </c>
      <c r="B1410" s="1" t="n">
        <v>45555.36541666667</v>
      </c>
      <c r="C1410" s="1" t="n">
        <v>45991</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37671-2023</t>
        </is>
      </c>
      <c r="B1411" s="1" t="n">
        <v>45156</v>
      </c>
      <c r="C1411" s="1" t="n">
        <v>45991</v>
      </c>
      <c r="D1411" t="inlineStr">
        <is>
          <t>VÄSTERNORRLANDS LÄN</t>
        </is>
      </c>
      <c r="E1411" t="inlineStr">
        <is>
          <t>SOLLEFTEÅ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54936-2025</t>
        </is>
      </c>
      <c r="B1412" s="1" t="n">
        <v>45967.42828703704</v>
      </c>
      <c r="C1412" s="1" t="n">
        <v>45991</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54559-2022</t>
        </is>
      </c>
      <c r="B1413" s="1" t="n">
        <v>44882</v>
      </c>
      <c r="C1413" s="1" t="n">
        <v>45991</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56408-2024</t>
        </is>
      </c>
      <c r="B1414" s="1" t="n">
        <v>45625</v>
      </c>
      <c r="C1414" s="1" t="n">
        <v>45991</v>
      </c>
      <c r="D1414" t="inlineStr">
        <is>
          <t>VÄSTERNORRLANDS LÄN</t>
        </is>
      </c>
      <c r="E1414" t="inlineStr">
        <is>
          <t>SOLLEFTEÅ</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29210-2023</t>
        </is>
      </c>
      <c r="B1415" s="1" t="n">
        <v>45097</v>
      </c>
      <c r="C1415" s="1" t="n">
        <v>45991</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29336-2023</t>
        </is>
      </c>
      <c r="B1416" s="1" t="n">
        <v>45105</v>
      </c>
      <c r="C1416" s="1" t="n">
        <v>45991</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45978-2025</t>
        </is>
      </c>
      <c r="B1417" s="1" t="n">
        <v>45924.37491898148</v>
      </c>
      <c r="C1417" s="1" t="n">
        <v>45991</v>
      </c>
      <c r="D1417" t="inlineStr">
        <is>
          <t>VÄSTERNORRLANDS LÄN</t>
        </is>
      </c>
      <c r="E1417" t="inlineStr">
        <is>
          <t>SOLLEFTEÅ</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46003-2025</t>
        </is>
      </c>
      <c r="B1418" s="1" t="n">
        <v>45924.40726851852</v>
      </c>
      <c r="C1418" s="1" t="n">
        <v>45991</v>
      </c>
      <c r="D1418" t="inlineStr">
        <is>
          <t>VÄSTERNORRLANDS LÄN</t>
        </is>
      </c>
      <c r="E1418" t="inlineStr">
        <is>
          <t>SOLLEFTEÅ</t>
        </is>
      </c>
      <c r="F1418" t="inlineStr">
        <is>
          <t>SCA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45952-2025</t>
        </is>
      </c>
      <c r="B1419" s="1" t="n">
        <v>45924.34430555555</v>
      </c>
      <c r="C1419" s="1" t="n">
        <v>45991</v>
      </c>
      <c r="D1419" t="inlineStr">
        <is>
          <t>VÄSTERNORRLANDS LÄN</t>
        </is>
      </c>
      <c r="E1419" t="inlineStr">
        <is>
          <t>SOLLEFTEÅ</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59491-2024</t>
        </is>
      </c>
      <c r="B1420" s="1" t="n">
        <v>45637</v>
      </c>
      <c r="C1420" s="1" t="n">
        <v>45991</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12561-2022</t>
        </is>
      </c>
      <c r="B1421" s="1" t="n">
        <v>44638</v>
      </c>
      <c r="C1421" s="1" t="n">
        <v>45991</v>
      </c>
      <c r="D1421" t="inlineStr">
        <is>
          <t>VÄSTERNORRLANDS LÄN</t>
        </is>
      </c>
      <c r="E1421" t="inlineStr">
        <is>
          <t>SOLLEFTEÅ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12820-2023</t>
        </is>
      </c>
      <c r="B1422" s="1" t="n">
        <v>45000</v>
      </c>
      <c r="C1422" s="1" t="n">
        <v>45991</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54932-2025</t>
        </is>
      </c>
      <c r="B1423" s="1" t="n">
        <v>45967.42759259259</v>
      </c>
      <c r="C1423" s="1" t="n">
        <v>45991</v>
      </c>
      <c r="D1423" t="inlineStr">
        <is>
          <t>VÄSTERNORRLANDS LÄN</t>
        </is>
      </c>
      <c r="E1423" t="inlineStr">
        <is>
          <t>SOLLEFTEÅ</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3096-2025</t>
        </is>
      </c>
      <c r="B1424" s="1" t="n">
        <v>45678.66643518519</v>
      </c>
      <c r="C1424" s="1" t="n">
        <v>45991</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22205-2025</t>
        </is>
      </c>
      <c r="B1425" s="1" t="n">
        <v>45785.65686342592</v>
      </c>
      <c r="C1425" s="1" t="n">
        <v>45991</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54947-2025</t>
        </is>
      </c>
      <c r="B1426" s="1" t="n">
        <v>45967.4485300926</v>
      </c>
      <c r="C1426" s="1" t="n">
        <v>45991</v>
      </c>
      <c r="D1426" t="inlineStr">
        <is>
          <t>VÄSTERNORRLANDS LÄN</t>
        </is>
      </c>
      <c r="E1426" t="inlineStr">
        <is>
          <t>SOLLEFTEÅ</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54956-2025</t>
        </is>
      </c>
      <c r="B1427" s="1" t="n">
        <v>45967.46923611111</v>
      </c>
      <c r="C1427" s="1" t="n">
        <v>45991</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43049-2024</t>
        </is>
      </c>
      <c r="B1428" s="1" t="n">
        <v>45567</v>
      </c>
      <c r="C1428" s="1" t="n">
        <v>45991</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22390-2025</t>
        </is>
      </c>
      <c r="B1429" s="1" t="n">
        <v>45786.51107638889</v>
      </c>
      <c r="C1429" s="1" t="n">
        <v>45991</v>
      </c>
      <c r="D1429" t="inlineStr">
        <is>
          <t>VÄSTERNORRLANDS LÄN</t>
        </is>
      </c>
      <c r="E1429" t="inlineStr">
        <is>
          <t>SOLLEFTEÅ</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49711-2021</t>
        </is>
      </c>
      <c r="B1430" s="1" t="n">
        <v>44455</v>
      </c>
      <c r="C1430" s="1" t="n">
        <v>45991</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47185-2023</t>
        </is>
      </c>
      <c r="B1431" s="1" t="n">
        <v>45201</v>
      </c>
      <c r="C1431" s="1" t="n">
        <v>45991</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55053-2025</t>
        </is>
      </c>
      <c r="B1432" s="1" t="n">
        <v>45967.67755787037</v>
      </c>
      <c r="C1432" s="1" t="n">
        <v>45991</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46174-2025</t>
        </is>
      </c>
      <c r="B1433" s="1" t="n">
        <v>45924.64704861111</v>
      </c>
      <c r="C1433" s="1" t="n">
        <v>45991</v>
      </c>
      <c r="D1433" t="inlineStr">
        <is>
          <t>VÄSTERNORRLANDS LÄN</t>
        </is>
      </c>
      <c r="E1433" t="inlineStr">
        <is>
          <t>SOLLEFTEÅ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54950-2025</t>
        </is>
      </c>
      <c r="B1434" s="1" t="n">
        <v>45967.44888888889</v>
      </c>
      <c r="C1434" s="1" t="n">
        <v>45991</v>
      </c>
      <c r="D1434" t="inlineStr">
        <is>
          <t>VÄSTERNORRLANDS LÄN</t>
        </is>
      </c>
      <c r="E1434" t="inlineStr">
        <is>
          <t>SOLLEFTEÅ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54816-2025</t>
        </is>
      </c>
      <c r="B1435" s="1" t="n">
        <v>45966.65668981482</v>
      </c>
      <c r="C1435" s="1" t="n">
        <v>45991</v>
      </c>
      <c r="D1435" t="inlineStr">
        <is>
          <t>VÄSTERNORRLANDS LÄN</t>
        </is>
      </c>
      <c r="E1435" t="inlineStr">
        <is>
          <t>SOLLEFTEÅ</t>
        </is>
      </c>
      <c r="F1435" t="inlineStr">
        <is>
          <t>SCA</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54619-2025</t>
        </is>
      </c>
      <c r="B1436" s="1" t="n">
        <v>45966.34471064815</v>
      </c>
      <c r="C1436" s="1" t="n">
        <v>45991</v>
      </c>
      <c r="D1436" t="inlineStr">
        <is>
          <t>VÄSTERNORRLANDS LÄN</t>
        </is>
      </c>
      <c r="E1436" t="inlineStr">
        <is>
          <t>SOLLEFTEÅ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54951-2025</t>
        </is>
      </c>
      <c r="B1437" s="1" t="n">
        <v>45967.44902777778</v>
      </c>
      <c r="C1437" s="1" t="n">
        <v>45991</v>
      </c>
      <c r="D1437" t="inlineStr">
        <is>
          <t>VÄSTERNORRLANDS LÄN</t>
        </is>
      </c>
      <c r="E1437" t="inlineStr">
        <is>
          <t>SOLLEFTEÅ</t>
        </is>
      </c>
      <c r="F1437" t="inlineStr">
        <is>
          <t>Kyrkan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36967-2025</t>
        </is>
      </c>
      <c r="B1438" s="1" t="n">
        <v>45874.63642361111</v>
      </c>
      <c r="C1438" s="1" t="n">
        <v>45991</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37018-2025</t>
        </is>
      </c>
      <c r="B1439" s="1" t="n">
        <v>45874</v>
      </c>
      <c r="C1439" s="1" t="n">
        <v>45991</v>
      </c>
      <c r="D1439" t="inlineStr">
        <is>
          <t>VÄSTERNORRLANDS LÄN</t>
        </is>
      </c>
      <c r="E1439" t="inlineStr">
        <is>
          <t>SOLLEFTEÅ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37053-2025</t>
        </is>
      </c>
      <c r="B1440" s="1" t="n">
        <v>45875.36493055556</v>
      </c>
      <c r="C1440" s="1" t="n">
        <v>45991</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36850-2025</t>
        </is>
      </c>
      <c r="B1441" s="1" t="n">
        <v>45874.39098379629</v>
      </c>
      <c r="C1441" s="1" t="n">
        <v>45991</v>
      </c>
      <c r="D1441" t="inlineStr">
        <is>
          <t>VÄSTERNORRLANDS LÄN</t>
        </is>
      </c>
      <c r="E1441" t="inlineStr">
        <is>
          <t>SOLLEFTEÅ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37065-2025</t>
        </is>
      </c>
      <c r="B1442" s="1" t="n">
        <v>45875.38619212963</v>
      </c>
      <c r="C1442" s="1" t="n">
        <v>45991</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36968-2025</t>
        </is>
      </c>
      <c r="B1443" s="1" t="n">
        <v>45874.63667824074</v>
      </c>
      <c r="C1443" s="1" t="n">
        <v>45991</v>
      </c>
      <c r="D1443" t="inlineStr">
        <is>
          <t>VÄSTERNORRLANDS LÄN</t>
        </is>
      </c>
      <c r="E1443" t="inlineStr">
        <is>
          <t>SOLLEFTEÅ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37084-2025</t>
        </is>
      </c>
      <c r="B1444" s="1" t="n">
        <v>45875.44826388889</v>
      </c>
      <c r="C1444" s="1" t="n">
        <v>45991</v>
      </c>
      <c r="D1444" t="inlineStr">
        <is>
          <t>VÄSTERNORRLANDS LÄN</t>
        </is>
      </c>
      <c r="E1444" t="inlineStr">
        <is>
          <t>SOLLEFTEÅ</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46037-2025</t>
        </is>
      </c>
      <c r="B1445" s="1" t="n">
        <v>45924.44836805556</v>
      </c>
      <c r="C1445" s="1" t="n">
        <v>45991</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4931-2025</t>
        </is>
      </c>
      <c r="B1446" s="1" t="n">
        <v>45688.68476851852</v>
      </c>
      <c r="C1446" s="1" t="n">
        <v>45991</v>
      </c>
      <c r="D1446" t="inlineStr">
        <is>
          <t>VÄSTERNORRLANDS LÄN</t>
        </is>
      </c>
      <c r="E1446" t="inlineStr">
        <is>
          <t>SOLLEFTEÅ</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54934-2025</t>
        </is>
      </c>
      <c r="B1447" s="1" t="n">
        <v>45967.42795138889</v>
      </c>
      <c r="C1447" s="1" t="n">
        <v>45991</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40280-2025</t>
        </is>
      </c>
      <c r="B1448" s="1" t="n">
        <v>45895</v>
      </c>
      <c r="C1448" s="1" t="n">
        <v>45991</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36928-2025</t>
        </is>
      </c>
      <c r="B1449" s="1" t="n">
        <v>45874.55299768518</v>
      </c>
      <c r="C1449" s="1" t="n">
        <v>45991</v>
      </c>
      <c r="D1449" t="inlineStr">
        <is>
          <t>VÄSTERNORRLANDS LÄN</t>
        </is>
      </c>
      <c r="E1449" t="inlineStr">
        <is>
          <t>SOLLEFTEÅ</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36966-2025</t>
        </is>
      </c>
      <c r="B1450" s="1" t="n">
        <v>45874.63614583333</v>
      </c>
      <c r="C1450" s="1" t="n">
        <v>45991</v>
      </c>
      <c r="D1450" t="inlineStr">
        <is>
          <t>VÄSTERNORRLANDS LÄN</t>
        </is>
      </c>
      <c r="E1450" t="inlineStr">
        <is>
          <t>SOLLEFTEÅ</t>
        </is>
      </c>
      <c r="F1450" t="inlineStr">
        <is>
          <t>SCA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15872-2024</t>
        </is>
      </c>
      <c r="B1451" s="1" t="n">
        <v>45405</v>
      </c>
      <c r="C1451" s="1" t="n">
        <v>45991</v>
      </c>
      <c r="D1451" t="inlineStr">
        <is>
          <t>VÄSTERNORRLANDS LÄN</t>
        </is>
      </c>
      <c r="E1451" t="inlineStr">
        <is>
          <t>SOLLEFTEÅ</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45977-2025</t>
        </is>
      </c>
      <c r="B1452" s="1" t="n">
        <v>45924.37170138889</v>
      </c>
      <c r="C1452" s="1" t="n">
        <v>45991</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45991</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37073-2025</t>
        </is>
      </c>
      <c r="B1454" s="1" t="n">
        <v>45875.40703703704</v>
      </c>
      <c r="C1454" s="1" t="n">
        <v>45991</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54935-2025</t>
        </is>
      </c>
      <c r="B1455" s="1" t="n">
        <v>45967.428125</v>
      </c>
      <c r="C1455" s="1" t="n">
        <v>45991</v>
      </c>
      <c r="D1455" t="inlineStr">
        <is>
          <t>VÄSTERNORRLANDS LÄN</t>
        </is>
      </c>
      <c r="E1455" t="inlineStr">
        <is>
          <t>SOLLEFTEÅ</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54946-2025</t>
        </is>
      </c>
      <c r="B1456" s="1" t="n">
        <v>45967.44832175926</v>
      </c>
      <c r="C1456" s="1" t="n">
        <v>45991</v>
      </c>
      <c r="D1456" t="inlineStr">
        <is>
          <t>VÄSTERNORRLANDS LÄN</t>
        </is>
      </c>
      <c r="E1456" t="inlineStr">
        <is>
          <t>SOLLEFTEÅ</t>
        </is>
      </c>
      <c r="F1456" t="inlineStr">
        <is>
          <t>Kyrkan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12006-2022</t>
        </is>
      </c>
      <c r="B1457" s="1" t="n">
        <v>44635.92496527778</v>
      </c>
      <c r="C1457" s="1" t="n">
        <v>45991</v>
      </c>
      <c r="D1457" t="inlineStr">
        <is>
          <t>VÄSTERNORRLANDS LÄN</t>
        </is>
      </c>
      <c r="E1457" t="inlineStr">
        <is>
          <t>SOLLEFTEÅ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36927-2025</t>
        </is>
      </c>
      <c r="B1458" s="1" t="n">
        <v>45874.55273148148</v>
      </c>
      <c r="C1458" s="1" t="n">
        <v>45991</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3082-2025</t>
        </is>
      </c>
      <c r="B1459" s="1" t="n">
        <v>45678.64443287037</v>
      </c>
      <c r="C1459" s="1" t="n">
        <v>45991</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55068-2025</t>
        </is>
      </c>
      <c r="B1460" s="1" t="n">
        <v>45967.7225462963</v>
      </c>
      <c r="C1460" s="1" t="n">
        <v>45991</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14274-2025</t>
        </is>
      </c>
      <c r="B1461" s="1" t="n">
        <v>45740.64412037037</v>
      </c>
      <c r="C1461" s="1" t="n">
        <v>45991</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37278-2025</t>
        </is>
      </c>
      <c r="B1462" s="1" t="n">
        <v>45876.490625</v>
      </c>
      <c r="C1462" s="1" t="n">
        <v>45991</v>
      </c>
      <c r="D1462" t="inlineStr">
        <is>
          <t>VÄSTERNORRLANDS LÄN</t>
        </is>
      </c>
      <c r="E1462" t="inlineStr">
        <is>
          <t>SOLLEFTEÅ</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54903-2025</t>
        </is>
      </c>
      <c r="B1463" s="1" t="n">
        <v>45967.36623842592</v>
      </c>
      <c r="C1463" s="1" t="n">
        <v>45991</v>
      </c>
      <c r="D1463" t="inlineStr">
        <is>
          <t>VÄSTERNORRLANDS LÄN</t>
        </is>
      </c>
      <c r="E1463" t="inlineStr">
        <is>
          <t>SOLLEFTEÅ</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5874-2024</t>
        </is>
      </c>
      <c r="B1464" s="1" t="n">
        <v>45335.6615625</v>
      </c>
      <c r="C1464" s="1" t="n">
        <v>45991</v>
      </c>
      <c r="D1464" t="inlineStr">
        <is>
          <t>VÄSTERNORRLANDS LÄN</t>
        </is>
      </c>
      <c r="E1464" t="inlineStr">
        <is>
          <t>SOLLEFTEÅ</t>
        </is>
      </c>
      <c r="F1464" t="inlineStr">
        <is>
          <t>Övriga Aktiebolag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8084-2025</t>
        </is>
      </c>
      <c r="B1465" s="1" t="n">
        <v>45707</v>
      </c>
      <c r="C1465" s="1" t="n">
        <v>45991</v>
      </c>
      <c r="D1465" t="inlineStr">
        <is>
          <t>VÄSTERNORRLANDS LÄN</t>
        </is>
      </c>
      <c r="E1465" t="inlineStr">
        <is>
          <t>SOLLEFTEÅ</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55013-2025</t>
        </is>
      </c>
      <c r="B1466" s="1" t="n">
        <v>45967.61578703704</v>
      </c>
      <c r="C1466" s="1" t="n">
        <v>45991</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55014-2025</t>
        </is>
      </c>
      <c r="B1467" s="1" t="n">
        <v>45967.61597222222</v>
      </c>
      <c r="C1467" s="1" t="n">
        <v>45991</v>
      </c>
      <c r="D1467" t="inlineStr">
        <is>
          <t>VÄSTERNORRLANDS LÄN</t>
        </is>
      </c>
      <c r="E1467" t="inlineStr">
        <is>
          <t>SOLLEFTEÅ</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58427-2023</t>
        </is>
      </c>
      <c r="B1468" s="1" t="n">
        <v>45250</v>
      </c>
      <c r="C1468" s="1" t="n">
        <v>45991</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33743-2025</t>
        </is>
      </c>
      <c r="B1469" s="1" t="n">
        <v>45842.34496527778</v>
      </c>
      <c r="C1469" s="1" t="n">
        <v>45991</v>
      </c>
      <c r="D1469" t="inlineStr">
        <is>
          <t>VÄSTERNORRLANDS LÄN</t>
        </is>
      </c>
      <c r="E1469" t="inlineStr">
        <is>
          <t>SOLLEFTEÅ</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54697-2025</t>
        </is>
      </c>
      <c r="B1470" s="1" t="n">
        <v>45966.47638888889</v>
      </c>
      <c r="C1470" s="1" t="n">
        <v>45991</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54802-2025</t>
        </is>
      </c>
      <c r="B1471" s="1" t="n">
        <v>45966</v>
      </c>
      <c r="C1471" s="1" t="n">
        <v>45991</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37304-2025</t>
        </is>
      </c>
      <c r="B1472" s="1" t="n">
        <v>45876.59458333333</v>
      </c>
      <c r="C1472" s="1" t="n">
        <v>45991</v>
      </c>
      <c r="D1472" t="inlineStr">
        <is>
          <t>VÄSTERNORRLANDS LÄN</t>
        </is>
      </c>
      <c r="E1472" t="inlineStr">
        <is>
          <t>SOLLEFTEÅ</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4859-2025</t>
        </is>
      </c>
      <c r="B1473" s="1" t="n">
        <v>45688.67451388889</v>
      </c>
      <c r="C1473" s="1" t="n">
        <v>45991</v>
      </c>
      <c r="D1473" t="inlineStr">
        <is>
          <t>VÄSTERNORRLANDS LÄN</t>
        </is>
      </c>
      <c r="E1473" t="inlineStr">
        <is>
          <t>SOLLEFTEÅ</t>
        </is>
      </c>
      <c r="F1473" t="inlineStr">
        <is>
          <t>SCA</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4894-2025</t>
        </is>
      </c>
      <c r="B1474" s="1" t="n">
        <v>45688.67888888889</v>
      </c>
      <c r="C1474" s="1" t="n">
        <v>45991</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55096-2025</t>
        </is>
      </c>
      <c r="B1475" s="1" t="n">
        <v>45968.34510416666</v>
      </c>
      <c r="C1475" s="1" t="n">
        <v>45991</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46212-2023</t>
        </is>
      </c>
      <c r="B1476" s="1" t="n">
        <v>45190</v>
      </c>
      <c r="C1476" s="1" t="n">
        <v>45991</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37242-2025</t>
        </is>
      </c>
      <c r="B1477" s="1" t="n">
        <v>45876.38614583333</v>
      </c>
      <c r="C1477" s="1" t="n">
        <v>45991</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39399-2023</t>
        </is>
      </c>
      <c r="B1478" s="1" t="n">
        <v>45163</v>
      </c>
      <c r="C1478" s="1" t="n">
        <v>45991</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46873-2025</t>
        </is>
      </c>
      <c r="B1479" s="1" t="n">
        <v>45929.34421296296</v>
      </c>
      <c r="C1479" s="1" t="n">
        <v>45991</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46898-2025</t>
        </is>
      </c>
      <c r="B1480" s="1" t="n">
        <v>45929.38613425926</v>
      </c>
      <c r="C1480" s="1" t="n">
        <v>45991</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37325-2025</t>
        </is>
      </c>
      <c r="B1481" s="1" t="n">
        <v>45876.63581018519</v>
      </c>
      <c r="C1481" s="1" t="n">
        <v>45991</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55116-2025</t>
        </is>
      </c>
      <c r="B1482" s="1" t="n">
        <v>45968.38623842593</v>
      </c>
      <c r="C1482" s="1" t="n">
        <v>45991</v>
      </c>
      <c r="D1482" t="inlineStr">
        <is>
          <t>VÄSTERNORRLANDS LÄN</t>
        </is>
      </c>
      <c r="E1482" t="inlineStr">
        <is>
          <t>SOLLEFTEÅ</t>
        </is>
      </c>
      <c r="F1482" t="inlineStr">
        <is>
          <t>SCA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55510-2025</t>
        </is>
      </c>
      <c r="B1483" s="1" t="n">
        <v>45971.60037037037</v>
      </c>
      <c r="C1483" s="1" t="n">
        <v>45991</v>
      </c>
      <c r="D1483" t="inlineStr">
        <is>
          <t>VÄSTERNORRLANDS LÄN</t>
        </is>
      </c>
      <c r="E1483" t="inlineStr">
        <is>
          <t>SOLLEFTEÅ</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15147-2024</t>
        </is>
      </c>
      <c r="B1484" s="1" t="n">
        <v>45399.94372685185</v>
      </c>
      <c r="C1484" s="1" t="n">
        <v>45991</v>
      </c>
      <c r="D1484" t="inlineStr">
        <is>
          <t>VÄSTERNORRLANDS LÄN</t>
        </is>
      </c>
      <c r="E1484" t="inlineStr">
        <is>
          <t>SOLLEFTEÅ</t>
        </is>
      </c>
      <c r="F1484" t="inlineStr">
        <is>
          <t>SCA</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37581-2025</t>
        </is>
      </c>
      <c r="B1485" s="1" t="n">
        <v>45880.38623842593</v>
      </c>
      <c r="C1485" s="1" t="n">
        <v>45991</v>
      </c>
      <c r="D1485" t="inlineStr">
        <is>
          <t>VÄSTERNORRLANDS LÄN</t>
        </is>
      </c>
      <c r="E1485" t="inlineStr">
        <is>
          <t>SOLLEFTEÅ</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55115-2025</t>
        </is>
      </c>
      <c r="B1486" s="1" t="n">
        <v>45968</v>
      </c>
      <c r="C1486" s="1" t="n">
        <v>45991</v>
      </c>
      <c r="D1486" t="inlineStr">
        <is>
          <t>VÄSTERNORRLANDS LÄN</t>
        </is>
      </c>
      <c r="E1486" t="inlineStr">
        <is>
          <t>SOLLEFTEÅ</t>
        </is>
      </c>
      <c r="F1486" t="inlineStr">
        <is>
          <t>SCA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37607-2025</t>
        </is>
      </c>
      <c r="B1487" s="1" t="n">
        <v>45880</v>
      </c>
      <c r="C1487" s="1" t="n">
        <v>45991</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54574-2024</t>
        </is>
      </c>
      <c r="B1488" s="1" t="n">
        <v>45617.65201388889</v>
      </c>
      <c r="C1488" s="1" t="n">
        <v>45991</v>
      </c>
      <c r="D1488" t="inlineStr">
        <is>
          <t>VÄSTERNORRLANDS LÄN</t>
        </is>
      </c>
      <c r="E1488" t="inlineStr">
        <is>
          <t>SOLLEFTEÅ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26955-2024</t>
        </is>
      </c>
      <c r="B1489" s="1" t="n">
        <v>45470.97040509259</v>
      </c>
      <c r="C1489" s="1" t="n">
        <v>45991</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14612-2025</t>
        </is>
      </c>
      <c r="B1490" s="1" t="n">
        <v>45742</v>
      </c>
      <c r="C1490" s="1" t="n">
        <v>45991</v>
      </c>
      <c r="D1490" t="inlineStr">
        <is>
          <t>VÄSTERNORRLANDS LÄN</t>
        </is>
      </c>
      <c r="E1490" t="inlineStr">
        <is>
          <t>SOLLEFTEÅ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46905-2025</t>
        </is>
      </c>
      <c r="B1491" s="1" t="n">
        <v>45929.40055555556</v>
      </c>
      <c r="C1491" s="1" t="n">
        <v>45991</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46968-2025</t>
        </is>
      </c>
      <c r="B1492" s="1" t="n">
        <v>45929.50158564815</v>
      </c>
      <c r="C1492" s="1" t="n">
        <v>45991</v>
      </c>
      <c r="D1492" t="inlineStr">
        <is>
          <t>VÄSTERNORRLANDS LÄN</t>
        </is>
      </c>
      <c r="E1492" t="inlineStr">
        <is>
          <t>SOLLEFTEÅ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46784-2025</t>
        </is>
      </c>
      <c r="B1493" s="1" t="n">
        <v>45926</v>
      </c>
      <c r="C1493" s="1" t="n">
        <v>45991</v>
      </c>
      <c r="D1493" t="inlineStr">
        <is>
          <t>VÄSTERNORRLANDS LÄN</t>
        </is>
      </c>
      <c r="E1493" t="inlineStr">
        <is>
          <t>SOLLEFTEÅ</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47069-2025</t>
        </is>
      </c>
      <c r="B1494" s="1" t="n">
        <v>45929.63596064815</v>
      </c>
      <c r="C1494" s="1" t="n">
        <v>45991</v>
      </c>
      <c r="D1494" t="inlineStr">
        <is>
          <t>VÄSTERNORRLANDS LÄN</t>
        </is>
      </c>
      <c r="E1494" t="inlineStr">
        <is>
          <t>SOLLEFTEÅ</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61845-2024</t>
        </is>
      </c>
      <c r="B1495" s="1" t="n">
        <v>45646</v>
      </c>
      <c r="C1495" s="1" t="n">
        <v>45991</v>
      </c>
      <c r="D1495" t="inlineStr">
        <is>
          <t>VÄSTERNORRLANDS LÄN</t>
        </is>
      </c>
      <c r="E1495" t="inlineStr">
        <is>
          <t>SOLLEFTEÅ</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61849-2024</t>
        </is>
      </c>
      <c r="B1496" s="1" t="n">
        <v>45646</v>
      </c>
      <c r="C1496" s="1" t="n">
        <v>45991</v>
      </c>
      <c r="D1496" t="inlineStr">
        <is>
          <t>VÄSTERNORRLANDS LÄN</t>
        </is>
      </c>
      <c r="E1496" t="inlineStr">
        <is>
          <t>SOLLEFTEÅ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47329-2023</t>
        </is>
      </c>
      <c r="B1497" s="1" t="n">
        <v>45196</v>
      </c>
      <c r="C1497" s="1" t="n">
        <v>45991</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41925-2024</t>
        </is>
      </c>
      <c r="B1498" s="1" t="n">
        <v>45561</v>
      </c>
      <c r="C1498" s="1" t="n">
        <v>45991</v>
      </c>
      <c r="D1498" t="inlineStr">
        <is>
          <t>VÄSTERNORRLANDS LÄN</t>
        </is>
      </c>
      <c r="E1498" t="inlineStr">
        <is>
          <t>SOLLEFTEÅ</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58808-2024</t>
        </is>
      </c>
      <c r="B1499" s="1" t="n">
        <v>45636.34446759259</v>
      </c>
      <c r="C1499" s="1" t="n">
        <v>45991</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37921-2025</t>
        </is>
      </c>
      <c r="B1500" s="1" t="n">
        <v>45881.57491898148</v>
      </c>
      <c r="C1500" s="1" t="n">
        <v>45991</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37880-2025</t>
        </is>
      </c>
      <c r="B1501" s="1" t="n">
        <v>45881.48998842593</v>
      </c>
      <c r="C1501" s="1" t="n">
        <v>45991</v>
      </c>
      <c r="D1501" t="inlineStr">
        <is>
          <t>VÄSTERNORRLANDS LÄN</t>
        </is>
      </c>
      <c r="E1501" t="inlineStr">
        <is>
          <t>SOLLEFTEÅ</t>
        </is>
      </c>
      <c r="F1501" t="inlineStr">
        <is>
          <t>SCA</t>
        </is>
      </c>
      <c r="G1501" t="n">
        <v>26.1</v>
      </c>
      <c r="H1501" t="n">
        <v>0</v>
      </c>
      <c r="I1501" t="n">
        <v>0</v>
      </c>
      <c r="J1501" t="n">
        <v>0</v>
      </c>
      <c r="K1501" t="n">
        <v>0</v>
      </c>
      <c r="L1501" t="n">
        <v>0</v>
      </c>
      <c r="M1501" t="n">
        <v>0</v>
      </c>
      <c r="N1501" t="n">
        <v>0</v>
      </c>
      <c r="O1501" t="n">
        <v>0</v>
      </c>
      <c r="P1501" t="n">
        <v>0</v>
      </c>
      <c r="Q1501" t="n">
        <v>0</v>
      </c>
      <c r="R1501" s="2" t="inlineStr"/>
    </row>
    <row r="1502" ht="15" customHeight="1">
      <c r="A1502" t="inlineStr">
        <is>
          <t>A 42983-2024</t>
        </is>
      </c>
      <c r="B1502" s="1" t="n">
        <v>45567.37471064815</v>
      </c>
      <c r="C1502" s="1" t="n">
        <v>45991</v>
      </c>
      <c r="D1502" t="inlineStr">
        <is>
          <t>VÄSTERNORRLANDS LÄN</t>
        </is>
      </c>
      <c r="E1502" t="inlineStr">
        <is>
          <t>SOLLEFTEÅ</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42984-2024</t>
        </is>
      </c>
      <c r="B1503" s="1" t="n">
        <v>45567.37532407408</v>
      </c>
      <c r="C1503" s="1" t="n">
        <v>45991</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42985-2024</t>
        </is>
      </c>
      <c r="B1504" s="1" t="n">
        <v>45567.37533564815</v>
      </c>
      <c r="C1504" s="1" t="n">
        <v>45991</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48964-2023</t>
        </is>
      </c>
      <c r="B1505" s="1" t="n">
        <v>45204</v>
      </c>
      <c r="C1505" s="1" t="n">
        <v>45991</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38271-2025</t>
        </is>
      </c>
      <c r="B1506" s="1" t="n">
        <v>45883.4071412037</v>
      </c>
      <c r="C1506" s="1" t="n">
        <v>45991</v>
      </c>
      <c r="D1506" t="inlineStr">
        <is>
          <t>VÄSTERNORRLANDS LÄN</t>
        </is>
      </c>
      <c r="E1506" t="inlineStr">
        <is>
          <t>SOLLEFTEÅ</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48785-2024</t>
        </is>
      </c>
      <c r="B1507" s="1" t="n">
        <v>45593</v>
      </c>
      <c r="C1507" s="1" t="n">
        <v>45991</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22207-2025</t>
        </is>
      </c>
      <c r="B1508" s="1" t="n">
        <v>45785.65710648148</v>
      </c>
      <c r="C1508" s="1" t="n">
        <v>45991</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34100-2023</t>
        </is>
      </c>
      <c r="B1509" s="1" t="n">
        <v>45125</v>
      </c>
      <c r="C1509" s="1" t="n">
        <v>45991</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55360-2025</t>
        </is>
      </c>
      <c r="B1510" s="1" t="n">
        <v>45971.38597222222</v>
      </c>
      <c r="C1510" s="1" t="n">
        <v>45991</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55289-2025</t>
        </is>
      </c>
      <c r="B1511" s="1" t="n">
        <v>45969.344375</v>
      </c>
      <c r="C1511" s="1" t="n">
        <v>45991</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54607-2023</t>
        </is>
      </c>
      <c r="B1512" s="1" t="n">
        <v>45233.95748842593</v>
      </c>
      <c r="C1512" s="1" t="n">
        <v>45991</v>
      </c>
      <c r="D1512" t="inlineStr">
        <is>
          <t>VÄSTERNORRLANDS LÄN</t>
        </is>
      </c>
      <c r="E1512" t="inlineStr">
        <is>
          <t>SOLLEFTEÅ</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41420-2024</t>
        </is>
      </c>
      <c r="B1513" s="1" t="n">
        <v>45560.34616898148</v>
      </c>
      <c r="C1513" s="1" t="n">
        <v>45991</v>
      </c>
      <c r="D1513" t="inlineStr">
        <is>
          <t>VÄSTERNORRLANDS LÄN</t>
        </is>
      </c>
      <c r="E1513" t="inlineStr">
        <is>
          <t>SOLLEFTEÅ</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46750-2025</t>
        </is>
      </c>
      <c r="B1514" s="1" t="n">
        <v>45926.61511574074</v>
      </c>
      <c r="C1514" s="1" t="n">
        <v>45991</v>
      </c>
      <c r="D1514" t="inlineStr">
        <is>
          <t>VÄSTERNORRLANDS LÄN</t>
        </is>
      </c>
      <c r="E1514" t="inlineStr">
        <is>
          <t>SOLLEFTEÅ</t>
        </is>
      </c>
      <c r="F1514" t="inlineStr">
        <is>
          <t>SCA</t>
        </is>
      </c>
      <c r="G1514" t="n">
        <v>59.9</v>
      </c>
      <c r="H1514" t="n">
        <v>0</v>
      </c>
      <c r="I1514" t="n">
        <v>0</v>
      </c>
      <c r="J1514" t="n">
        <v>0</v>
      </c>
      <c r="K1514" t="n">
        <v>0</v>
      </c>
      <c r="L1514" t="n">
        <v>0</v>
      </c>
      <c r="M1514" t="n">
        <v>0</v>
      </c>
      <c r="N1514" t="n">
        <v>0</v>
      </c>
      <c r="O1514" t="n">
        <v>0</v>
      </c>
      <c r="P1514" t="n">
        <v>0</v>
      </c>
      <c r="Q1514" t="n">
        <v>0</v>
      </c>
      <c r="R1514" s="2" t="inlineStr"/>
    </row>
    <row r="1515" ht="15" customHeight="1">
      <c r="A1515" t="inlineStr">
        <is>
          <t>A 38330-2025</t>
        </is>
      </c>
      <c r="B1515" s="1" t="n">
        <v>45883.49123842592</v>
      </c>
      <c r="C1515" s="1" t="n">
        <v>45991</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38156-2025</t>
        </is>
      </c>
      <c r="B1516" s="1" t="n">
        <v>45882.61491898148</v>
      </c>
      <c r="C1516" s="1" t="n">
        <v>45991</v>
      </c>
      <c r="D1516" t="inlineStr">
        <is>
          <t>VÄSTERNORRLANDS LÄN</t>
        </is>
      </c>
      <c r="E1516" t="inlineStr">
        <is>
          <t>SOLLEFTEÅ</t>
        </is>
      </c>
      <c r="F1516" t="inlineStr">
        <is>
          <t>SCA</t>
        </is>
      </c>
      <c r="G1516" t="n">
        <v>13.5</v>
      </c>
      <c r="H1516" t="n">
        <v>0</v>
      </c>
      <c r="I1516" t="n">
        <v>0</v>
      </c>
      <c r="J1516" t="n">
        <v>0</v>
      </c>
      <c r="K1516" t="n">
        <v>0</v>
      </c>
      <c r="L1516" t="n">
        <v>0</v>
      </c>
      <c r="M1516" t="n">
        <v>0</v>
      </c>
      <c r="N1516" t="n">
        <v>0</v>
      </c>
      <c r="O1516" t="n">
        <v>0</v>
      </c>
      <c r="P1516" t="n">
        <v>0</v>
      </c>
      <c r="Q1516" t="n">
        <v>0</v>
      </c>
      <c r="R1516" s="2" t="inlineStr"/>
    </row>
    <row r="1517" ht="15" customHeight="1">
      <c r="A1517" t="inlineStr">
        <is>
          <t>A 37801-2025</t>
        </is>
      </c>
      <c r="B1517" s="1" t="n">
        <v>45881.34436342592</v>
      </c>
      <c r="C1517" s="1" t="n">
        <v>45991</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9608-2025</t>
        </is>
      </c>
      <c r="B1518" s="1" t="n">
        <v>45715.65699074074</v>
      </c>
      <c r="C1518" s="1" t="n">
        <v>45991</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55094-2025</t>
        </is>
      </c>
      <c r="B1519" s="1" t="n">
        <v>45968.34483796296</v>
      </c>
      <c r="C1519" s="1" t="n">
        <v>45991</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55471-2025</t>
        </is>
      </c>
      <c r="B1520" s="1" t="n">
        <v>45971</v>
      </c>
      <c r="C1520" s="1" t="n">
        <v>45991</v>
      </c>
      <c r="D1520" t="inlineStr">
        <is>
          <t>VÄSTERNORRLANDS LÄN</t>
        </is>
      </c>
      <c r="E1520" t="inlineStr">
        <is>
          <t>SOLLEFTEÅ</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46973-2025</t>
        </is>
      </c>
      <c r="B1521" s="1" t="n">
        <v>45929.51083333333</v>
      </c>
      <c r="C1521" s="1" t="n">
        <v>45991</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38092-2025</t>
        </is>
      </c>
      <c r="B1522" s="1" t="n">
        <v>45882.49005787037</v>
      </c>
      <c r="C1522" s="1" t="n">
        <v>45991</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46920-2025</t>
        </is>
      </c>
      <c r="B1523" s="1" t="n">
        <v>45929.43368055556</v>
      </c>
      <c r="C1523" s="1" t="n">
        <v>45991</v>
      </c>
      <c r="D1523" t="inlineStr">
        <is>
          <t>VÄSTERNORRLANDS LÄN</t>
        </is>
      </c>
      <c r="E1523" t="inlineStr">
        <is>
          <t>SOLLEFTEÅ</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38190-2025</t>
        </is>
      </c>
      <c r="B1524" s="1" t="n">
        <v>45882.65680555555</v>
      </c>
      <c r="C1524" s="1" t="n">
        <v>45991</v>
      </c>
      <c r="D1524" t="inlineStr">
        <is>
          <t>VÄSTERNORRLANDS LÄN</t>
        </is>
      </c>
      <c r="E1524" t="inlineStr">
        <is>
          <t>SOLLEFTEÅ</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38220-2025</t>
        </is>
      </c>
      <c r="B1525" s="1" t="n">
        <v>45883.34418981482</v>
      </c>
      <c r="C1525" s="1" t="n">
        <v>45991</v>
      </c>
      <c r="D1525" t="inlineStr">
        <is>
          <t>VÄSTERNORRLANDS LÄN</t>
        </is>
      </c>
      <c r="E1525" t="inlineStr">
        <is>
          <t>SOLLEFTEÅ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38240-2025</t>
        </is>
      </c>
      <c r="B1526" s="1" t="n">
        <v>45883.36532407408</v>
      </c>
      <c r="C1526" s="1" t="n">
        <v>45991</v>
      </c>
      <c r="D1526" t="inlineStr">
        <is>
          <t>VÄSTERNORRLANDS LÄN</t>
        </is>
      </c>
      <c r="E1526" t="inlineStr">
        <is>
          <t>SOLLEFTEÅ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9096-2023</t>
        </is>
      </c>
      <c r="B1527" s="1" t="n">
        <v>44979.94303240741</v>
      </c>
      <c r="C1527" s="1" t="n">
        <v>45991</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55583-2025</t>
        </is>
      </c>
      <c r="B1528" s="1" t="n">
        <v>45971.67804398148</v>
      </c>
      <c r="C1528" s="1" t="n">
        <v>45991</v>
      </c>
      <c r="D1528" t="inlineStr">
        <is>
          <t>VÄSTERNORRLANDS LÄN</t>
        </is>
      </c>
      <c r="E1528" t="inlineStr">
        <is>
          <t>SOLLEFTEÅ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55584-2025</t>
        </is>
      </c>
      <c r="B1529" s="1" t="n">
        <v>45971.67821759259</v>
      </c>
      <c r="C1529" s="1" t="n">
        <v>45991</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55137-2025</t>
        </is>
      </c>
      <c r="B1530" s="1" t="n">
        <v>45968.42770833334</v>
      </c>
      <c r="C1530" s="1" t="n">
        <v>45991</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18220-2025</t>
        </is>
      </c>
      <c r="B1531" s="1" t="n">
        <v>45761.7190625</v>
      </c>
      <c r="C1531" s="1" t="n">
        <v>45991</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54256-2025</t>
        </is>
      </c>
      <c r="B1532" s="1" t="n">
        <v>45964.65710648148</v>
      </c>
      <c r="C1532" s="1" t="n">
        <v>45991</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55585-2025</t>
        </is>
      </c>
      <c r="B1533" s="1" t="n">
        <v>45971.6784375</v>
      </c>
      <c r="C1533" s="1" t="n">
        <v>45991</v>
      </c>
      <c r="D1533" t="inlineStr">
        <is>
          <t>VÄSTERNORRLANDS LÄN</t>
        </is>
      </c>
      <c r="E1533" t="inlineStr">
        <is>
          <t>SOLLEFTEÅ</t>
        </is>
      </c>
      <c r="F1533" t="inlineStr">
        <is>
          <t>SCA</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55529-2025</t>
        </is>
      </c>
      <c r="B1534" s="1" t="n">
        <v>45971.62087962963</v>
      </c>
      <c r="C1534" s="1" t="n">
        <v>45991</v>
      </c>
      <c r="D1534" t="inlineStr">
        <is>
          <t>VÄSTERNORRLANDS LÄN</t>
        </is>
      </c>
      <c r="E1534" t="inlineStr">
        <is>
          <t>SOLLEFTEÅ</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57846-2024</t>
        </is>
      </c>
      <c r="B1535" s="1" t="n">
        <v>45631.40759259259</v>
      </c>
      <c r="C1535" s="1" t="n">
        <v>45991</v>
      </c>
      <c r="D1535" t="inlineStr">
        <is>
          <t>VÄSTERNORRLANDS LÄN</t>
        </is>
      </c>
      <c r="E1535" t="inlineStr">
        <is>
          <t>SOLLEFTEÅ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38596-2025</t>
        </is>
      </c>
      <c r="B1536" s="1" t="n">
        <v>45884.49040509259</v>
      </c>
      <c r="C1536" s="1" t="n">
        <v>45991</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38598-2025</t>
        </is>
      </c>
      <c r="B1537" s="1" t="n">
        <v>45884.49074074074</v>
      </c>
      <c r="C1537" s="1" t="n">
        <v>45991</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10870-2024</t>
        </is>
      </c>
      <c r="B1538" s="1" t="n">
        <v>45370.02083333334</v>
      </c>
      <c r="C1538" s="1" t="n">
        <v>45991</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20133-2025</t>
        </is>
      </c>
      <c r="B1539" s="1" t="n">
        <v>45772.51092592593</v>
      </c>
      <c r="C1539" s="1" t="n">
        <v>45991</v>
      </c>
      <c r="D1539" t="inlineStr">
        <is>
          <t>VÄSTERNORRLANDS LÄN</t>
        </is>
      </c>
      <c r="E1539" t="inlineStr">
        <is>
          <t>SOLLEFTEÅ</t>
        </is>
      </c>
      <c r="F1539" t="inlineStr">
        <is>
          <t>SCA</t>
        </is>
      </c>
      <c r="G1539" t="n">
        <v>58.2</v>
      </c>
      <c r="H1539" t="n">
        <v>0</v>
      </c>
      <c r="I1539" t="n">
        <v>0</v>
      </c>
      <c r="J1539" t="n">
        <v>0</v>
      </c>
      <c r="K1539" t="n">
        <v>0</v>
      </c>
      <c r="L1539" t="n">
        <v>0</v>
      </c>
      <c r="M1539" t="n">
        <v>0</v>
      </c>
      <c r="N1539" t="n">
        <v>0</v>
      </c>
      <c r="O1539" t="n">
        <v>0</v>
      </c>
      <c r="P1539" t="n">
        <v>0</v>
      </c>
      <c r="Q1539" t="n">
        <v>0</v>
      </c>
      <c r="R1539" s="2" t="inlineStr"/>
    </row>
    <row r="1540" ht="15" customHeight="1">
      <c r="A1540" t="inlineStr">
        <is>
          <t>A 55643-2021</t>
        </is>
      </c>
      <c r="B1540" s="1" t="n">
        <v>44475</v>
      </c>
      <c r="C1540" s="1" t="n">
        <v>45991</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49810-2023</t>
        </is>
      </c>
      <c r="B1541" s="1" t="n">
        <v>45212.66369212963</v>
      </c>
      <c r="C1541" s="1" t="n">
        <v>45991</v>
      </c>
      <c r="D1541" t="inlineStr">
        <is>
          <t>VÄSTERNORRLANDS LÄN</t>
        </is>
      </c>
      <c r="E1541" t="inlineStr">
        <is>
          <t>SOLLEFTEÅ</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51303-2025</t>
        </is>
      </c>
      <c r="B1542" s="1" t="n">
        <v>45950.36518518518</v>
      </c>
      <c r="C1542" s="1" t="n">
        <v>45991</v>
      </c>
      <c r="D1542" t="inlineStr">
        <is>
          <t>VÄSTERNORRLANDS LÄN</t>
        </is>
      </c>
      <c r="E1542" t="inlineStr">
        <is>
          <t>SOLLEFTEÅ</t>
        </is>
      </c>
      <c r="F1542" t="inlineStr">
        <is>
          <t>SCA</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32140-2024</t>
        </is>
      </c>
      <c r="B1543" s="1" t="n">
        <v>45511.54391203704</v>
      </c>
      <c r="C1543" s="1" t="n">
        <v>45991</v>
      </c>
      <c r="D1543" t="inlineStr">
        <is>
          <t>VÄSTERNORRLANDS LÄN</t>
        </is>
      </c>
      <c r="E1543" t="inlineStr">
        <is>
          <t>SOLLEFTEÅ</t>
        </is>
      </c>
      <c r="F1543" t="inlineStr">
        <is>
          <t>Holmen skog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55136-2025</t>
        </is>
      </c>
      <c r="B1544" s="1" t="n">
        <v>45968.42752314815</v>
      </c>
      <c r="C1544" s="1" t="n">
        <v>45991</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47376-2025</t>
        </is>
      </c>
      <c r="B1545" s="1" t="n">
        <v>45930.59454861111</v>
      </c>
      <c r="C1545" s="1" t="n">
        <v>45991</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47489-2025</t>
        </is>
      </c>
      <c r="B1546" s="1" t="n">
        <v>45930.69912037037</v>
      </c>
      <c r="C1546" s="1" t="n">
        <v>45991</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47490-2025</t>
        </is>
      </c>
      <c r="B1547" s="1" t="n">
        <v>45930.69918981481</v>
      </c>
      <c r="C1547" s="1" t="n">
        <v>45991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13567-2023</t>
        </is>
      </c>
      <c r="B1548" s="1" t="n">
        <v>45005</v>
      </c>
      <c r="C1548" s="1" t="n">
        <v>45991</v>
      </c>
      <c r="D1548" t="inlineStr">
        <is>
          <t>VÄSTERNORRLANDS LÄN</t>
        </is>
      </c>
      <c r="E1548" t="inlineStr">
        <is>
          <t>SOLLEFTEÅ</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13570-2023</t>
        </is>
      </c>
      <c r="B1549" s="1" t="n">
        <v>45005</v>
      </c>
      <c r="C1549" s="1" t="n">
        <v>45991</v>
      </c>
      <c r="D1549" t="inlineStr">
        <is>
          <t>VÄSTERNORRLANDS LÄN</t>
        </is>
      </c>
      <c r="E1549" t="inlineStr">
        <is>
          <t>SOLLEFTEÅ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47675-2025</t>
        </is>
      </c>
      <c r="B1550" s="1" t="n">
        <v>45931.5742824074</v>
      </c>
      <c r="C1550" s="1" t="n">
        <v>45991</v>
      </c>
      <c r="D1550" t="inlineStr">
        <is>
          <t>VÄSTERNORRLANDS LÄN</t>
        </is>
      </c>
      <c r="E1550" t="inlineStr">
        <is>
          <t>SOLLEFTEÅ</t>
        </is>
      </c>
      <c r="F1550" t="inlineStr">
        <is>
          <t>SCA</t>
        </is>
      </c>
      <c r="G1550" t="n">
        <v>27.8</v>
      </c>
      <c r="H1550" t="n">
        <v>0</v>
      </c>
      <c r="I1550" t="n">
        <v>0</v>
      </c>
      <c r="J1550" t="n">
        <v>0</v>
      </c>
      <c r="K1550" t="n">
        <v>0</v>
      </c>
      <c r="L1550" t="n">
        <v>0</v>
      </c>
      <c r="M1550" t="n">
        <v>0</v>
      </c>
      <c r="N1550" t="n">
        <v>0</v>
      </c>
      <c r="O1550" t="n">
        <v>0</v>
      </c>
      <c r="P1550" t="n">
        <v>0</v>
      </c>
      <c r="Q1550" t="n">
        <v>0</v>
      </c>
      <c r="R1550" s="2" t="inlineStr"/>
    </row>
    <row r="1551" ht="15" customHeight="1">
      <c r="A1551" t="inlineStr">
        <is>
          <t>A 56356-2023</t>
        </is>
      </c>
      <c r="B1551" s="1" t="n">
        <v>45236</v>
      </c>
      <c r="C1551" s="1" t="n">
        <v>45991</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47292-2025</t>
        </is>
      </c>
      <c r="B1552" s="1" t="n">
        <v>45930.4903125</v>
      </c>
      <c r="C1552" s="1" t="n">
        <v>45991</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47293-2025</t>
        </is>
      </c>
      <c r="B1553" s="1" t="n">
        <v>45930.49034722222</v>
      </c>
      <c r="C1553" s="1" t="n">
        <v>45991</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47234-2025</t>
        </is>
      </c>
      <c r="B1554" s="1" t="n">
        <v>45930.40663194445</v>
      </c>
      <c r="C1554" s="1" t="n">
        <v>45991</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57991-2022</t>
        </is>
      </c>
      <c r="B1555" s="1" t="n">
        <v>44900.48915509259</v>
      </c>
      <c r="C1555" s="1" t="n">
        <v>45991</v>
      </c>
      <c r="D1555" t="inlineStr">
        <is>
          <t>VÄSTERNORRLANDS LÄN</t>
        </is>
      </c>
      <c r="E1555" t="inlineStr">
        <is>
          <t>SOLLEFTEÅ</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47647-2025</t>
        </is>
      </c>
      <c r="B1556" s="1" t="n">
        <v>45931.51834490741</v>
      </c>
      <c r="C1556" s="1" t="n">
        <v>45991</v>
      </c>
      <c r="D1556" t="inlineStr">
        <is>
          <t>VÄSTERNORRLANDS LÄN</t>
        </is>
      </c>
      <c r="E1556" t="inlineStr">
        <is>
          <t>SOLLEFTEÅ</t>
        </is>
      </c>
      <c r="F1556" t="inlineStr">
        <is>
          <t>Holmen skog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47641-2025</t>
        </is>
      </c>
      <c r="B1557" s="1" t="n">
        <v>45931.51086805556</v>
      </c>
      <c r="C1557" s="1" t="n">
        <v>45991</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47642-2025</t>
        </is>
      </c>
      <c r="B1558" s="1" t="n">
        <v>45931.51105324074</v>
      </c>
      <c r="C1558" s="1" t="n">
        <v>45991</v>
      </c>
      <c r="D1558" t="inlineStr">
        <is>
          <t>VÄSTERNORRLANDS LÄN</t>
        </is>
      </c>
      <c r="E1558" t="inlineStr">
        <is>
          <t>SOLLEFTEÅ</t>
        </is>
      </c>
      <c r="F1558" t="inlineStr">
        <is>
          <t>SCA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47448-2025</t>
        </is>
      </c>
      <c r="B1559" s="1" t="n">
        <v>45930.64592592593</v>
      </c>
      <c r="C1559" s="1" t="n">
        <v>45991</v>
      </c>
      <c r="D1559" t="inlineStr">
        <is>
          <t>VÄSTERNORRLANDS LÄN</t>
        </is>
      </c>
      <c r="E1559" t="inlineStr">
        <is>
          <t>SOLLEFTEÅ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38493-2025</t>
        </is>
      </c>
      <c r="B1560" s="1" t="n">
        <v>45884.36516203704</v>
      </c>
      <c r="C1560" s="1" t="n">
        <v>45991</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20184-2025</t>
        </is>
      </c>
      <c r="B1561" s="1" t="n">
        <v>45772.59458333333</v>
      </c>
      <c r="C1561" s="1" t="n">
        <v>45991</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6139-2024</t>
        </is>
      </c>
      <c r="B1562" s="1" t="n">
        <v>45337</v>
      </c>
      <c r="C1562" s="1" t="n">
        <v>45991</v>
      </c>
      <c r="D1562" t="inlineStr">
        <is>
          <t>VÄSTERNORRLANDS LÄN</t>
        </is>
      </c>
      <c r="E1562" t="inlineStr">
        <is>
          <t>SOLLEFTEÅ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5254-2024</t>
        </is>
      </c>
      <c r="B1563" s="1" t="n">
        <v>45330</v>
      </c>
      <c r="C1563" s="1" t="n">
        <v>45991</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56074-2025</t>
        </is>
      </c>
      <c r="B1564" s="1" t="n">
        <v>45973.65700231482</v>
      </c>
      <c r="C1564" s="1" t="n">
        <v>45991</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39504-2021</t>
        </is>
      </c>
      <c r="B1565" s="1" t="n">
        <v>44414.93480324074</v>
      </c>
      <c r="C1565" s="1" t="n">
        <v>45991</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47771-2025</t>
        </is>
      </c>
      <c r="B1566" s="1" t="n">
        <v>45931.719375</v>
      </c>
      <c r="C1566" s="1" t="n">
        <v>45991</v>
      </c>
      <c r="D1566" t="inlineStr">
        <is>
          <t>VÄSTERNORRLANDS LÄN</t>
        </is>
      </c>
      <c r="E1566" t="inlineStr">
        <is>
          <t>SOLLEFTEÅ</t>
        </is>
      </c>
      <c r="F1566" t="inlineStr">
        <is>
          <t>SCA</t>
        </is>
      </c>
      <c r="G1566" t="n">
        <v>23.8</v>
      </c>
      <c r="H1566" t="n">
        <v>0</v>
      </c>
      <c r="I1566" t="n">
        <v>0</v>
      </c>
      <c r="J1566" t="n">
        <v>0</v>
      </c>
      <c r="K1566" t="n">
        <v>0</v>
      </c>
      <c r="L1566" t="n">
        <v>0</v>
      </c>
      <c r="M1566" t="n">
        <v>0</v>
      </c>
      <c r="N1566" t="n">
        <v>0</v>
      </c>
      <c r="O1566" t="n">
        <v>0</v>
      </c>
      <c r="P1566" t="n">
        <v>0</v>
      </c>
      <c r="Q1566" t="n">
        <v>0</v>
      </c>
      <c r="R1566" s="2" t="inlineStr"/>
    </row>
    <row r="1567" ht="15" customHeight="1">
      <c r="A1567" t="inlineStr">
        <is>
          <t>A 58578-2024</t>
        </is>
      </c>
      <c r="B1567" s="1" t="n">
        <v>45635</v>
      </c>
      <c r="C1567" s="1" t="n">
        <v>45991</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58588-2024</t>
        </is>
      </c>
      <c r="B1568" s="1" t="n">
        <v>45635.50605324074</v>
      </c>
      <c r="C1568" s="1" t="n">
        <v>45991</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12539-2023</t>
        </is>
      </c>
      <c r="B1569" s="1" t="n">
        <v>45000.01452546296</v>
      </c>
      <c r="C1569" s="1" t="n">
        <v>45991</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55725-2025</t>
        </is>
      </c>
      <c r="B1570" s="1" t="n">
        <v>45972.53172453704</v>
      </c>
      <c r="C1570" s="1" t="n">
        <v>45991</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2048-2025</t>
        </is>
      </c>
      <c r="B1571" s="1" t="n">
        <v>45671</v>
      </c>
      <c r="C1571" s="1" t="n">
        <v>45991</v>
      </c>
      <c r="D1571" t="inlineStr">
        <is>
          <t>VÄSTERNORRLANDS LÄN</t>
        </is>
      </c>
      <c r="E1571" t="inlineStr">
        <is>
          <t>SOLLEFTEÅ</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22208-2024</t>
        </is>
      </c>
      <c r="B1572" s="1" t="n">
        <v>45446.38181712963</v>
      </c>
      <c r="C1572" s="1" t="n">
        <v>45991</v>
      </c>
      <c r="D1572" t="inlineStr">
        <is>
          <t>VÄSTERNORRLANDS LÄN</t>
        </is>
      </c>
      <c r="E1572" t="inlineStr">
        <is>
          <t>SOLLEFTEÅ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56076-2025</t>
        </is>
      </c>
      <c r="B1573" s="1" t="n">
        <v>45973.65740740741</v>
      </c>
      <c r="C1573" s="1" t="n">
        <v>45991</v>
      </c>
      <c r="D1573" t="inlineStr">
        <is>
          <t>VÄSTERNORRLANDS LÄN</t>
        </is>
      </c>
      <c r="E1573" t="inlineStr">
        <is>
          <t>SOLLEFTEÅ</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47218-2025</t>
        </is>
      </c>
      <c r="B1574" s="1" t="n">
        <v>45930.38640046296</v>
      </c>
      <c r="C1574" s="1" t="n">
        <v>45991</v>
      </c>
      <c r="D1574" t="inlineStr">
        <is>
          <t>VÄSTERNORRLANDS LÄN</t>
        </is>
      </c>
      <c r="E1574" t="inlineStr">
        <is>
          <t>SOLLEFTEÅ</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47219-2025</t>
        </is>
      </c>
      <c r="B1575" s="1" t="n">
        <v>45930.38649305556</v>
      </c>
      <c r="C1575" s="1" t="n">
        <v>45991</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47702-2025</t>
        </is>
      </c>
      <c r="B1576" s="1" t="n">
        <v>45931.60685185185</v>
      </c>
      <c r="C1576" s="1" t="n">
        <v>45991</v>
      </c>
      <c r="D1576" t="inlineStr">
        <is>
          <t>VÄSTERNORRLANDS LÄN</t>
        </is>
      </c>
      <c r="E1576" t="inlineStr">
        <is>
          <t>SOLLEFTEÅ</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4253-2025</t>
        </is>
      </c>
      <c r="B1577" s="1" t="n">
        <v>45685.61232638889</v>
      </c>
      <c r="C1577" s="1" t="n">
        <v>45991</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47636-2025</t>
        </is>
      </c>
      <c r="B1578" s="1" t="n">
        <v>45931.49577546296</v>
      </c>
      <c r="C1578" s="1" t="n">
        <v>45991</v>
      </c>
      <c r="D1578" t="inlineStr">
        <is>
          <t>VÄSTERNORRLANDS LÄN</t>
        </is>
      </c>
      <c r="E1578" t="inlineStr">
        <is>
          <t>SOLLEFTEÅ</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3194-2025</t>
        </is>
      </c>
      <c r="B1579" s="1" t="n">
        <v>45679.42130787037</v>
      </c>
      <c r="C1579" s="1" t="n">
        <v>45991</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59474-2024</t>
        </is>
      </c>
      <c r="B1580" s="1" t="n">
        <v>45638.504375</v>
      </c>
      <c r="C1580" s="1" t="n">
        <v>45991</v>
      </c>
      <c r="D1580" t="inlineStr">
        <is>
          <t>VÄSTERNORRLANDS LÄN</t>
        </is>
      </c>
      <c r="E1580" t="inlineStr">
        <is>
          <t>SOLLEFTEÅ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38507-2025</t>
        </is>
      </c>
      <c r="B1581" s="1" t="n">
        <v>45884.38591435185</v>
      </c>
      <c r="C1581" s="1" t="n">
        <v>45991</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55582-2025</t>
        </is>
      </c>
      <c r="B1582" s="1" t="n">
        <v>45971.67768518518</v>
      </c>
      <c r="C1582" s="1" t="n">
        <v>45991</v>
      </c>
      <c r="D1582" t="inlineStr">
        <is>
          <t>VÄSTERNORRLANDS LÄN</t>
        </is>
      </c>
      <c r="E1582" t="inlineStr">
        <is>
          <t>SOLLEFTEÅ</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55586-2025</t>
        </is>
      </c>
      <c r="B1583" s="1" t="n">
        <v>45971</v>
      </c>
      <c r="C1583" s="1" t="n">
        <v>45991</v>
      </c>
      <c r="D1583" t="inlineStr">
        <is>
          <t>VÄSTERNORRLANDS LÄN</t>
        </is>
      </c>
      <c r="E1583" t="inlineStr">
        <is>
          <t>SOLLEFTEÅ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38959-2025</t>
        </is>
      </c>
      <c r="B1584" s="1" t="n">
        <v>45887.67769675926</v>
      </c>
      <c r="C1584" s="1" t="n">
        <v>45991</v>
      </c>
      <c r="D1584" t="inlineStr">
        <is>
          <t>VÄSTERNORRLANDS LÄN</t>
        </is>
      </c>
      <c r="E1584" t="inlineStr">
        <is>
          <t>SOLLEFTEÅ</t>
        </is>
      </c>
      <c r="F1584" t="inlineStr">
        <is>
          <t>SCA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47536-2025</t>
        </is>
      </c>
      <c r="B1585" s="1" t="n">
        <v>45931.34695601852</v>
      </c>
      <c r="C1585" s="1" t="n">
        <v>45991</v>
      </c>
      <c r="D1585" t="inlineStr">
        <is>
          <t>VÄSTERNORRLANDS LÄN</t>
        </is>
      </c>
      <c r="E1585" t="inlineStr">
        <is>
          <t>SOLLEFTEÅ</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62100-2023</t>
        </is>
      </c>
      <c r="B1586" s="1" t="n">
        <v>45266.92689814815</v>
      </c>
      <c r="C1586" s="1" t="n">
        <v>45991</v>
      </c>
      <c r="D1586" t="inlineStr">
        <is>
          <t>VÄSTERNORRLANDS LÄN</t>
        </is>
      </c>
      <c r="E1586" t="inlineStr">
        <is>
          <t>SOLLEFTEÅ</t>
        </is>
      </c>
      <c r="G1586" t="n">
        <v>16.6</v>
      </c>
      <c r="H1586" t="n">
        <v>0</v>
      </c>
      <c r="I1586" t="n">
        <v>0</v>
      </c>
      <c r="J1586" t="n">
        <v>0</v>
      </c>
      <c r="K1586" t="n">
        <v>0</v>
      </c>
      <c r="L1586" t="n">
        <v>0</v>
      </c>
      <c r="M1586" t="n">
        <v>0</v>
      </c>
      <c r="N1586" t="n">
        <v>0</v>
      </c>
      <c r="O1586" t="n">
        <v>0</v>
      </c>
      <c r="P1586" t="n">
        <v>0</v>
      </c>
      <c r="Q1586" t="n">
        <v>0</v>
      </c>
      <c r="R1586" s="2" t="inlineStr"/>
    </row>
    <row r="1587" ht="15" customHeight="1">
      <c r="A1587" t="inlineStr">
        <is>
          <t>A 38910-2025</t>
        </is>
      </c>
      <c r="B1587" s="1" t="n">
        <v>45887.61509259259</v>
      </c>
      <c r="C1587" s="1" t="n">
        <v>45991</v>
      </c>
      <c r="D1587" t="inlineStr">
        <is>
          <t>VÄSTERNORRLANDS LÄN</t>
        </is>
      </c>
      <c r="E1587" t="inlineStr">
        <is>
          <t>SOLLEFTEÅ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14252-2025</t>
        </is>
      </c>
      <c r="B1588" s="1" t="n">
        <v>45740.61601851852</v>
      </c>
      <c r="C1588" s="1" t="n">
        <v>45991</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47217-2025</t>
        </is>
      </c>
      <c r="B1589" s="1" t="n">
        <v>45930.38625</v>
      </c>
      <c r="C1589" s="1" t="n">
        <v>45991</v>
      </c>
      <c r="D1589" t="inlineStr">
        <is>
          <t>VÄSTERNORRLANDS LÄN</t>
        </is>
      </c>
      <c r="E1589" t="inlineStr">
        <is>
          <t>SOLLEFTEÅ</t>
        </is>
      </c>
      <c r="F1589" t="inlineStr">
        <is>
          <t>SCA</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55790-2025</t>
        </is>
      </c>
      <c r="B1590" s="1" t="n">
        <v>45972.64644675926</v>
      </c>
      <c r="C1590" s="1" t="n">
        <v>45991</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55686-2025</t>
        </is>
      </c>
      <c r="B1591" s="1" t="n">
        <v>45972.42771990741</v>
      </c>
      <c r="C1591" s="1" t="n">
        <v>45991</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56075-2025</t>
        </is>
      </c>
      <c r="B1592" s="1" t="n">
        <v>45973.65723379629</v>
      </c>
      <c r="C1592" s="1" t="n">
        <v>45991</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47291-2025</t>
        </is>
      </c>
      <c r="B1593" s="1" t="n">
        <v>45930.49019675926</v>
      </c>
      <c r="C1593" s="1" t="n">
        <v>45991</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47532-2025</t>
        </is>
      </c>
      <c r="B1594" s="1" t="n">
        <v>45931.34635416666</v>
      </c>
      <c r="C1594" s="1" t="n">
        <v>45991</v>
      </c>
      <c r="D1594" t="inlineStr">
        <is>
          <t>VÄSTERNORRLANDS LÄN</t>
        </is>
      </c>
      <c r="E1594" t="inlineStr">
        <is>
          <t>SOLLEFTEÅ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55819-2025</t>
        </is>
      </c>
      <c r="B1595" s="1" t="n">
        <v>45972</v>
      </c>
      <c r="C1595" s="1" t="n">
        <v>45991</v>
      </c>
      <c r="D1595" t="inlineStr">
        <is>
          <t>VÄSTERNORRLANDS LÄN</t>
        </is>
      </c>
      <c r="E1595" t="inlineStr">
        <is>
          <t>SOLLEFTEÅ</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18951-2025</t>
        </is>
      </c>
      <c r="B1596" s="1" t="n">
        <v>45764.51086805556</v>
      </c>
      <c r="C1596" s="1" t="n">
        <v>45991</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55950-2025</t>
        </is>
      </c>
      <c r="B1597" s="1" t="n">
        <v>45973.46942129629</v>
      </c>
      <c r="C1597" s="1" t="n">
        <v>45991</v>
      </c>
      <c r="D1597" t="inlineStr">
        <is>
          <t>VÄSTERNORRLANDS LÄN</t>
        </is>
      </c>
      <c r="E1597" t="inlineStr">
        <is>
          <t>SOLLEFTEÅ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49160-2021</t>
        </is>
      </c>
      <c r="B1598" s="1" t="n">
        <v>44453.94021990741</v>
      </c>
      <c r="C1598" s="1" t="n">
        <v>45991</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47732-2025</t>
        </is>
      </c>
      <c r="B1599" s="1" t="n">
        <v>45931.63561342593</v>
      </c>
      <c r="C1599" s="1" t="n">
        <v>45991</v>
      </c>
      <c r="D1599" t="inlineStr">
        <is>
          <t>VÄSTERNORRLANDS LÄN</t>
        </is>
      </c>
      <c r="E1599" t="inlineStr">
        <is>
          <t>SOLLEFTEÅ</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55168-2025</t>
        </is>
      </c>
      <c r="B1600" s="1" t="n">
        <v>45968</v>
      </c>
      <c r="C1600" s="1" t="n">
        <v>45991</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48313-2025</t>
        </is>
      </c>
      <c r="B1601" s="1" t="n">
        <v>45933.61605324074</v>
      </c>
      <c r="C1601" s="1" t="n">
        <v>45991</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38581-2025</t>
        </is>
      </c>
      <c r="B1602" s="1" t="n">
        <v>45884.46965277778</v>
      </c>
      <c r="C1602" s="1" t="n">
        <v>45991</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47962-2025</t>
        </is>
      </c>
      <c r="B1603" s="1" t="n">
        <v>45932.59434027778</v>
      </c>
      <c r="C1603" s="1" t="n">
        <v>45991</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56434-2025</t>
        </is>
      </c>
      <c r="B1604" s="1" t="n">
        <v>45975.34666666666</v>
      </c>
      <c r="C1604" s="1" t="n">
        <v>45991</v>
      </c>
      <c r="D1604" t="inlineStr">
        <is>
          <t>VÄSTERNORRLANDS LÄN</t>
        </is>
      </c>
      <c r="E1604" t="inlineStr">
        <is>
          <t>SOLLEFTEÅ</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7234-2024</t>
        </is>
      </c>
      <c r="B1605" s="1" t="n">
        <v>45344.65627314815</v>
      </c>
      <c r="C1605" s="1" t="n">
        <v>45991</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48311-2025</t>
        </is>
      </c>
      <c r="B1606" s="1" t="n">
        <v>45933.61584490741</v>
      </c>
      <c r="C1606" s="1" t="n">
        <v>45991</v>
      </c>
      <c r="D1606" t="inlineStr">
        <is>
          <t>VÄSTERNORRLANDS LÄN</t>
        </is>
      </c>
      <c r="E1606" t="inlineStr">
        <is>
          <t>SOLLEFTEÅ</t>
        </is>
      </c>
      <c r="F1606" t="inlineStr">
        <is>
          <t>SCA</t>
        </is>
      </c>
      <c r="G1606" t="n">
        <v>61.2</v>
      </c>
      <c r="H1606" t="n">
        <v>0</v>
      </c>
      <c r="I1606" t="n">
        <v>0</v>
      </c>
      <c r="J1606" t="n">
        <v>0</v>
      </c>
      <c r="K1606" t="n">
        <v>0</v>
      </c>
      <c r="L1606" t="n">
        <v>0</v>
      </c>
      <c r="M1606" t="n">
        <v>0</v>
      </c>
      <c r="N1606" t="n">
        <v>0</v>
      </c>
      <c r="O1606" t="n">
        <v>0</v>
      </c>
      <c r="P1606" t="n">
        <v>0</v>
      </c>
      <c r="Q1606" t="n">
        <v>0</v>
      </c>
      <c r="R1606" s="2" t="inlineStr"/>
    </row>
    <row r="1607" ht="15" customHeight="1">
      <c r="A1607" t="inlineStr">
        <is>
          <t>A 48351-2025</t>
        </is>
      </c>
      <c r="B1607" s="1" t="n">
        <v>45933.65725694445</v>
      </c>
      <c r="C1607" s="1" t="n">
        <v>45991</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25131-2024</t>
        </is>
      </c>
      <c r="B1608" s="1" t="n">
        <v>45462.46725694444</v>
      </c>
      <c r="C1608" s="1" t="n">
        <v>45991</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56632-2025</t>
        </is>
      </c>
      <c r="B1609" s="1" t="n">
        <v>45975.61571759259</v>
      </c>
      <c r="C1609" s="1" t="n">
        <v>45991</v>
      </c>
      <c r="D1609" t="inlineStr">
        <is>
          <t>VÄSTERNORRLANDS LÄN</t>
        </is>
      </c>
      <c r="E1609" t="inlineStr">
        <is>
          <t>SOLLEFTEÅ</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17034-2025</t>
        </is>
      </c>
      <c r="B1610" s="1" t="n">
        <v>45755.57385416667</v>
      </c>
      <c r="C1610" s="1" t="n">
        <v>45991</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55886-2025</t>
        </is>
      </c>
      <c r="B1611" s="1" t="n">
        <v>45973</v>
      </c>
      <c r="C1611" s="1" t="n">
        <v>45991</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48310-2025</t>
        </is>
      </c>
      <c r="B1612" s="1" t="n">
        <v>45933.61559027778</v>
      </c>
      <c r="C1612" s="1" t="n">
        <v>45991</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47851-2025</t>
        </is>
      </c>
      <c r="B1613" s="1" t="n">
        <v>45932.38645833333</v>
      </c>
      <c r="C1613" s="1" t="n">
        <v>45991</v>
      </c>
      <c r="D1613" t="inlineStr">
        <is>
          <t>VÄSTERNORRLANDS LÄN</t>
        </is>
      </c>
      <c r="E1613" t="inlineStr">
        <is>
          <t>SOLLEFTEÅ</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56425-2025</t>
        </is>
      </c>
      <c r="B1614" s="1" t="n">
        <v>45975.34559027778</v>
      </c>
      <c r="C1614" s="1" t="n">
        <v>45991</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48290-2025</t>
        </is>
      </c>
      <c r="B1615" s="1" t="n">
        <v>45933.59497685185</v>
      </c>
      <c r="C1615" s="1" t="n">
        <v>45991</v>
      </c>
      <c r="D1615" t="inlineStr">
        <is>
          <t>VÄSTERNORRLANDS LÄN</t>
        </is>
      </c>
      <c r="E1615" t="inlineStr">
        <is>
          <t>SOLLEFTEÅ</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48306-2025</t>
        </is>
      </c>
      <c r="B1616" s="1" t="n">
        <v>45933.615</v>
      </c>
      <c r="C1616" s="1" t="n">
        <v>45991</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48125-2025</t>
        </is>
      </c>
      <c r="B1617" s="1" t="n">
        <v>45933.36511574074</v>
      </c>
      <c r="C1617" s="1" t="n">
        <v>45991</v>
      </c>
      <c r="D1617" t="inlineStr">
        <is>
          <t>VÄSTERNORRLANDS LÄN</t>
        </is>
      </c>
      <c r="E1617" t="inlineStr">
        <is>
          <t>SOLLEFTEÅ</t>
        </is>
      </c>
      <c r="F1617" t="inlineStr">
        <is>
          <t>SCA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28749-2023</t>
        </is>
      </c>
      <c r="B1618" s="1" t="n">
        <v>45103</v>
      </c>
      <c r="C1618" s="1" t="n">
        <v>45991</v>
      </c>
      <c r="D1618" t="inlineStr">
        <is>
          <t>VÄSTERNORRLANDS LÄN</t>
        </is>
      </c>
      <c r="E1618" t="inlineStr">
        <is>
          <t>SOLLEFTEÅ</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43177-2023</t>
        </is>
      </c>
      <c r="B1619" s="1" t="n">
        <v>45181</v>
      </c>
      <c r="C1619" s="1" t="n">
        <v>45991</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56438-2025</t>
        </is>
      </c>
      <c r="B1620" s="1" t="n">
        <v>45975.34724537037</v>
      </c>
      <c r="C1620" s="1" t="n">
        <v>45991</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56443-2025</t>
        </is>
      </c>
      <c r="B1621" s="1" t="n">
        <v>45975.34791666667</v>
      </c>
      <c r="C1621" s="1" t="n">
        <v>45991</v>
      </c>
      <c r="D1621" t="inlineStr">
        <is>
          <t>VÄSTERNORRLANDS LÄN</t>
        </is>
      </c>
      <c r="E1621" t="inlineStr">
        <is>
          <t>SOLLEFTEÅ</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56458-2025</t>
        </is>
      </c>
      <c r="B1622" s="1" t="n">
        <v>45975.3650462963</v>
      </c>
      <c r="C1622" s="1" t="n">
        <v>45991</v>
      </c>
      <c r="D1622" t="inlineStr">
        <is>
          <t>VÄSTERNORRLANDS LÄN</t>
        </is>
      </c>
      <c r="E1622" t="inlineStr">
        <is>
          <t>SOLLEFTEÅ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48349-2025</t>
        </is>
      </c>
      <c r="B1623" s="1" t="n">
        <v>45933.65673611111</v>
      </c>
      <c r="C1623" s="1" t="n">
        <v>45991</v>
      </c>
      <c r="D1623" t="inlineStr">
        <is>
          <t>VÄSTERNORRLANDS LÄN</t>
        </is>
      </c>
      <c r="E1623" t="inlineStr">
        <is>
          <t>SOLLEFTEÅ</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48307-2025</t>
        </is>
      </c>
      <c r="B1624" s="1" t="n">
        <v>45933.61519675926</v>
      </c>
      <c r="C1624" s="1" t="n">
        <v>45991</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48308-2025</t>
        </is>
      </c>
      <c r="B1625" s="1" t="n">
        <v>45933</v>
      </c>
      <c r="C1625" s="1" t="n">
        <v>45991</v>
      </c>
      <c r="D1625" t="inlineStr">
        <is>
          <t>VÄSTERNORRLANDS LÄN</t>
        </is>
      </c>
      <c r="E1625" t="inlineStr">
        <is>
          <t>SOLLEFTEÅ</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2185-2025</t>
        </is>
      </c>
      <c r="B1626" s="1" t="n">
        <v>45673</v>
      </c>
      <c r="C1626" s="1" t="n">
        <v>45991</v>
      </c>
      <c r="D1626" t="inlineStr">
        <is>
          <t>VÄSTERNORRLANDS LÄN</t>
        </is>
      </c>
      <c r="E1626" t="inlineStr">
        <is>
          <t>SOLLEFTEÅ</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48053-2025</t>
        </is>
      </c>
      <c r="B1627" s="1" t="n">
        <v>45932.67856481481</v>
      </c>
      <c r="C1627" s="1" t="n">
        <v>45991</v>
      </c>
      <c r="D1627" t="inlineStr">
        <is>
          <t>VÄSTERNORRLANDS LÄN</t>
        </is>
      </c>
      <c r="E1627" t="inlineStr">
        <is>
          <t>SOLLEFTEÅ</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47947-2025</t>
        </is>
      </c>
      <c r="B1628" s="1" t="n">
        <v>45932.5740625</v>
      </c>
      <c r="C1628" s="1" t="n">
        <v>45991</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56393-2025</t>
        </is>
      </c>
      <c r="B1629" s="1" t="n">
        <v>45974.74042824074</v>
      </c>
      <c r="C1629" s="1" t="n">
        <v>45991</v>
      </c>
      <c r="D1629" t="inlineStr">
        <is>
          <t>VÄSTERNORRLANDS LÄN</t>
        </is>
      </c>
      <c r="E1629" t="inlineStr">
        <is>
          <t>SOLLEFTEÅ</t>
        </is>
      </c>
      <c r="F1629" t="inlineStr">
        <is>
          <t>Holmen skog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30069-2024</t>
        </is>
      </c>
      <c r="B1630" s="1" t="n">
        <v>45488.9489699074</v>
      </c>
      <c r="C1630" s="1" t="n">
        <v>45991</v>
      </c>
      <c r="D1630" t="inlineStr">
        <is>
          <t>VÄSTERNORRLANDS LÄN</t>
        </is>
      </c>
      <c r="E1630" t="inlineStr">
        <is>
          <t>SOLLEFTEÅ</t>
        </is>
      </c>
      <c r="F1630" t="inlineStr">
        <is>
          <t>SCA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19295-2022</t>
        </is>
      </c>
      <c r="B1631" s="1" t="n">
        <v>44692</v>
      </c>
      <c r="C1631" s="1" t="n">
        <v>45991</v>
      </c>
      <c r="D1631" t="inlineStr">
        <is>
          <t>VÄSTERNORRLANDS LÄN</t>
        </is>
      </c>
      <c r="E1631" t="inlineStr">
        <is>
          <t>SOLLEFTEÅ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48126-2025</t>
        </is>
      </c>
      <c r="B1632" s="1" t="n">
        <v>45933.36530092593</v>
      </c>
      <c r="C1632" s="1" t="n">
        <v>45991</v>
      </c>
      <c r="D1632" t="inlineStr">
        <is>
          <t>VÄSTERNORRLANDS LÄN</t>
        </is>
      </c>
      <c r="E1632" t="inlineStr">
        <is>
          <t>SOLLEFTEÅ</t>
        </is>
      </c>
      <c r="F1632" t="inlineStr">
        <is>
          <t>SCA</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48340-2025</t>
        </is>
      </c>
      <c r="B1633" s="1" t="n">
        <v>45933.64240740741</v>
      </c>
      <c r="C1633" s="1" t="n">
        <v>45991</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16253-2024</t>
        </is>
      </c>
      <c r="B1634" s="1" t="n">
        <v>45407.0587962963</v>
      </c>
      <c r="C1634" s="1" t="n">
        <v>45991</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61081-2023</t>
        </is>
      </c>
      <c r="B1635" s="1" t="n">
        <v>45261</v>
      </c>
      <c r="C1635" s="1" t="n">
        <v>45991</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48052-2025</t>
        </is>
      </c>
      <c r="B1636" s="1" t="n">
        <v>45932.67831018518</v>
      </c>
      <c r="C1636" s="1" t="n">
        <v>45991</v>
      </c>
      <c r="D1636" t="inlineStr">
        <is>
          <t>VÄSTERNORRLANDS LÄN</t>
        </is>
      </c>
      <c r="E1636" t="inlineStr">
        <is>
          <t>SOLLEFTEÅ</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48070-2025</t>
        </is>
      </c>
      <c r="B1637" s="1" t="n">
        <v>45932.69886574074</v>
      </c>
      <c r="C1637" s="1" t="n">
        <v>45991</v>
      </c>
      <c r="D1637" t="inlineStr">
        <is>
          <t>VÄSTERNORRLANDS LÄN</t>
        </is>
      </c>
      <c r="E1637" t="inlineStr">
        <is>
          <t>SOLLEFTEÅ</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56631-2025</t>
        </is>
      </c>
      <c r="B1638" s="1" t="n">
        <v>45975.61549768518</v>
      </c>
      <c r="C1638" s="1" t="n">
        <v>45991</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25364-2024</t>
        </is>
      </c>
      <c r="B1639" s="1" t="n">
        <v>45462.95849537037</v>
      </c>
      <c r="C1639" s="1" t="n">
        <v>45991</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26962-2024</t>
        </is>
      </c>
      <c r="B1640" s="1" t="n">
        <v>45470.9716087963</v>
      </c>
      <c r="C1640" s="1" t="n">
        <v>45991</v>
      </c>
      <c r="D1640" t="inlineStr">
        <is>
          <t>VÄSTERNORRLANDS LÄN</t>
        </is>
      </c>
      <c r="E1640" t="inlineStr">
        <is>
          <t>SOLLEFTEÅ</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40655-2024</t>
        </is>
      </c>
      <c r="B1641" s="1" t="n">
        <v>45558.34414351852</v>
      </c>
      <c r="C1641" s="1" t="n">
        <v>45991</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48035-2025</t>
        </is>
      </c>
      <c r="B1642" s="1" t="n">
        <v>45932</v>
      </c>
      <c r="C1642" s="1" t="n">
        <v>45991</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38054-2024</t>
        </is>
      </c>
      <c r="B1643" s="1" t="n">
        <v>45544.71916666667</v>
      </c>
      <c r="C1643" s="1" t="n">
        <v>45991</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57019-2025</t>
        </is>
      </c>
      <c r="B1644" s="1" t="n">
        <v>45978.85565972222</v>
      </c>
      <c r="C1644" s="1" t="n">
        <v>45991</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50674-2023</t>
        </is>
      </c>
      <c r="B1645" s="1" t="n">
        <v>45210</v>
      </c>
      <c r="C1645" s="1" t="n">
        <v>45991</v>
      </c>
      <c r="D1645" t="inlineStr">
        <is>
          <t>VÄSTERNORRLANDS LÄN</t>
        </is>
      </c>
      <c r="E1645" t="inlineStr">
        <is>
          <t>SOLLEFTEÅ</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56987-2025</t>
        </is>
      </c>
      <c r="B1646" s="1" t="n">
        <v>45978.71915509259</v>
      </c>
      <c r="C1646" s="1" t="n">
        <v>45991</v>
      </c>
      <c r="D1646" t="inlineStr">
        <is>
          <t>VÄSTERNORRLANDS LÄN</t>
        </is>
      </c>
      <c r="E1646" t="inlineStr">
        <is>
          <t>SOLLEFTEÅ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48713-2025</t>
        </is>
      </c>
      <c r="B1647" s="1" t="n">
        <v>45936.63592592593</v>
      </c>
      <c r="C1647" s="1" t="n">
        <v>45991</v>
      </c>
      <c r="D1647" t="inlineStr">
        <is>
          <t>VÄSTERNORRLANDS LÄN</t>
        </is>
      </c>
      <c r="E1647" t="inlineStr">
        <is>
          <t>SOLLEFTEÅ</t>
        </is>
      </c>
      <c r="F1647" t="inlineStr">
        <is>
          <t>SCA</t>
        </is>
      </c>
      <c r="G1647" t="n">
        <v>24.2</v>
      </c>
      <c r="H1647" t="n">
        <v>0</v>
      </c>
      <c r="I1647" t="n">
        <v>0</v>
      </c>
      <c r="J1647" t="n">
        <v>0</v>
      </c>
      <c r="K1647" t="n">
        <v>0</v>
      </c>
      <c r="L1647" t="n">
        <v>0</v>
      </c>
      <c r="M1647" t="n">
        <v>0</v>
      </c>
      <c r="N1647" t="n">
        <v>0</v>
      </c>
      <c r="O1647" t="n">
        <v>0</v>
      </c>
      <c r="P1647" t="n">
        <v>0</v>
      </c>
      <c r="Q1647" t="n">
        <v>0</v>
      </c>
      <c r="R1647" s="2" t="inlineStr"/>
    </row>
    <row r="1648" ht="15" customHeight="1">
      <c r="A1648" t="inlineStr">
        <is>
          <t>A 218-2025</t>
        </is>
      </c>
      <c r="B1648" s="1" t="n">
        <v>45660</v>
      </c>
      <c r="C1648" s="1" t="n">
        <v>45991</v>
      </c>
      <c r="D1648" t="inlineStr">
        <is>
          <t>VÄSTERNORRLANDS LÄN</t>
        </is>
      </c>
      <c r="E1648" t="inlineStr">
        <is>
          <t>SOLLEFTEÅ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48743-2025</t>
        </is>
      </c>
      <c r="B1649" s="1" t="n">
        <v>45936.67827546296</v>
      </c>
      <c r="C1649" s="1" t="n">
        <v>45991</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57042-2025</t>
        </is>
      </c>
      <c r="B1650" s="1" t="n">
        <v>45979.34598379629</v>
      </c>
      <c r="C1650" s="1" t="n">
        <v>45991</v>
      </c>
      <c r="D1650" t="inlineStr">
        <is>
          <t>VÄSTERNORRLANDS LÄN</t>
        </is>
      </c>
      <c r="E1650" t="inlineStr">
        <is>
          <t>SOLLEFTEÅ</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57176-2025</t>
        </is>
      </c>
      <c r="B1651" s="1" t="n">
        <v>45979.55251157407</v>
      </c>
      <c r="C1651" s="1" t="n">
        <v>45991</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21344-2023</t>
        </is>
      </c>
      <c r="B1652" s="1" t="n">
        <v>45062</v>
      </c>
      <c r="C1652" s="1" t="n">
        <v>45991</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57061-2025</t>
        </is>
      </c>
      <c r="B1653" s="1" t="n">
        <v>45979.37059027778</v>
      </c>
      <c r="C1653" s="1" t="n">
        <v>45991</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48603-2025</t>
        </is>
      </c>
      <c r="B1654" s="1" t="n">
        <v>45936.46928240741</v>
      </c>
      <c r="C1654" s="1" t="n">
        <v>45991</v>
      </c>
      <c r="D1654" t="inlineStr">
        <is>
          <t>VÄSTERNORRLANDS LÄN</t>
        </is>
      </c>
      <c r="E1654" t="inlineStr">
        <is>
          <t>SOLLEFTEÅ</t>
        </is>
      </c>
      <c r="F1654" t="inlineStr">
        <is>
          <t>SCA</t>
        </is>
      </c>
      <c r="G1654" t="n">
        <v>25.6</v>
      </c>
      <c r="H1654" t="n">
        <v>0</v>
      </c>
      <c r="I1654" t="n">
        <v>0</v>
      </c>
      <c r="J1654" t="n">
        <v>0</v>
      </c>
      <c r="K1654" t="n">
        <v>0</v>
      </c>
      <c r="L1654" t="n">
        <v>0</v>
      </c>
      <c r="M1654" t="n">
        <v>0</v>
      </c>
      <c r="N1654" t="n">
        <v>0</v>
      </c>
      <c r="O1654" t="n">
        <v>0</v>
      </c>
      <c r="P1654" t="n">
        <v>0</v>
      </c>
      <c r="Q1654" t="n">
        <v>0</v>
      </c>
      <c r="R1654" s="2" t="inlineStr"/>
    </row>
    <row r="1655" ht="15" customHeight="1">
      <c r="A1655" t="inlineStr">
        <is>
          <t>A 3095-2025</t>
        </is>
      </c>
      <c r="B1655" s="1" t="n">
        <v>45678.66633101852</v>
      </c>
      <c r="C1655" s="1" t="n">
        <v>45991</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18648-2024</t>
        </is>
      </c>
      <c r="B1656" s="1" t="n">
        <v>45425.9678125</v>
      </c>
      <c r="C1656" s="1" t="n">
        <v>45991</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3323-2025</t>
        </is>
      </c>
      <c r="B1657" s="1" t="n">
        <v>45679.69921296297</v>
      </c>
      <c r="C1657" s="1" t="n">
        <v>45991</v>
      </c>
      <c r="D1657" t="inlineStr">
        <is>
          <t>VÄSTERNORRLANDS LÄN</t>
        </is>
      </c>
      <c r="E1657" t="inlineStr">
        <is>
          <t>SOLLEFTEÅ</t>
        </is>
      </c>
      <c r="F1657" t="inlineStr">
        <is>
          <t>SCA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17173-2024</t>
        </is>
      </c>
      <c r="B1658" s="1" t="n">
        <v>45412.97866898148</v>
      </c>
      <c r="C1658" s="1" t="n">
        <v>45991</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48467-2025</t>
        </is>
      </c>
      <c r="B1659" s="1" t="n">
        <v>45936.34452546296</v>
      </c>
      <c r="C1659" s="1" t="n">
        <v>45991</v>
      </c>
      <c r="D1659" t="inlineStr">
        <is>
          <t>VÄSTERNORRLANDS LÄN</t>
        </is>
      </c>
      <c r="E1659" t="inlineStr">
        <is>
          <t>SOLLEFTEÅ</t>
        </is>
      </c>
      <c r="F1659" t="inlineStr">
        <is>
          <t>SCA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57224-2025</t>
        </is>
      </c>
      <c r="B1660" s="1" t="n">
        <v>45979.61547453704</v>
      </c>
      <c r="C1660" s="1" t="n">
        <v>45991</v>
      </c>
      <c r="D1660" t="inlineStr">
        <is>
          <t>VÄSTERNORRLANDS LÄN</t>
        </is>
      </c>
      <c r="E1660" t="inlineStr">
        <is>
          <t>SOLLEFTEÅ</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656-2024</t>
        </is>
      </c>
      <c r="B1661" s="1" t="n">
        <v>45299</v>
      </c>
      <c r="C1661" s="1" t="n">
        <v>45991</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27572-2022</t>
        </is>
      </c>
      <c r="B1662" s="1" t="n">
        <v>44742.94329861111</v>
      </c>
      <c r="C1662" s="1" t="n">
        <v>45991</v>
      </c>
      <c r="D1662" t="inlineStr">
        <is>
          <t>VÄSTERNORRLANDS LÄN</t>
        </is>
      </c>
      <c r="E1662" t="inlineStr">
        <is>
          <t>SOLLEFTEÅ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48425-2025</t>
        </is>
      </c>
      <c r="B1663" s="1" t="n">
        <v>45934.6984837963</v>
      </c>
      <c r="C1663" s="1" t="n">
        <v>45991</v>
      </c>
      <c r="D1663" t="inlineStr">
        <is>
          <t>VÄSTERNORRLANDS LÄN</t>
        </is>
      </c>
      <c r="E1663" t="inlineStr">
        <is>
          <t>SOLLEFTEÅ</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57518-2023</t>
        </is>
      </c>
      <c r="B1664" s="1" t="n">
        <v>45242</v>
      </c>
      <c r="C1664" s="1" t="n">
        <v>45991</v>
      </c>
      <c r="D1664" t="inlineStr">
        <is>
          <t>VÄSTERNORRLANDS LÄN</t>
        </is>
      </c>
      <c r="E1664" t="inlineStr">
        <is>
          <t>SOLLEFTEÅ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57205-2025</t>
        </is>
      </c>
      <c r="B1665" s="1" t="n">
        <v>45979.59429398148</v>
      </c>
      <c r="C1665" s="1" t="n">
        <v>45991</v>
      </c>
      <c r="D1665" t="inlineStr">
        <is>
          <t>VÄSTERNORRLANDS LÄN</t>
        </is>
      </c>
      <c r="E1665" t="inlineStr">
        <is>
          <t>SOLLEFTEÅ</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1480-2025</t>
        </is>
      </c>
      <c r="B1666" s="1" t="n">
        <v>45670.38575231482</v>
      </c>
      <c r="C1666" s="1" t="n">
        <v>45991</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39495-2023</t>
        </is>
      </c>
      <c r="B1667" s="1" t="n">
        <v>45166.95712962963</v>
      </c>
      <c r="C1667" s="1" t="n">
        <v>45991</v>
      </c>
      <c r="D1667" t="inlineStr">
        <is>
          <t>VÄSTERNORRLANDS LÄN</t>
        </is>
      </c>
      <c r="E1667" t="inlineStr">
        <is>
          <t>SOLLEFTEÅ</t>
        </is>
      </c>
      <c r="F1667" t="inlineStr">
        <is>
          <t>SCA</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48422-2025</t>
        </is>
      </c>
      <c r="B1668" s="1" t="n">
        <v>45934.67761574074</v>
      </c>
      <c r="C1668" s="1" t="n">
        <v>45991</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57225-2025</t>
        </is>
      </c>
      <c r="B1669" s="1" t="n">
        <v>45979.61555555555</v>
      </c>
      <c r="C1669" s="1" t="n">
        <v>45991</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10140-2022</t>
        </is>
      </c>
      <c r="B1670" s="1" t="n">
        <v>44621</v>
      </c>
      <c r="C1670" s="1" t="n">
        <v>45991</v>
      </c>
      <c r="D1670" t="inlineStr">
        <is>
          <t>VÄSTERNORRLANDS LÄN</t>
        </is>
      </c>
      <c r="E1670" t="inlineStr">
        <is>
          <t>SOLLEFTEÅ</t>
        </is>
      </c>
      <c r="F1670" t="inlineStr">
        <is>
          <t>SCA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48838-2025</t>
        </is>
      </c>
      <c r="B1671" s="1" t="n">
        <v>45937.41309027778</v>
      </c>
      <c r="C1671" s="1" t="n">
        <v>45991</v>
      </c>
      <c r="D1671" t="inlineStr">
        <is>
          <t>VÄSTERNORRLANDS LÄN</t>
        </is>
      </c>
      <c r="E1671" t="inlineStr">
        <is>
          <t>SOLLEFTEÅ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48848-2025</t>
        </is>
      </c>
      <c r="B1672" s="1" t="n">
        <v>45937</v>
      </c>
      <c r="C1672" s="1" t="n">
        <v>45991</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49155-2025</t>
        </is>
      </c>
      <c r="B1673" s="1" t="n">
        <v>45938.34578703704</v>
      </c>
      <c r="C1673" s="1" t="n">
        <v>45991</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46973-2024</t>
        </is>
      </c>
      <c r="B1674" s="1" t="n">
        <v>45586.34424768519</v>
      </c>
      <c r="C1674" s="1" t="n">
        <v>45991</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48914-2025</t>
        </is>
      </c>
      <c r="B1675" s="1" t="n">
        <v>45937</v>
      </c>
      <c r="C1675" s="1" t="n">
        <v>45991</v>
      </c>
      <c r="D1675" t="inlineStr">
        <is>
          <t>VÄSTERNORRLANDS LÄN</t>
        </is>
      </c>
      <c r="E1675" t="inlineStr">
        <is>
          <t>SOLLEFTEÅ</t>
        </is>
      </c>
      <c r="F1675" t="inlineStr">
        <is>
          <t>SCA</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55756-2024</t>
        </is>
      </c>
      <c r="B1676" s="1" t="n">
        <v>45623</v>
      </c>
      <c r="C1676" s="1" t="n">
        <v>45991</v>
      </c>
      <c r="D1676" t="inlineStr">
        <is>
          <t>VÄSTERNORRLANDS LÄN</t>
        </is>
      </c>
      <c r="E1676" t="inlineStr">
        <is>
          <t>SOLLEFTEÅ</t>
        </is>
      </c>
      <c r="F1676" t="inlineStr">
        <is>
          <t>Holmen skog AB</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55769-2024</t>
        </is>
      </c>
      <c r="B1677" s="1" t="n">
        <v>45623.38574074074</v>
      </c>
      <c r="C1677" s="1" t="n">
        <v>45991</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55824-2024</t>
        </is>
      </c>
      <c r="B1678" s="1" t="n">
        <v>45623.47813657407</v>
      </c>
      <c r="C1678" s="1" t="n">
        <v>45991</v>
      </c>
      <c r="D1678" t="inlineStr">
        <is>
          <t>VÄSTERNORRLANDS LÄN</t>
        </is>
      </c>
      <c r="E1678" t="inlineStr">
        <is>
          <t>SOLLEFTEÅ</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49289-2025</t>
        </is>
      </c>
      <c r="B1679" s="1" t="n">
        <v>45938.52868055556</v>
      </c>
      <c r="C1679" s="1" t="n">
        <v>45991</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48815-2025</t>
        </is>
      </c>
      <c r="B1680" s="1" t="n">
        <v>45937.36503472222</v>
      </c>
      <c r="C1680" s="1" t="n">
        <v>45991</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48817-2025</t>
        </is>
      </c>
      <c r="B1681" s="1" t="n">
        <v>45937.36546296296</v>
      </c>
      <c r="C1681" s="1" t="n">
        <v>45991</v>
      </c>
      <c r="D1681" t="inlineStr">
        <is>
          <t>VÄSTERNORRLANDS LÄN</t>
        </is>
      </c>
      <c r="E1681" t="inlineStr">
        <is>
          <t>SOLLEFTEÅ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49052-2025</t>
        </is>
      </c>
      <c r="B1682" s="1" t="n">
        <v>45937.63813657407</v>
      </c>
      <c r="C1682" s="1" t="n">
        <v>45991</v>
      </c>
      <c r="D1682" t="inlineStr">
        <is>
          <t>VÄSTERNORRLANDS LÄN</t>
        </is>
      </c>
      <c r="E1682" t="inlineStr">
        <is>
          <t>SOLLEFTEÅ</t>
        </is>
      </c>
      <c r="F1682" t="inlineStr">
        <is>
          <t>SCA</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49154-2025</t>
        </is>
      </c>
      <c r="B1683" s="1" t="n">
        <v>45938.34567129629</v>
      </c>
      <c r="C1683" s="1" t="n">
        <v>45991</v>
      </c>
      <c r="D1683" t="inlineStr">
        <is>
          <t>VÄSTERNORRLANDS LÄN</t>
        </is>
      </c>
      <c r="E1683" t="inlineStr">
        <is>
          <t>SOLLEFTEÅ</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8038-2024</t>
        </is>
      </c>
      <c r="B1684" s="1" t="n">
        <v>45350</v>
      </c>
      <c r="C1684" s="1" t="n">
        <v>45991</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8039-2024</t>
        </is>
      </c>
      <c r="B1685" s="1" t="n">
        <v>45350</v>
      </c>
      <c r="C1685" s="1" t="n">
        <v>45991</v>
      </c>
      <c r="D1685" t="inlineStr">
        <is>
          <t>VÄSTERNORRLANDS LÄN</t>
        </is>
      </c>
      <c r="E1685" t="inlineStr">
        <is>
          <t>SOLLEFTEÅ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49115-2025</t>
        </is>
      </c>
      <c r="B1686" s="1" t="n">
        <v>45937</v>
      </c>
      <c r="C1686" s="1" t="n">
        <v>45991</v>
      </c>
      <c r="D1686" t="inlineStr">
        <is>
          <t>VÄSTERNORRLANDS LÄN</t>
        </is>
      </c>
      <c r="E1686" t="inlineStr">
        <is>
          <t>SOLLEFTEÅ</t>
        </is>
      </c>
      <c r="F1686" t="inlineStr">
        <is>
          <t>Övriga Aktiebolag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49468-2025</t>
        </is>
      </c>
      <c r="B1687" s="1" t="n">
        <v>45939.33886574074</v>
      </c>
      <c r="C1687" s="1" t="n">
        <v>45991</v>
      </c>
      <c r="D1687" t="inlineStr">
        <is>
          <t>VÄSTERNORRLANDS LÄN</t>
        </is>
      </c>
      <c r="E1687" t="inlineStr">
        <is>
          <t>SOLLEFTEÅ</t>
        </is>
      </c>
      <c r="F1687" t="inlineStr">
        <is>
          <t>Holmen skog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49254-2025</t>
        </is>
      </c>
      <c r="B1688" s="1" t="n">
        <v>45938.49143518518</v>
      </c>
      <c r="C1688" s="1" t="n">
        <v>45991</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49627-2025</t>
        </is>
      </c>
      <c r="B1689" s="1" t="n">
        <v>45939.59503472222</v>
      </c>
      <c r="C1689" s="1" t="n">
        <v>45991</v>
      </c>
      <c r="D1689" t="inlineStr">
        <is>
          <t>VÄSTERNORRLANDS LÄN</t>
        </is>
      </c>
      <c r="E1689" t="inlineStr">
        <is>
          <t>SOLLEFTEÅ</t>
        </is>
      </c>
      <c r="F1689" t="inlineStr">
        <is>
          <t>SCA</t>
        </is>
      </c>
      <c r="G1689" t="n">
        <v>29.4</v>
      </c>
      <c r="H1689" t="n">
        <v>0</v>
      </c>
      <c r="I1689" t="n">
        <v>0</v>
      </c>
      <c r="J1689" t="n">
        <v>0</v>
      </c>
      <c r="K1689" t="n">
        <v>0</v>
      </c>
      <c r="L1689" t="n">
        <v>0</v>
      </c>
      <c r="M1689" t="n">
        <v>0</v>
      </c>
      <c r="N1689" t="n">
        <v>0</v>
      </c>
      <c r="O1689" t="n">
        <v>0</v>
      </c>
      <c r="P1689" t="n">
        <v>0</v>
      </c>
      <c r="Q1689" t="n">
        <v>0</v>
      </c>
      <c r="R1689" s="2" t="inlineStr"/>
    </row>
    <row r="1690" ht="15" customHeight="1">
      <c r="A1690" t="inlineStr">
        <is>
          <t>A 19489-2025</t>
        </is>
      </c>
      <c r="B1690" s="1" t="n">
        <v>45770.38847222222</v>
      </c>
      <c r="C1690" s="1" t="n">
        <v>45991</v>
      </c>
      <c r="D1690" t="inlineStr">
        <is>
          <t>VÄSTERNORRLANDS LÄN</t>
        </is>
      </c>
      <c r="E1690" t="inlineStr">
        <is>
          <t>SOLLEFTEÅ</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49491-2025</t>
        </is>
      </c>
      <c r="B1691" s="1" t="n">
        <v>45939.36596064815</v>
      </c>
      <c r="C1691" s="1" t="n">
        <v>45991</v>
      </c>
      <c r="D1691" t="inlineStr">
        <is>
          <t>VÄSTERNORRLANDS LÄN</t>
        </is>
      </c>
      <c r="E1691" t="inlineStr">
        <is>
          <t>SOLLEFTEÅ</t>
        </is>
      </c>
      <c r="F1691" t="inlineStr">
        <is>
          <t>SCA</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48981-2025</t>
        </is>
      </c>
      <c r="B1692" s="1" t="n">
        <v>45937.57354166666</v>
      </c>
      <c r="C1692" s="1" t="n">
        <v>45991</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16564-2025</t>
        </is>
      </c>
      <c r="B1693" s="1" t="n">
        <v>45752</v>
      </c>
      <c r="C1693" s="1" t="n">
        <v>45991</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61616-2024</t>
        </is>
      </c>
      <c r="B1694" s="1" t="n">
        <v>45645</v>
      </c>
      <c r="C1694" s="1" t="n">
        <v>45991</v>
      </c>
      <c r="D1694" t="inlineStr">
        <is>
          <t>VÄSTERNORRLANDS LÄN</t>
        </is>
      </c>
      <c r="E1694" t="inlineStr">
        <is>
          <t>SOLLEFTEÅ</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49221-2025</t>
        </is>
      </c>
      <c r="B1695" s="1" t="n">
        <v>45938.46335648148</v>
      </c>
      <c r="C1695" s="1" t="n">
        <v>45991</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53639-2025</t>
        </is>
      </c>
      <c r="B1696" s="1" t="n">
        <v>45960</v>
      </c>
      <c r="C1696" s="1" t="n">
        <v>45991</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49378-2025</t>
        </is>
      </c>
      <c r="B1697" s="1" t="n">
        <v>45938.6364699074</v>
      </c>
      <c r="C1697" s="1" t="n">
        <v>45991</v>
      </c>
      <c r="D1697" t="inlineStr">
        <is>
          <t>VÄSTERNORRLANDS LÄN</t>
        </is>
      </c>
      <c r="E1697" t="inlineStr">
        <is>
          <t>SOLLEFTEÅ</t>
        </is>
      </c>
      <c r="F1697" t="inlineStr">
        <is>
          <t>SCA</t>
        </is>
      </c>
      <c r="G1697" t="n">
        <v>16.8</v>
      </c>
      <c r="H1697" t="n">
        <v>0</v>
      </c>
      <c r="I1697" t="n">
        <v>0</v>
      </c>
      <c r="J1697" t="n">
        <v>0</v>
      </c>
      <c r="K1697" t="n">
        <v>0</v>
      </c>
      <c r="L1697" t="n">
        <v>0</v>
      </c>
      <c r="M1697" t="n">
        <v>0</v>
      </c>
      <c r="N1697" t="n">
        <v>0</v>
      </c>
      <c r="O1697" t="n">
        <v>0</v>
      </c>
      <c r="P1697" t="n">
        <v>0</v>
      </c>
      <c r="Q1697" t="n">
        <v>0</v>
      </c>
      <c r="R1697" s="2" t="inlineStr"/>
    </row>
    <row r="1698" ht="15" customHeight="1">
      <c r="A1698" t="inlineStr">
        <is>
          <t>A 49380-2025</t>
        </is>
      </c>
      <c r="B1698" s="1" t="n">
        <v>45938.63677083333</v>
      </c>
      <c r="C1698" s="1" t="n">
        <v>45991</v>
      </c>
      <c r="D1698" t="inlineStr">
        <is>
          <t>VÄSTERNORRLANDS LÄN</t>
        </is>
      </c>
      <c r="E1698" t="inlineStr">
        <is>
          <t>SOLLEFTEÅ</t>
        </is>
      </c>
      <c r="F1698" t="inlineStr">
        <is>
          <t>SCA</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19577-2024</t>
        </is>
      </c>
      <c r="B1699" s="1" t="n">
        <v>45429</v>
      </c>
      <c r="C1699" s="1" t="n">
        <v>45991</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49698-2025</t>
        </is>
      </c>
      <c r="B1700" s="1" t="n">
        <v>45939.67790509259</v>
      </c>
      <c r="C1700" s="1" t="n">
        <v>45991</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49701-2025</t>
        </is>
      </c>
      <c r="B1701" s="1" t="n">
        <v>45939.67840277778</v>
      </c>
      <c r="C1701" s="1" t="n">
        <v>45991</v>
      </c>
      <c r="D1701" t="inlineStr">
        <is>
          <t>VÄSTERNORRLANDS LÄN</t>
        </is>
      </c>
      <c r="E1701" t="inlineStr">
        <is>
          <t>SOLLEFTEÅ</t>
        </is>
      </c>
      <c r="F1701" t="inlineStr">
        <is>
          <t>SCA</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49702-2025</t>
        </is>
      </c>
      <c r="B1702" s="1" t="n">
        <v>45939.67875</v>
      </c>
      <c r="C1702" s="1" t="n">
        <v>45991</v>
      </c>
      <c r="D1702" t="inlineStr">
        <is>
          <t>VÄSTERNORRLANDS LÄN</t>
        </is>
      </c>
      <c r="E1702" t="inlineStr">
        <is>
          <t>SOLLEFTEÅ</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49249-2025</t>
        </is>
      </c>
      <c r="B1703" s="1" t="n">
        <v>45938</v>
      </c>
      <c r="C1703" s="1" t="n">
        <v>45991</v>
      </c>
      <c r="D1703" t="inlineStr">
        <is>
          <t>VÄSTERNORRLANDS LÄN</t>
        </is>
      </c>
      <c r="E1703" t="inlineStr">
        <is>
          <t>SOLLEFTEÅ</t>
        </is>
      </c>
      <c r="F1703" t="inlineStr">
        <is>
          <t>SCA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8653-2024</t>
        </is>
      </c>
      <c r="B1704" s="1" t="n">
        <v>45356</v>
      </c>
      <c r="C1704" s="1" t="n">
        <v>45991</v>
      </c>
      <c r="D1704" t="inlineStr">
        <is>
          <t>VÄSTERNORRLANDS LÄN</t>
        </is>
      </c>
      <c r="E1704" t="inlineStr">
        <is>
          <t>SOLLEFTEÅ</t>
        </is>
      </c>
      <c r="F1704" t="inlineStr">
        <is>
          <t>SCA</t>
        </is>
      </c>
      <c r="G1704" t="n">
        <v>67.8</v>
      </c>
      <c r="H1704" t="n">
        <v>0</v>
      </c>
      <c r="I1704" t="n">
        <v>0</v>
      </c>
      <c r="J1704" t="n">
        <v>0</v>
      </c>
      <c r="K1704" t="n">
        <v>0</v>
      </c>
      <c r="L1704" t="n">
        <v>0</v>
      </c>
      <c r="M1704" t="n">
        <v>0</v>
      </c>
      <c r="N1704" t="n">
        <v>0</v>
      </c>
      <c r="O1704" t="n">
        <v>0</v>
      </c>
      <c r="P1704" t="n">
        <v>0</v>
      </c>
      <c r="Q1704" t="n">
        <v>0</v>
      </c>
      <c r="R1704" s="2" t="inlineStr"/>
    </row>
    <row r="1705" ht="15" customHeight="1">
      <c r="A1705" t="inlineStr">
        <is>
          <t>A 49696-2025</t>
        </is>
      </c>
      <c r="B1705" s="1" t="n">
        <v>45939.6775462963</v>
      </c>
      <c r="C1705" s="1" t="n">
        <v>45991</v>
      </c>
      <c r="D1705" t="inlineStr">
        <is>
          <t>VÄSTERNORRLANDS LÄN</t>
        </is>
      </c>
      <c r="E1705" t="inlineStr">
        <is>
          <t>SOLLEFTEÅ</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44554-2024</t>
        </is>
      </c>
      <c r="B1706" s="1" t="n">
        <v>45574.46940972222</v>
      </c>
      <c r="C1706" s="1" t="n">
        <v>45991</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57784-2025</t>
        </is>
      </c>
      <c r="B1707" s="1" t="n">
        <v>45981.57376157407</v>
      </c>
      <c r="C1707" s="1" t="n">
        <v>45991</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8729-2024</t>
        </is>
      </c>
      <c r="B1708" s="1" t="n">
        <v>45356.43958333333</v>
      </c>
      <c r="C1708" s="1" t="n">
        <v>45991</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49699-2025</t>
        </is>
      </c>
      <c r="B1709" s="1" t="n">
        <v>45939.67807870371</v>
      </c>
      <c r="C1709" s="1" t="n">
        <v>45991</v>
      </c>
      <c r="D1709" t="inlineStr">
        <is>
          <t>VÄSTERNORRLANDS LÄN</t>
        </is>
      </c>
      <c r="E1709" t="inlineStr">
        <is>
          <t>SOLLEFTEÅ</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49700-2025</t>
        </is>
      </c>
      <c r="B1710" s="1" t="n">
        <v>45939.67822916667</v>
      </c>
      <c r="C1710" s="1" t="n">
        <v>45991</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49706-2025</t>
        </is>
      </c>
      <c r="B1711" s="1" t="n">
        <v>45939.67949074074</v>
      </c>
      <c r="C1711" s="1" t="n">
        <v>45991</v>
      </c>
      <c r="D1711" t="inlineStr">
        <is>
          <t>VÄSTERNORRLANDS LÄN</t>
        </is>
      </c>
      <c r="E1711" t="inlineStr">
        <is>
          <t>SOLLEFTEÅ</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52765-2025</t>
        </is>
      </c>
      <c r="B1712" s="1" t="n">
        <v>45957.39965277778</v>
      </c>
      <c r="C1712" s="1" t="n">
        <v>45991</v>
      </c>
      <c r="D1712" t="inlineStr">
        <is>
          <t>VÄSTERNORRLANDS LÄN</t>
        </is>
      </c>
      <c r="E1712" t="inlineStr">
        <is>
          <t>SOLLEFTEÅ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36685-2024</t>
        </is>
      </c>
      <c r="B1713" s="1" t="n">
        <v>45537.66467592592</v>
      </c>
      <c r="C1713" s="1" t="n">
        <v>45991</v>
      </c>
      <c r="D1713" t="inlineStr">
        <is>
          <t>VÄSTERNORRLANDS LÄN</t>
        </is>
      </c>
      <c r="E1713" t="inlineStr">
        <is>
          <t>SOLLEFTEÅ</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57373-2025</t>
        </is>
      </c>
      <c r="B1714" s="1" t="n">
        <v>45980.38606481482</v>
      </c>
      <c r="C1714" s="1" t="n">
        <v>45991</v>
      </c>
      <c r="D1714" t="inlineStr">
        <is>
          <t>VÄSTERNORRLANDS LÄN</t>
        </is>
      </c>
      <c r="E1714" t="inlineStr">
        <is>
          <t>SOLLEFTEÅ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9689-2024</t>
        </is>
      </c>
      <c r="B1715" s="1" t="n">
        <v>45362</v>
      </c>
      <c r="C1715" s="1" t="n">
        <v>45991</v>
      </c>
      <c r="D1715" t="inlineStr">
        <is>
          <t>VÄSTERNORRLANDS LÄN</t>
        </is>
      </c>
      <c r="E1715" t="inlineStr">
        <is>
          <t>SOLLEFTEÅ</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2481-2025</t>
        </is>
      </c>
      <c r="B1716" s="1" t="n">
        <v>45674.48996527777</v>
      </c>
      <c r="C1716" s="1" t="n">
        <v>45991</v>
      </c>
      <c r="D1716" t="inlineStr">
        <is>
          <t>VÄSTERNORRLANDS LÄN</t>
        </is>
      </c>
      <c r="E1716" t="inlineStr">
        <is>
          <t>SOLLEFTEÅ</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49703-2025</t>
        </is>
      </c>
      <c r="B1717" s="1" t="n">
        <v>45939.67894675926</v>
      </c>
      <c r="C1717" s="1" t="n">
        <v>45991</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25986-2023</t>
        </is>
      </c>
      <c r="B1718" s="1" t="n">
        <v>45090</v>
      </c>
      <c r="C1718" s="1" t="n">
        <v>45991</v>
      </c>
      <c r="D1718" t="inlineStr">
        <is>
          <t>VÄSTERNORRLANDS LÄN</t>
        </is>
      </c>
      <c r="E1718" t="inlineStr">
        <is>
          <t>SOLLEFTEÅ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8851-2025</t>
        </is>
      </c>
      <c r="B1719" s="1" t="n">
        <v>45713.34465277778</v>
      </c>
      <c r="C1719" s="1" t="n">
        <v>45991</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49565-2025</t>
        </is>
      </c>
      <c r="B1720" s="1" t="n">
        <v>45939.46921296296</v>
      </c>
      <c r="C1720" s="1" t="n">
        <v>45991</v>
      </c>
      <c r="D1720" t="inlineStr">
        <is>
          <t>VÄSTERNORRLANDS LÄN</t>
        </is>
      </c>
      <c r="E1720" t="inlineStr">
        <is>
          <t>SOLLEFTEÅ</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45991</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8476-2025</t>
        </is>
      </c>
      <c r="B1722" s="1" t="n">
        <v>45709.47894675926</v>
      </c>
      <c r="C1722" s="1" t="n">
        <v>45991</v>
      </c>
      <c r="D1722" t="inlineStr">
        <is>
          <t>VÄSTERNORRLANDS LÄN</t>
        </is>
      </c>
      <c r="E1722" t="inlineStr">
        <is>
          <t>SOLLEFTEÅ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21711-2022</t>
        </is>
      </c>
      <c r="B1723" s="1" t="n">
        <v>44707</v>
      </c>
      <c r="C1723" s="1" t="n">
        <v>45991</v>
      </c>
      <c r="D1723" t="inlineStr">
        <is>
          <t>VÄSTERNORRLANDS LÄN</t>
        </is>
      </c>
      <c r="E1723" t="inlineStr">
        <is>
          <t>SOLLEFTEÅ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64120-2023</t>
        </is>
      </c>
      <c r="B1724" s="1" t="n">
        <v>45279</v>
      </c>
      <c r="C1724" s="1" t="n">
        <v>45991</v>
      </c>
      <c r="D1724" t="inlineStr">
        <is>
          <t>VÄSTERNORRLANDS LÄN</t>
        </is>
      </c>
      <c r="E1724" t="inlineStr">
        <is>
          <t>SOLLEFTEÅ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49705-2025</t>
        </is>
      </c>
      <c r="B1725" s="1" t="n">
        <v>45939.67929398148</v>
      </c>
      <c r="C1725" s="1" t="n">
        <v>45991</v>
      </c>
      <c r="D1725" t="inlineStr">
        <is>
          <t>VÄSTERNORRLANDS LÄN</t>
        </is>
      </c>
      <c r="E1725" t="inlineStr">
        <is>
          <t>SOLLEFTEÅ</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49474-2025</t>
        </is>
      </c>
      <c r="B1726" s="1" t="n">
        <v>45939.34472222222</v>
      </c>
      <c r="C1726" s="1" t="n">
        <v>45991</v>
      </c>
      <c r="D1726" t="inlineStr">
        <is>
          <t>VÄSTERNORRLANDS LÄN</t>
        </is>
      </c>
      <c r="E1726" t="inlineStr">
        <is>
          <t>SOLLEFTEÅ</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49488-2025</t>
        </is>
      </c>
      <c r="B1727" s="1" t="n">
        <v>45939.36506944444</v>
      </c>
      <c r="C1727" s="1" t="n">
        <v>45991</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37726-2023</t>
        </is>
      </c>
      <c r="B1728" s="1" t="n">
        <v>45156</v>
      </c>
      <c r="C1728" s="1" t="n">
        <v>45991</v>
      </c>
      <c r="D1728" t="inlineStr">
        <is>
          <t>VÄSTERNORRLANDS LÄN</t>
        </is>
      </c>
      <c r="E1728" t="inlineStr">
        <is>
          <t>SOLLEFTEÅ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59339-2023</t>
        </is>
      </c>
      <c r="B1729" s="1" t="n">
        <v>45253</v>
      </c>
      <c r="C1729" s="1" t="n">
        <v>45991</v>
      </c>
      <c r="D1729" t="inlineStr">
        <is>
          <t>VÄSTERNORRLANDS LÄN</t>
        </is>
      </c>
      <c r="E1729" t="inlineStr">
        <is>
          <t>SOLLEFTEÅ</t>
        </is>
      </c>
      <c r="F1729" t="inlineStr">
        <is>
          <t>Holmen skog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49667-2025</t>
        </is>
      </c>
      <c r="B1730" s="1" t="n">
        <v>45939.63671296297</v>
      </c>
      <c r="C1730" s="1" t="n">
        <v>45991</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49406-2025</t>
        </is>
      </c>
      <c r="B1731" s="1" t="n">
        <v>45938.67761574074</v>
      </c>
      <c r="C1731" s="1" t="n">
        <v>45991</v>
      </c>
      <c r="D1731" t="inlineStr">
        <is>
          <t>VÄSTERNORRLANDS LÄN</t>
        </is>
      </c>
      <c r="E1731" t="inlineStr">
        <is>
          <t>SOLLEFTEÅ</t>
        </is>
      </c>
      <c r="F1731" t="inlineStr">
        <is>
          <t>SCA</t>
        </is>
      </c>
      <c r="G1731" t="n">
        <v>28.6</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45991</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49932-2025</t>
        </is>
      </c>
      <c r="B1733" s="1" t="n">
        <v>45940.65695601852</v>
      </c>
      <c r="C1733" s="1" t="n">
        <v>45991</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50229-2025</t>
        </is>
      </c>
      <c r="B1734" s="1" t="n">
        <v>45943.69855324074</v>
      </c>
      <c r="C1734" s="1" t="n">
        <v>45991</v>
      </c>
      <c r="D1734" t="inlineStr">
        <is>
          <t>VÄSTERNORRLANDS LÄN</t>
        </is>
      </c>
      <c r="E1734" t="inlineStr">
        <is>
          <t>SOLLEFTEÅ</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57990-2025</t>
        </is>
      </c>
      <c r="B1735" s="1" t="n">
        <v>45982.4240625</v>
      </c>
      <c r="C1735" s="1" t="n">
        <v>45991</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58030-2025</t>
        </is>
      </c>
      <c r="B1736" s="1" t="n">
        <v>45982.48627314815</v>
      </c>
      <c r="C1736" s="1" t="n">
        <v>45991</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58034-2025</t>
        </is>
      </c>
      <c r="B1737" s="1" t="n">
        <v>45982.48967592593</v>
      </c>
      <c r="C1737" s="1" t="n">
        <v>45991</v>
      </c>
      <c r="D1737" t="inlineStr">
        <is>
          <t>VÄSTERNORRLANDS LÄN</t>
        </is>
      </c>
      <c r="E1737" t="inlineStr">
        <is>
          <t>SOLLEFTEÅ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49904-2025</t>
        </is>
      </c>
      <c r="B1738" s="1" t="n">
        <v>45940.59594907407</v>
      </c>
      <c r="C1738" s="1" t="n">
        <v>45991</v>
      </c>
      <c r="D1738" t="inlineStr">
        <is>
          <t>VÄSTERNORRLANDS LÄN</t>
        </is>
      </c>
      <c r="E1738" t="inlineStr">
        <is>
          <t>SOLLEFTEÅ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49794-2025</t>
        </is>
      </c>
      <c r="B1739" s="1" t="n">
        <v>45940.40777777778</v>
      </c>
      <c r="C1739" s="1" t="n">
        <v>45991</v>
      </c>
      <c r="D1739" t="inlineStr">
        <is>
          <t>VÄSTERNORRLANDS LÄN</t>
        </is>
      </c>
      <c r="E1739" t="inlineStr">
        <is>
          <t>SOLLEFTEÅ</t>
        </is>
      </c>
      <c r="F1739" t="inlineStr">
        <is>
          <t>SCA</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58313-2025</t>
        </is>
      </c>
      <c r="B1740" s="1" t="n">
        <v>45985.47021990741</v>
      </c>
      <c r="C1740" s="1" t="n">
        <v>45991</v>
      </c>
      <c r="D1740" t="inlineStr">
        <is>
          <t>VÄSTERNORRLANDS LÄN</t>
        </is>
      </c>
      <c r="E1740" t="inlineStr">
        <is>
          <t>SOLLEFTEÅ</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58383-2025</t>
        </is>
      </c>
      <c r="B1741" s="1" t="n">
        <v>45985.54152777778</v>
      </c>
      <c r="C1741" s="1" t="n">
        <v>45991</v>
      </c>
      <c r="D1741" t="inlineStr">
        <is>
          <t>VÄSTERNORRLANDS LÄN</t>
        </is>
      </c>
      <c r="E1741" t="inlineStr">
        <is>
          <t>SOLLEFTEÅ</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49789-2025</t>
        </is>
      </c>
      <c r="B1742" s="1" t="n">
        <v>45940</v>
      </c>
      <c r="C1742" s="1" t="n">
        <v>45991</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58151-2025</t>
        </is>
      </c>
      <c r="B1743" s="1" t="n">
        <v>45982.65255787037</v>
      </c>
      <c r="C1743" s="1" t="n">
        <v>45991</v>
      </c>
      <c r="D1743" t="inlineStr">
        <is>
          <t>VÄSTERNORRLANDS LÄN</t>
        </is>
      </c>
      <c r="E1743" t="inlineStr">
        <is>
          <t>SOLLEFTEÅ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58505-2025</t>
        </is>
      </c>
      <c r="B1744" s="1" t="n">
        <v>45985.69831018519</v>
      </c>
      <c r="C1744" s="1" t="n">
        <v>45991</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5989-2021</t>
        </is>
      </c>
      <c r="B1745" s="1" t="n">
        <v>44231</v>
      </c>
      <c r="C1745" s="1" t="n">
        <v>45991</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50008-2024</t>
        </is>
      </c>
      <c r="B1746" s="1" t="n">
        <v>45598.57908564815</v>
      </c>
      <c r="C1746" s="1" t="n">
        <v>45991</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55692-2024</t>
        </is>
      </c>
      <c r="B1747" s="1" t="n">
        <v>45622</v>
      </c>
      <c r="C1747" s="1" t="n">
        <v>45991</v>
      </c>
      <c r="D1747" t="inlineStr">
        <is>
          <t>VÄSTERNORRLANDS LÄN</t>
        </is>
      </c>
      <c r="E1747" t="inlineStr">
        <is>
          <t>SOLLEFTEÅ</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58032-2025</t>
        </is>
      </c>
      <c r="B1748" s="1" t="n">
        <v>45982.48753472222</v>
      </c>
      <c r="C1748" s="1" t="n">
        <v>45991</v>
      </c>
      <c r="D1748" t="inlineStr">
        <is>
          <t>VÄSTERNORRLANDS LÄN</t>
        </is>
      </c>
      <c r="E1748" t="inlineStr">
        <is>
          <t>SOLLEFTEÅ</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55759-2024</t>
        </is>
      </c>
      <c r="B1749" s="1" t="n">
        <v>45623.3647337963</v>
      </c>
      <c r="C1749" s="1" t="n">
        <v>45991</v>
      </c>
      <c r="D1749" t="inlineStr">
        <is>
          <t>VÄSTERNORRLANDS LÄN</t>
        </is>
      </c>
      <c r="E1749" t="inlineStr">
        <is>
          <t>SOLLEFTEÅ</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55792-2024</t>
        </is>
      </c>
      <c r="B1750" s="1" t="n">
        <v>45623</v>
      </c>
      <c r="C1750" s="1" t="n">
        <v>45991</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58126-2025</t>
        </is>
      </c>
      <c r="B1751" s="1" t="n">
        <v>45982.61518518518</v>
      </c>
      <c r="C1751" s="1" t="n">
        <v>45991</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44172-2024</t>
        </is>
      </c>
      <c r="B1752" s="1" t="n">
        <v>45572.74454861111</v>
      </c>
      <c r="C1752" s="1" t="n">
        <v>45991</v>
      </c>
      <c r="D1752" t="inlineStr">
        <is>
          <t>VÄSTERNORRLANDS LÄN</t>
        </is>
      </c>
      <c r="E1752" t="inlineStr">
        <is>
          <t>SOLLEFTEÅ</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58205-2025</t>
        </is>
      </c>
      <c r="B1753" s="1" t="n">
        <v>45984.64722222222</v>
      </c>
      <c r="C1753" s="1" t="n">
        <v>45991</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58315-2025</t>
        </is>
      </c>
      <c r="B1754" s="1" t="n">
        <v>45985.47033564815</v>
      </c>
      <c r="C1754" s="1" t="n">
        <v>45991</v>
      </c>
      <c r="D1754" t="inlineStr">
        <is>
          <t>VÄSTERNORRLANDS LÄN</t>
        </is>
      </c>
      <c r="E1754" t="inlineStr">
        <is>
          <t>SOLLEFTEÅ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49791-2025</t>
        </is>
      </c>
      <c r="B1755" s="1" t="n">
        <v>45940</v>
      </c>
      <c r="C1755" s="1" t="n">
        <v>45991</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59647-2022</t>
        </is>
      </c>
      <c r="B1756" s="1" t="n">
        <v>44907.96577546297</v>
      </c>
      <c r="C1756" s="1" t="n">
        <v>45991</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49919-2025</t>
        </is>
      </c>
      <c r="B1757" s="1" t="n">
        <v>45940.63591435185</v>
      </c>
      <c r="C1757" s="1" t="n">
        <v>45991</v>
      </c>
      <c r="D1757" t="inlineStr">
        <is>
          <t>VÄSTERNORRLANDS LÄN</t>
        </is>
      </c>
      <c r="E1757" t="inlineStr">
        <is>
          <t>SOLLEFTEÅ</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49829-2024</t>
        </is>
      </c>
      <c r="B1758" s="1" t="n">
        <v>45597</v>
      </c>
      <c r="C1758" s="1" t="n">
        <v>45991</v>
      </c>
      <c r="D1758" t="inlineStr">
        <is>
          <t>VÄSTERNORRLANDS LÄN</t>
        </is>
      </c>
      <c r="E1758" t="inlineStr">
        <is>
          <t>SOLLEFTEÅ</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58314-2025</t>
        </is>
      </c>
      <c r="B1759" s="1" t="n">
        <v>45985.47027777778</v>
      </c>
      <c r="C1759" s="1" t="n">
        <v>45991</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49567-2024</t>
        </is>
      </c>
      <c r="B1760" s="1" t="n">
        <v>45596.49003472222</v>
      </c>
      <c r="C1760" s="1" t="n">
        <v>45991</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c r="U1760">
        <f>HYPERLINK("https://klasma.github.io/Logging_2283/knärot/A 49567-2024 karta knärot.png", "A 49567-2024")</f>
        <v/>
      </c>
      <c r="V1760">
        <f>HYPERLINK("https://klasma.github.io/Logging_2283/klagomål/A 49567-2024 FSC-klagomål.docx", "A 49567-2024")</f>
        <v/>
      </c>
      <c r="W1760">
        <f>HYPERLINK("https://klasma.github.io/Logging_2283/klagomålsmail/A 49567-2024 FSC-klagomål mail.docx", "A 49567-2024")</f>
        <v/>
      </c>
      <c r="X1760">
        <f>HYPERLINK("https://klasma.github.io/Logging_2283/tillsyn/A 49567-2024 tillsynsbegäran.docx", "A 49567-2024")</f>
        <v/>
      </c>
      <c r="Y1760">
        <f>HYPERLINK("https://klasma.github.io/Logging_2283/tillsynsmail/A 49567-2024 tillsynsbegäran mail.docx", "A 49567-2024")</f>
        <v/>
      </c>
    </row>
    <row r="1761" ht="15" customHeight="1">
      <c r="A1761" t="inlineStr">
        <is>
          <t>A 38231-2024</t>
        </is>
      </c>
      <c r="B1761" s="1" t="n">
        <v>45545.55601851852</v>
      </c>
      <c r="C1761" s="1" t="n">
        <v>45991</v>
      </c>
      <c r="D1761" t="inlineStr">
        <is>
          <t>VÄSTERNORRLANDS LÄN</t>
        </is>
      </c>
      <c r="E1761" t="inlineStr">
        <is>
          <t>SOLLEFTEÅ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49748-2025</t>
        </is>
      </c>
      <c r="B1762" s="1" t="n">
        <v>45940.34472222222</v>
      </c>
      <c r="C1762" s="1" t="n">
        <v>45991</v>
      </c>
      <c r="D1762" t="inlineStr">
        <is>
          <t>VÄSTERNORRLANDS LÄN</t>
        </is>
      </c>
      <c r="E1762" t="inlineStr">
        <is>
          <t>SOLLEFTEÅ</t>
        </is>
      </c>
      <c r="F1762" t="inlineStr">
        <is>
          <t>SCA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58386-2025</t>
        </is>
      </c>
      <c r="B1763" s="1" t="n">
        <v>45985.54576388889</v>
      </c>
      <c r="C1763" s="1" t="n">
        <v>45991</v>
      </c>
      <c r="D1763" t="inlineStr">
        <is>
          <t>VÄSTERNORRLANDS LÄN</t>
        </is>
      </c>
      <c r="E1763" t="inlineStr">
        <is>
          <t>SOLLEFTEÅ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54165-2025</t>
        </is>
      </c>
      <c r="B1764" s="1" t="n">
        <v>45964</v>
      </c>
      <c r="C1764" s="1" t="n">
        <v>45991</v>
      </c>
      <c r="D1764" t="inlineStr">
        <is>
          <t>VÄSTERNORRLANDS LÄN</t>
        </is>
      </c>
      <c r="E1764" t="inlineStr">
        <is>
          <t>SOLLEFTEÅ</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58172-2022</t>
        </is>
      </c>
      <c r="B1765" s="1" t="n">
        <v>44900.95525462963</v>
      </c>
      <c r="C1765" s="1" t="n">
        <v>45991</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49750-2025</t>
        </is>
      </c>
      <c r="B1766" s="1" t="n">
        <v>45940.34497685185</v>
      </c>
      <c r="C1766" s="1" t="n">
        <v>45991</v>
      </c>
      <c r="D1766" t="inlineStr">
        <is>
          <t>VÄSTERNORRLANDS LÄN</t>
        </is>
      </c>
      <c r="E1766" t="inlineStr">
        <is>
          <t>SOLLEFTEÅ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35793-2024</t>
        </is>
      </c>
      <c r="B1767" s="1" t="n">
        <v>45532</v>
      </c>
      <c r="C1767" s="1" t="n">
        <v>45991</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35794-2024</t>
        </is>
      </c>
      <c r="B1768" s="1" t="n">
        <v>45532.62974537037</v>
      </c>
      <c r="C1768" s="1" t="n">
        <v>45991</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15875-2024</t>
        </is>
      </c>
      <c r="B1769" s="1" t="n">
        <v>45405.32438657407</v>
      </c>
      <c r="C1769" s="1" t="n">
        <v>45991</v>
      </c>
      <c r="D1769" t="inlineStr">
        <is>
          <t>VÄSTERNORRLANDS LÄN</t>
        </is>
      </c>
      <c r="E1769" t="inlineStr">
        <is>
          <t>SOLLEFTEÅ</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14134-2023</t>
        </is>
      </c>
      <c r="B1770" s="1" t="n">
        <v>45008</v>
      </c>
      <c r="C1770" s="1" t="n">
        <v>45991</v>
      </c>
      <c r="D1770" t="inlineStr">
        <is>
          <t>VÄSTERNORRLANDS LÄN</t>
        </is>
      </c>
      <c r="E1770" t="inlineStr">
        <is>
          <t>SOLLEFTEÅ</t>
        </is>
      </c>
      <c r="F1770" t="inlineStr">
        <is>
          <t>Övriga Aktiebolag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7463-2024</t>
        </is>
      </c>
      <c r="B1771" s="1" t="n">
        <v>45345.94887731481</v>
      </c>
      <c r="C1771" s="1" t="n">
        <v>45991</v>
      </c>
      <c r="D1771" t="inlineStr">
        <is>
          <t>VÄSTERNORRLANDS LÄN</t>
        </is>
      </c>
      <c r="E1771" t="inlineStr">
        <is>
          <t>SOLLEFTEÅ</t>
        </is>
      </c>
      <c r="F1771" t="inlineStr">
        <is>
          <t>SCA</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58152-2025</t>
        </is>
      </c>
      <c r="B1772" s="1" t="n">
        <v>45982.65260416667</v>
      </c>
      <c r="C1772" s="1" t="n">
        <v>45991</v>
      </c>
      <c r="D1772" t="inlineStr">
        <is>
          <t>VÄSTERNORRLANDS LÄN</t>
        </is>
      </c>
      <c r="E1772" t="inlineStr">
        <is>
          <t>SOLLEFTEÅ</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43525-2021</t>
        </is>
      </c>
      <c r="B1773" s="1" t="n">
        <v>44433</v>
      </c>
      <c r="C1773" s="1" t="n">
        <v>45991</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33591-2023</t>
        </is>
      </c>
      <c r="B1774" s="1" t="n">
        <v>45131</v>
      </c>
      <c r="C1774" s="1" t="n">
        <v>45991</v>
      </c>
      <c r="D1774" t="inlineStr">
        <is>
          <t>VÄSTERNORRLANDS LÄN</t>
        </is>
      </c>
      <c r="E1774" t="inlineStr">
        <is>
          <t>SOLLEFTEÅ</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11338-2025</t>
        </is>
      </c>
      <c r="B1775" s="1" t="n">
        <v>45726.48987268518</v>
      </c>
      <c r="C1775" s="1" t="n">
        <v>45991</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5447-2025</t>
        </is>
      </c>
      <c r="B1776" s="1" t="n">
        <v>45692</v>
      </c>
      <c r="C1776" s="1" t="n">
        <v>45991</v>
      </c>
      <c r="D1776" t="inlineStr">
        <is>
          <t>VÄSTERNORRLANDS LÄN</t>
        </is>
      </c>
      <c r="E1776" t="inlineStr">
        <is>
          <t>SOLLEFTEÅ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42755-2022</t>
        </is>
      </c>
      <c r="B1777" s="1" t="n">
        <v>44832</v>
      </c>
      <c r="C1777" s="1" t="n">
        <v>45991</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12734-2023</t>
        </is>
      </c>
      <c r="B1778" s="1" t="n">
        <v>45000.92436342593</v>
      </c>
      <c r="C1778" s="1" t="n">
        <v>45991</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52266-2023</t>
        </is>
      </c>
      <c r="B1779" s="1" t="n">
        <v>45217</v>
      </c>
      <c r="C1779" s="1" t="n">
        <v>45991</v>
      </c>
      <c r="D1779" t="inlineStr">
        <is>
          <t>VÄSTERNORRLANDS LÄN</t>
        </is>
      </c>
      <c r="E1779" t="inlineStr">
        <is>
          <t>SOLLEFTEÅ</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51107-2023</t>
        </is>
      </c>
      <c r="B1780" s="1" t="n">
        <v>45218.92530092593</v>
      </c>
      <c r="C1780" s="1" t="n">
        <v>45991</v>
      </c>
      <c r="D1780" t="inlineStr">
        <is>
          <t>VÄSTERNORRLANDS LÄN</t>
        </is>
      </c>
      <c r="E1780" t="inlineStr">
        <is>
          <t>SOLLEFTEÅ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58027-2025</t>
        </is>
      </c>
      <c r="B1781" s="1" t="n">
        <v>45982.48417824074</v>
      </c>
      <c r="C1781" s="1" t="n">
        <v>45991</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58046-2025</t>
        </is>
      </c>
      <c r="B1782" s="1" t="n">
        <v>45982.50449074074</v>
      </c>
      <c r="C1782" s="1" t="n">
        <v>45991</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21362-2021</t>
        </is>
      </c>
      <c r="B1783" s="1" t="n">
        <v>44320.95611111111</v>
      </c>
      <c r="C1783" s="1" t="n">
        <v>45991</v>
      </c>
      <c r="D1783" t="inlineStr">
        <is>
          <t>VÄSTERNORRLANDS LÄN</t>
        </is>
      </c>
      <c r="E1783" t="inlineStr">
        <is>
          <t>SOLLEFTEÅ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58153-2025</t>
        </is>
      </c>
      <c r="B1784" s="1" t="n">
        <v>45982.65262731481</v>
      </c>
      <c r="C1784" s="1" t="n">
        <v>45991</v>
      </c>
      <c r="D1784" t="inlineStr">
        <is>
          <t>VÄSTERNORRLANDS LÄN</t>
        </is>
      </c>
      <c r="E1784" t="inlineStr">
        <is>
          <t>SOLLEFTEÅ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60077-2024</t>
        </is>
      </c>
      <c r="B1785" s="1" t="n">
        <v>45642</v>
      </c>
      <c r="C1785" s="1" t="n">
        <v>45991</v>
      </c>
      <c r="D1785" t="inlineStr">
        <is>
          <t>VÄSTERNORRLANDS LÄN</t>
        </is>
      </c>
      <c r="E1785" t="inlineStr">
        <is>
          <t>SOLLEFTEÅ</t>
        </is>
      </c>
      <c r="F1785" t="inlineStr">
        <is>
          <t>SCA</t>
        </is>
      </c>
      <c r="G1785" t="n">
        <v>21.5</v>
      </c>
      <c r="H1785" t="n">
        <v>0</v>
      </c>
      <c r="I1785" t="n">
        <v>0</v>
      </c>
      <c r="J1785" t="n">
        <v>0</v>
      </c>
      <c r="K1785" t="n">
        <v>0</v>
      </c>
      <c r="L1785" t="n">
        <v>0</v>
      </c>
      <c r="M1785" t="n">
        <v>0</v>
      </c>
      <c r="N1785" t="n">
        <v>0</v>
      </c>
      <c r="O1785" t="n">
        <v>0</v>
      </c>
      <c r="P1785" t="n">
        <v>0</v>
      </c>
      <c r="Q1785" t="n">
        <v>0</v>
      </c>
      <c r="R1785" s="2" t="inlineStr"/>
    </row>
    <row r="1786" ht="15" customHeight="1">
      <c r="A1786" t="inlineStr">
        <is>
          <t>A 11711-2025</t>
        </is>
      </c>
      <c r="B1786" s="1" t="n">
        <v>45727.59398148148</v>
      </c>
      <c r="C1786" s="1" t="n">
        <v>45991</v>
      </c>
      <c r="D1786" t="inlineStr">
        <is>
          <t>VÄSTERNORRLANDS LÄN</t>
        </is>
      </c>
      <c r="E1786" t="inlineStr">
        <is>
          <t>SOLLEFTEÅ</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27936-2024</t>
        </is>
      </c>
      <c r="B1787" s="1" t="n">
        <v>45475.95054398148</v>
      </c>
      <c r="C1787" s="1" t="n">
        <v>45991</v>
      </c>
      <c r="D1787" t="inlineStr">
        <is>
          <t>VÄSTERNORRLANDS LÄN</t>
        </is>
      </c>
      <c r="E1787" t="inlineStr">
        <is>
          <t>SOLLEFTEÅ</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49920-2025</t>
        </is>
      </c>
      <c r="B1788" s="1" t="n">
        <v>45940.63611111111</v>
      </c>
      <c r="C1788" s="1" t="n">
        <v>45991</v>
      </c>
      <c r="D1788" t="inlineStr">
        <is>
          <t>VÄSTERNORRLANDS LÄN</t>
        </is>
      </c>
      <c r="E1788" t="inlineStr">
        <is>
          <t>SOLLEFTEÅ</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49933-2025</t>
        </is>
      </c>
      <c r="B1789" s="1" t="n">
        <v>45940.65717592592</v>
      </c>
      <c r="C1789" s="1" t="n">
        <v>45991</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60360-2024</t>
        </is>
      </c>
      <c r="B1790" s="1" t="n">
        <v>45643.44837962963</v>
      </c>
      <c r="C1790" s="1" t="n">
        <v>45991</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58384-2025</t>
        </is>
      </c>
      <c r="B1791" s="1" t="n">
        <v>45985.54319444444</v>
      </c>
      <c r="C1791" s="1" t="n">
        <v>45991</v>
      </c>
      <c r="D1791" t="inlineStr">
        <is>
          <t>VÄSTERNORRLANDS LÄN</t>
        </is>
      </c>
      <c r="E1791" t="inlineStr">
        <is>
          <t>SOLLEFTEÅ</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58445-2025</t>
        </is>
      </c>
      <c r="B1792" s="1" t="n">
        <v>45985.62047453703</v>
      </c>
      <c r="C1792" s="1" t="n">
        <v>45991</v>
      </c>
      <c r="D1792" t="inlineStr">
        <is>
          <t>VÄSTERNORRLANDS LÄN</t>
        </is>
      </c>
      <c r="E1792" t="inlineStr">
        <is>
          <t>SOLLEFTEÅ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53278-2021</t>
        </is>
      </c>
      <c r="B1793" s="1" t="n">
        <v>44467</v>
      </c>
      <c r="C1793" s="1" t="n">
        <v>45991</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55726-2024</t>
        </is>
      </c>
      <c r="B1794" s="1" t="n">
        <v>45622.84653935185</v>
      </c>
      <c r="C1794" s="1" t="n">
        <v>45991</v>
      </c>
      <c r="D1794" t="inlineStr">
        <is>
          <t>VÄSTERNORRLANDS LÄN</t>
        </is>
      </c>
      <c r="E1794" t="inlineStr">
        <is>
          <t>SOLLEFTEÅ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58234-2025</t>
        </is>
      </c>
      <c r="B1795" s="1" t="n">
        <v>45985.38688657407</v>
      </c>
      <c r="C1795" s="1" t="n">
        <v>45991</v>
      </c>
      <c r="D1795" t="inlineStr">
        <is>
          <t>VÄSTERNORRLANDS LÄN</t>
        </is>
      </c>
      <c r="E1795" t="inlineStr">
        <is>
          <t>SOLLEFTEÅ</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12590-2024</t>
        </is>
      </c>
      <c r="B1796" s="1" t="n">
        <v>45379.93686342592</v>
      </c>
      <c r="C1796" s="1" t="n">
        <v>45991</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34329-2023</t>
        </is>
      </c>
      <c r="B1797" s="1" t="n">
        <v>45138.94997685185</v>
      </c>
      <c r="C1797" s="1" t="n">
        <v>45991</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60831-2024</t>
        </is>
      </c>
      <c r="B1798" s="1" t="n">
        <v>45644</v>
      </c>
      <c r="C1798" s="1" t="n">
        <v>45991</v>
      </c>
      <c r="D1798" t="inlineStr">
        <is>
          <t>VÄSTERNORRLANDS LÄN</t>
        </is>
      </c>
      <c r="E1798" t="inlineStr">
        <is>
          <t>SOLLEFTEÅ</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50627-2025</t>
        </is>
      </c>
      <c r="B1799" s="1" t="n">
        <v>45945</v>
      </c>
      <c r="C1799" s="1" t="n">
        <v>45991</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50505-2025</t>
        </is>
      </c>
      <c r="B1800" s="1" t="n">
        <v>45945.42863425926</v>
      </c>
      <c r="C1800" s="1" t="n">
        <v>45991</v>
      </c>
      <c r="D1800" t="inlineStr">
        <is>
          <t>VÄSTERNORRLANDS LÄN</t>
        </is>
      </c>
      <c r="E1800" t="inlineStr">
        <is>
          <t>SOLLEFTEÅ</t>
        </is>
      </c>
      <c r="F1800" t="inlineStr">
        <is>
          <t>SCA</t>
        </is>
      </c>
      <c r="G1800" t="n">
        <v>14.6</v>
      </c>
      <c r="H1800" t="n">
        <v>0</v>
      </c>
      <c r="I1800" t="n">
        <v>0</v>
      </c>
      <c r="J1800" t="n">
        <v>0</v>
      </c>
      <c r="K1800" t="n">
        <v>0</v>
      </c>
      <c r="L1800" t="n">
        <v>0</v>
      </c>
      <c r="M1800" t="n">
        <v>0</v>
      </c>
      <c r="N1800" t="n">
        <v>0</v>
      </c>
      <c r="O1800" t="n">
        <v>0</v>
      </c>
      <c r="P1800" t="n">
        <v>0</v>
      </c>
      <c r="Q1800" t="n">
        <v>0</v>
      </c>
      <c r="R1800" s="2" t="inlineStr"/>
    </row>
    <row r="1801" ht="15" customHeight="1">
      <c r="A1801" t="inlineStr">
        <is>
          <t>A 50522-2025</t>
        </is>
      </c>
      <c r="B1801" s="1" t="n">
        <v>45945</v>
      </c>
      <c r="C1801" s="1" t="n">
        <v>45991</v>
      </c>
      <c r="D1801" t="inlineStr">
        <is>
          <t>VÄSTERNORRLANDS LÄN</t>
        </is>
      </c>
      <c r="E1801" t="inlineStr">
        <is>
          <t>SOLLEFTEÅ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13860-2025</t>
        </is>
      </c>
      <c r="B1802" s="1" t="n">
        <v>45737.57387731481</v>
      </c>
      <c r="C1802" s="1" t="n">
        <v>45991</v>
      </c>
      <c r="D1802" t="inlineStr">
        <is>
          <t>VÄSTERNORRLANDS LÄN</t>
        </is>
      </c>
      <c r="E1802" t="inlineStr">
        <is>
          <t>SOLLEFTEÅ</t>
        </is>
      </c>
      <c r="F1802" t="inlineStr">
        <is>
          <t>SCA</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52461-2024</t>
        </is>
      </c>
      <c r="B1803" s="1" t="n">
        <v>45609.51947916667</v>
      </c>
      <c r="C1803" s="1" t="n">
        <v>45991</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50402-2025</t>
        </is>
      </c>
      <c r="B1804" s="1" t="n">
        <v>45944.63606481482</v>
      </c>
      <c r="C1804" s="1" t="n">
        <v>45991</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58276-2021</t>
        </is>
      </c>
      <c r="B1805" s="1" t="n">
        <v>44487.94453703704</v>
      </c>
      <c r="C1805" s="1" t="n">
        <v>45991</v>
      </c>
      <c r="D1805" t="inlineStr">
        <is>
          <t>VÄSTERNORRLANDS LÄN</t>
        </is>
      </c>
      <c r="E1805" t="inlineStr">
        <is>
          <t>SOLLEFTEÅ</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50283-2025</t>
        </is>
      </c>
      <c r="B1806" s="1" t="n">
        <v>45944.38641203703</v>
      </c>
      <c r="C1806" s="1" t="n">
        <v>45991</v>
      </c>
      <c r="D1806" t="inlineStr">
        <is>
          <t>VÄSTERNORRLANDS LÄN</t>
        </is>
      </c>
      <c r="E1806" t="inlineStr">
        <is>
          <t>SOLLEFTEÅ</t>
        </is>
      </c>
      <c r="F1806" t="inlineStr">
        <is>
          <t>SCA</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51372-2025</t>
        </is>
      </c>
      <c r="B1807" s="1" t="n">
        <v>45950.44846064815</v>
      </c>
      <c r="C1807" s="1" t="n">
        <v>45991</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14353-2025</t>
        </is>
      </c>
      <c r="B1808" s="1" t="n">
        <v>45741.36502314815</v>
      </c>
      <c r="C1808" s="1" t="n">
        <v>45991</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16463-2024</t>
        </is>
      </c>
      <c r="B1809" s="1" t="n">
        <v>45408.05027777778</v>
      </c>
      <c r="C1809" s="1" t="n">
        <v>45991</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16467-2024</t>
        </is>
      </c>
      <c r="B1810" s="1" t="n">
        <v>45408</v>
      </c>
      <c r="C1810" s="1" t="n">
        <v>45991</v>
      </c>
      <c r="D1810" t="inlineStr">
        <is>
          <t>VÄSTERNORRLANDS LÄN</t>
        </is>
      </c>
      <c r="E1810" t="inlineStr">
        <is>
          <t>SOLLEFTEÅ</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12972-2023</t>
        </is>
      </c>
      <c r="B1811" s="1" t="n">
        <v>45001</v>
      </c>
      <c r="C1811" s="1" t="n">
        <v>45991</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50281-2025</t>
        </is>
      </c>
      <c r="B1812" s="1" t="n">
        <v>45944.38600694444</v>
      </c>
      <c r="C1812" s="1" t="n">
        <v>45991</v>
      </c>
      <c r="D1812" t="inlineStr">
        <is>
          <t>VÄSTERNORRLANDS LÄN</t>
        </is>
      </c>
      <c r="E1812" t="inlineStr">
        <is>
          <t>SOLLEFTEÅ</t>
        </is>
      </c>
      <c r="F1812" t="inlineStr">
        <is>
          <t>SCA</t>
        </is>
      </c>
      <c r="G1812" t="n">
        <v>29.2</v>
      </c>
      <c r="H1812" t="n">
        <v>0</v>
      </c>
      <c r="I1812" t="n">
        <v>0</v>
      </c>
      <c r="J1812" t="n">
        <v>0</v>
      </c>
      <c r="K1812" t="n">
        <v>0</v>
      </c>
      <c r="L1812" t="n">
        <v>0</v>
      </c>
      <c r="M1812" t="n">
        <v>0</v>
      </c>
      <c r="N1812" t="n">
        <v>0</v>
      </c>
      <c r="O1812" t="n">
        <v>0</v>
      </c>
      <c r="P1812" t="n">
        <v>0</v>
      </c>
      <c r="Q1812" t="n">
        <v>0</v>
      </c>
      <c r="R1812" s="2" t="inlineStr"/>
    </row>
    <row r="1813" ht="15" customHeight="1">
      <c r="A1813" t="inlineStr">
        <is>
          <t>A 17512-2024</t>
        </is>
      </c>
      <c r="B1813" s="1" t="n">
        <v>45415</v>
      </c>
      <c r="C1813" s="1" t="n">
        <v>45991</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56311-2023</t>
        </is>
      </c>
      <c r="B1814" s="1" t="n">
        <v>45242.94203703704</v>
      </c>
      <c r="C1814" s="1" t="n">
        <v>45991</v>
      </c>
      <c r="D1814" t="inlineStr">
        <is>
          <t>VÄSTERNORRLANDS LÄN</t>
        </is>
      </c>
      <c r="E1814" t="inlineStr">
        <is>
          <t>SOLLEFTEÅ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60170-2022</t>
        </is>
      </c>
      <c r="B1815" s="1" t="n">
        <v>44909</v>
      </c>
      <c r="C1815" s="1" t="n">
        <v>45991</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774-2025</t>
        </is>
      </c>
      <c r="B1816" s="1" t="n">
        <v>45659</v>
      </c>
      <c r="C1816" s="1" t="n">
        <v>45991</v>
      </c>
      <c r="D1816" t="inlineStr">
        <is>
          <t>VÄSTERNORRLANDS LÄN</t>
        </is>
      </c>
      <c r="E1816" t="inlineStr">
        <is>
          <t>SOLLEFTEÅ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775-2025</t>
        </is>
      </c>
      <c r="B1817" s="1" t="n">
        <v>45659</v>
      </c>
      <c r="C1817" s="1" t="n">
        <v>45991</v>
      </c>
      <c r="D1817" t="inlineStr">
        <is>
          <t>VÄSTERNORRLANDS LÄN</t>
        </is>
      </c>
      <c r="E1817" t="inlineStr">
        <is>
          <t>SOLLEFTEÅ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58948-2025</t>
        </is>
      </c>
      <c r="B1818" s="1" t="n">
        <v>45987</v>
      </c>
      <c r="C1818" s="1" t="n">
        <v>45991</v>
      </c>
      <c r="D1818" t="inlineStr">
        <is>
          <t>VÄSTERNORRLANDS LÄN</t>
        </is>
      </c>
      <c r="E1818" t="inlineStr">
        <is>
          <t>SOLLEFTEÅ</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58512-2025</t>
        </is>
      </c>
      <c r="B1819" s="1" t="n">
        <v>45982</v>
      </c>
      <c r="C1819" s="1" t="n">
        <v>45991</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58558-2025</t>
        </is>
      </c>
      <c r="B1820" s="1" t="n">
        <v>45986.34451388889</v>
      </c>
      <c r="C1820" s="1" t="n">
        <v>45991</v>
      </c>
      <c r="D1820" t="inlineStr">
        <is>
          <t>VÄSTERNORRLANDS LÄN</t>
        </is>
      </c>
      <c r="E1820" t="inlineStr">
        <is>
          <t>SOLLEFTEÅ</t>
        </is>
      </c>
      <c r="F1820" t="inlineStr">
        <is>
          <t>SCA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58509-2025</t>
        </is>
      </c>
      <c r="B1821" s="1" t="n">
        <v>45982</v>
      </c>
      <c r="C1821" s="1" t="n">
        <v>45991</v>
      </c>
      <c r="D1821" t="inlineStr">
        <is>
          <t>VÄSTERNORRLANDS LÄN</t>
        </is>
      </c>
      <c r="E1821" t="inlineStr">
        <is>
          <t>SOLLEFTEÅ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58772-2025</t>
        </is>
      </c>
      <c r="B1822" s="1" t="n">
        <v>45986</v>
      </c>
      <c r="C1822" s="1" t="n">
        <v>45991</v>
      </c>
      <c r="D1822" t="inlineStr">
        <is>
          <t>VÄSTERNORRLANDS LÄN</t>
        </is>
      </c>
      <c r="E1822" t="inlineStr">
        <is>
          <t>SOLLEFTEÅ</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5394-2025</t>
        </is>
      </c>
      <c r="B1823" s="1" t="n">
        <v>45692.63591435185</v>
      </c>
      <c r="C1823" s="1" t="n">
        <v>45991</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13252-2023</t>
        </is>
      </c>
      <c r="B1824" s="1" t="n">
        <v>45002</v>
      </c>
      <c r="C1824" s="1" t="n">
        <v>45991</v>
      </c>
      <c r="D1824" t="inlineStr">
        <is>
          <t>VÄSTERNORRLANDS LÄN</t>
        </is>
      </c>
      <c r="E1824" t="inlineStr">
        <is>
          <t>SOLLEFTEÅ</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48001-2024</t>
        </is>
      </c>
      <c r="B1825" s="1" t="n">
        <v>45589.44826388889</v>
      </c>
      <c r="C1825" s="1" t="n">
        <v>45991</v>
      </c>
      <c r="D1825" t="inlineStr">
        <is>
          <t>VÄSTERNORRLANDS LÄN</t>
        </is>
      </c>
      <c r="E1825" t="inlineStr">
        <is>
          <t>SOLLEFTEÅ</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61997-2022</t>
        </is>
      </c>
      <c r="B1826" s="1" t="n">
        <v>44914</v>
      </c>
      <c r="C1826" s="1" t="n">
        <v>45991</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50245-2025</t>
        </is>
      </c>
      <c r="B1827" s="1" t="n">
        <v>45944.30101851852</v>
      </c>
      <c r="C1827" s="1" t="n">
        <v>45991</v>
      </c>
      <c r="D1827" t="inlineStr">
        <is>
          <t>VÄSTERNORRLANDS LÄN</t>
        </is>
      </c>
      <c r="E1827" t="inlineStr">
        <is>
          <t>SOLLEFTEÅ</t>
        </is>
      </c>
      <c r="F1827" t="inlineStr">
        <is>
          <t>Holmen skog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50645-2025</t>
        </is>
      </c>
      <c r="B1828" s="1" t="n">
        <v>45945.65685185185</v>
      </c>
      <c r="C1828" s="1" t="n">
        <v>45991</v>
      </c>
      <c r="D1828" t="inlineStr">
        <is>
          <t>VÄSTERNORRLANDS LÄN</t>
        </is>
      </c>
      <c r="E1828" t="inlineStr">
        <is>
          <t>SOLLEFTEÅ</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58845-2025</t>
        </is>
      </c>
      <c r="B1829" s="1" t="n">
        <v>45987.3859375</v>
      </c>
      <c r="C1829" s="1" t="n">
        <v>45991</v>
      </c>
      <c r="D1829" t="inlineStr">
        <is>
          <t>VÄSTERNORRLANDS LÄN</t>
        </is>
      </c>
      <c r="E1829" t="inlineStr">
        <is>
          <t>SOLLEFTEÅ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50388-2025</t>
        </is>
      </c>
      <c r="B1830" s="1" t="n">
        <v>45944.61509259259</v>
      </c>
      <c r="C1830" s="1" t="n">
        <v>45991</v>
      </c>
      <c r="D1830" t="inlineStr">
        <is>
          <t>VÄSTERNORRLANDS LÄN</t>
        </is>
      </c>
      <c r="E1830" t="inlineStr">
        <is>
          <t>SOLLEFTEÅ</t>
        </is>
      </c>
      <c r="F1830" t="inlineStr">
        <is>
          <t>SCA</t>
        </is>
      </c>
      <c r="G1830" t="n">
        <v>22.8</v>
      </c>
      <c r="H1830" t="n">
        <v>0</v>
      </c>
      <c r="I1830" t="n">
        <v>0</v>
      </c>
      <c r="J1830" t="n">
        <v>0</v>
      </c>
      <c r="K1830" t="n">
        <v>0</v>
      </c>
      <c r="L1830" t="n">
        <v>0</v>
      </c>
      <c r="M1830" t="n">
        <v>0</v>
      </c>
      <c r="N1830" t="n">
        <v>0</v>
      </c>
      <c r="O1830" t="n">
        <v>0</v>
      </c>
      <c r="P1830" t="n">
        <v>0</v>
      </c>
      <c r="Q1830" t="n">
        <v>0</v>
      </c>
      <c r="R1830" s="2" t="inlineStr"/>
    </row>
    <row r="1831" ht="15" customHeight="1">
      <c r="A1831" t="inlineStr">
        <is>
          <t>A 39429-2024</t>
        </is>
      </c>
      <c r="B1831" s="1" t="n">
        <v>45551.59427083333</v>
      </c>
      <c r="C1831" s="1" t="n">
        <v>45991</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58510-2025</t>
        </is>
      </c>
      <c r="B1832" s="1" t="n">
        <v>45982</v>
      </c>
      <c r="C1832" s="1" t="n">
        <v>45991</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58511-2025</t>
        </is>
      </c>
      <c r="B1833" s="1" t="n">
        <v>45982</v>
      </c>
      <c r="C1833" s="1" t="n">
        <v>45991</v>
      </c>
      <c r="D1833" t="inlineStr">
        <is>
          <t>VÄSTERNORRLANDS LÄN</t>
        </is>
      </c>
      <c r="E1833" t="inlineStr">
        <is>
          <t>SOLLEFTEÅ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11551-2023</t>
        </is>
      </c>
      <c r="B1834" s="1" t="n">
        <v>44993</v>
      </c>
      <c r="C1834" s="1" t="n">
        <v>45991</v>
      </c>
      <c r="D1834" t="inlineStr">
        <is>
          <t>VÄSTERNORRLANDS LÄN</t>
        </is>
      </c>
      <c r="E1834" t="inlineStr">
        <is>
          <t>SOLLEFTEÅ</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50493-2025</t>
        </is>
      </c>
      <c r="B1835" s="1" t="n">
        <v>45945.40685185185</v>
      </c>
      <c r="C1835" s="1" t="n">
        <v>45991</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50555-2025</t>
        </is>
      </c>
      <c r="B1836" s="1" t="n">
        <v>45945.53164351852</v>
      </c>
      <c r="C1836" s="1" t="n">
        <v>45991</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56252-2024</t>
        </is>
      </c>
      <c r="B1837" s="1" t="n">
        <v>45624</v>
      </c>
      <c r="C1837" s="1" t="n">
        <v>45991</v>
      </c>
      <c r="D1837" t="inlineStr">
        <is>
          <t>VÄSTERNORRLANDS LÄN</t>
        </is>
      </c>
      <c r="E1837" t="inlineStr">
        <is>
          <t>SOLLEFTEÅ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9072-2025</t>
        </is>
      </c>
      <c r="B1838" s="1" t="n">
        <v>45713.65673611111</v>
      </c>
      <c r="C1838" s="1" t="n">
        <v>45991</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50859-2025</t>
        </is>
      </c>
      <c r="B1839" s="1" t="n">
        <v>45946.59450231482</v>
      </c>
      <c r="C1839" s="1" t="n">
        <v>45991</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10737-2025</t>
        </is>
      </c>
      <c r="B1840" s="1" t="n">
        <v>45722</v>
      </c>
      <c r="C1840" s="1" t="n">
        <v>45991</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61778-2024</t>
        </is>
      </c>
      <c r="B1841" s="1" t="n">
        <v>45649.46961805555</v>
      </c>
      <c r="C1841" s="1" t="n">
        <v>45991</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51226-2025</t>
        </is>
      </c>
      <c r="B1842" s="1" t="n">
        <v>45947.65663194445</v>
      </c>
      <c r="C1842" s="1" t="n">
        <v>45991</v>
      </c>
      <c r="D1842" t="inlineStr">
        <is>
          <t>VÄSTERNORRLANDS LÄN</t>
        </is>
      </c>
      <c r="E1842" t="inlineStr">
        <is>
          <t>SOLLEFTEÅ</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59036-2025</t>
        </is>
      </c>
      <c r="B1843" s="1" t="n">
        <v>45988.3650462963</v>
      </c>
      <c r="C1843" s="1" t="n">
        <v>45991</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11117-2022</t>
        </is>
      </c>
      <c r="B1844" s="1" t="n">
        <v>44628.94248842593</v>
      </c>
      <c r="C1844" s="1" t="n">
        <v>45991</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18621-2024</t>
        </is>
      </c>
      <c r="B1845" s="1" t="n">
        <v>45425</v>
      </c>
      <c r="C1845" s="1" t="n">
        <v>45991</v>
      </c>
      <c r="D1845" t="inlineStr">
        <is>
          <t>VÄSTERNORRLANDS LÄN</t>
        </is>
      </c>
      <c r="E1845" t="inlineStr">
        <is>
          <t>SOLLEFTEÅ</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18622-2024</t>
        </is>
      </c>
      <c r="B1846" s="1" t="n">
        <v>45425.96364583333</v>
      </c>
      <c r="C1846" s="1" t="n">
        <v>45991</v>
      </c>
      <c r="D1846" t="inlineStr">
        <is>
          <t>VÄSTERNORRLANDS LÄN</t>
        </is>
      </c>
      <c r="E1846" t="inlineStr">
        <is>
          <t>SOLLEFTEÅ</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40569-2024</t>
        </is>
      </c>
      <c r="B1847" s="1" t="n">
        <v>45555.67744212963</v>
      </c>
      <c r="C1847" s="1" t="n">
        <v>45991</v>
      </c>
      <c r="D1847" t="inlineStr">
        <is>
          <t>VÄSTERNORRLANDS LÄN</t>
        </is>
      </c>
      <c r="E1847" t="inlineStr">
        <is>
          <t>SOLLEFTEÅ</t>
        </is>
      </c>
      <c r="F1847" t="inlineStr">
        <is>
          <t>SCA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59260-2025</t>
        </is>
      </c>
      <c r="B1848" s="1" t="n">
        <v>45988.65762731482</v>
      </c>
      <c r="C1848" s="1" t="n">
        <v>45991</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13539-2024</t>
        </is>
      </c>
      <c r="B1849" s="1" t="n">
        <v>45387.92583333333</v>
      </c>
      <c r="C1849" s="1" t="n">
        <v>45991</v>
      </c>
      <c r="D1849" t="inlineStr">
        <is>
          <t>VÄSTERNORRLANDS LÄN</t>
        </is>
      </c>
      <c r="E1849" t="inlineStr">
        <is>
          <t>SOLLEFTEÅ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34543-2022</t>
        </is>
      </c>
      <c r="B1850" s="1" t="n">
        <v>44793</v>
      </c>
      <c r="C1850" s="1" t="n">
        <v>45991</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42115-2024</t>
        </is>
      </c>
      <c r="B1851" s="1" t="n">
        <v>45562.38615740741</v>
      </c>
      <c r="C1851" s="1" t="n">
        <v>45991</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51118-2025</t>
        </is>
      </c>
      <c r="B1852" s="1" t="n">
        <v>45947.53177083333</v>
      </c>
      <c r="C1852" s="1" t="n">
        <v>45991</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67702-2021</t>
        </is>
      </c>
      <c r="B1853" s="1" t="n">
        <v>44524.94660879629</v>
      </c>
      <c r="C1853" s="1" t="n">
        <v>45991</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59402-2025</t>
        </is>
      </c>
      <c r="B1854" s="1" t="n">
        <v>45989</v>
      </c>
      <c r="C1854" s="1" t="n">
        <v>45991</v>
      </c>
      <c r="D1854" t="inlineStr">
        <is>
          <t>VÄSTERNORRLANDS LÄN</t>
        </is>
      </c>
      <c r="E1854" t="inlineStr">
        <is>
          <t>SOLLEFTEÅ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50911-2025</t>
        </is>
      </c>
      <c r="B1855" s="1" t="n">
        <v>45946.65690972222</v>
      </c>
      <c r="C1855" s="1" t="n">
        <v>45991</v>
      </c>
      <c r="D1855" t="inlineStr">
        <is>
          <t>VÄSTERNORRLANDS LÄN</t>
        </is>
      </c>
      <c r="E1855" t="inlineStr">
        <is>
          <t>SOLLEFTEÅ</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51036-2025</t>
        </is>
      </c>
      <c r="B1856" s="1" t="n">
        <v>45947.40709490741</v>
      </c>
      <c r="C1856" s="1" t="n">
        <v>45991</v>
      </c>
      <c r="D1856" t="inlineStr">
        <is>
          <t>VÄSTERNORRLANDS LÄN</t>
        </is>
      </c>
      <c r="E1856" t="inlineStr">
        <is>
          <t>SOLLEFTEÅ</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59436-2025</t>
        </is>
      </c>
      <c r="B1857" s="1" t="n">
        <v>45989.55641203704</v>
      </c>
      <c r="C1857" s="1" t="n">
        <v>45991</v>
      </c>
      <c r="D1857" t="inlineStr">
        <is>
          <t>VÄSTERNORRLANDS LÄN</t>
        </is>
      </c>
      <c r="E1857" t="inlineStr">
        <is>
          <t>SOLLEFTEÅ</t>
        </is>
      </c>
      <c r="F1857" t="inlineStr">
        <is>
          <t>Holmen skog AB</t>
        </is>
      </c>
      <c r="G1857" t="n">
        <v>20</v>
      </c>
      <c r="H1857" t="n">
        <v>0</v>
      </c>
      <c r="I1857" t="n">
        <v>0</v>
      </c>
      <c r="J1857" t="n">
        <v>0</v>
      </c>
      <c r="K1857" t="n">
        <v>0</v>
      </c>
      <c r="L1857" t="n">
        <v>0</v>
      </c>
      <c r="M1857" t="n">
        <v>0</v>
      </c>
      <c r="N1857" t="n">
        <v>0</v>
      </c>
      <c r="O1857" t="n">
        <v>0</v>
      </c>
      <c r="P1857" t="n">
        <v>0</v>
      </c>
      <c r="Q1857" t="n">
        <v>0</v>
      </c>
      <c r="R1857" s="2" t="inlineStr"/>
    </row>
    <row r="1858" ht="15" customHeight="1">
      <c r="A1858" t="inlineStr">
        <is>
          <t>A 3633-2024</t>
        </is>
      </c>
      <c r="B1858" s="1" t="n">
        <v>45320</v>
      </c>
      <c r="C1858" s="1" t="n">
        <v>45991</v>
      </c>
      <c r="D1858" t="inlineStr">
        <is>
          <t>VÄSTERNORRLANDS LÄN</t>
        </is>
      </c>
      <c r="E1858" t="inlineStr">
        <is>
          <t>SOLLEFTEÅ</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50843-2025</t>
        </is>
      </c>
      <c r="B1859" s="1" t="n">
        <v>45946.57344907407</v>
      </c>
      <c r="C1859" s="1" t="n">
        <v>45991</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59038-2025</t>
        </is>
      </c>
      <c r="B1860" s="1" t="n">
        <v>45988.36515046296</v>
      </c>
      <c r="C1860" s="1" t="n">
        <v>45991</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50929-2025</t>
        </is>
      </c>
      <c r="B1861" s="1" t="n">
        <v>45946.67913194445</v>
      </c>
      <c r="C1861" s="1" t="n">
        <v>45991</v>
      </c>
      <c r="D1861" t="inlineStr">
        <is>
          <t>VÄSTERNORRLANDS LÄN</t>
        </is>
      </c>
      <c r="E1861" t="inlineStr">
        <is>
          <t>SOLLEFTEÅ</t>
        </is>
      </c>
      <c r="F1861" t="inlineStr">
        <is>
          <t>SCA</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50930-2025</t>
        </is>
      </c>
      <c r="B1862" s="1" t="n">
        <v>45946.6796875</v>
      </c>
      <c r="C1862" s="1" t="n">
        <v>45991</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51573-2024</t>
        </is>
      </c>
      <c r="B1863" s="1" t="n">
        <v>45604</v>
      </c>
      <c r="C1863" s="1" t="n">
        <v>45991</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59408-2025</t>
        </is>
      </c>
      <c r="B1864" s="1" t="n">
        <v>45989.49541666666</v>
      </c>
      <c r="C1864" s="1" t="n">
        <v>45991</v>
      </c>
      <c r="D1864" t="inlineStr">
        <is>
          <t>VÄSTERNORRLANDS LÄN</t>
        </is>
      </c>
      <c r="E1864" t="inlineStr">
        <is>
          <t>SOLLEFTEÅ</t>
        </is>
      </c>
      <c r="F1864" t="inlineStr">
        <is>
          <t>Holmen skog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50860-2025</t>
        </is>
      </c>
      <c r="B1865" s="1" t="n">
        <v>45946.59475694445</v>
      </c>
      <c r="C1865" s="1" t="n">
        <v>45991</v>
      </c>
      <c r="D1865" t="inlineStr">
        <is>
          <t>VÄSTERNORRLANDS LÄN</t>
        </is>
      </c>
      <c r="E1865" t="inlineStr">
        <is>
          <t>SOLLEFTEÅ</t>
        </is>
      </c>
      <c r="F1865" t="inlineStr">
        <is>
          <t>SCA</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18459-2021</t>
        </is>
      </c>
      <c r="B1866" s="1" t="n">
        <v>44305.93701388889</v>
      </c>
      <c r="C1866" s="1" t="n">
        <v>45991</v>
      </c>
      <c r="D1866" t="inlineStr">
        <is>
          <t>VÄSTERNORRLANDS LÄN</t>
        </is>
      </c>
      <c r="E1866" t="inlineStr">
        <is>
          <t>SOLLEFTEÅ</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9254-2025</t>
        </is>
      </c>
      <c r="B1867" s="1" t="n">
        <v>45714.59442129629</v>
      </c>
      <c r="C1867" s="1" t="n">
        <v>45991</v>
      </c>
      <c r="D1867" t="inlineStr">
        <is>
          <t>VÄSTERNORRLANDS LÄN</t>
        </is>
      </c>
      <c r="E1867" t="inlineStr">
        <is>
          <t>SOLLEFTEÅ</t>
        </is>
      </c>
      <c r="F1867" t="inlineStr">
        <is>
          <t>SCA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51102-2025</t>
        </is>
      </c>
      <c r="B1868" s="1" t="n">
        <v>45947.49001157407</v>
      </c>
      <c r="C1868" s="1" t="n">
        <v>45991</v>
      </c>
      <c r="D1868" t="inlineStr">
        <is>
          <t>VÄSTERNORRLANDS LÄN</t>
        </is>
      </c>
      <c r="E1868" t="inlineStr">
        <is>
          <t>SOLLEFTEÅ</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42164-2023</t>
        </is>
      </c>
      <c r="B1869" s="1" t="n">
        <v>45177.93747685185</v>
      </c>
      <c r="C1869" s="1" t="n">
        <v>45991</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42514-2023</t>
        </is>
      </c>
      <c r="B1870" s="1" t="n">
        <v>45180.95969907408</v>
      </c>
      <c r="C1870" s="1" t="n">
        <v>45991</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37696-2023</t>
        </is>
      </c>
      <c r="B1871" s="1" t="n">
        <v>45156</v>
      </c>
      <c r="C1871" s="1" t="n">
        <v>45991</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51223-2025</t>
        </is>
      </c>
      <c r="B1872" s="1" t="n">
        <v>45947.65533564815</v>
      </c>
      <c r="C1872" s="1" t="n">
        <v>45991</v>
      </c>
      <c r="D1872" t="inlineStr">
        <is>
          <t>VÄSTERNORRLANDS LÄN</t>
        </is>
      </c>
      <c r="E1872" t="inlineStr">
        <is>
          <t>SOLLEFTEÅ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34878-2024</t>
        </is>
      </c>
      <c r="B1873" s="1" t="n">
        <v>45527</v>
      </c>
      <c r="C1873" s="1" t="n">
        <v>45991</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59051-2025</t>
        </is>
      </c>
      <c r="B1874" s="1" t="n">
        <v>45988.38612268519</v>
      </c>
      <c r="C1874" s="1" t="n">
        <v>45991</v>
      </c>
      <c r="D1874" t="inlineStr">
        <is>
          <t>VÄSTERNORRLANDS LÄN</t>
        </is>
      </c>
      <c r="E1874" t="inlineStr">
        <is>
          <t>SOLLEFTEÅ</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51087-2025</t>
        </is>
      </c>
      <c r="B1875" s="1" t="n">
        <v>45947.46954861111</v>
      </c>
      <c r="C1875" s="1" t="n">
        <v>45991</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51088-2025</t>
        </is>
      </c>
      <c r="B1876" s="1" t="n">
        <v>45947.46975694445</v>
      </c>
      <c r="C1876" s="1" t="n">
        <v>45991</v>
      </c>
      <c r="D1876" t="inlineStr">
        <is>
          <t>VÄSTERNORRLANDS LÄN</t>
        </is>
      </c>
      <c r="E1876" t="inlineStr">
        <is>
          <t>SOLLEFTEÅ</t>
        </is>
      </c>
      <c r="F1876" t="inlineStr">
        <is>
          <t>SCA</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31681-2024</t>
        </is>
      </c>
      <c r="B1877" s="1" t="n">
        <v>45506.94902777778</v>
      </c>
      <c r="C1877" s="1" t="n">
        <v>45991</v>
      </c>
      <c r="D1877" t="inlineStr">
        <is>
          <t>VÄSTERNORRLANDS LÄN</t>
        </is>
      </c>
      <c r="E1877" t="inlineStr">
        <is>
          <t>SOLLEFTEÅ</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54233-2024</t>
        </is>
      </c>
      <c r="B1878" s="1" t="n">
        <v>45616.67791666667</v>
      </c>
      <c r="C1878" s="1" t="n">
        <v>45991</v>
      </c>
      <c r="D1878" t="inlineStr">
        <is>
          <t>VÄSTERNORRLANDS LÄN</t>
        </is>
      </c>
      <c r="E1878" t="inlineStr">
        <is>
          <t>SOLLEFTEÅ</t>
        </is>
      </c>
      <c r="F1878" t="inlineStr">
        <is>
          <t>SCA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38100-2023</t>
        </is>
      </c>
      <c r="B1879" s="1" t="n">
        <v>45160.9647800926</v>
      </c>
      <c r="C1879" s="1" t="n">
        <v>45991</v>
      </c>
      <c r="D1879" t="inlineStr">
        <is>
          <t>VÄSTERNORRLANDS LÄN</t>
        </is>
      </c>
      <c r="E1879" t="inlineStr">
        <is>
          <t>SOLLEFTEÅ</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59181-2025</t>
        </is>
      </c>
      <c r="B1880" s="1" t="n">
        <v>45988.57390046296</v>
      </c>
      <c r="C1880" s="1" t="n">
        <v>45991</v>
      </c>
      <c r="D1880" t="inlineStr">
        <is>
          <t>VÄSTERNORRLANDS LÄN</t>
        </is>
      </c>
      <c r="E1880" t="inlineStr">
        <is>
          <t>SOLLEFTEÅ</t>
        </is>
      </c>
      <c r="F1880" t="inlineStr">
        <is>
          <t>SCA</t>
        </is>
      </c>
      <c r="G1880" t="n">
        <v>28.3</v>
      </c>
      <c r="H1880" t="n">
        <v>0</v>
      </c>
      <c r="I1880" t="n">
        <v>0</v>
      </c>
      <c r="J1880" t="n">
        <v>0</v>
      </c>
      <c r="K1880" t="n">
        <v>0</v>
      </c>
      <c r="L1880" t="n">
        <v>0</v>
      </c>
      <c r="M1880" t="n">
        <v>0</v>
      </c>
      <c r="N1880" t="n">
        <v>0</v>
      </c>
      <c r="O1880" t="n">
        <v>0</v>
      </c>
      <c r="P1880" t="n">
        <v>0</v>
      </c>
      <c r="Q1880" t="n">
        <v>0</v>
      </c>
      <c r="R1880" s="2" t="inlineStr"/>
    </row>
    <row r="1881" ht="15" customHeight="1">
      <c r="A1881" t="inlineStr">
        <is>
          <t>A 50733-2025</t>
        </is>
      </c>
      <c r="B1881" s="1" t="n">
        <v>45946.36538194444</v>
      </c>
      <c r="C1881" s="1" t="n">
        <v>45991</v>
      </c>
      <c r="D1881" t="inlineStr">
        <is>
          <t>VÄSTERNORRLANDS LÄN</t>
        </is>
      </c>
      <c r="E1881" t="inlineStr">
        <is>
          <t>SOLLEFTEÅ</t>
        </is>
      </c>
      <c r="F1881" t="inlineStr">
        <is>
          <t>SCA</t>
        </is>
      </c>
      <c r="G1881" t="n">
        <v>15.3</v>
      </c>
      <c r="H1881" t="n">
        <v>0</v>
      </c>
      <c r="I1881" t="n">
        <v>0</v>
      </c>
      <c r="J1881" t="n">
        <v>0</v>
      </c>
      <c r="K1881" t="n">
        <v>0</v>
      </c>
      <c r="L1881" t="n">
        <v>0</v>
      </c>
      <c r="M1881" t="n">
        <v>0</v>
      </c>
      <c r="N1881" t="n">
        <v>0</v>
      </c>
      <c r="O1881" t="n">
        <v>0</v>
      </c>
      <c r="P1881" t="n">
        <v>0</v>
      </c>
      <c r="Q1881" t="n">
        <v>0</v>
      </c>
      <c r="R1881" s="2" t="inlineStr"/>
    </row>
    <row r="1882" ht="15" customHeight="1">
      <c r="A1882" t="inlineStr">
        <is>
          <t>A 25877-2021</t>
        </is>
      </c>
      <c r="B1882" s="1" t="n">
        <v>44344</v>
      </c>
      <c r="C1882" s="1" t="n">
        <v>45991</v>
      </c>
      <c r="D1882" t="inlineStr">
        <is>
          <t>VÄSTERNORRLANDS LÄN</t>
        </is>
      </c>
      <c r="E1882" t="inlineStr">
        <is>
          <t>SOLLEFTEÅ</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23542-2024</t>
        </is>
      </c>
      <c r="B1883" s="1" t="n">
        <v>45453.95262731481</v>
      </c>
      <c r="C1883" s="1" t="n">
        <v>45991</v>
      </c>
      <c r="D1883" t="inlineStr">
        <is>
          <t>VÄSTERNORRLANDS LÄN</t>
        </is>
      </c>
      <c r="E1883" t="inlineStr">
        <is>
          <t>SOLLEFTEÅ</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18861-2023</t>
        </is>
      </c>
      <c r="B1884" s="1" t="n">
        <v>45042</v>
      </c>
      <c r="C1884" s="1" t="n">
        <v>45991</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17993-2025</t>
        </is>
      </c>
      <c r="B1885" s="1" t="n">
        <v>45761.40673611111</v>
      </c>
      <c r="C1885" s="1" t="n">
        <v>45991</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49253-2024</t>
        </is>
      </c>
      <c r="B1886" s="1" t="n">
        <v>45595</v>
      </c>
      <c r="C1886" s="1" t="n">
        <v>45991</v>
      </c>
      <c r="D1886" t="inlineStr">
        <is>
          <t>VÄSTERNORRLANDS LÄN</t>
        </is>
      </c>
      <c r="E1886" t="inlineStr">
        <is>
          <t>SOLLEFTEÅ</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11455-2025</t>
        </is>
      </c>
      <c r="B1887" s="1" t="n">
        <v>45726.64886574074</v>
      </c>
      <c r="C1887" s="1" t="n">
        <v>45991</v>
      </c>
      <c r="D1887" t="inlineStr">
        <is>
          <t>VÄSTERNORRLANDS LÄN</t>
        </is>
      </c>
      <c r="E1887" t="inlineStr">
        <is>
          <t>SOLLEFTEÅ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10138-2022</t>
        </is>
      </c>
      <c r="B1888" s="1" t="n">
        <v>44621.94612268519</v>
      </c>
      <c r="C1888" s="1" t="n">
        <v>45991</v>
      </c>
      <c r="D1888" t="inlineStr">
        <is>
          <t>VÄSTERNORRLANDS LÄN</t>
        </is>
      </c>
      <c r="E1888" t="inlineStr">
        <is>
          <t>SOLLEFTEÅ</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11746-2025</t>
        </is>
      </c>
      <c r="B1889" s="1" t="n">
        <v>45727.63577546296</v>
      </c>
      <c r="C1889" s="1" t="n">
        <v>45991</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51847-2021</t>
        </is>
      </c>
      <c r="B1890" s="1" t="n">
        <v>44462.69077546296</v>
      </c>
      <c r="C1890" s="1" t="n">
        <v>45991</v>
      </c>
      <c r="D1890" t="inlineStr">
        <is>
          <t>VÄSTERNORRLANDS LÄN</t>
        </is>
      </c>
      <c r="E1890" t="inlineStr">
        <is>
          <t>SOLLEFTEÅ</t>
        </is>
      </c>
      <c r="F1890" t="inlineStr">
        <is>
          <t>Holmen skog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30063-2024</t>
        </is>
      </c>
      <c r="B1891" s="1" t="n">
        <v>45488.94841435185</v>
      </c>
      <c r="C1891" s="1" t="n">
        <v>45991</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59317-2024</t>
        </is>
      </c>
      <c r="B1892" s="1" t="n">
        <v>45637.69873842593</v>
      </c>
      <c r="C1892" s="1" t="n">
        <v>45991</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59388-2024</t>
        </is>
      </c>
      <c r="B1893" s="1" t="n">
        <v>45638.365</v>
      </c>
      <c r="C1893" s="1" t="n">
        <v>45991</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23527-2023</t>
        </is>
      </c>
      <c r="B1894" s="1" t="n">
        <v>45076</v>
      </c>
      <c r="C1894" s="1" t="n">
        <v>45991</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51341-2024</t>
        </is>
      </c>
      <c r="B1895" s="1" t="n">
        <v>45604.34481481482</v>
      </c>
      <c r="C1895" s="1" t="n">
        <v>45991</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19407-2025</t>
        </is>
      </c>
      <c r="B1896" s="1" t="n">
        <v>45769.67832175926</v>
      </c>
      <c r="C1896" s="1" t="n">
        <v>45991</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20551-2022</t>
        </is>
      </c>
      <c r="B1897" s="1" t="n">
        <v>44699</v>
      </c>
      <c r="C1897" s="1" t="n">
        <v>45991</v>
      </c>
      <c r="D1897" t="inlineStr">
        <is>
          <t>VÄSTERNORRLANDS LÄN</t>
        </is>
      </c>
      <c r="E1897" t="inlineStr">
        <is>
          <t>SOLLEFTEÅ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10094-2023</t>
        </is>
      </c>
      <c r="B1898" s="1" t="n">
        <v>44985</v>
      </c>
      <c r="C1898" s="1" t="n">
        <v>45991</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10865-2025</t>
        </is>
      </c>
      <c r="B1899" s="1" t="n">
        <v>45722.61526620371</v>
      </c>
      <c r="C1899" s="1" t="n">
        <v>45991</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17279-2025</t>
        </is>
      </c>
      <c r="B1900" s="1" t="n">
        <v>45756.56396990741</v>
      </c>
      <c r="C1900" s="1" t="n">
        <v>45991</v>
      </c>
      <c r="D1900" t="inlineStr">
        <is>
          <t>VÄSTERNORRLANDS LÄN</t>
        </is>
      </c>
      <c r="E1900" t="inlineStr">
        <is>
          <t>SOLLEFTEÅ</t>
        </is>
      </c>
      <c r="G1900" t="n">
        <v>22.4</v>
      </c>
      <c r="H1900" t="n">
        <v>0</v>
      </c>
      <c r="I1900" t="n">
        <v>0</v>
      </c>
      <c r="J1900" t="n">
        <v>0</v>
      </c>
      <c r="K1900" t="n">
        <v>0</v>
      </c>
      <c r="L1900" t="n">
        <v>0</v>
      </c>
      <c r="M1900" t="n">
        <v>0</v>
      </c>
      <c r="N1900" t="n">
        <v>0</v>
      </c>
      <c r="O1900" t="n">
        <v>0</v>
      </c>
      <c r="P1900" t="n">
        <v>0</v>
      </c>
      <c r="Q1900" t="n">
        <v>0</v>
      </c>
      <c r="R1900" s="2" t="inlineStr"/>
    </row>
    <row r="1901" ht="15" customHeight="1">
      <c r="A1901" t="inlineStr">
        <is>
          <t>A 52702-2024</t>
        </is>
      </c>
      <c r="B1901" s="1" t="n">
        <v>45610</v>
      </c>
      <c r="C1901" s="1" t="n">
        <v>45991</v>
      </c>
      <c r="D1901" t="inlineStr">
        <is>
          <t>VÄSTERNORRLANDS LÄN</t>
        </is>
      </c>
      <c r="E1901" t="inlineStr">
        <is>
          <t>SOLLEFTEÅ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25017-2022</t>
        </is>
      </c>
      <c r="B1902" s="1" t="n">
        <v>44728.94331018518</v>
      </c>
      <c r="C1902" s="1" t="n">
        <v>45991</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58226-2024</t>
        </is>
      </c>
      <c r="B1903" s="1" t="n">
        <v>45632.51076388889</v>
      </c>
      <c r="C1903" s="1" t="n">
        <v>45991</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13554-2023</t>
        </is>
      </c>
      <c r="B1904" s="1" t="n">
        <v>45005</v>
      </c>
      <c r="C1904" s="1" t="n">
        <v>45991</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26391-2024</t>
        </is>
      </c>
      <c r="B1905" s="1" t="n">
        <v>45468</v>
      </c>
      <c r="C1905" s="1" t="n">
        <v>45991</v>
      </c>
      <c r="D1905" t="inlineStr">
        <is>
          <t>VÄSTERNORRLANDS LÄN</t>
        </is>
      </c>
      <c r="E1905" t="inlineStr">
        <is>
          <t>SOLLEFTEÅ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34309-2023</t>
        </is>
      </c>
      <c r="B1906" s="1" t="n">
        <v>45138.92300925926</v>
      </c>
      <c r="C1906" s="1" t="n">
        <v>45991</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45002.03643518518</v>
      </c>
      <c r="C1907" s="1" t="n">
        <v>45991</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5036-2024</t>
        </is>
      </c>
      <c r="B1908" s="1" t="n">
        <v>45329.87555555555</v>
      </c>
      <c r="C1908" s="1" t="n">
        <v>45991</v>
      </c>
      <c r="D1908" t="inlineStr">
        <is>
          <t>VÄSTERNORRLANDS LÄN</t>
        </is>
      </c>
      <c r="E1908" t="inlineStr">
        <is>
          <t>SOLLEFTEÅ</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42512-2023</t>
        </is>
      </c>
      <c r="B1909" s="1" t="n">
        <v>45180.95953703704</v>
      </c>
      <c r="C1909" s="1" t="n">
        <v>45991</v>
      </c>
      <c r="D1909" t="inlineStr">
        <is>
          <t>VÄSTERNORRLANDS LÄN</t>
        </is>
      </c>
      <c r="E1909" t="inlineStr">
        <is>
          <t>SOLLEFTEÅ</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44591-2024</t>
        </is>
      </c>
      <c r="B1910" s="1" t="n">
        <v>45574</v>
      </c>
      <c r="C1910" s="1" t="n">
        <v>45991</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31177-2023</t>
        </is>
      </c>
      <c r="B1911" s="1" t="n">
        <v>45113</v>
      </c>
      <c r="C1911" s="1" t="n">
        <v>45991</v>
      </c>
      <c r="D1911" t="inlineStr">
        <is>
          <t>VÄSTERNORRLANDS LÄN</t>
        </is>
      </c>
      <c r="E1911" t="inlineStr">
        <is>
          <t>SOLLEFTEÅ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53669-2023</t>
        </is>
      </c>
      <c r="B1912" s="1" t="n">
        <v>45230</v>
      </c>
      <c r="C1912" s="1" t="n">
        <v>45991</v>
      </c>
      <c r="D1912" t="inlineStr">
        <is>
          <t>VÄSTERNORRLANDS LÄN</t>
        </is>
      </c>
      <c r="E1912" t="inlineStr">
        <is>
          <t>SOLLEFTEÅ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23287-2023</t>
        </is>
      </c>
      <c r="B1913" s="1" t="n">
        <v>45075</v>
      </c>
      <c r="C1913" s="1" t="n">
        <v>45991</v>
      </c>
      <c r="D1913" t="inlineStr">
        <is>
          <t>VÄSTERNORRLANDS LÄN</t>
        </is>
      </c>
      <c r="E1913" t="inlineStr">
        <is>
          <t>SOLLEFTEÅ</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37197-2024</t>
        </is>
      </c>
      <c r="B1914" s="1" t="n">
        <v>45539</v>
      </c>
      <c r="C1914" s="1" t="n">
        <v>45991</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13292-2023</t>
        </is>
      </c>
      <c r="B1915" s="1" t="n">
        <v>45004</v>
      </c>
      <c r="C1915" s="1" t="n">
        <v>45991</v>
      </c>
      <c r="D1915" t="inlineStr">
        <is>
          <t>VÄSTERNORRLANDS LÄN</t>
        </is>
      </c>
      <c r="E1915" t="inlineStr">
        <is>
          <t>SOLLEFTEÅ</t>
        </is>
      </c>
      <c r="F1915" t="inlineStr">
        <is>
          <t>SCA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18456-2023</t>
        </is>
      </c>
      <c r="B1916" s="1" t="n">
        <v>45041</v>
      </c>
      <c r="C1916" s="1" t="n">
        <v>45991</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54532-2024</t>
        </is>
      </c>
      <c r="B1917" s="1" t="n">
        <v>45617.60480324074</v>
      </c>
      <c r="C1917" s="1" t="n">
        <v>45991</v>
      </c>
      <c r="D1917" t="inlineStr">
        <is>
          <t>VÄSTERNORRLANDS LÄN</t>
        </is>
      </c>
      <c r="E1917" t="inlineStr">
        <is>
          <t>SOLLEFTEÅ</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48606-2024</t>
        </is>
      </c>
      <c r="B1918" s="1" t="n">
        <v>45593.4485300926</v>
      </c>
      <c r="C1918" s="1" t="n">
        <v>45991</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6065-2024</t>
        </is>
      </c>
      <c r="B1919" s="1" t="n">
        <v>45336.87826388889</v>
      </c>
      <c r="C1919" s="1" t="n">
        <v>45991</v>
      </c>
      <c r="D1919" t="inlineStr">
        <is>
          <t>VÄSTERNORRLANDS LÄN</t>
        </is>
      </c>
      <c r="E1919" t="inlineStr">
        <is>
          <t>SOLLEFTEÅ</t>
        </is>
      </c>
      <c r="F1919" t="inlineStr">
        <is>
          <t>Övriga Aktiebolag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54485-2024</t>
        </is>
      </c>
      <c r="B1920" s="1" t="n">
        <v>45617.5625462963</v>
      </c>
      <c r="C1920" s="1" t="n">
        <v>45991</v>
      </c>
      <c r="D1920" t="inlineStr">
        <is>
          <t>VÄSTERNORRLANDS LÄN</t>
        </is>
      </c>
      <c r="E1920" t="inlineStr">
        <is>
          <t>SOLLEFTEÅ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14875-2023</t>
        </is>
      </c>
      <c r="B1921" s="1" t="n">
        <v>45015.07292824074</v>
      </c>
      <c r="C1921" s="1" t="n">
        <v>45991</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14975-2024</t>
        </is>
      </c>
      <c r="B1922" s="1" t="n">
        <v>45398.94100694444</v>
      </c>
      <c r="C1922" s="1" t="n">
        <v>45991</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14983-2024</t>
        </is>
      </c>
      <c r="B1923" s="1" t="n">
        <v>45398.94237268518</v>
      </c>
      <c r="C1923" s="1" t="n">
        <v>45991</v>
      </c>
      <c r="D1923" t="inlineStr">
        <is>
          <t>VÄSTERNORRLANDS LÄN</t>
        </is>
      </c>
      <c r="E1923" t="inlineStr">
        <is>
          <t>SOLLEFTEÅ</t>
        </is>
      </c>
      <c r="F1923" t="inlineStr">
        <is>
          <t>SCA</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50721-2024</t>
        </is>
      </c>
      <c r="B1924" s="1" t="n">
        <v>45602.3863425926</v>
      </c>
      <c r="C1924" s="1" t="n">
        <v>45991</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15621-2025</t>
        </is>
      </c>
      <c r="B1925" s="1" t="n">
        <v>45748.35635416667</v>
      </c>
      <c r="C1925" s="1" t="n">
        <v>45991</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53477-2024</t>
        </is>
      </c>
      <c r="B1926" s="1" t="n">
        <v>45611</v>
      </c>
      <c r="C1926" s="1" t="n">
        <v>45991</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1986-2025</t>
        </is>
      </c>
      <c r="B1927" s="1" t="n">
        <v>45672.40684027778</v>
      </c>
      <c r="C1927" s="1" t="n">
        <v>45991</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16492-2025</t>
        </is>
      </c>
      <c r="B1928" s="1" t="n">
        <v>45751.59414351852</v>
      </c>
      <c r="C1928" s="1" t="n">
        <v>45991</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7330-2023</t>
        </is>
      </c>
      <c r="B1929" s="1" t="n">
        <v>44970.97920138889</v>
      </c>
      <c r="C1929" s="1" t="n">
        <v>45991</v>
      </c>
      <c r="D1929" t="inlineStr">
        <is>
          <t>VÄSTERNORRLANDS LÄN</t>
        </is>
      </c>
      <c r="E1929" t="inlineStr">
        <is>
          <t>SOLLEFTEÅ</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7333-2023</t>
        </is>
      </c>
      <c r="B1930" s="1" t="n">
        <v>44970.97947916666</v>
      </c>
      <c r="C1930" s="1" t="n">
        <v>45991</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4905-2025</t>
        </is>
      </c>
      <c r="B1931" s="1" t="n">
        <v>45688.68043981482</v>
      </c>
      <c r="C1931" s="1" t="n">
        <v>45991</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56204-2024</t>
        </is>
      </c>
      <c r="B1932" s="1" t="n">
        <v>45624</v>
      </c>
      <c r="C1932" s="1" t="n">
        <v>45991</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2346-2025</t>
        </is>
      </c>
      <c r="B1933" s="1" t="n">
        <v>45673.67767361111</v>
      </c>
      <c r="C1933" s="1" t="n">
        <v>45991</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55149-2024</t>
        </is>
      </c>
      <c r="B1934" s="1" t="n">
        <v>45621.49055555555</v>
      </c>
      <c r="C1934" s="1" t="n">
        <v>45991</v>
      </c>
      <c r="D1934" t="inlineStr">
        <is>
          <t>VÄSTERNORRLANDS LÄN</t>
        </is>
      </c>
      <c r="E1934" t="inlineStr">
        <is>
          <t>SOLLEFTEÅ</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34284-2023</t>
        </is>
      </c>
      <c r="B1935" s="1" t="n">
        <v>45128</v>
      </c>
      <c r="C1935" s="1" t="n">
        <v>45991</v>
      </c>
      <c r="D1935" t="inlineStr">
        <is>
          <t>VÄSTERNORRLANDS LÄN</t>
        </is>
      </c>
      <c r="E1935" t="inlineStr">
        <is>
          <t>SOLLEFTEÅ</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54235-2024</t>
        </is>
      </c>
      <c r="B1936" s="1" t="n">
        <v>45616.67806712963</v>
      </c>
      <c r="C1936" s="1" t="n">
        <v>45991</v>
      </c>
      <c r="D1936" t="inlineStr">
        <is>
          <t>VÄSTERNORRLANDS LÄN</t>
        </is>
      </c>
      <c r="E1936" t="inlineStr">
        <is>
          <t>SOLLEFTEÅ</t>
        </is>
      </c>
      <c r="F1936" t="inlineStr">
        <is>
          <t>SCA</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31547-2024</t>
        </is>
      </c>
      <c r="B1937" s="1" t="n">
        <v>45505.96362268519</v>
      </c>
      <c r="C1937" s="1" t="n">
        <v>45991</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1030-2025</t>
        </is>
      </c>
      <c r="B1938" s="1" t="n">
        <v>45666</v>
      </c>
      <c r="C1938" s="1" t="n">
        <v>45991</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14731-2025</t>
        </is>
      </c>
      <c r="B1939" s="1" t="n">
        <v>45742.6360300926</v>
      </c>
      <c r="C1939" s="1" t="n">
        <v>45991</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31925-2023</t>
        </is>
      </c>
      <c r="B1940" s="1" t="n">
        <v>45118</v>
      </c>
      <c r="C1940" s="1" t="n">
        <v>45991</v>
      </c>
      <c r="D1940" t="inlineStr">
        <is>
          <t>VÄSTERNORRLANDS LÄN</t>
        </is>
      </c>
      <c r="E1940" t="inlineStr">
        <is>
          <t>SOLLEFTEÅ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469-2025</t>
        </is>
      </c>
      <c r="B1941" s="1" t="n">
        <v>45664</v>
      </c>
      <c r="C1941" s="1" t="n">
        <v>45991</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3324-2025</t>
        </is>
      </c>
      <c r="B1942" s="1" t="n">
        <v>45679.69924768519</v>
      </c>
      <c r="C1942" s="1" t="n">
        <v>45991</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6876-2025</t>
        </is>
      </c>
      <c r="B1943" s="1" t="n">
        <v>45701.34446759259</v>
      </c>
      <c r="C1943" s="1" t="n">
        <v>45991</v>
      </c>
      <c r="D1943" t="inlineStr">
        <is>
          <t>VÄSTERNORRLANDS LÄN</t>
        </is>
      </c>
      <c r="E1943" t="inlineStr">
        <is>
          <t>SOLLEFTEÅ</t>
        </is>
      </c>
      <c r="F1943" t="inlineStr">
        <is>
          <t>SCA</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46759-2024</t>
        </is>
      </c>
      <c r="B1944" s="1" t="n">
        <v>45583.49101851852</v>
      </c>
      <c r="C1944" s="1" t="n">
        <v>45991</v>
      </c>
      <c r="D1944" t="inlineStr">
        <is>
          <t>VÄSTERNORRLANDS LÄN</t>
        </is>
      </c>
      <c r="E1944" t="inlineStr">
        <is>
          <t>SOLLEFTEÅ</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59424-2024</t>
        </is>
      </c>
      <c r="B1945" s="1" t="n">
        <v>45638</v>
      </c>
      <c r="C1945" s="1" t="n">
        <v>45991</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59434-2024</t>
        </is>
      </c>
      <c r="B1946" s="1" t="n">
        <v>45638.43040509259</v>
      </c>
      <c r="C1946" s="1" t="n">
        <v>45991</v>
      </c>
      <c r="D1946" t="inlineStr">
        <is>
          <t>VÄSTERNORRLANDS LÄN</t>
        </is>
      </c>
      <c r="E1946" t="inlineStr">
        <is>
          <t>SOLLEFTEÅ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50655-2022</t>
        </is>
      </c>
      <c r="B1947" s="1" t="n">
        <v>44866</v>
      </c>
      <c r="C1947" s="1" t="n">
        <v>45991</v>
      </c>
      <c r="D1947" t="inlineStr">
        <is>
          <t>VÄSTERNORRLANDS LÄN</t>
        </is>
      </c>
      <c r="E1947" t="inlineStr">
        <is>
          <t>SOLLEFTEÅ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10926-2022</t>
        </is>
      </c>
      <c r="B1948" s="1" t="n">
        <v>44627.94447916667</v>
      </c>
      <c r="C1948" s="1" t="n">
        <v>45991</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21191-2022</t>
        </is>
      </c>
      <c r="B1949" s="1" t="n">
        <v>44704.94193287037</v>
      </c>
      <c r="C1949" s="1" t="n">
        <v>45991</v>
      </c>
      <c r="D1949" t="inlineStr">
        <is>
          <t>VÄSTERNORRLANDS LÄN</t>
        </is>
      </c>
      <c r="E1949" t="inlineStr">
        <is>
          <t>SOLLEFTEÅ</t>
        </is>
      </c>
      <c r="F1949" t="inlineStr">
        <is>
          <t>SCA</t>
        </is>
      </c>
      <c r="G1949" t="n">
        <v>26.5</v>
      </c>
      <c r="H1949" t="n">
        <v>0</v>
      </c>
      <c r="I1949" t="n">
        <v>0</v>
      </c>
      <c r="J1949" t="n">
        <v>0</v>
      </c>
      <c r="K1949" t="n">
        <v>0</v>
      </c>
      <c r="L1949" t="n">
        <v>0</v>
      </c>
      <c r="M1949" t="n">
        <v>0</v>
      </c>
      <c r="N1949" t="n">
        <v>0</v>
      </c>
      <c r="O1949" t="n">
        <v>0</v>
      </c>
      <c r="P1949" t="n">
        <v>0</v>
      </c>
      <c r="Q1949" t="n">
        <v>0</v>
      </c>
      <c r="R1949" s="2" t="inlineStr"/>
    </row>
    <row r="1950" ht="15" customHeight="1">
      <c r="A1950" t="inlineStr">
        <is>
          <t>A 37046-2024</t>
        </is>
      </c>
      <c r="B1950" s="1" t="n">
        <v>45539.42739583334</v>
      </c>
      <c r="C1950" s="1" t="n">
        <v>45991</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50688-2023</t>
        </is>
      </c>
      <c r="B1951" s="1" t="n">
        <v>45210</v>
      </c>
      <c r="C1951" s="1" t="n">
        <v>45991</v>
      </c>
      <c r="D1951" t="inlineStr">
        <is>
          <t>VÄSTERNORRLANDS LÄN</t>
        </is>
      </c>
      <c r="E1951" t="inlineStr">
        <is>
          <t>SOLLEFTEÅ</t>
        </is>
      </c>
      <c r="G1951" t="n">
        <v>15.6</v>
      </c>
      <c r="H1951" t="n">
        <v>0</v>
      </c>
      <c r="I1951" t="n">
        <v>0</v>
      </c>
      <c r="J1951" t="n">
        <v>0</v>
      </c>
      <c r="K1951" t="n">
        <v>0</v>
      </c>
      <c r="L1951" t="n">
        <v>0</v>
      </c>
      <c r="M1951" t="n">
        <v>0</v>
      </c>
      <c r="N1951" t="n">
        <v>0</v>
      </c>
      <c r="O1951" t="n">
        <v>0</v>
      </c>
      <c r="P1951" t="n">
        <v>0</v>
      </c>
      <c r="Q1951" t="n">
        <v>0</v>
      </c>
      <c r="R1951" s="2" t="inlineStr"/>
    </row>
    <row r="1952" ht="15" customHeight="1">
      <c r="A1952" t="inlineStr">
        <is>
          <t>A 50745-2023</t>
        </is>
      </c>
      <c r="B1952" s="1" t="n">
        <v>45210</v>
      </c>
      <c r="C1952" s="1" t="n">
        <v>45991</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43772-2022</t>
        </is>
      </c>
      <c r="B1953" s="1" t="n">
        <v>44837</v>
      </c>
      <c r="C1953" s="1" t="n">
        <v>45991</v>
      </c>
      <c r="D1953" t="inlineStr">
        <is>
          <t>VÄSTERNORRLANDS LÄN</t>
        </is>
      </c>
      <c r="E1953" t="inlineStr">
        <is>
          <t>SOLLEFTEÅ</t>
        </is>
      </c>
      <c r="F1953" t="inlineStr">
        <is>
          <t>Kyrkan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48038-2024</t>
        </is>
      </c>
      <c r="B1954" s="1" t="n">
        <v>45589.49350694445</v>
      </c>
      <c r="C1954" s="1" t="n">
        <v>45991</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4722-2025</t>
        </is>
      </c>
      <c r="B1955" s="1" t="n">
        <v>45688.41627314815</v>
      </c>
      <c r="C1955" s="1" t="n">
        <v>45991</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4726-2025</t>
        </is>
      </c>
      <c r="B1956" s="1" t="n">
        <v>45688</v>
      </c>
      <c r="C1956" s="1" t="n">
        <v>45991</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6282-2024</t>
        </is>
      </c>
      <c r="B1957" s="1" t="n">
        <v>45337</v>
      </c>
      <c r="C1957" s="1" t="n">
        <v>45991</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55654-2023</t>
        </is>
      </c>
      <c r="B1958" s="1" t="n">
        <v>45238.96642361111</v>
      </c>
      <c r="C1958" s="1" t="n">
        <v>45991</v>
      </c>
      <c r="D1958" t="inlineStr">
        <is>
          <t>VÄSTERNORRLANDS LÄN</t>
        </is>
      </c>
      <c r="E1958" t="inlineStr">
        <is>
          <t>SOLLEFTEÅ</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45036.94416666667</v>
      </c>
      <c r="C1959" s="1" t="n">
        <v>45991</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18741-2021</t>
        </is>
      </c>
      <c r="B1960" s="1" t="n">
        <v>44306</v>
      </c>
      <c r="C1960" s="1" t="n">
        <v>45991</v>
      </c>
      <c r="D1960" t="inlineStr">
        <is>
          <t>VÄSTERNORRLANDS LÄN</t>
        </is>
      </c>
      <c r="E1960" t="inlineStr">
        <is>
          <t>SOLLEFTEÅ</t>
        </is>
      </c>
      <c r="F1960" t="inlineStr">
        <is>
          <t>Kyrkan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7007-2025</t>
        </is>
      </c>
      <c r="B1961" s="1" t="n">
        <v>45701</v>
      </c>
      <c r="C1961" s="1" t="n">
        <v>45991</v>
      </c>
      <c r="D1961" t="inlineStr">
        <is>
          <t>VÄSTERNORRLANDS LÄN</t>
        </is>
      </c>
      <c r="E1961" t="inlineStr">
        <is>
          <t>SOLLEFTEÅ</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23285-2023</t>
        </is>
      </c>
      <c r="B1962" s="1" t="n">
        <v>45075</v>
      </c>
      <c r="C1962" s="1" t="n">
        <v>45991</v>
      </c>
      <c r="D1962" t="inlineStr">
        <is>
          <t>VÄSTERNORRLANDS LÄN</t>
        </is>
      </c>
      <c r="E1962" t="inlineStr">
        <is>
          <t>SOLLEFTEÅ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19936-2025</t>
        </is>
      </c>
      <c r="B1963" s="1" t="n">
        <v>45771.64130787037</v>
      </c>
      <c r="C1963" s="1" t="n">
        <v>45991</v>
      </c>
      <c r="D1963" t="inlineStr">
        <is>
          <t>VÄSTERNORRLANDS LÄN</t>
        </is>
      </c>
      <c r="E1963" t="inlineStr">
        <is>
          <t>SOLLEFTEÅ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20183-2025</t>
        </is>
      </c>
      <c r="B1964" s="1" t="n">
        <v>45772.59440972222</v>
      </c>
      <c r="C1964" s="1" t="n">
        <v>45991</v>
      </c>
      <c r="D1964" t="inlineStr">
        <is>
          <t>VÄSTERNORRLANDS LÄN</t>
        </is>
      </c>
      <c r="E1964" t="inlineStr">
        <is>
          <t>SOLLEFTEÅ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20334-2025</t>
        </is>
      </c>
      <c r="B1965" s="1" t="n">
        <v>45775.36496527777</v>
      </c>
      <c r="C1965" s="1" t="n">
        <v>45991</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39230-2021</t>
        </is>
      </c>
      <c r="B1966" s="1" t="n">
        <v>44413.43902777778</v>
      </c>
      <c r="C1966" s="1" t="n">
        <v>45991</v>
      </c>
      <c r="D1966" t="inlineStr">
        <is>
          <t>VÄSTERNORRLANDS LÄN</t>
        </is>
      </c>
      <c r="E1966" t="inlineStr">
        <is>
          <t>SOLLEFTEÅ</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40571-2024</t>
        </is>
      </c>
      <c r="B1967" s="1" t="n">
        <v>45555.67759259259</v>
      </c>
      <c r="C1967" s="1" t="n">
        <v>45991</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40679-2024</t>
        </is>
      </c>
      <c r="B1968" s="1" t="n">
        <v>45558</v>
      </c>
      <c r="C1968" s="1" t="n">
        <v>45991</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14308-2022</t>
        </is>
      </c>
      <c r="B1969" s="1" t="n">
        <v>44651.93954861111</v>
      </c>
      <c r="C1969" s="1" t="n">
        <v>45991</v>
      </c>
      <c r="D1969" t="inlineStr">
        <is>
          <t>VÄSTERNORRLANDS LÄN</t>
        </is>
      </c>
      <c r="E1969" t="inlineStr">
        <is>
          <t>SOLLEFTEÅ</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42663-2022</t>
        </is>
      </c>
      <c r="B1970" s="1" t="n">
        <v>44831</v>
      </c>
      <c r="C1970" s="1" t="n">
        <v>45991</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19749-2025</t>
        </is>
      </c>
      <c r="B1971" s="1" t="n">
        <v>45771.38582175926</v>
      </c>
      <c r="C1971" s="1" t="n">
        <v>45991</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17172-2024</t>
        </is>
      </c>
      <c r="B1972" s="1" t="n">
        <v>45412.97858796296</v>
      </c>
      <c r="C1972" s="1" t="n">
        <v>45991</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2939-2025</t>
        </is>
      </c>
      <c r="B1973" s="1" t="n">
        <v>45678.38581018519</v>
      </c>
      <c r="C1973" s="1" t="n">
        <v>45991</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20461-2023</t>
        </is>
      </c>
      <c r="B1974" s="1" t="n">
        <v>45056.95284722222</v>
      </c>
      <c r="C1974" s="1" t="n">
        <v>45991</v>
      </c>
      <c r="D1974" t="inlineStr">
        <is>
          <t>VÄSTERNORRLANDS LÄN</t>
        </is>
      </c>
      <c r="E1974" t="inlineStr">
        <is>
          <t>SOLLEFTEÅ</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3081-2025</t>
        </is>
      </c>
      <c r="B1975" s="1" t="n">
        <v>45678.644375</v>
      </c>
      <c r="C1975" s="1" t="n">
        <v>45991</v>
      </c>
      <c r="D1975" t="inlineStr">
        <is>
          <t>VÄSTERNORRLANDS LÄN</t>
        </is>
      </c>
      <c r="E1975" t="inlineStr">
        <is>
          <t>SOLLEFTEÅ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19929-2025</t>
        </is>
      </c>
      <c r="B1976" s="1" t="n">
        <v>45771.6359837963</v>
      </c>
      <c r="C1976" s="1" t="n">
        <v>45991</v>
      </c>
      <c r="D1976" t="inlineStr">
        <is>
          <t>VÄSTERNORRLANDS LÄN</t>
        </is>
      </c>
      <c r="E1976" t="inlineStr">
        <is>
          <t>SOLLEFTEÅ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19932-2025</t>
        </is>
      </c>
      <c r="B1977" s="1" t="n">
        <v>45771.63940972222</v>
      </c>
      <c r="C1977" s="1" t="n">
        <v>45991</v>
      </c>
      <c r="D1977" t="inlineStr">
        <is>
          <t>VÄSTERNORRLANDS LÄN</t>
        </is>
      </c>
      <c r="E1977" t="inlineStr">
        <is>
          <t>SOLLEFTEÅ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18949-2025</t>
        </is>
      </c>
      <c r="B1978" s="1" t="n">
        <v>45764</v>
      </c>
      <c r="C1978" s="1" t="n">
        <v>45991</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48396-2024</t>
        </is>
      </c>
      <c r="B1979" s="1" t="n">
        <v>45590.61503472222</v>
      </c>
      <c r="C1979" s="1" t="n">
        <v>45991</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51314-2022</t>
        </is>
      </c>
      <c r="B1980" s="1" t="n">
        <v>44868.950625</v>
      </c>
      <c r="C1980" s="1" t="n">
        <v>45991</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26407-2022</t>
        </is>
      </c>
      <c r="B1981" s="1" t="n">
        <v>44735</v>
      </c>
      <c r="C1981" s="1" t="n">
        <v>45991</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19326-2024</t>
        </is>
      </c>
      <c r="B1982" s="1" t="n">
        <v>45428</v>
      </c>
      <c r="C1982" s="1" t="n">
        <v>45991</v>
      </c>
      <c r="D1982" t="inlineStr">
        <is>
          <t>VÄSTERNORRLANDS LÄN</t>
        </is>
      </c>
      <c r="E1982" t="inlineStr">
        <is>
          <t>SOLLEFTEÅ</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17604-2021</t>
        </is>
      </c>
      <c r="B1983" s="1" t="n">
        <v>44299</v>
      </c>
      <c r="C1983" s="1" t="n">
        <v>45991</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16238-2024</t>
        </is>
      </c>
      <c r="B1984" s="1" t="n">
        <v>45407.05692129629</v>
      </c>
      <c r="C1984" s="1" t="n">
        <v>45991</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14554-2024</t>
        </is>
      </c>
      <c r="B1985" s="1" t="n">
        <v>45394</v>
      </c>
      <c r="C1985" s="1" t="n">
        <v>45991</v>
      </c>
      <c r="D1985" t="inlineStr">
        <is>
          <t>VÄSTERNORRLANDS LÄN</t>
        </is>
      </c>
      <c r="E1985" t="inlineStr">
        <is>
          <t>SOLLEFTEÅ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1840-2024</t>
        </is>
      </c>
      <c r="B1986" s="1" t="n">
        <v>45307</v>
      </c>
      <c r="C1986" s="1" t="n">
        <v>45991</v>
      </c>
      <c r="D1986" t="inlineStr">
        <is>
          <t>VÄSTERNORRLANDS LÄN</t>
        </is>
      </c>
      <c r="E1986" t="inlineStr">
        <is>
          <t>SOLLEFTEÅ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1844-2024</t>
        </is>
      </c>
      <c r="B1987" s="1" t="n">
        <v>45307</v>
      </c>
      <c r="C1987" s="1" t="n">
        <v>45991</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39177-2024</t>
        </is>
      </c>
      <c r="B1988" s="1" t="n">
        <v>45548.65681712963</v>
      </c>
      <c r="C1988" s="1" t="n">
        <v>45991</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15080-2023</t>
        </is>
      </c>
      <c r="B1989" s="1" t="n">
        <v>45016.07525462963</v>
      </c>
      <c r="C1989" s="1" t="n">
        <v>45991</v>
      </c>
      <c r="D1989" t="inlineStr">
        <is>
          <t>VÄSTERNORRLANDS LÄN</t>
        </is>
      </c>
      <c r="E1989" t="inlineStr">
        <is>
          <t>SOLLEFTEÅ</t>
        </is>
      </c>
      <c r="F1989" t="inlineStr">
        <is>
          <t>SCA</t>
        </is>
      </c>
      <c r="G1989" t="n">
        <v>33.6</v>
      </c>
      <c r="H1989" t="n">
        <v>0</v>
      </c>
      <c r="I1989" t="n">
        <v>0</v>
      </c>
      <c r="J1989" t="n">
        <v>0</v>
      </c>
      <c r="K1989" t="n">
        <v>0</v>
      </c>
      <c r="L1989" t="n">
        <v>0</v>
      </c>
      <c r="M1989" t="n">
        <v>0</v>
      </c>
      <c r="N1989" t="n">
        <v>0</v>
      </c>
      <c r="O1989" t="n">
        <v>0</v>
      </c>
      <c r="P1989" t="n">
        <v>0</v>
      </c>
      <c r="Q1989" t="n">
        <v>0</v>
      </c>
      <c r="R1989" s="2" t="inlineStr"/>
    </row>
    <row r="1990" ht="15" customHeight="1">
      <c r="A1990" t="inlineStr">
        <is>
          <t>A 57394-2023</t>
        </is>
      </c>
      <c r="B1990" s="1" t="n">
        <v>45245.96774305555</v>
      </c>
      <c r="C1990" s="1" t="n">
        <v>45991</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47181-2023</t>
        </is>
      </c>
      <c r="B1991" s="1" t="n">
        <v>45201.94876157407</v>
      </c>
      <c r="C1991" s="1" t="n">
        <v>45991</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46804-2023</t>
        </is>
      </c>
      <c r="B1992" s="1" t="n">
        <v>45198</v>
      </c>
      <c r="C1992" s="1" t="n">
        <v>45991</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4501-2023</t>
        </is>
      </c>
      <c r="B1993" s="1" t="n">
        <v>44952</v>
      </c>
      <c r="C1993" s="1" t="n">
        <v>45991</v>
      </c>
      <c r="D1993" t="inlineStr">
        <is>
          <t>VÄSTERNORRLANDS LÄN</t>
        </is>
      </c>
      <c r="E1993" t="inlineStr">
        <is>
          <t>SOLLEFTEÅ</t>
        </is>
      </c>
      <c r="F1993" t="inlineStr">
        <is>
          <t>Övriga Aktiebolag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12064-2025</t>
        </is>
      </c>
      <c r="B1994" s="1" t="n">
        <v>45728.69861111111</v>
      </c>
      <c r="C1994" s="1" t="n">
        <v>45991</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59038-2022</t>
        </is>
      </c>
      <c r="B1995" s="1" t="n">
        <v>44903.9496412037</v>
      </c>
      <c r="C1995" s="1" t="n">
        <v>45991</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48296-2022</t>
        </is>
      </c>
      <c r="B1996" s="1" t="n">
        <v>44858.51815972223</v>
      </c>
      <c r="C1996" s="1" t="n">
        <v>45991</v>
      </c>
      <c r="D1996" t="inlineStr">
        <is>
          <t>VÄSTERNORRLANDS LÄN</t>
        </is>
      </c>
      <c r="E1996" t="inlineStr">
        <is>
          <t>SOLLEFTEÅ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11318-2022</t>
        </is>
      </c>
      <c r="B1997" s="1" t="n">
        <v>44629.94743055556</v>
      </c>
      <c r="C1997" s="1" t="n">
        <v>45991</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50557-2024</t>
        </is>
      </c>
      <c r="B1998" s="1" t="n">
        <v>45601</v>
      </c>
      <c r="C1998" s="1" t="n">
        <v>45991</v>
      </c>
      <c r="D1998" t="inlineStr">
        <is>
          <t>VÄSTERNORRLANDS LÄN</t>
        </is>
      </c>
      <c r="E1998" t="inlineStr">
        <is>
          <t>SOLLEFTEÅ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14094-2025</t>
        </is>
      </c>
      <c r="B1999" s="1" t="n">
        <v>45740.44827546296</v>
      </c>
      <c r="C1999" s="1" t="n">
        <v>45991</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14096-2025</t>
        </is>
      </c>
      <c r="B2000" s="1" t="n">
        <v>45740.44858796296</v>
      </c>
      <c r="C2000" s="1" t="n">
        <v>45991</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14097-2025</t>
        </is>
      </c>
      <c r="B2001" s="1" t="n">
        <v>45740.44875</v>
      </c>
      <c r="C2001" s="1" t="n">
        <v>45991</v>
      </c>
      <c r="D2001" t="inlineStr">
        <is>
          <t>VÄSTERNORRLANDS LÄN</t>
        </is>
      </c>
      <c r="E2001" t="inlineStr">
        <is>
          <t>SOLLEFTEÅ</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61391-2022</t>
        </is>
      </c>
      <c r="B2002" s="1" t="n">
        <v>44915.94334490741</v>
      </c>
      <c r="C2002" s="1" t="n">
        <v>45991</v>
      </c>
      <c r="D2002" t="inlineStr">
        <is>
          <t>VÄSTERNORRLANDS LÄN</t>
        </is>
      </c>
      <c r="E2002" t="inlineStr">
        <is>
          <t>SOLLEFTEÅ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18188-2022</t>
        </is>
      </c>
      <c r="B2003" s="1" t="n">
        <v>44684.94004629629</v>
      </c>
      <c r="C2003" s="1" t="n">
        <v>45991</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46032-2022</t>
        </is>
      </c>
      <c r="B2004" s="1" t="n">
        <v>44846</v>
      </c>
      <c r="C2004" s="1" t="n">
        <v>45991</v>
      </c>
      <c r="D2004" t="inlineStr">
        <is>
          <t>VÄSTERNORRLANDS LÄN</t>
        </is>
      </c>
      <c r="E2004" t="inlineStr">
        <is>
          <t>SOLLEFTEÅ</t>
        </is>
      </c>
      <c r="F2004" t="inlineStr">
        <is>
          <t>SCA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35276-2023</t>
        </is>
      </c>
      <c r="B2005" s="1" t="n">
        <v>45145.95409722222</v>
      </c>
      <c r="C2005" s="1" t="n">
        <v>45991</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56249-2023</t>
        </is>
      </c>
      <c r="B2006" s="1" t="n">
        <v>45240.9468287037</v>
      </c>
      <c r="C2006" s="1" t="n">
        <v>45991</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47272-2022</t>
        </is>
      </c>
      <c r="B2007" s="1" t="n">
        <v>44852.95016203704</v>
      </c>
      <c r="C2007" s="1" t="n">
        <v>45991</v>
      </c>
      <c r="D2007" t="inlineStr">
        <is>
          <t>VÄSTERNORRLANDS LÄN</t>
        </is>
      </c>
      <c r="E2007" t="inlineStr">
        <is>
          <t>SOLLEFTEÅ</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23030-2021</t>
        </is>
      </c>
      <c r="B2008" s="1" t="n">
        <v>44328.94091435185</v>
      </c>
      <c r="C2008" s="1" t="n">
        <v>45991</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52455-2024</t>
        </is>
      </c>
      <c r="B2009" s="1" t="n">
        <v>45609.50984953704</v>
      </c>
      <c r="C2009" s="1" t="n">
        <v>45991</v>
      </c>
      <c r="D2009" t="inlineStr">
        <is>
          <t>VÄSTERNORRLANDS LÄN</t>
        </is>
      </c>
      <c r="E2009" t="inlineStr">
        <is>
          <t>SOLLEFTEÅ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31918-2023</t>
        </is>
      </c>
      <c r="B2010" s="1" t="n">
        <v>45118</v>
      </c>
      <c r="C2010" s="1" t="n">
        <v>45991</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31922-2023</t>
        </is>
      </c>
      <c r="B2011" s="1" t="n">
        <v>45118.94021990741</v>
      </c>
      <c r="C2011" s="1" t="n">
        <v>45991</v>
      </c>
      <c r="D2011" t="inlineStr">
        <is>
          <t>VÄSTERNORRLANDS LÄN</t>
        </is>
      </c>
      <c r="E2011" t="inlineStr">
        <is>
          <t>SOLLEFTEÅ</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13300-2022</t>
        </is>
      </c>
      <c r="B2012" s="1" t="n">
        <v>44644</v>
      </c>
      <c r="C2012" s="1" t="n">
        <v>45991</v>
      </c>
      <c r="D2012" t="inlineStr">
        <is>
          <t>VÄSTERNORRLANDS LÄN</t>
        </is>
      </c>
      <c r="E2012" t="inlineStr">
        <is>
          <t>SOLLEFTEÅ</t>
        </is>
      </c>
      <c r="F2012" t="inlineStr">
        <is>
          <t>SCA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27908-2024</t>
        </is>
      </c>
      <c r="B2013" s="1" t="n">
        <v>45475.94615740741</v>
      </c>
      <c r="C2013" s="1" t="n">
        <v>45991</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27916-2024</t>
        </is>
      </c>
      <c r="B2014" s="1" t="n">
        <v>45475.94834490741</v>
      </c>
      <c r="C2014" s="1" t="n">
        <v>45991</v>
      </c>
      <c r="D2014" t="inlineStr">
        <is>
          <t>VÄSTERNORRLANDS LÄN</t>
        </is>
      </c>
      <c r="E2014" t="inlineStr">
        <is>
          <t>SOLLEFTEÅ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7585-2024</t>
        </is>
      </c>
      <c r="B2015" s="1" t="n">
        <v>45348</v>
      </c>
      <c r="C2015" s="1" t="n">
        <v>45991</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27633-2024</t>
        </is>
      </c>
      <c r="B2016" s="1" t="n">
        <v>45474.94590277778</v>
      </c>
      <c r="C2016" s="1" t="n">
        <v>45991</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27634-2024</t>
        </is>
      </c>
      <c r="B2017" s="1" t="n">
        <v>45474.94599537037</v>
      </c>
      <c r="C2017" s="1" t="n">
        <v>45991</v>
      </c>
      <c r="D2017" t="inlineStr">
        <is>
          <t>VÄSTERNORRLANDS LÄN</t>
        </is>
      </c>
      <c r="E2017" t="inlineStr">
        <is>
          <t>SOLLEFTEÅ</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46261-2024</t>
        </is>
      </c>
      <c r="B2018" s="1" t="n">
        <v>45581.61048611111</v>
      </c>
      <c r="C2018" s="1" t="n">
        <v>45991</v>
      </c>
      <c r="D2018" t="inlineStr">
        <is>
          <t>VÄSTERNORRLANDS LÄN</t>
        </is>
      </c>
      <c r="E2018" t="inlineStr">
        <is>
          <t>SOLLEFTEÅ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25702-2024</t>
        </is>
      </c>
      <c r="B2019" s="1" t="n">
        <v>45463</v>
      </c>
      <c r="C2019" s="1" t="n">
        <v>45991</v>
      </c>
      <c r="D2019" t="inlineStr">
        <is>
          <t>VÄSTERNORRLANDS LÄN</t>
        </is>
      </c>
      <c r="E2019" t="inlineStr">
        <is>
          <t>SOLLEFTEÅ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25711-2024</t>
        </is>
      </c>
      <c r="B2020" s="1" t="n">
        <v>45463</v>
      </c>
      <c r="C2020" s="1" t="n">
        <v>45991</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25356-2024</t>
        </is>
      </c>
      <c r="B2021" s="1" t="n">
        <v>45462.9565162037</v>
      </c>
      <c r="C2021" s="1" t="n">
        <v>45991</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62662-2022</t>
        </is>
      </c>
      <c r="B2022" s="1" t="n">
        <v>44917</v>
      </c>
      <c r="C2022" s="1" t="n">
        <v>45991</v>
      </c>
      <c r="D2022" t="inlineStr">
        <is>
          <t>VÄSTERNORRLANDS LÄN</t>
        </is>
      </c>
      <c r="E2022" t="inlineStr">
        <is>
          <t>SOLLEFTEÅ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63413-2023</t>
        </is>
      </c>
      <c r="B2023" s="1" t="n">
        <v>45274</v>
      </c>
      <c r="C2023" s="1" t="n">
        <v>45991</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63422-2023</t>
        </is>
      </c>
      <c r="B2024" s="1" t="n">
        <v>45274</v>
      </c>
      <c r="C2024" s="1" t="n">
        <v>45991</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64638-2021</t>
        </is>
      </c>
      <c r="B2025" s="1" t="n">
        <v>44511</v>
      </c>
      <c r="C2025" s="1" t="n">
        <v>45991</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31670-2024</t>
        </is>
      </c>
      <c r="B2026" s="1" t="n">
        <v>45506.94805555556</v>
      </c>
      <c r="C2026" s="1" t="n">
        <v>45991</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32157-2024</t>
        </is>
      </c>
      <c r="B2027" s="1" t="n">
        <v>45511.57340277778</v>
      </c>
      <c r="C2027" s="1" t="n">
        <v>45991</v>
      </c>
      <c r="D2027" t="inlineStr">
        <is>
          <t>VÄSTERNORRLANDS LÄN</t>
        </is>
      </c>
      <c r="E2027" t="inlineStr">
        <is>
          <t>SOLLEFTEÅ</t>
        </is>
      </c>
      <c r="F2027" t="inlineStr">
        <is>
          <t>Holmen skog AB</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40421-2023</t>
        </is>
      </c>
      <c r="B2028" s="1" t="n">
        <v>45169.93973379629</v>
      </c>
      <c r="C2028" s="1" t="n">
        <v>45991</v>
      </c>
      <c r="D2028" t="inlineStr">
        <is>
          <t>VÄSTERNORRLANDS LÄN</t>
        </is>
      </c>
      <c r="E2028" t="inlineStr">
        <is>
          <t>SOLLEFTEÅ</t>
        </is>
      </c>
      <c r="F2028" t="inlineStr">
        <is>
          <t>SCA</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66844-2020</t>
        </is>
      </c>
      <c r="B2029" s="1" t="n">
        <v>44179</v>
      </c>
      <c r="C2029" s="1" t="n">
        <v>45991</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45120-2022</t>
        </is>
      </c>
      <c r="B2030" s="1" t="n">
        <v>44843</v>
      </c>
      <c r="C2030" s="1" t="n">
        <v>45991</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34473-2021</t>
        </is>
      </c>
      <c r="B2031" s="1" t="n">
        <v>44381.93096064815</v>
      </c>
      <c r="C2031" s="1" t="n">
        <v>45991</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57094-2024</t>
        </is>
      </c>
      <c r="B2032" s="1" t="n">
        <v>45629.35780092593</v>
      </c>
      <c r="C2032" s="1" t="n">
        <v>45991</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35975-2023</t>
        </is>
      </c>
      <c r="B2033" s="1" t="n">
        <v>45148</v>
      </c>
      <c r="C2033" s="1" t="n">
        <v>45991</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4031-2025</t>
        </is>
      </c>
      <c r="B2034" s="1" t="n">
        <v>45684.5978125</v>
      </c>
      <c r="C2034" s="1" t="n">
        <v>45991</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56684-2023</t>
        </is>
      </c>
      <c r="B2035" s="1" t="n">
        <v>45243.96592592593</v>
      </c>
      <c r="C2035" s="1" t="n">
        <v>45991</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1269-2024</t>
        </is>
      </c>
      <c r="B2036" s="1" t="n">
        <v>45302</v>
      </c>
      <c r="C2036" s="1" t="n">
        <v>45991</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12706-2025</t>
        </is>
      </c>
      <c r="B2037" s="1" t="n">
        <v>45733.46958333333</v>
      </c>
      <c r="C2037" s="1" t="n">
        <v>45991</v>
      </c>
      <c r="D2037" t="inlineStr">
        <is>
          <t>VÄSTERNORRLANDS LÄN</t>
        </is>
      </c>
      <c r="E2037" t="inlineStr">
        <is>
          <t>SOLLEFTEÅ</t>
        </is>
      </c>
      <c r="F2037" t="inlineStr">
        <is>
          <t>SCA</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31179-2023</t>
        </is>
      </c>
      <c r="B2038" s="1" t="n">
        <v>45113.92564814815</v>
      </c>
      <c r="C2038" s="1" t="n">
        <v>45991</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45644-2023</t>
        </is>
      </c>
      <c r="B2039" s="1" t="n">
        <v>45188</v>
      </c>
      <c r="C2039" s="1" t="n">
        <v>45991</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c r="U2039">
        <f>HYPERLINK("https://klasma.github.io/Logging_2283/knärot/A 45644-2023 karta knärot.png", "A 45644-2023")</f>
        <v/>
      </c>
      <c r="V2039">
        <f>HYPERLINK("https://klasma.github.io/Logging_2283/klagomål/A 45644-2023 FSC-klagomål.docx", "A 45644-2023")</f>
        <v/>
      </c>
      <c r="W2039">
        <f>HYPERLINK("https://klasma.github.io/Logging_2283/klagomålsmail/A 45644-2023 FSC-klagomål mail.docx", "A 45644-2023")</f>
        <v/>
      </c>
      <c r="X2039">
        <f>HYPERLINK("https://klasma.github.io/Logging_2283/tillsyn/A 45644-2023 tillsynsbegäran.docx", "A 45644-2023")</f>
        <v/>
      </c>
      <c r="Y2039">
        <f>HYPERLINK("https://klasma.github.io/Logging_2283/tillsynsmail/A 45644-2023 tillsynsbegäran mail.docx", "A 45644-2023")</f>
        <v/>
      </c>
    </row>
    <row r="2040" ht="15" customHeight="1">
      <c r="A2040" t="inlineStr">
        <is>
          <t>A 34765-2024</t>
        </is>
      </c>
      <c r="B2040" s="1" t="n">
        <v>45526</v>
      </c>
      <c r="C2040" s="1" t="n">
        <v>45991</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5359-2025</t>
        </is>
      </c>
      <c r="B2041" s="1" t="n">
        <v>45692</v>
      </c>
      <c r="C2041" s="1" t="n">
        <v>45991</v>
      </c>
      <c r="D2041" t="inlineStr">
        <is>
          <t>VÄSTERNORRLANDS LÄN</t>
        </is>
      </c>
      <c r="E2041" t="inlineStr">
        <is>
          <t>SOLLEFTEÅ</t>
        </is>
      </c>
      <c r="F2041" t="inlineStr">
        <is>
          <t>Övriga statliga verk och myndigheter</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52718-2022</t>
        </is>
      </c>
      <c r="B2042" s="1" t="n">
        <v>44874</v>
      </c>
      <c r="C2042" s="1" t="n">
        <v>45991</v>
      </c>
      <c r="D2042" t="inlineStr">
        <is>
          <t>VÄSTERNORRLANDS LÄN</t>
        </is>
      </c>
      <c r="E2042" t="inlineStr">
        <is>
          <t>SOLLEFTEÅ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18761-2023</t>
        </is>
      </c>
      <c r="B2043" s="1" t="n">
        <v>45043</v>
      </c>
      <c r="C2043" s="1" t="n">
        <v>45991</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18762-2023</t>
        </is>
      </c>
      <c r="B2044" s="1" t="n">
        <v>45043</v>
      </c>
      <c r="C2044" s="1" t="n">
        <v>45991</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5519-2023</t>
        </is>
      </c>
      <c r="B2045" s="1" t="n">
        <v>44960.42409722223</v>
      </c>
      <c r="C2045" s="1" t="n">
        <v>45991</v>
      </c>
      <c r="D2045" t="inlineStr">
        <is>
          <t>VÄSTERNORRLANDS LÄN</t>
        </is>
      </c>
      <c r="E2045" t="inlineStr">
        <is>
          <t>SOLLEFTEÅ</t>
        </is>
      </c>
      <c r="F2045" t="inlineStr">
        <is>
          <t>Holmen skog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27392-2023</t>
        </is>
      </c>
      <c r="B2046" s="1" t="n">
        <v>45096.93997685185</v>
      </c>
      <c r="C2046" s="1" t="n">
        <v>45991</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12062-2025</t>
        </is>
      </c>
      <c r="B2047" s="1" t="n">
        <v>45728.6984837963</v>
      </c>
      <c r="C2047" s="1" t="n">
        <v>45991</v>
      </c>
      <c r="D2047" t="inlineStr">
        <is>
          <t>VÄSTERNORRLANDS LÄN</t>
        </is>
      </c>
      <c r="E2047" t="inlineStr">
        <is>
          <t>SOLLEFTEÅ</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12063-2025</t>
        </is>
      </c>
      <c r="B2048" s="1" t="n">
        <v>45728.69851851852</v>
      </c>
      <c r="C2048" s="1" t="n">
        <v>45991</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7261-2024</t>
        </is>
      </c>
      <c r="B2049" s="1" t="n">
        <v>45344</v>
      </c>
      <c r="C2049" s="1" t="n">
        <v>45991</v>
      </c>
      <c r="D2049" t="inlineStr">
        <is>
          <t>VÄSTERNORRLANDS LÄN</t>
        </is>
      </c>
      <c r="E2049" t="inlineStr">
        <is>
          <t>SOLLEFTEÅ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1096-2025</t>
        </is>
      </c>
      <c r="B2050" s="1" t="n">
        <v>45666</v>
      </c>
      <c r="C2050" s="1" t="n">
        <v>45991</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52471-2024</t>
        </is>
      </c>
      <c r="B2051" s="1" t="n">
        <v>45609.53076388889</v>
      </c>
      <c r="C2051" s="1" t="n">
        <v>45991</v>
      </c>
      <c r="D2051" t="inlineStr">
        <is>
          <t>VÄSTERNORRLANDS LÄN</t>
        </is>
      </c>
      <c r="E2051" t="inlineStr">
        <is>
          <t>SOLLEFTEÅ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25139-2024</t>
        </is>
      </c>
      <c r="B2052" s="1" t="n">
        <v>45462.48130787037</v>
      </c>
      <c r="C2052" s="1" t="n">
        <v>45991</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63712-2023</t>
        </is>
      </c>
      <c r="B2053" s="1" t="n">
        <v>45275.95094907407</v>
      </c>
      <c r="C2053" s="1" t="n">
        <v>45991</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33628-2024</t>
        </is>
      </c>
      <c r="B2054" s="1" t="n">
        <v>45520.4302662037</v>
      </c>
      <c r="C2054" s="1" t="n">
        <v>45991</v>
      </c>
      <c r="D2054" t="inlineStr">
        <is>
          <t>VÄSTERNORRLANDS LÄN</t>
        </is>
      </c>
      <c r="E2054" t="inlineStr">
        <is>
          <t>SOLLEFTEÅ</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49403-2024</t>
        </is>
      </c>
      <c r="B2055" s="1" t="n">
        <v>45595.67730324074</v>
      </c>
      <c r="C2055" s="1" t="n">
        <v>45991</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1402-2022</t>
        </is>
      </c>
      <c r="B2056" s="1" t="n">
        <v>44573</v>
      </c>
      <c r="C2056" s="1" t="n">
        <v>45991</v>
      </c>
      <c r="D2056" t="inlineStr">
        <is>
          <t>VÄSTERNORRLANDS LÄN</t>
        </is>
      </c>
      <c r="E2056" t="inlineStr">
        <is>
          <t>SOLLEFTEÅ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18691-2025</t>
        </is>
      </c>
      <c r="B2057" s="1" t="n">
        <v>45763.61511574074</v>
      </c>
      <c r="C2057" s="1" t="n">
        <v>45991</v>
      </c>
      <c r="D2057" t="inlineStr">
        <is>
          <t>VÄSTERNORRLANDS LÄN</t>
        </is>
      </c>
      <c r="E2057" t="inlineStr">
        <is>
          <t>SOLLEFTEÅ</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35556-2023</t>
        </is>
      </c>
      <c r="B2058" s="1" t="n">
        <v>45147</v>
      </c>
      <c r="C2058" s="1" t="n">
        <v>45991</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55851-2024</t>
        </is>
      </c>
      <c r="B2059" s="1" t="n">
        <v>45623.51140046296</v>
      </c>
      <c r="C2059" s="1" t="n">
        <v>45991</v>
      </c>
      <c r="D2059" t="inlineStr">
        <is>
          <t>VÄSTERNORRLANDS LÄN</t>
        </is>
      </c>
      <c r="E2059" t="inlineStr">
        <is>
          <t>SOLLEFTEÅ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40921-2024</t>
        </is>
      </c>
      <c r="B2060" s="1" t="n">
        <v>45558.6358912037</v>
      </c>
      <c r="C2060" s="1" t="n">
        <v>45991</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52267-2023</t>
        </is>
      </c>
      <c r="B2061" s="1" t="n">
        <v>45217</v>
      </c>
      <c r="C2061" s="1" t="n">
        <v>45991</v>
      </c>
      <c r="D2061" t="inlineStr">
        <is>
          <t>VÄSTERNORRLANDS LÄN</t>
        </is>
      </c>
      <c r="E2061" t="inlineStr">
        <is>
          <t>SOLLEFTEÅ</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63138-2023</t>
        </is>
      </c>
      <c r="B2062" s="1" t="n">
        <v>45272</v>
      </c>
      <c r="C2062" s="1" t="n">
        <v>45991</v>
      </c>
      <c r="D2062" t="inlineStr">
        <is>
          <t>VÄSTERNORRLANDS LÄN</t>
        </is>
      </c>
      <c r="E2062" t="inlineStr">
        <is>
          <t>SOLLEFTEÅ</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45991</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44880.95685185185</v>
      </c>
      <c r="C2064" s="1" t="n">
        <v>45991</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68022-2020</t>
        </is>
      </c>
      <c r="B2065" s="1" t="n">
        <v>44182</v>
      </c>
      <c r="C2065" s="1" t="n">
        <v>45991</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49324-2023</t>
        </is>
      </c>
      <c r="B2066" s="1" t="n">
        <v>45210</v>
      </c>
      <c r="C2066" s="1" t="n">
        <v>45991</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64617-2023</t>
        </is>
      </c>
      <c r="B2067" s="1" t="n">
        <v>45281</v>
      </c>
      <c r="C2067" s="1" t="n">
        <v>45991</v>
      </c>
      <c r="D2067" t="inlineStr">
        <is>
          <t>VÄSTERNORRLANDS LÄN</t>
        </is>
      </c>
      <c r="E2067" t="inlineStr">
        <is>
          <t>SOLLEFTEÅ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34560-2024</t>
        </is>
      </c>
      <c r="B2068" s="1" t="n">
        <v>45526.31116898148</v>
      </c>
      <c r="C2068" s="1" t="n">
        <v>45991</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27641-2024</t>
        </is>
      </c>
      <c r="B2069" s="1" t="n">
        <v>45474.94694444445</v>
      </c>
      <c r="C2069" s="1" t="n">
        <v>45991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37201-2024</t>
        </is>
      </c>
      <c r="B2070" s="1" t="n">
        <v>45539</v>
      </c>
      <c r="C2070" s="1" t="n">
        <v>45991</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60177-2024</t>
        </is>
      </c>
      <c r="B2071" s="1" t="n">
        <v>45642.63850694444</v>
      </c>
      <c r="C2071" s="1" t="n">
        <v>45991</v>
      </c>
      <c r="D2071" t="inlineStr">
        <is>
          <t>VÄSTERNORRLANDS LÄN</t>
        </is>
      </c>
      <c r="E2071" t="inlineStr">
        <is>
          <t>SOLLEFTEÅ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43627-2024</t>
        </is>
      </c>
      <c r="B2072" s="1" t="n">
        <v>45569.49006944444</v>
      </c>
      <c r="C2072" s="1" t="n">
        <v>45991</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8221-2022</t>
        </is>
      </c>
      <c r="B2073" s="1" t="n">
        <v>44609.93001157408</v>
      </c>
      <c r="C2073" s="1" t="n">
        <v>45991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23286-2023</t>
        </is>
      </c>
      <c r="B2074" s="1" t="n">
        <v>45075</v>
      </c>
      <c r="C2074" s="1" t="n">
        <v>45991</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13499-2023</t>
        </is>
      </c>
      <c r="B2075" s="1" t="n">
        <v>45005</v>
      </c>
      <c r="C2075" s="1" t="n">
        <v>45991</v>
      </c>
      <c r="D2075" t="inlineStr">
        <is>
          <t>VÄSTERNORRLANDS LÄN</t>
        </is>
      </c>
      <c r="E2075" t="inlineStr">
        <is>
          <t>SOLLEFTEÅ</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18187-2022</t>
        </is>
      </c>
      <c r="B2076" s="1" t="n">
        <v>44684</v>
      </c>
      <c r="C2076" s="1" t="n">
        <v>45991</v>
      </c>
      <c r="D2076" t="inlineStr">
        <is>
          <t>VÄSTERNORRLANDS LÄN</t>
        </is>
      </c>
      <c r="E2076" t="inlineStr">
        <is>
          <t>SOLLEFTEÅ</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25363-2024</t>
        </is>
      </c>
      <c r="B2077" s="1" t="n">
        <v>45462.95833333334</v>
      </c>
      <c r="C2077" s="1" t="n">
        <v>45991</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25384-2024</t>
        </is>
      </c>
      <c r="B2078" s="1" t="n">
        <v>45462.96334490741</v>
      </c>
      <c r="C2078" s="1" t="n">
        <v>45991</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50698-2023</t>
        </is>
      </c>
      <c r="B2079" s="1" t="n">
        <v>45210</v>
      </c>
      <c r="C2079" s="1" t="n">
        <v>45991</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42970-2024</t>
        </is>
      </c>
      <c r="B2080" s="1" t="n">
        <v>45567.37322916667</v>
      </c>
      <c r="C2080" s="1" t="n">
        <v>45991</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42981-2024</t>
        </is>
      </c>
      <c r="B2081" s="1" t="n">
        <v>45567.37460648148</v>
      </c>
      <c r="C2081" s="1" t="n">
        <v>45991</v>
      </c>
      <c r="D2081" t="inlineStr">
        <is>
          <t>VÄSTERNORRLANDS LÄN</t>
        </is>
      </c>
      <c r="E2081" t="inlineStr">
        <is>
          <t>SOLLEFTEÅ</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33134-2024</t>
        </is>
      </c>
      <c r="B2082" s="1" t="n">
        <v>45518</v>
      </c>
      <c r="C2082" s="1" t="n">
        <v>45991</v>
      </c>
      <c r="D2082" t="inlineStr">
        <is>
          <t>VÄSTERNORRLANDS LÄN</t>
        </is>
      </c>
      <c r="E2082" t="inlineStr">
        <is>
          <t>SOLLEFTEÅ</t>
        </is>
      </c>
      <c r="F2082" t="inlineStr">
        <is>
          <t>Holmen skog AB</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33141-2024</t>
        </is>
      </c>
      <c r="B2083" s="1" t="n">
        <v>45518</v>
      </c>
      <c r="C2083" s="1" t="n">
        <v>45991</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18882-2021</t>
        </is>
      </c>
      <c r="B2084" s="1" t="n">
        <v>44307.93505787037</v>
      </c>
      <c r="C2084" s="1" t="n">
        <v>45991</v>
      </c>
      <c r="D2084" t="inlineStr">
        <is>
          <t>VÄSTERNORRLANDS LÄN</t>
        </is>
      </c>
      <c r="E2084" t="inlineStr">
        <is>
          <t>SOLLEFTEÅ</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19055-2022</t>
        </is>
      </c>
      <c r="B2085" s="1" t="n">
        <v>44691.42189814815</v>
      </c>
      <c r="C2085" s="1" t="n">
        <v>45991</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2816-2024</t>
        </is>
      </c>
      <c r="B2086" s="1" t="n">
        <v>45314</v>
      </c>
      <c r="C2086" s="1" t="n">
        <v>45991</v>
      </c>
      <c r="D2086" t="inlineStr">
        <is>
          <t>VÄSTERNORRLANDS LÄN</t>
        </is>
      </c>
      <c r="E2086" t="inlineStr">
        <is>
          <t>SOLLEFTEÅ</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20859-2023</t>
        </is>
      </c>
      <c r="B2087" s="1" t="n">
        <v>45058.94212962963</v>
      </c>
      <c r="C2087" s="1" t="n">
        <v>45991</v>
      </c>
      <c r="D2087" t="inlineStr">
        <is>
          <t>VÄSTERNORRLANDS LÄN</t>
        </is>
      </c>
      <c r="E2087" t="inlineStr">
        <is>
          <t>SOLLEFTEÅ</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54458-2024</t>
        </is>
      </c>
      <c r="B2088" s="1" t="n">
        <v>45617.5325</v>
      </c>
      <c r="C2088" s="1" t="n">
        <v>45991</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61480-2021</t>
        </is>
      </c>
      <c r="B2089" s="1" t="n">
        <v>44500</v>
      </c>
      <c r="C2089" s="1" t="n">
        <v>45991</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26444-2024</t>
        </is>
      </c>
      <c r="B2090" s="1" t="n">
        <v>45469.50122685185</v>
      </c>
      <c r="C2090" s="1" t="n">
        <v>45991</v>
      </c>
      <c r="D2090" t="inlineStr">
        <is>
          <t>VÄSTERNORRLANDS LÄN</t>
        </is>
      </c>
      <c r="E2090" t="inlineStr">
        <is>
          <t>SOLLEFTEÅ</t>
        </is>
      </c>
      <c r="F2090" t="inlineStr">
        <is>
          <t>Holmen skog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40211-2024</t>
        </is>
      </c>
      <c r="B2091" s="1" t="n">
        <v>45554.59435185185</v>
      </c>
      <c r="C2091" s="1" t="n">
        <v>45991</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18111-2025</t>
        </is>
      </c>
      <c r="B2092" s="1" t="n">
        <v>45761.57334490741</v>
      </c>
      <c r="C2092" s="1" t="n">
        <v>45991</v>
      </c>
      <c r="D2092" t="inlineStr">
        <is>
          <t>VÄSTERNORRLANDS LÄN</t>
        </is>
      </c>
      <c r="E2092" t="inlineStr">
        <is>
          <t>SOLLEFTEÅ</t>
        </is>
      </c>
      <c r="F2092" t="inlineStr">
        <is>
          <t>SCA</t>
        </is>
      </c>
      <c r="G2092" t="n">
        <v>41.6</v>
      </c>
      <c r="H2092" t="n">
        <v>0</v>
      </c>
      <c r="I2092" t="n">
        <v>0</v>
      </c>
      <c r="J2092" t="n">
        <v>0</v>
      </c>
      <c r="K2092" t="n">
        <v>0</v>
      </c>
      <c r="L2092" t="n">
        <v>0</v>
      </c>
      <c r="M2092" t="n">
        <v>0</v>
      </c>
      <c r="N2092" t="n">
        <v>0</v>
      </c>
      <c r="O2092" t="n">
        <v>0</v>
      </c>
      <c r="P2092" t="n">
        <v>0</v>
      </c>
      <c r="Q2092" t="n">
        <v>0</v>
      </c>
      <c r="R2092" s="2" t="inlineStr"/>
    </row>
    <row r="2093" ht="15" customHeight="1">
      <c r="A2093" t="inlineStr">
        <is>
          <t>A 12632-2025</t>
        </is>
      </c>
      <c r="B2093" s="1" t="n">
        <v>45733.37693287037</v>
      </c>
      <c r="C2093" s="1" t="n">
        <v>45991</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53524-2021</t>
        </is>
      </c>
      <c r="B2094" s="1" t="n">
        <v>44468</v>
      </c>
      <c r="C2094" s="1" t="n">
        <v>45991</v>
      </c>
      <c r="D2094" t="inlineStr">
        <is>
          <t>VÄSTERNORRLANDS LÄN</t>
        </is>
      </c>
      <c r="E2094" t="inlineStr">
        <is>
          <t>SOLLEFTEÅ</t>
        </is>
      </c>
      <c r="F2094" t="inlineStr">
        <is>
          <t>SCA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26655-2024</t>
        </is>
      </c>
      <c r="B2095" s="1" t="n">
        <v>45469</v>
      </c>
      <c r="C2095" s="1" t="n">
        <v>45991</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9967-2025</t>
        </is>
      </c>
      <c r="B2096" s="1" t="n">
        <v>45719.37890046297</v>
      </c>
      <c r="C2096" s="1" t="n">
        <v>45991</v>
      </c>
      <c r="D2096" t="inlineStr">
        <is>
          <t>VÄSTERNORRLANDS LÄN</t>
        </is>
      </c>
      <c r="E2096" t="inlineStr">
        <is>
          <t>SOLLEFTEÅ</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45435-2024</t>
        </is>
      </c>
      <c r="B2097" s="1" t="n">
        <v>45576.61538194444</v>
      </c>
      <c r="C2097" s="1" t="n">
        <v>45991</v>
      </c>
      <c r="D2097" t="inlineStr">
        <is>
          <t>VÄSTERNORRLANDS LÄN</t>
        </is>
      </c>
      <c r="E2097" t="inlineStr">
        <is>
          <t>SOLLEFTEÅ</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31554-2024</t>
        </is>
      </c>
      <c r="B2098" s="1" t="n">
        <v>45505.96472222222</v>
      </c>
      <c r="C2098" s="1" t="n">
        <v>45991</v>
      </c>
      <c r="D2098" t="inlineStr">
        <is>
          <t>VÄSTERNORRLANDS LÄN</t>
        </is>
      </c>
      <c r="E2098" t="inlineStr">
        <is>
          <t>SOLLEFTEÅ</t>
        </is>
      </c>
      <c r="F2098" t="inlineStr">
        <is>
          <t>SCA</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1082-2025</t>
        </is>
      </c>
      <c r="B2099" s="1" t="n">
        <v>45666.61646990741</v>
      </c>
      <c r="C2099" s="1" t="n">
        <v>45991</v>
      </c>
      <c r="D2099" t="inlineStr">
        <is>
          <t>VÄSTERNORRLANDS LÄN</t>
        </is>
      </c>
      <c r="E2099" t="inlineStr">
        <is>
          <t>SOLLEFTEÅ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3319-2025</t>
        </is>
      </c>
      <c r="B2100" s="1" t="n">
        <v>45679</v>
      </c>
      <c r="C2100" s="1" t="n">
        <v>45991</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394-2024</t>
        </is>
      </c>
      <c r="B2101" s="1" t="n">
        <v>45296</v>
      </c>
      <c r="C2101" s="1" t="n">
        <v>45991</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34313-2024</t>
        </is>
      </c>
      <c r="B2102" s="1" t="n">
        <v>45524</v>
      </c>
      <c r="C2102" s="1" t="n">
        <v>45991</v>
      </c>
      <c r="D2102" t="inlineStr">
        <is>
          <t>VÄSTERNORRLANDS LÄN</t>
        </is>
      </c>
      <c r="E2102" t="inlineStr">
        <is>
          <t>SOLLEFTEÅ</t>
        </is>
      </c>
      <c r="F2102" t="inlineStr">
        <is>
          <t>Övriga statliga verk och myndigheter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34318-2024</t>
        </is>
      </c>
      <c r="B2103" s="1" t="n">
        <v>45524</v>
      </c>
      <c r="C2103" s="1" t="n">
        <v>45991</v>
      </c>
      <c r="D2103" t="inlineStr">
        <is>
          <t>VÄSTERNORRLANDS LÄN</t>
        </is>
      </c>
      <c r="E2103" t="inlineStr">
        <is>
          <t>SOLLEFTEÅ</t>
        </is>
      </c>
      <c r="F2103" t="inlineStr">
        <is>
          <t>Övriga statliga verk och myndigheter</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53483-2024</t>
        </is>
      </c>
      <c r="B2104" s="1" t="n">
        <v>45611</v>
      </c>
      <c r="C2104" s="1" t="n">
        <v>45991</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23730-2024</t>
        </is>
      </c>
      <c r="B2105" s="1" t="n">
        <v>45454.95877314815</v>
      </c>
      <c r="C2105" s="1" t="n">
        <v>45991</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36771-2023</t>
        </is>
      </c>
      <c r="B2106" s="1" t="n">
        <v>45153</v>
      </c>
      <c r="C2106" s="1" t="n">
        <v>45991</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20066-2024</t>
        </is>
      </c>
      <c r="B2107" s="1" t="n">
        <v>45434</v>
      </c>
      <c r="C2107" s="1" t="n">
        <v>45991</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42950-2024</t>
        </is>
      </c>
      <c r="B2108" s="1" t="n">
        <v>45567.36657407408</v>
      </c>
      <c r="C2108" s="1" t="n">
        <v>45991</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20515-2024</t>
        </is>
      </c>
      <c r="B2109" s="1" t="n">
        <v>45435</v>
      </c>
      <c r="C2109" s="1" t="n">
        <v>45991</v>
      </c>
      <c r="D2109" t="inlineStr">
        <is>
          <t>VÄSTERNORRLANDS LÄN</t>
        </is>
      </c>
      <c r="E2109" t="inlineStr">
        <is>
          <t>SOLLEFTEÅ</t>
        </is>
      </c>
      <c r="F2109" t="inlineStr">
        <is>
          <t>SCA</t>
        </is>
      </c>
      <c r="G2109" t="n">
        <v>18.8</v>
      </c>
      <c r="H2109" t="n">
        <v>0</v>
      </c>
      <c r="I2109" t="n">
        <v>0</v>
      </c>
      <c r="J2109" t="n">
        <v>0</v>
      </c>
      <c r="K2109" t="n">
        <v>0</v>
      </c>
      <c r="L2109" t="n">
        <v>0</v>
      </c>
      <c r="M2109" t="n">
        <v>0</v>
      </c>
      <c r="N2109" t="n">
        <v>0</v>
      </c>
      <c r="O2109" t="n">
        <v>0</v>
      </c>
      <c r="P2109" t="n">
        <v>0</v>
      </c>
      <c r="Q2109" t="n">
        <v>0</v>
      </c>
      <c r="R2109" s="2" t="inlineStr"/>
    </row>
    <row r="2110" ht="15" customHeight="1">
      <c r="A2110" t="inlineStr">
        <is>
          <t>A 52136-2023</t>
        </is>
      </c>
      <c r="B2110" s="1" t="n">
        <v>45223.96625</v>
      </c>
      <c r="C2110" s="1" t="n">
        <v>45991</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29070-2023</t>
        </is>
      </c>
      <c r="B2111" s="1" t="n">
        <v>45104.94119212963</v>
      </c>
      <c r="C2111" s="1" t="n">
        <v>45991</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45991</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19814-2022</t>
        </is>
      </c>
      <c r="B2113" s="1" t="n">
        <v>44694.93945601852</v>
      </c>
      <c r="C2113" s="1" t="n">
        <v>45991</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45973-2023</t>
        </is>
      </c>
      <c r="B2114" s="1" t="n">
        <v>45195</v>
      </c>
      <c r="C2114" s="1" t="n">
        <v>45991</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59421-2024</t>
        </is>
      </c>
      <c r="B2115" s="1" t="n">
        <v>45638.41244212963</v>
      </c>
      <c r="C2115" s="1" t="n">
        <v>45991</v>
      </c>
      <c r="D2115" t="inlineStr">
        <is>
          <t>VÄSTERNORRLANDS LÄN</t>
        </is>
      </c>
      <c r="E2115" t="inlineStr">
        <is>
          <t>SOLLEFTEÅ</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55912-2023</t>
        </is>
      </c>
      <c r="B2116" s="1" t="n">
        <v>45239.92665509259</v>
      </c>
      <c r="C2116" s="1" t="n">
        <v>45991</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11125-2022</t>
        </is>
      </c>
      <c r="B2117" s="1" t="n">
        <v>44628</v>
      </c>
      <c r="C2117" s="1" t="n">
        <v>45991</v>
      </c>
      <c r="D2117" t="inlineStr">
        <is>
          <t>VÄSTERNORRLANDS LÄN</t>
        </is>
      </c>
      <c r="E2117" t="inlineStr">
        <is>
          <t>SOLLEFTEÅ</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22475-2024</t>
        </is>
      </c>
      <c r="B2118" s="1" t="n">
        <v>45446.95151620371</v>
      </c>
      <c r="C2118" s="1" t="n">
        <v>45991</v>
      </c>
      <c r="D2118" t="inlineStr">
        <is>
          <t>VÄSTERNORRLANDS LÄN</t>
        </is>
      </c>
      <c r="E2118" t="inlineStr">
        <is>
          <t>SOLLEFTEÅ</t>
        </is>
      </c>
      <c r="F2118" t="inlineStr">
        <is>
          <t>SCA</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37042-2021</t>
        </is>
      </c>
      <c r="B2119" s="1" t="n">
        <v>44393.93495370371</v>
      </c>
      <c r="C2119" s="1" t="n">
        <v>45991</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58995-2024</t>
        </is>
      </c>
      <c r="B2120" s="1" t="n">
        <v>45636.63726851852</v>
      </c>
      <c r="C2120" s="1" t="n">
        <v>45991</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27377-2024</t>
        </is>
      </c>
      <c r="B2121" s="1" t="n">
        <v>45473.88317129629</v>
      </c>
      <c r="C2121" s="1" t="n">
        <v>45991</v>
      </c>
      <c r="D2121" t="inlineStr">
        <is>
          <t>VÄSTERNORRLANDS LÄN</t>
        </is>
      </c>
      <c r="E2121" t="inlineStr">
        <is>
          <t>SOLLEFTEÅ</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1114-2025</t>
        </is>
      </c>
      <c r="B2122" s="1" t="n">
        <v>45666.65664351852</v>
      </c>
      <c r="C2122" s="1" t="n">
        <v>45991</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68030-2020</t>
        </is>
      </c>
      <c r="B2123" s="1" t="n">
        <v>44182</v>
      </c>
      <c r="C2123" s="1" t="n">
        <v>45991</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68037-2020</t>
        </is>
      </c>
      <c r="B2124" s="1" t="n">
        <v>44182</v>
      </c>
      <c r="C2124" s="1" t="n">
        <v>45991</v>
      </c>
      <c r="D2124" t="inlineStr">
        <is>
          <t>VÄSTERNORRLANDS LÄN</t>
        </is>
      </c>
      <c r="E2124" t="inlineStr">
        <is>
          <t>SOLLEFTEÅ</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39799-2024</t>
        </is>
      </c>
      <c r="B2125" s="1" t="n">
        <v>45553.34415509259</v>
      </c>
      <c r="C2125" s="1" t="n">
        <v>45991</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39801-2024</t>
        </is>
      </c>
      <c r="B2126" s="1" t="n">
        <v>45553.34439814815</v>
      </c>
      <c r="C2126" s="1" t="n">
        <v>45991</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60168-2022</t>
        </is>
      </c>
      <c r="B2127" s="1" t="n">
        <v>44909</v>
      </c>
      <c r="C2127" s="1" t="n">
        <v>45991</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60171-2022</t>
        </is>
      </c>
      <c r="B2128" s="1" t="n">
        <v>44909</v>
      </c>
      <c r="C2128" s="1" t="n">
        <v>45991</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40429-2024</t>
        </is>
      </c>
      <c r="B2129" s="1" t="n">
        <v>45555</v>
      </c>
      <c r="C2129" s="1" t="n">
        <v>45991</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41595-2024</t>
        </is>
      </c>
      <c r="B2130" s="1" t="n">
        <v>45560.57378472222</v>
      </c>
      <c r="C2130" s="1" t="n">
        <v>45991</v>
      </c>
      <c r="D2130" t="inlineStr">
        <is>
          <t>VÄSTERNORRLANDS LÄN</t>
        </is>
      </c>
      <c r="E2130" t="inlineStr">
        <is>
          <t>SOLLEFTEÅ</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1679-2024</t>
        </is>
      </c>
      <c r="B2131" s="1" t="n">
        <v>45306</v>
      </c>
      <c r="C2131" s="1" t="n">
        <v>45991</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41146-2023</t>
        </is>
      </c>
      <c r="B2132" s="1" t="n">
        <v>45173.94277777777</v>
      </c>
      <c r="C2132" s="1" t="n">
        <v>45991</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22462-2024</t>
        </is>
      </c>
      <c r="B2133" s="1" t="n">
        <v>45446</v>
      </c>
      <c r="C2133" s="1" t="n">
        <v>45991</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22468-2024</t>
        </is>
      </c>
      <c r="B2134" s="1" t="n">
        <v>45446.95068287037</v>
      </c>
      <c r="C2134" s="1" t="n">
        <v>45991</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31555-2024</t>
        </is>
      </c>
      <c r="B2135" s="1" t="n">
        <v>45505.96484953703</v>
      </c>
      <c r="C2135" s="1" t="n">
        <v>45991</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18442-2025</t>
        </is>
      </c>
      <c r="B2136" s="1" t="n">
        <v>45762.65658564815</v>
      </c>
      <c r="C2136" s="1" t="n">
        <v>45991</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20738-2022</t>
        </is>
      </c>
      <c r="B2137" s="1" t="n">
        <v>44700</v>
      </c>
      <c r="C2137" s="1" t="n">
        <v>45991</v>
      </c>
      <c r="D2137" t="inlineStr">
        <is>
          <t>VÄSTERNORRLANDS LÄN</t>
        </is>
      </c>
      <c r="E2137" t="inlineStr">
        <is>
          <t>SOLLEFTEÅ</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42482-2024</t>
        </is>
      </c>
      <c r="B2138" s="1" t="n">
        <v>45565</v>
      </c>
      <c r="C2138" s="1" t="n">
        <v>45991</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25999-2021</t>
        </is>
      </c>
      <c r="B2139" s="1" t="n">
        <v>44344</v>
      </c>
      <c r="C2139" s="1" t="n">
        <v>45991</v>
      </c>
      <c r="D2139" t="inlineStr">
        <is>
          <t>VÄSTERNORRLANDS LÄN</t>
        </is>
      </c>
      <c r="E2139" t="inlineStr">
        <is>
          <t>SOLLEFTEÅ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31680-2024</t>
        </is>
      </c>
      <c r="B2140" s="1" t="n">
        <v>45506.94894675926</v>
      </c>
      <c r="C2140" s="1" t="n">
        <v>45991</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10726-2025</t>
        </is>
      </c>
      <c r="B2141" s="1" t="n">
        <v>45722.38599537037</v>
      </c>
      <c r="C2141" s="1" t="n">
        <v>45991</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7257-2024</t>
        </is>
      </c>
      <c r="B2142" s="1" t="n">
        <v>45344.7371412037</v>
      </c>
      <c r="C2142" s="1" t="n">
        <v>45991</v>
      </c>
      <c r="D2142" t="inlineStr">
        <is>
          <t>VÄSTERNORRLANDS LÄN</t>
        </is>
      </c>
      <c r="E2142" t="inlineStr">
        <is>
          <t>SOLLEFTEÅ</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11108-2025</t>
        </is>
      </c>
      <c r="B2143" s="1" t="n">
        <v>45723.6150462963</v>
      </c>
      <c r="C2143" s="1" t="n">
        <v>45991</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61847-2024</t>
        </is>
      </c>
      <c r="B2144" s="1" t="n">
        <v>45646</v>
      </c>
      <c r="C2144" s="1" t="n">
        <v>45991</v>
      </c>
      <c r="D2144" t="inlineStr">
        <is>
          <t>VÄSTERNORRLANDS LÄN</t>
        </is>
      </c>
      <c r="E2144" t="inlineStr">
        <is>
          <t>SOLLEFTEÅ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53831-2024</t>
        </is>
      </c>
      <c r="B2145" s="1" t="n">
        <v>45615.61575231481</v>
      </c>
      <c r="C2145" s="1" t="n">
        <v>45991</v>
      </c>
      <c r="D2145" t="inlineStr">
        <is>
          <t>VÄSTERNORRLANDS LÄN</t>
        </is>
      </c>
      <c r="E2145" t="inlineStr">
        <is>
          <t>SOLLEFTEÅ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57010-2023</t>
        </is>
      </c>
      <c r="B2146" s="1" t="n">
        <v>45239</v>
      </c>
      <c r="C2146" s="1" t="n">
        <v>45991</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c r="U2146">
        <f>HYPERLINK("https://klasma.github.io/Logging_2283/knärot/A 57010-2023 karta knärot.png", "A 57010-2023")</f>
        <v/>
      </c>
      <c r="V2146">
        <f>HYPERLINK("https://klasma.github.io/Logging_2283/klagomål/A 57010-2023 FSC-klagomål.docx", "A 57010-2023")</f>
        <v/>
      </c>
      <c r="W2146">
        <f>HYPERLINK("https://klasma.github.io/Logging_2283/klagomålsmail/A 57010-2023 FSC-klagomål mail.docx", "A 57010-2023")</f>
        <v/>
      </c>
      <c r="X2146">
        <f>HYPERLINK("https://klasma.github.io/Logging_2283/tillsyn/A 57010-2023 tillsynsbegäran.docx", "A 57010-2023")</f>
        <v/>
      </c>
      <c r="Y2146">
        <f>HYPERLINK("https://klasma.github.io/Logging_2283/tillsynsmail/A 57010-2023 tillsynsbegäran mail.docx", "A 57010-2023")</f>
        <v/>
      </c>
    </row>
    <row r="2147" ht="15" customHeight="1">
      <c r="A2147" t="inlineStr">
        <is>
          <t>A 14109-2023</t>
        </is>
      </c>
      <c r="B2147" s="1" t="n">
        <v>45008</v>
      </c>
      <c r="C2147" s="1" t="n">
        <v>45991</v>
      </c>
      <c r="D2147" t="inlineStr">
        <is>
          <t>VÄSTERNORRLANDS LÄN</t>
        </is>
      </c>
      <c r="E2147" t="inlineStr">
        <is>
          <t>SOLLEFTEÅ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58155-2023</t>
        </is>
      </c>
      <c r="B2148" s="1" t="n">
        <v>45250</v>
      </c>
      <c r="C2148" s="1" t="n">
        <v>45991</v>
      </c>
      <c r="D2148" t="inlineStr">
        <is>
          <t>VÄSTERNORRLANDS LÄN</t>
        </is>
      </c>
      <c r="E2148" t="inlineStr">
        <is>
          <t>SOLLEFTEÅ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19053-2022</t>
        </is>
      </c>
      <c r="B2149" s="1" t="n">
        <v>44691.41626157407</v>
      </c>
      <c r="C2149" s="1" t="n">
        <v>45991</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54572-2024</t>
        </is>
      </c>
      <c r="B2150" s="1" t="n">
        <v>45617.65054398148</v>
      </c>
      <c r="C2150" s="1" t="n">
        <v>45991</v>
      </c>
      <c r="D2150" t="inlineStr">
        <is>
          <t>VÄSTERNORRLANDS LÄN</t>
        </is>
      </c>
      <c r="E2150" t="inlineStr">
        <is>
          <t>SOLLEFTEÅ</t>
        </is>
      </c>
      <c r="G2150" t="n">
        <v>28.2</v>
      </c>
      <c r="H2150" t="n">
        <v>0</v>
      </c>
      <c r="I2150" t="n">
        <v>0</v>
      </c>
      <c r="J2150" t="n">
        <v>0</v>
      </c>
      <c r="K2150" t="n">
        <v>0</v>
      </c>
      <c r="L2150" t="n">
        <v>0</v>
      </c>
      <c r="M2150" t="n">
        <v>0</v>
      </c>
      <c r="N2150" t="n">
        <v>0</v>
      </c>
      <c r="O2150" t="n">
        <v>0</v>
      </c>
      <c r="P2150" t="n">
        <v>0</v>
      </c>
      <c r="Q2150" t="n">
        <v>0</v>
      </c>
      <c r="R2150" s="2" t="inlineStr"/>
    </row>
    <row r="2151" ht="15" customHeight="1">
      <c r="A2151" t="inlineStr">
        <is>
          <t>A 24731-2021</t>
        </is>
      </c>
      <c r="B2151" s="1" t="n">
        <v>44340</v>
      </c>
      <c r="C2151" s="1" t="n">
        <v>45991</v>
      </c>
      <c r="D2151" t="inlineStr">
        <is>
          <t>VÄSTERNORRLANDS LÄN</t>
        </is>
      </c>
      <c r="E2151" t="inlineStr">
        <is>
          <t>SOLLEFTEÅ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10093-2023</t>
        </is>
      </c>
      <c r="B2152" s="1" t="n">
        <v>44985</v>
      </c>
      <c r="C2152" s="1" t="n">
        <v>45991</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60856-2022</t>
        </is>
      </c>
      <c r="B2153" s="1" t="n">
        <v>44907</v>
      </c>
      <c r="C2153" s="1" t="n">
        <v>45991</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2536-2022</t>
        </is>
      </c>
      <c r="B2154" s="1" t="n">
        <v>44579</v>
      </c>
      <c r="C2154" s="1" t="n">
        <v>45991</v>
      </c>
      <c r="D2154" t="inlineStr">
        <is>
          <t>VÄSTERNORRLANDS LÄN</t>
        </is>
      </c>
      <c r="E2154" t="inlineStr">
        <is>
          <t>SOLLEFTEÅ</t>
        </is>
      </c>
      <c r="F2154" t="inlineStr">
        <is>
          <t>Övriga Aktiebolag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43585-2024</t>
        </is>
      </c>
      <c r="B2155" s="1" t="n">
        <v>45569.42770833334</v>
      </c>
      <c r="C2155" s="1" t="n">
        <v>45991</v>
      </c>
      <c r="D2155" t="inlineStr">
        <is>
          <t>VÄSTERNORRLANDS LÄN</t>
        </is>
      </c>
      <c r="E2155" t="inlineStr">
        <is>
          <t>SOLLEFTEÅ</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54238-2024</t>
        </is>
      </c>
      <c r="B2156" s="1" t="n">
        <v>45616.67844907408</v>
      </c>
      <c r="C2156" s="1" t="n">
        <v>45991</v>
      </c>
      <c r="D2156" t="inlineStr">
        <is>
          <t>VÄSTERNORRLANDS LÄN</t>
        </is>
      </c>
      <c r="E2156" t="inlineStr">
        <is>
          <t>SOLLEFTEÅ</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8105-2025</t>
        </is>
      </c>
      <c r="B2157" s="1" t="n">
        <v>45707.6990625</v>
      </c>
      <c r="C2157" s="1" t="n">
        <v>45991</v>
      </c>
      <c r="D2157" t="inlineStr">
        <is>
          <t>VÄSTERNORRLANDS LÄN</t>
        </is>
      </c>
      <c r="E2157" t="inlineStr">
        <is>
          <t>SOLLEFTEÅ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6376-2025</t>
        </is>
      </c>
      <c r="B2158" s="1" t="n">
        <v>45699</v>
      </c>
      <c r="C2158" s="1" t="n">
        <v>45991</v>
      </c>
      <c r="D2158" t="inlineStr">
        <is>
          <t>VÄSTERNORRLANDS LÄN</t>
        </is>
      </c>
      <c r="E2158" t="inlineStr">
        <is>
          <t>SOLLEFTEÅ</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1880-2024</t>
        </is>
      </c>
      <c r="B2159" s="1" t="n">
        <v>45307</v>
      </c>
      <c r="C2159" s="1" t="n">
        <v>45991</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53452-2023</t>
        </is>
      </c>
      <c r="B2160" s="1" t="n">
        <v>45229</v>
      </c>
      <c r="C2160" s="1" t="n">
        <v>45991</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53453-2023</t>
        </is>
      </c>
      <c r="B2161" s="1" t="n">
        <v>45229.96586805556</v>
      </c>
      <c r="C2161" s="1" t="n">
        <v>45991</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4129-2025</t>
        </is>
      </c>
      <c r="B2162" s="1" t="n">
        <v>45685.34425925926</v>
      </c>
      <c r="C2162" s="1" t="n">
        <v>45991</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4133-2025</t>
        </is>
      </c>
      <c r="B2163" s="1" t="n">
        <v>45685.34559027778</v>
      </c>
      <c r="C2163" s="1" t="n">
        <v>45991</v>
      </c>
      <c r="D2163" t="inlineStr">
        <is>
          <t>VÄSTERNORRLANDS LÄN</t>
        </is>
      </c>
      <c r="E2163" t="inlineStr">
        <is>
          <t>SOLLEFTEÅ</t>
        </is>
      </c>
      <c r="F2163" t="inlineStr">
        <is>
          <t>SCA</t>
        </is>
      </c>
      <c r="G2163" t="n">
        <v>37.2</v>
      </c>
      <c r="H2163" t="n">
        <v>0</v>
      </c>
      <c r="I2163" t="n">
        <v>0</v>
      </c>
      <c r="J2163" t="n">
        <v>0</v>
      </c>
      <c r="K2163" t="n">
        <v>0</v>
      </c>
      <c r="L2163" t="n">
        <v>0</v>
      </c>
      <c r="M2163" t="n">
        <v>0</v>
      </c>
      <c r="N2163" t="n">
        <v>0</v>
      </c>
      <c r="O2163" t="n">
        <v>0</v>
      </c>
      <c r="P2163" t="n">
        <v>0</v>
      </c>
      <c r="Q2163" t="n">
        <v>0</v>
      </c>
      <c r="R2163" s="2" t="inlineStr"/>
    </row>
    <row r="2164" ht="15" customHeight="1">
      <c r="A2164" t="inlineStr">
        <is>
          <t>A 41532-2024</t>
        </is>
      </c>
      <c r="B2164" s="1" t="n">
        <v>45560.49050925926</v>
      </c>
      <c r="C2164" s="1" t="n">
        <v>45991</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54617-2023</t>
        </is>
      </c>
      <c r="B2165" s="1" t="n">
        <v>45233.95835648148</v>
      </c>
      <c r="C2165" s="1" t="n">
        <v>45991</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2408-2023</t>
        </is>
      </c>
      <c r="B2166" s="1" t="n">
        <v>44942</v>
      </c>
      <c r="C2166" s="1" t="n">
        <v>45991</v>
      </c>
      <c r="D2166" t="inlineStr">
        <is>
          <t>VÄSTERNORRLANDS LÄN</t>
        </is>
      </c>
      <c r="E2166" t="inlineStr">
        <is>
          <t>SOLLEFTEÅ</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35469-2024</t>
        </is>
      </c>
      <c r="B2167" s="1" t="n">
        <v>45531</v>
      </c>
      <c r="C2167" s="1" t="n">
        <v>45991</v>
      </c>
      <c r="D2167" t="inlineStr">
        <is>
          <t>VÄSTERNORRLANDS LÄN</t>
        </is>
      </c>
      <c r="E2167" t="inlineStr">
        <is>
          <t>SOLLEFTEÅ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6067-2024</t>
        </is>
      </c>
      <c r="B2168" s="1" t="n">
        <v>45336.89018518518</v>
      </c>
      <c r="C2168" s="1" t="n">
        <v>45991</v>
      </c>
      <c r="D2168" t="inlineStr">
        <is>
          <t>VÄSTERNORRLANDS LÄN</t>
        </is>
      </c>
      <c r="E2168" t="inlineStr">
        <is>
          <t>SOLLEFTEÅ</t>
        </is>
      </c>
      <c r="F2168" t="inlineStr">
        <is>
          <t>Övriga Aktiebolag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19416-2022</t>
        </is>
      </c>
      <c r="B2169" s="1" t="n">
        <v>44693</v>
      </c>
      <c r="C2169" s="1" t="n">
        <v>45991</v>
      </c>
      <c r="D2169" t="inlineStr">
        <is>
          <t>VÄSTERNORRLANDS LÄN</t>
        </is>
      </c>
      <c r="E2169" t="inlineStr">
        <is>
          <t>SOLLEFTEÅ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63144-2023</t>
        </is>
      </c>
      <c r="B2170" s="1" t="n">
        <v>45272</v>
      </c>
      <c r="C2170" s="1" t="n">
        <v>45991</v>
      </c>
      <c r="D2170" t="inlineStr">
        <is>
          <t>VÄSTERNORRLANDS LÄN</t>
        </is>
      </c>
      <c r="E2170" t="inlineStr">
        <is>
          <t>SOLLEFTEÅ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62260-2022</t>
        </is>
      </c>
      <c r="B2171" s="1" t="n">
        <v>44922.94366898148</v>
      </c>
      <c r="C2171" s="1" t="n">
        <v>45991</v>
      </c>
      <c r="D2171" t="inlineStr">
        <is>
          <t>VÄSTERNORRLANDS LÄN</t>
        </is>
      </c>
      <c r="E2171" t="inlineStr">
        <is>
          <t>SOLLEFTEÅ</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25989-2021</t>
        </is>
      </c>
      <c r="B2172" s="1" t="n">
        <v>44344</v>
      </c>
      <c r="C2172" s="1" t="n">
        <v>45991</v>
      </c>
      <c r="D2172" t="inlineStr">
        <is>
          <t>VÄSTERNORRLANDS LÄN</t>
        </is>
      </c>
      <c r="E2172" t="inlineStr">
        <is>
          <t>SOLLEFTEÅ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34804-2022</t>
        </is>
      </c>
      <c r="B2173" s="1" t="n">
        <v>44795.94761574074</v>
      </c>
      <c r="C2173" s="1" t="n">
        <v>45991</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3556-2022</t>
        </is>
      </c>
      <c r="B2174" s="1" t="n">
        <v>44585</v>
      </c>
      <c r="C2174" s="1" t="n">
        <v>45991</v>
      </c>
      <c r="D2174" t="inlineStr">
        <is>
          <t>VÄSTERNORRLANDS LÄN</t>
        </is>
      </c>
      <c r="E2174" t="inlineStr">
        <is>
          <t>SOLLEFTEÅ</t>
        </is>
      </c>
      <c r="F2174" t="inlineStr">
        <is>
          <t>SCA</t>
        </is>
      </c>
      <c r="G2174" t="n">
        <v>18.2</v>
      </c>
      <c r="H2174" t="n">
        <v>0</v>
      </c>
      <c r="I2174" t="n">
        <v>0</v>
      </c>
      <c r="J2174" t="n">
        <v>0</v>
      </c>
      <c r="K2174" t="n">
        <v>0</v>
      </c>
      <c r="L2174" t="n">
        <v>0</v>
      </c>
      <c r="M2174" t="n">
        <v>0</v>
      </c>
      <c r="N2174" t="n">
        <v>0</v>
      </c>
      <c r="O2174" t="n">
        <v>0</v>
      </c>
      <c r="P2174" t="n">
        <v>0</v>
      </c>
      <c r="Q2174" t="n">
        <v>0</v>
      </c>
      <c r="R2174" s="2" t="inlineStr"/>
    </row>
    <row r="2175" ht="15" customHeight="1">
      <c r="A2175" t="inlineStr">
        <is>
          <t>A 5258-2025</t>
        </is>
      </c>
      <c r="B2175" s="1" t="n">
        <v>45692</v>
      </c>
      <c r="C2175" s="1" t="n">
        <v>45991</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29869-2024</t>
        </is>
      </c>
      <c r="B2176" s="1" t="n">
        <v>45485.94493055555</v>
      </c>
      <c r="C2176" s="1" t="n">
        <v>45991</v>
      </c>
      <c r="D2176" t="inlineStr">
        <is>
          <t>VÄSTERNORRLANDS LÄN</t>
        </is>
      </c>
      <c r="E2176" t="inlineStr">
        <is>
          <t>SOLLEFTEÅ</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29957-2023</t>
        </is>
      </c>
      <c r="B2177" s="1" t="n">
        <v>45107</v>
      </c>
      <c r="C2177" s="1" t="n">
        <v>45991</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42771-2022</t>
        </is>
      </c>
      <c r="B2178" s="1" t="n">
        <v>44832</v>
      </c>
      <c r="C2178" s="1" t="n">
        <v>45991</v>
      </c>
      <c r="D2178" t="inlineStr">
        <is>
          <t>VÄSTERNORRLANDS LÄN</t>
        </is>
      </c>
      <c r="E2178" t="inlineStr">
        <is>
          <t>SOLLEFTEÅ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59593-2023</t>
        </is>
      </c>
      <c r="B2179" s="1" t="n">
        <v>45254.61885416666</v>
      </c>
      <c r="C2179" s="1" t="n">
        <v>45991</v>
      </c>
      <c r="D2179" t="inlineStr">
        <is>
          <t>VÄSTERNORRLANDS LÄN</t>
        </is>
      </c>
      <c r="E2179" t="inlineStr">
        <is>
          <t>SOLLEFTEÅ</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38234-2024</t>
        </is>
      </c>
      <c r="B2180" s="1" t="n">
        <v>45545.56025462963</v>
      </c>
      <c r="C2180" s="1" t="n">
        <v>45991</v>
      </c>
      <c r="D2180" t="inlineStr">
        <is>
          <t>VÄSTERNORRLANDS LÄN</t>
        </is>
      </c>
      <c r="E2180" t="inlineStr">
        <is>
          <t>SOLLEFTEÅ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72244-2021</t>
        </is>
      </c>
      <c r="B2181" s="1" t="n">
        <v>44544.9390162037</v>
      </c>
      <c r="C2181" s="1" t="n">
        <v>45991</v>
      </c>
      <c r="D2181" t="inlineStr">
        <is>
          <t>VÄSTERNORRLANDS LÄN</t>
        </is>
      </c>
      <c r="E2181" t="inlineStr">
        <is>
          <t>SOLLEFTEÅ</t>
        </is>
      </c>
      <c r="F2181" t="inlineStr">
        <is>
          <t>SCA</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18304-2022</t>
        </is>
      </c>
      <c r="B2182" s="1" t="n">
        <v>44685</v>
      </c>
      <c r="C2182" s="1" t="n">
        <v>45991</v>
      </c>
      <c r="D2182" t="inlineStr">
        <is>
          <t>VÄSTERNORRLANDS LÄN</t>
        </is>
      </c>
      <c r="E2182" t="inlineStr">
        <is>
          <t>SOLLEFTEÅ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11727-2025</t>
        </is>
      </c>
      <c r="B2183" s="1" t="n">
        <v>45727.61512731481</v>
      </c>
      <c r="C2183" s="1" t="n">
        <v>45991</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62363-2023</t>
        </is>
      </c>
      <c r="B2184" s="1" t="n">
        <v>45267</v>
      </c>
      <c r="C2184" s="1" t="n">
        <v>45991</v>
      </c>
      <c r="D2184" t="inlineStr">
        <is>
          <t>VÄSTERNORRLANDS LÄN</t>
        </is>
      </c>
      <c r="E2184" t="inlineStr">
        <is>
          <t>SOLLEFTEÅ</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38749-2024</t>
        </is>
      </c>
      <c r="B2185" s="1" t="n">
        <v>45547</v>
      </c>
      <c r="C2185" s="1" t="n">
        <v>45991</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60583-2024</t>
        </is>
      </c>
      <c r="B2186" s="1" t="n">
        <v>45644</v>
      </c>
      <c r="C2186" s="1" t="n">
        <v>45991</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7721-2023</t>
        </is>
      </c>
      <c r="B2187" s="1" t="n">
        <v>44972.94123842593</v>
      </c>
      <c r="C2187" s="1" t="n">
        <v>45991</v>
      </c>
      <c r="D2187" t="inlineStr">
        <is>
          <t>VÄSTERNORRLANDS LÄN</t>
        </is>
      </c>
      <c r="E2187" t="inlineStr">
        <is>
          <t>SOLLEFTEÅ</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21195-2023</t>
        </is>
      </c>
      <c r="B2188" s="1" t="n">
        <v>45057</v>
      </c>
      <c r="C2188" s="1" t="n">
        <v>45991</v>
      </c>
      <c r="D2188" t="inlineStr">
        <is>
          <t>VÄSTERNORRLANDS LÄN</t>
        </is>
      </c>
      <c r="E2188" t="inlineStr">
        <is>
          <t>SOLLEFTEÅ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21230-2023</t>
        </is>
      </c>
      <c r="B2189" s="1" t="n">
        <v>45057</v>
      </c>
      <c r="C2189" s="1" t="n">
        <v>45991</v>
      </c>
      <c r="D2189" t="inlineStr">
        <is>
          <t>VÄSTERNORRLANDS LÄN</t>
        </is>
      </c>
      <c r="E2189" t="inlineStr">
        <is>
          <t>SOLLEFTEÅ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10925-2022</t>
        </is>
      </c>
      <c r="B2190" s="1" t="n">
        <v>44627.9444212963</v>
      </c>
      <c r="C2190" s="1" t="n">
        <v>45991</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31916-2023</t>
        </is>
      </c>
      <c r="B2191" s="1" t="n">
        <v>45118.93978009259</v>
      </c>
      <c r="C2191" s="1" t="n">
        <v>45991</v>
      </c>
      <c r="D2191" t="inlineStr">
        <is>
          <t>VÄSTERNORRLANDS LÄN</t>
        </is>
      </c>
      <c r="E2191" t="inlineStr">
        <is>
          <t>SOLLEFTEÅ</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31919-2023</t>
        </is>
      </c>
      <c r="B2192" s="1" t="n">
        <v>45118</v>
      </c>
      <c r="C2192" s="1" t="n">
        <v>45991</v>
      </c>
      <c r="D2192" t="inlineStr">
        <is>
          <t>VÄSTERNORRLANDS LÄN</t>
        </is>
      </c>
      <c r="E2192" t="inlineStr">
        <is>
          <t>SOLLEFTEÅ</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58085-2023</t>
        </is>
      </c>
      <c r="B2193" s="1" t="n">
        <v>45247</v>
      </c>
      <c r="C2193" s="1" t="n">
        <v>45991</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7569-2025</t>
        </is>
      </c>
      <c r="B2194" s="1" t="n">
        <v>45705.59442129629</v>
      </c>
      <c r="C2194" s="1" t="n">
        <v>45991</v>
      </c>
      <c r="D2194" t="inlineStr">
        <is>
          <t>VÄSTERNORRLANDS LÄN</t>
        </is>
      </c>
      <c r="E2194" t="inlineStr">
        <is>
          <t>SOLLEFTEÅ</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19145-2025</t>
        </is>
      </c>
      <c r="B2195" s="1" t="n">
        <v>45769.34452546296</v>
      </c>
      <c r="C2195" s="1" t="n">
        <v>45991</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54255-2022</t>
        </is>
      </c>
      <c r="B2196" s="1" t="n">
        <v>44881.95225694445</v>
      </c>
      <c r="C2196" s="1" t="n">
        <v>45991</v>
      </c>
      <c r="D2196" t="inlineStr">
        <is>
          <t>VÄSTERNORRLANDS LÄN</t>
        </is>
      </c>
      <c r="E2196" t="inlineStr">
        <is>
          <t>SOLLEFTEÅ</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4061-2024</t>
        </is>
      </c>
      <c r="B2197" s="1" t="n">
        <v>45323</v>
      </c>
      <c r="C2197" s="1" t="n">
        <v>45991</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5034-2024</t>
        </is>
      </c>
      <c r="B2198" s="1" t="n">
        <v>45329.86893518519</v>
      </c>
      <c r="C2198" s="1" t="n">
        <v>45991</v>
      </c>
      <c r="D2198" t="inlineStr">
        <is>
          <t>VÄSTERNORRLANDS LÄN</t>
        </is>
      </c>
      <c r="E2198" t="inlineStr">
        <is>
          <t>SOLLEFTEÅ</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35417-2024</t>
        </is>
      </c>
      <c r="B2199" s="1" t="n">
        <v>45531.40851851852</v>
      </c>
      <c r="C2199" s="1" t="n">
        <v>45991</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45209.66075231481</v>
      </c>
      <c r="C2200" s="1" t="n">
        <v>45991</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14448-2022</t>
        </is>
      </c>
      <c r="B2201" s="1" t="n">
        <v>44652</v>
      </c>
      <c r="C2201" s="1" t="n">
        <v>45991</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26500-2024</t>
        </is>
      </c>
      <c r="B2202" s="1" t="n">
        <v>45469.57174768519</v>
      </c>
      <c r="C2202" s="1" t="n">
        <v>45991</v>
      </c>
      <c r="D2202" t="inlineStr">
        <is>
          <t>VÄSTERNORRLANDS LÄN</t>
        </is>
      </c>
      <c r="E2202" t="inlineStr">
        <is>
          <t>SOLLEFTEÅ</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38432-2022</t>
        </is>
      </c>
      <c r="B2203" s="1" t="n">
        <v>44812</v>
      </c>
      <c r="C2203" s="1" t="n">
        <v>45991</v>
      </c>
      <c r="D2203" t="inlineStr">
        <is>
          <t>VÄSTERNORRLANDS LÄN</t>
        </is>
      </c>
      <c r="E2203" t="inlineStr">
        <is>
          <t>SOLLEFTEÅ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14169-2024</t>
        </is>
      </c>
      <c r="B2204" s="1" t="n">
        <v>45392.95831018518</v>
      </c>
      <c r="C2204" s="1" t="n">
        <v>45991</v>
      </c>
      <c r="D2204" t="inlineStr">
        <is>
          <t>VÄSTERNORRLANDS LÄN</t>
        </is>
      </c>
      <c r="E2204" t="inlineStr">
        <is>
          <t>SOLLEFTEÅ</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48767-2023</t>
        </is>
      </c>
      <c r="B2205" s="1" t="n">
        <v>45208</v>
      </c>
      <c r="C2205" s="1" t="n">
        <v>45991</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5035-2024</t>
        </is>
      </c>
      <c r="B2206" s="1" t="n">
        <v>45329.86893518519</v>
      </c>
      <c r="C2206" s="1" t="n">
        <v>45991</v>
      </c>
      <c r="D2206" t="inlineStr">
        <is>
          <t>VÄSTERNORRLANDS LÄN</t>
        </is>
      </c>
      <c r="E2206" t="inlineStr">
        <is>
          <t>SOLLEFTEÅ</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5040-2024</t>
        </is>
      </c>
      <c r="B2207" s="1" t="n">
        <v>45329.88962962963</v>
      </c>
      <c r="C2207" s="1" t="n">
        <v>45991</v>
      </c>
      <c r="D2207" t="inlineStr">
        <is>
          <t>VÄSTERNORRLANDS LÄN</t>
        </is>
      </c>
      <c r="E2207" t="inlineStr">
        <is>
          <t>SOLLEFTEÅ</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3537-2025</t>
        </is>
      </c>
      <c r="B2208" s="1" t="n">
        <v>45680</v>
      </c>
      <c r="C2208" s="1" t="n">
        <v>45991</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16237-2024</t>
        </is>
      </c>
      <c r="B2209" s="1" t="n">
        <v>45407.05681712963</v>
      </c>
      <c r="C2209" s="1" t="n">
        <v>45991</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44662-2024</t>
        </is>
      </c>
      <c r="B2210" s="1" t="n">
        <v>45574.53189814815</v>
      </c>
      <c r="C2210" s="1" t="n">
        <v>45991</v>
      </c>
      <c r="D2210" t="inlineStr">
        <is>
          <t>VÄSTERNORRLANDS LÄN</t>
        </is>
      </c>
      <c r="E2210" t="inlineStr">
        <is>
          <t>SOLLEFTEÅ</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38768-2024</t>
        </is>
      </c>
      <c r="B2211" s="1" t="n">
        <v>45547.44892361111</v>
      </c>
      <c r="C2211" s="1" t="n">
        <v>45991</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52034-2022</t>
        </is>
      </c>
      <c r="B2212" s="1" t="n">
        <v>44872</v>
      </c>
      <c r="C2212" s="1" t="n">
        <v>45991</v>
      </c>
      <c r="D2212" t="inlineStr">
        <is>
          <t>VÄSTERNORRLANDS LÄN</t>
        </is>
      </c>
      <c r="E2212" t="inlineStr">
        <is>
          <t>SOLLEFTEÅ</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35673-2024</t>
        </is>
      </c>
      <c r="B2213" s="1" t="n">
        <v>45532.39119212963</v>
      </c>
      <c r="C2213" s="1" t="n">
        <v>45991</v>
      </c>
      <c r="D2213" t="inlineStr">
        <is>
          <t>VÄSTERNORRLANDS LÄN</t>
        </is>
      </c>
      <c r="E2213" t="inlineStr">
        <is>
          <t>SOLLEFTEÅ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13942-2024</t>
        </is>
      </c>
      <c r="B2214" s="1" t="n">
        <v>45391.9540162037</v>
      </c>
      <c r="C2214" s="1" t="n">
        <v>45991</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27972-2021</t>
        </is>
      </c>
      <c r="B2215" s="1" t="n">
        <v>44354.93622685185</v>
      </c>
      <c r="C2215" s="1" t="n">
        <v>45991</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9121-2024</t>
        </is>
      </c>
      <c r="B2216" s="1" t="n">
        <v>45358.04099537037</v>
      </c>
      <c r="C2216" s="1" t="n">
        <v>45991</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57892-2024</t>
        </is>
      </c>
      <c r="B2217" s="1" t="n">
        <v>45631.46910879629</v>
      </c>
      <c r="C2217" s="1" t="n">
        <v>45991</v>
      </c>
      <c r="D2217" t="inlineStr">
        <is>
          <t>VÄSTERNORRLANDS LÄN</t>
        </is>
      </c>
      <c r="E2217" t="inlineStr">
        <is>
          <t>SOLLEFTEÅ</t>
        </is>
      </c>
      <c r="F2217" t="inlineStr">
        <is>
          <t>SCA</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62406-2022</t>
        </is>
      </c>
      <c r="B2218" s="1" t="n">
        <v>44923</v>
      </c>
      <c r="C2218" s="1" t="n">
        <v>45991</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60757-2021</t>
        </is>
      </c>
      <c r="B2219" s="1" t="n">
        <v>44496.92101851852</v>
      </c>
      <c r="C2219" s="1" t="n">
        <v>45991</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14982-2024</t>
        </is>
      </c>
      <c r="B2220" s="1" t="n">
        <v>45398.94193287037</v>
      </c>
      <c r="C2220" s="1" t="n">
        <v>45991</v>
      </c>
      <c r="D2220" t="inlineStr">
        <is>
          <t>VÄSTERNORRLANDS LÄN</t>
        </is>
      </c>
      <c r="E2220" t="inlineStr">
        <is>
          <t>SOLLEFTEÅ</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36144-2024</t>
        </is>
      </c>
      <c r="B2221" s="1" t="n">
        <v>45534.36309027778</v>
      </c>
      <c r="C2221" s="1" t="n">
        <v>45991</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23288-2023</t>
        </is>
      </c>
      <c r="B2222" s="1" t="n">
        <v>45075</v>
      </c>
      <c r="C2222" s="1" t="n">
        <v>45991</v>
      </c>
      <c r="D2222" t="inlineStr">
        <is>
          <t>VÄSTERNORRLANDS LÄN</t>
        </is>
      </c>
      <c r="E2222" t="inlineStr">
        <is>
          <t>SOLLEFTEÅ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23289-2023</t>
        </is>
      </c>
      <c r="B2223" s="1" t="n">
        <v>45075</v>
      </c>
      <c r="C2223" s="1" t="n">
        <v>45991</v>
      </c>
      <c r="D2223" t="inlineStr">
        <is>
          <t>VÄSTERNORRLANDS LÄN</t>
        </is>
      </c>
      <c r="E2223" t="inlineStr">
        <is>
          <t>SOLLEFTEÅ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59563-2024</t>
        </is>
      </c>
      <c r="B2224" s="1" t="n">
        <v>45638.63733796297</v>
      </c>
      <c r="C2224" s="1" t="n">
        <v>45991</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21031-2024</t>
        </is>
      </c>
      <c r="B2225" s="1" t="n">
        <v>45439</v>
      </c>
      <c r="C2225" s="1" t="n">
        <v>45991</v>
      </c>
      <c r="D2225" t="inlineStr">
        <is>
          <t>VÄSTERNORRLANDS LÄN</t>
        </is>
      </c>
      <c r="E2225" t="inlineStr">
        <is>
          <t>SOLLEFTEÅ</t>
        </is>
      </c>
      <c r="F2225" t="inlineStr">
        <is>
          <t>Holmen skog AB</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2883-2025</t>
        </is>
      </c>
      <c r="B2226" s="1" t="n">
        <v>45677</v>
      </c>
      <c r="C2226" s="1" t="n">
        <v>45991</v>
      </c>
      <c r="D2226" t="inlineStr">
        <is>
          <t>VÄSTERNORRLANDS LÄN</t>
        </is>
      </c>
      <c r="E2226" t="inlineStr">
        <is>
          <t>SOLLEFTEÅ</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30329-2024</t>
        </is>
      </c>
      <c r="B2227" s="1" t="n">
        <v>45490.95304398148</v>
      </c>
      <c r="C2227" s="1" t="n">
        <v>45991</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42963-2024</t>
        </is>
      </c>
      <c r="B2228" s="1" t="n">
        <v>45567.37240740741</v>
      </c>
      <c r="C2228" s="1" t="n">
        <v>45991</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42979-2024</t>
        </is>
      </c>
      <c r="B2229" s="1" t="n">
        <v>45567.37438657408</v>
      </c>
      <c r="C2229" s="1" t="n">
        <v>45991</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31559-2024</t>
        </is>
      </c>
      <c r="B2230" s="1" t="n">
        <v>45505.96555555556</v>
      </c>
      <c r="C2230" s="1" t="n">
        <v>45991</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45991</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9831-2024</t>
        </is>
      </c>
      <c r="B2232" s="1" t="n">
        <v>45363.04699074074</v>
      </c>
      <c r="C2232" s="1" t="n">
        <v>45991</v>
      </c>
      <c r="D2232" t="inlineStr">
        <is>
          <t>VÄSTERNORRLANDS LÄN</t>
        </is>
      </c>
      <c r="E2232" t="inlineStr">
        <is>
          <t>SOLLEFTEÅ</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583-2025</t>
        </is>
      </c>
      <c r="B2233" s="1" t="n">
        <v>45664</v>
      </c>
      <c r="C2233" s="1" t="n">
        <v>45991</v>
      </c>
      <c r="D2233" t="inlineStr">
        <is>
          <t>VÄSTERNORRLANDS LÄN</t>
        </is>
      </c>
      <c r="E2233" t="inlineStr">
        <is>
          <t>SOLLEFTEÅ</t>
        </is>
      </c>
      <c r="G2233" t="n">
        <v>47.2</v>
      </c>
      <c r="H2233" t="n">
        <v>0</v>
      </c>
      <c r="I2233" t="n">
        <v>0</v>
      </c>
      <c r="J2233" t="n">
        <v>0</v>
      </c>
      <c r="K2233" t="n">
        <v>0</v>
      </c>
      <c r="L2233" t="n">
        <v>0</v>
      </c>
      <c r="M2233" t="n">
        <v>0</v>
      </c>
      <c r="N2233" t="n">
        <v>0</v>
      </c>
      <c r="O2233" t="n">
        <v>0</v>
      </c>
      <c r="P2233" t="n">
        <v>0</v>
      </c>
      <c r="Q2233" t="n">
        <v>0</v>
      </c>
      <c r="R2233" s="2" t="inlineStr"/>
    </row>
    <row r="2234" ht="15" customHeight="1">
      <c r="A2234" t="inlineStr">
        <is>
          <t>A 35513-2024</t>
        </is>
      </c>
      <c r="B2234" s="1" t="n">
        <v>45531</v>
      </c>
      <c r="C2234" s="1" t="n">
        <v>45991</v>
      </c>
      <c r="D2234" t="inlineStr">
        <is>
          <t>VÄSTERNORRLANDS LÄN</t>
        </is>
      </c>
      <c r="E2234" t="inlineStr">
        <is>
          <t>SOLLEFTEÅ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12764-2022</t>
        </is>
      </c>
      <c r="B2235" s="1" t="n">
        <v>44641.93445601852</v>
      </c>
      <c r="C2235" s="1" t="n">
        <v>45991</v>
      </c>
      <c r="D2235" t="inlineStr">
        <is>
          <t>VÄSTERNORRLANDS LÄN</t>
        </is>
      </c>
      <c r="E2235" t="inlineStr">
        <is>
          <t>SOLLEFTEÅ</t>
        </is>
      </c>
      <c r="F2235" t="inlineStr">
        <is>
          <t>SCA</t>
        </is>
      </c>
      <c r="G2235" t="n">
        <v>13.7</v>
      </c>
      <c r="H2235" t="n">
        <v>0</v>
      </c>
      <c r="I2235" t="n">
        <v>0</v>
      </c>
      <c r="J2235" t="n">
        <v>0</v>
      </c>
      <c r="K2235" t="n">
        <v>0</v>
      </c>
      <c r="L2235" t="n">
        <v>0</v>
      </c>
      <c r="M2235" t="n">
        <v>0</v>
      </c>
      <c r="N2235" t="n">
        <v>0</v>
      </c>
      <c r="O2235" t="n">
        <v>0</v>
      </c>
      <c r="P2235" t="n">
        <v>0</v>
      </c>
      <c r="Q2235" t="n">
        <v>0</v>
      </c>
      <c r="R2235" s="2" t="inlineStr"/>
    </row>
    <row r="2236" ht="15" customHeight="1">
      <c r="A2236" t="inlineStr">
        <is>
          <t>A 8195-2025</t>
        </is>
      </c>
      <c r="B2236" s="1" t="n">
        <v>45708</v>
      </c>
      <c r="C2236" s="1" t="n">
        <v>45991</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6271-2023</t>
        </is>
      </c>
      <c r="B2237" s="1" t="n">
        <v>44959</v>
      </c>
      <c r="C2237" s="1" t="n">
        <v>45991</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38275-2024</t>
        </is>
      </c>
      <c r="B2238" s="1" t="n">
        <v>45545</v>
      </c>
      <c r="C2238" s="1" t="n">
        <v>45991</v>
      </c>
      <c r="D2238" t="inlineStr">
        <is>
          <t>VÄSTERNORRLANDS LÄN</t>
        </is>
      </c>
      <c r="E2238" t="inlineStr">
        <is>
          <t>SOLLEFTEÅ</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48265-2024</t>
        </is>
      </c>
      <c r="B2239" s="1" t="n">
        <v>45590.42751157407</v>
      </c>
      <c r="C2239" s="1" t="n">
        <v>45991</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50226-2023</t>
        </is>
      </c>
      <c r="B2240" s="1" t="n">
        <v>45215.94767361111</v>
      </c>
      <c r="C2240" s="1" t="n">
        <v>45991</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1459-2024</t>
        </is>
      </c>
      <c r="B2241" s="1" t="n">
        <v>45303.9331712963</v>
      </c>
      <c r="C2241" s="1" t="n">
        <v>45991</v>
      </c>
      <c r="D2241" t="inlineStr">
        <is>
          <t>VÄSTERNORRLANDS LÄN</t>
        </is>
      </c>
      <c r="E2241" t="inlineStr">
        <is>
          <t>SOLLEFTEÅ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44393-2023</t>
        </is>
      </c>
      <c r="B2242" s="1" t="n">
        <v>45188.94534722222</v>
      </c>
      <c r="C2242" s="1" t="n">
        <v>45991</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56176-2022</t>
        </is>
      </c>
      <c r="B2243" s="1" t="n">
        <v>44889.94862268519</v>
      </c>
      <c r="C2243" s="1" t="n">
        <v>45991</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13584-2025</t>
        </is>
      </c>
      <c r="B2244" s="1" t="n">
        <v>45736.59193287037</v>
      </c>
      <c r="C2244" s="1" t="n">
        <v>45991</v>
      </c>
      <c r="D2244" t="inlineStr">
        <is>
          <t>VÄSTERNORRLANDS LÄN</t>
        </is>
      </c>
      <c r="E2244" t="inlineStr">
        <is>
          <t>SOLLEFTEÅ</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6816-2024</t>
        </is>
      </c>
      <c r="B2245" s="1" t="n">
        <v>45342</v>
      </c>
      <c r="C2245" s="1" t="n">
        <v>45991</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16693-2024</t>
        </is>
      </c>
      <c r="B2246" s="1" t="n">
        <v>45408</v>
      </c>
      <c r="C2246" s="1" t="n">
        <v>45991</v>
      </c>
      <c r="D2246" t="inlineStr">
        <is>
          <t>VÄSTERNORRLANDS LÄN</t>
        </is>
      </c>
      <c r="E2246" t="inlineStr">
        <is>
          <t>SOLLEFTEÅ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18623-2024</t>
        </is>
      </c>
      <c r="B2247" s="1" t="n">
        <v>45425.96378472223</v>
      </c>
      <c r="C2247" s="1" t="n">
        <v>45991</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41434-2024</t>
        </is>
      </c>
      <c r="B2248" s="1" t="n">
        <v>45560</v>
      </c>
      <c r="C2248" s="1" t="n">
        <v>45991</v>
      </c>
      <c r="D2248" t="inlineStr">
        <is>
          <t>VÄSTERNORRLANDS LÄN</t>
        </is>
      </c>
      <c r="E2248" t="inlineStr">
        <is>
          <t>SOLLEFTEÅ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45334-2024</t>
        </is>
      </c>
      <c r="B2249" s="1" t="n">
        <v>45576</v>
      </c>
      <c r="C2249" s="1" t="n">
        <v>45991</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42229-2021</t>
        </is>
      </c>
      <c r="B2250" s="1" t="n">
        <v>44426.93474537037</v>
      </c>
      <c r="C2250" s="1" t="n">
        <v>45991</v>
      </c>
      <c r="D2250" t="inlineStr">
        <is>
          <t>VÄSTERNORRLANDS LÄN</t>
        </is>
      </c>
      <c r="E2250" t="inlineStr">
        <is>
          <t>SOLLEFTEÅ</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35019-2022</t>
        </is>
      </c>
      <c r="B2251" s="1" t="n">
        <v>44796.94684027778</v>
      </c>
      <c r="C2251" s="1" t="n">
        <v>45991</v>
      </c>
      <c r="D2251" t="inlineStr">
        <is>
          <t>VÄSTERNORRLANDS LÄN</t>
        </is>
      </c>
      <c r="E2251" t="inlineStr">
        <is>
          <t>SOLLEFTEÅ</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56137-2023</t>
        </is>
      </c>
      <c r="B2252" s="1" t="n">
        <v>45240.59096064815</v>
      </c>
      <c r="C2252" s="1" t="n">
        <v>45991</v>
      </c>
      <c r="D2252" t="inlineStr">
        <is>
          <t>VÄSTERNORRLANDS LÄN</t>
        </is>
      </c>
      <c r="E2252" t="inlineStr">
        <is>
          <t>SOLLEFTEÅ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62262-2022</t>
        </is>
      </c>
      <c r="B2253" s="1" t="n">
        <v>44922.94387731481</v>
      </c>
      <c r="C2253" s="1" t="n">
        <v>45991</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10738-2025</t>
        </is>
      </c>
      <c r="B2254" s="1" t="n">
        <v>45722.40704861111</v>
      </c>
      <c r="C2254" s="1" t="n">
        <v>45991</v>
      </c>
      <c r="D2254" t="inlineStr">
        <is>
          <t>VÄSTERNORRLANDS LÄN</t>
        </is>
      </c>
      <c r="E2254" t="inlineStr">
        <is>
          <t>SOLLEFTEÅ</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1858-2021</t>
        </is>
      </c>
      <c r="B2255" s="1" t="n">
        <v>44210</v>
      </c>
      <c r="C2255" s="1" t="n">
        <v>45991</v>
      </c>
      <c r="D2255" t="inlineStr">
        <is>
          <t>VÄSTERNORRLANDS LÄN</t>
        </is>
      </c>
      <c r="E2255" t="inlineStr">
        <is>
          <t>SOLLEFTEÅ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51193-2024</t>
        </is>
      </c>
      <c r="B2256" s="1" t="n">
        <v>45603.61511574074</v>
      </c>
      <c r="C2256" s="1" t="n">
        <v>45991</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3689-2023</t>
        </is>
      </c>
      <c r="B2257" s="1" t="n">
        <v>44950</v>
      </c>
      <c r="C2257" s="1" t="n">
        <v>45991</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23753-2021</t>
        </is>
      </c>
      <c r="B2258" s="1" t="n">
        <v>44334</v>
      </c>
      <c r="C2258" s="1" t="n">
        <v>45991</v>
      </c>
      <c r="D2258" t="inlineStr">
        <is>
          <t>VÄSTERNORRLANDS LÄN</t>
        </is>
      </c>
      <c r="E2258" t="inlineStr">
        <is>
          <t>SOLLEFTEÅ</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57395-2023</t>
        </is>
      </c>
      <c r="B2259" s="1" t="n">
        <v>45245.9678125</v>
      </c>
      <c r="C2259" s="1" t="n">
        <v>45991</v>
      </c>
      <c r="D2259" t="inlineStr">
        <is>
          <t>VÄSTERNORRLANDS LÄN</t>
        </is>
      </c>
      <c r="E2259" t="inlineStr">
        <is>
          <t>SOLLEFTEÅ</t>
        </is>
      </c>
      <c r="F2259" t="inlineStr">
        <is>
          <t>SCA</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12752-2023</t>
        </is>
      </c>
      <c r="B2260" s="1" t="n">
        <v>45000.94854166666</v>
      </c>
      <c r="C2260" s="1" t="n">
        <v>45991</v>
      </c>
      <c r="D2260" t="inlineStr">
        <is>
          <t>VÄSTERNORRLANDS LÄN</t>
        </is>
      </c>
      <c r="E2260" t="inlineStr">
        <is>
          <t>SOLLEFTEÅ</t>
        </is>
      </c>
      <c r="F2260" t="inlineStr">
        <is>
          <t>SCA</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1416-2025</t>
        </is>
      </c>
      <c r="B2261" s="1" t="n">
        <v>45668</v>
      </c>
      <c r="C2261" s="1" t="n">
        <v>45991</v>
      </c>
      <c r="D2261" t="inlineStr">
        <is>
          <t>VÄSTERNORRLANDS LÄN</t>
        </is>
      </c>
      <c r="E2261" t="inlineStr">
        <is>
          <t>SOLLEFTEÅ</t>
        </is>
      </c>
      <c r="G2261" t="n">
        <v>21.3</v>
      </c>
      <c r="H2261" t="n">
        <v>0</v>
      </c>
      <c r="I2261" t="n">
        <v>0</v>
      </c>
      <c r="J2261" t="n">
        <v>0</v>
      </c>
      <c r="K2261" t="n">
        <v>0</v>
      </c>
      <c r="L2261" t="n">
        <v>0</v>
      </c>
      <c r="M2261" t="n">
        <v>0</v>
      </c>
      <c r="N2261" t="n">
        <v>0</v>
      </c>
      <c r="O2261" t="n">
        <v>0</v>
      </c>
      <c r="P2261" t="n">
        <v>0</v>
      </c>
      <c r="Q2261" t="n">
        <v>0</v>
      </c>
      <c r="R2261" s="2" t="inlineStr"/>
    </row>
    <row r="2262" ht="15" customHeight="1">
      <c r="A2262" t="inlineStr">
        <is>
          <t>A 31481-2024</t>
        </is>
      </c>
      <c r="B2262" s="1" t="n">
        <v>45505</v>
      </c>
      <c r="C2262" s="1" t="n">
        <v>45991</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29290-2022</t>
        </is>
      </c>
      <c r="B2263" s="1" t="n">
        <v>44750</v>
      </c>
      <c r="C2263" s="1" t="n">
        <v>45991</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29693-2024</t>
        </is>
      </c>
      <c r="B2264" s="1" t="n">
        <v>45484.94490740741</v>
      </c>
      <c r="C2264" s="1" t="n">
        <v>45991</v>
      </c>
      <c r="D2264" t="inlineStr">
        <is>
          <t>VÄSTERNORRLANDS LÄN</t>
        </is>
      </c>
      <c r="E2264" t="inlineStr">
        <is>
          <t>SOLLEFTEÅ</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9632-2025</t>
        </is>
      </c>
      <c r="B2265" s="1" t="n">
        <v>45715.71921296296</v>
      </c>
      <c r="C2265" s="1" t="n">
        <v>45991</v>
      </c>
      <c r="D2265" t="inlineStr">
        <is>
          <t>VÄSTERNORRLANDS LÄN</t>
        </is>
      </c>
      <c r="E2265" t="inlineStr">
        <is>
          <t>SOLLEFTEÅ</t>
        </is>
      </c>
      <c r="F2265" t="inlineStr">
        <is>
          <t>SCA</t>
        </is>
      </c>
      <c r="G2265" t="n">
        <v>21.6</v>
      </c>
      <c r="H2265" t="n">
        <v>0</v>
      </c>
      <c r="I2265" t="n">
        <v>0</v>
      </c>
      <c r="J2265" t="n">
        <v>0</v>
      </c>
      <c r="K2265" t="n">
        <v>0</v>
      </c>
      <c r="L2265" t="n">
        <v>0</v>
      </c>
      <c r="M2265" t="n">
        <v>0</v>
      </c>
      <c r="N2265" t="n">
        <v>0</v>
      </c>
      <c r="O2265" t="n">
        <v>0</v>
      </c>
      <c r="P2265" t="n">
        <v>0</v>
      </c>
      <c r="Q2265" t="n">
        <v>0</v>
      </c>
      <c r="R2265" s="2" t="inlineStr"/>
    </row>
    <row r="2266" ht="15" customHeight="1">
      <c r="A2266" t="inlineStr">
        <is>
          <t>A 47631-2024</t>
        </is>
      </c>
      <c r="B2266" s="1" t="n">
        <v>45588.34465277778</v>
      </c>
      <c r="C2266" s="1" t="n">
        <v>45991</v>
      </c>
      <c r="D2266" t="inlineStr">
        <is>
          <t>VÄSTERNORRLANDS LÄN</t>
        </is>
      </c>
      <c r="E2266" t="inlineStr">
        <is>
          <t>SOLLEFTEÅ</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60827-2024</t>
        </is>
      </c>
      <c r="B2267" s="1" t="n">
        <v>45644.63590277778</v>
      </c>
      <c r="C2267" s="1" t="n">
        <v>45991</v>
      </c>
      <c r="D2267" t="inlineStr">
        <is>
          <t>VÄSTERNORRLANDS LÄN</t>
        </is>
      </c>
      <c r="E2267" t="inlineStr">
        <is>
          <t>SOLLEFTEÅ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6236-2023</t>
        </is>
      </c>
      <c r="B2268" s="1" t="n">
        <v>44964</v>
      </c>
      <c r="C2268" s="1" t="n">
        <v>45991</v>
      </c>
      <c r="D2268" t="inlineStr">
        <is>
          <t>VÄSTERNORRLANDS LÄN</t>
        </is>
      </c>
      <c r="E2268" t="inlineStr">
        <is>
          <t>SOLLEFTEÅ</t>
        </is>
      </c>
      <c r="F2268" t="inlineStr">
        <is>
          <t>SCA</t>
        </is>
      </c>
      <c r="G2268" t="n">
        <v>0.1</v>
      </c>
      <c r="H2268" t="n">
        <v>0</v>
      </c>
      <c r="I2268" t="n">
        <v>0</v>
      </c>
      <c r="J2268" t="n">
        <v>0</v>
      </c>
      <c r="K2268" t="n">
        <v>0</v>
      </c>
      <c r="L2268" t="n">
        <v>0</v>
      </c>
      <c r="M2268" t="n">
        <v>0</v>
      </c>
      <c r="N2268" t="n">
        <v>0</v>
      </c>
      <c r="O2268" t="n">
        <v>0</v>
      </c>
      <c r="P2268" t="n">
        <v>0</v>
      </c>
      <c r="Q2268" t="n">
        <v>0</v>
      </c>
      <c r="R2268" s="2" t="inlineStr"/>
      <c r="U2268">
        <f>HYPERLINK("https://klasma.github.io/Logging_2283/knärot/A 6236-2023 karta knärot.png", "A 6236-2023")</f>
        <v/>
      </c>
      <c r="V2268">
        <f>HYPERLINK("https://klasma.github.io/Logging_2283/klagomål/A 6236-2023 FSC-klagomål.docx", "A 6236-2023")</f>
        <v/>
      </c>
      <c r="W2268">
        <f>HYPERLINK("https://klasma.github.io/Logging_2283/klagomålsmail/A 6236-2023 FSC-klagomål mail.docx", "A 6236-2023")</f>
        <v/>
      </c>
      <c r="X2268">
        <f>HYPERLINK("https://klasma.github.io/Logging_2283/tillsyn/A 6236-2023 tillsynsbegäran.docx", "A 6236-2023")</f>
        <v/>
      </c>
      <c r="Y2268">
        <f>HYPERLINK("https://klasma.github.io/Logging_2283/tillsynsmail/A 6236-2023 tillsynsbegäran mail.docx", "A 6236-2023")</f>
        <v/>
      </c>
    </row>
    <row r="2269" ht="15" customHeight="1">
      <c r="A2269" t="inlineStr">
        <is>
          <t>A 73564-2021</t>
        </is>
      </c>
      <c r="B2269" s="1" t="n">
        <v>44551.9409375</v>
      </c>
      <c r="C2269" s="1" t="n">
        <v>45991</v>
      </c>
      <c r="D2269" t="inlineStr">
        <is>
          <t>VÄSTERNORRLANDS LÄN</t>
        </is>
      </c>
      <c r="E2269" t="inlineStr">
        <is>
          <t>SOLLEFTEÅ</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10618-2024</t>
        </is>
      </c>
      <c r="B2270" s="1" t="n">
        <v>45367</v>
      </c>
      <c r="C2270" s="1" t="n">
        <v>45991</v>
      </c>
      <c r="D2270" t="inlineStr">
        <is>
          <t>VÄSTERNORRLANDS LÄN</t>
        </is>
      </c>
      <c r="E2270" t="inlineStr">
        <is>
          <t>SOLLEFTEÅ</t>
        </is>
      </c>
      <c r="F2270" t="inlineStr">
        <is>
          <t>SCA</t>
        </is>
      </c>
      <c r="G2270" t="n">
        <v>21.1</v>
      </c>
      <c r="H2270" t="n">
        <v>0</v>
      </c>
      <c r="I2270" t="n">
        <v>0</v>
      </c>
      <c r="J2270" t="n">
        <v>0</v>
      </c>
      <c r="K2270" t="n">
        <v>0</v>
      </c>
      <c r="L2270" t="n">
        <v>0</v>
      </c>
      <c r="M2270" t="n">
        <v>0</v>
      </c>
      <c r="N2270" t="n">
        <v>0</v>
      </c>
      <c r="O2270" t="n">
        <v>0</v>
      </c>
      <c r="P2270" t="n">
        <v>0</v>
      </c>
      <c r="Q2270" t="n">
        <v>0</v>
      </c>
      <c r="R2270" s="2" t="inlineStr"/>
    </row>
    <row r="2271" ht="15" customHeight="1">
      <c r="A2271" t="inlineStr">
        <is>
          <t>A 13150-2025</t>
        </is>
      </c>
      <c r="B2271" s="1" t="n">
        <v>45735.34439814815</v>
      </c>
      <c r="C2271" s="1" t="n">
        <v>45991</v>
      </c>
      <c r="D2271" t="inlineStr">
        <is>
          <t>VÄSTERNORRLANDS LÄN</t>
        </is>
      </c>
      <c r="E2271" t="inlineStr">
        <is>
          <t>SOLLEFTEÅ</t>
        </is>
      </c>
      <c r="F2271" t="inlineStr">
        <is>
          <t>SCA</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25314-2023</t>
        </is>
      </c>
      <c r="B2272" s="1" t="n">
        <v>45086</v>
      </c>
      <c r="C2272" s="1" t="n">
        <v>45991</v>
      </c>
      <c r="D2272" t="inlineStr">
        <is>
          <t>VÄSTERNORRLANDS LÄN</t>
        </is>
      </c>
      <c r="E2272" t="inlineStr">
        <is>
          <t>SOLLEFTEÅ</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16795-2025</t>
        </is>
      </c>
      <c r="B2273" s="1" t="n">
        <v>45754.61487268518</v>
      </c>
      <c r="C2273" s="1" t="n">
        <v>45991</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56262-2023</t>
        </is>
      </c>
      <c r="B2274" s="1" t="n">
        <v>45240</v>
      </c>
      <c r="C2274" s="1" t="n">
        <v>45991</v>
      </c>
      <c r="D2274" t="inlineStr">
        <is>
          <t>VÄSTERNORRLANDS LÄN</t>
        </is>
      </c>
      <c r="E2274" t="inlineStr">
        <is>
          <t>SOLLEFTEÅ</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1997-2022</t>
        </is>
      </c>
      <c r="B2275" s="1" t="n">
        <v>44575</v>
      </c>
      <c r="C2275" s="1" t="n">
        <v>45991</v>
      </c>
      <c r="D2275" t="inlineStr">
        <is>
          <t>VÄSTERNORRLANDS LÄN</t>
        </is>
      </c>
      <c r="E2275" t="inlineStr">
        <is>
          <t>SOLLEFTEÅ</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7942-2025</t>
        </is>
      </c>
      <c r="B2276" s="1" t="n">
        <v>45707</v>
      </c>
      <c r="C2276" s="1" t="n">
        <v>45991</v>
      </c>
      <c r="D2276" t="inlineStr">
        <is>
          <t>VÄSTERNORRLANDS LÄN</t>
        </is>
      </c>
      <c r="E2276" t="inlineStr">
        <is>
          <t>SOLLEFTEÅ</t>
        </is>
      </c>
      <c r="F2276" t="inlineStr">
        <is>
          <t>SCA</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32812-2024</t>
        </is>
      </c>
      <c r="B2277" s="1" t="n">
        <v>45516</v>
      </c>
      <c r="C2277" s="1" t="n">
        <v>45991</v>
      </c>
      <c r="D2277" t="inlineStr">
        <is>
          <t>VÄSTERNORRLANDS LÄN</t>
        </is>
      </c>
      <c r="E2277" t="inlineStr">
        <is>
          <t>SOLLEFTEÅ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48083-2023</t>
        </is>
      </c>
      <c r="B2278" s="1" t="n">
        <v>45204</v>
      </c>
      <c r="C2278" s="1" t="n">
        <v>45991</v>
      </c>
      <c r="D2278" t="inlineStr">
        <is>
          <t>VÄSTERNORRLANDS LÄN</t>
        </is>
      </c>
      <c r="E2278" t="inlineStr">
        <is>
          <t>SOLLEFTEÅ</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4261-2025</t>
        </is>
      </c>
      <c r="B2279" s="1" t="n">
        <v>45685.61785879629</v>
      </c>
      <c r="C2279" s="1" t="n">
        <v>45991</v>
      </c>
      <c r="D2279" t="inlineStr">
        <is>
          <t>VÄSTERNORRLANDS LÄN</t>
        </is>
      </c>
      <c r="E2279" t="inlineStr">
        <is>
          <t>SOLLEFTEÅ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41834-2024</t>
        </is>
      </c>
      <c r="B2280" s="1" t="n">
        <v>45561.4084375</v>
      </c>
      <c r="C2280" s="1" t="n">
        <v>45991</v>
      </c>
      <c r="D2280" t="inlineStr">
        <is>
          <t>VÄSTERNORRLANDS LÄN</t>
        </is>
      </c>
      <c r="E2280" t="inlineStr">
        <is>
          <t>SOLLEFTEÅ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41975-2024</t>
        </is>
      </c>
      <c r="B2281" s="1" t="n">
        <v>45561</v>
      </c>
      <c r="C2281" s="1" t="n">
        <v>45991</v>
      </c>
      <c r="D2281" t="inlineStr">
        <is>
          <t>VÄSTERNORRLANDS LÄN</t>
        </is>
      </c>
      <c r="E2281" t="inlineStr">
        <is>
          <t>SOLLEFTEÅ</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58845-2024</t>
        </is>
      </c>
      <c r="B2282" s="1" t="n">
        <v>45636.3862037037</v>
      </c>
      <c r="C2282" s="1" t="n">
        <v>45991</v>
      </c>
      <c r="D2282" t="inlineStr">
        <is>
          <t>VÄSTERNORRLANDS LÄN</t>
        </is>
      </c>
      <c r="E2282" t="inlineStr">
        <is>
          <t>SOLLEFTEÅ</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56388-2024</t>
        </is>
      </c>
      <c r="B2283" s="1" t="n">
        <v>45625.34449074074</v>
      </c>
      <c r="C2283" s="1" t="n">
        <v>45991</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53939-2023</t>
        </is>
      </c>
      <c r="B2284" s="1" t="n">
        <v>45224</v>
      </c>
      <c r="C2284" s="1" t="n">
        <v>45991</v>
      </c>
      <c r="D2284" t="inlineStr">
        <is>
          <t>VÄSTERNORRLANDS LÄN</t>
        </is>
      </c>
      <c r="E2284" t="inlineStr">
        <is>
          <t>SOLLEFTEÅ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45991</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35872-2024</t>
        </is>
      </c>
      <c r="B2286" s="1" t="n">
        <v>45533</v>
      </c>
      <c r="C2286" s="1" t="n">
        <v>45991</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21582-2022</t>
        </is>
      </c>
      <c r="B2287" s="1" t="n">
        <v>44706</v>
      </c>
      <c r="C2287" s="1" t="n">
        <v>45991</v>
      </c>
      <c r="D2287" t="inlineStr">
        <is>
          <t>VÄSTERNORRLANDS LÄN</t>
        </is>
      </c>
      <c r="E2287" t="inlineStr">
        <is>
          <t>SOLLEFTEÅ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13858-2025</t>
        </is>
      </c>
      <c r="B2288" s="1" t="n">
        <v>45737.57341435185</v>
      </c>
      <c r="C2288" s="1" t="n">
        <v>45991</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16312-2025</t>
        </is>
      </c>
      <c r="B2289" s="1" t="n">
        <v>45751.3474074074</v>
      </c>
      <c r="C2289" s="1" t="n">
        <v>45991</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12683-2025</t>
        </is>
      </c>
      <c r="B2290" s="1" t="n">
        <v>45733.44483796296</v>
      </c>
      <c r="C2290" s="1" t="n">
        <v>45991</v>
      </c>
      <c r="D2290" t="inlineStr">
        <is>
          <t>VÄSTERNORRLANDS LÄN</t>
        </is>
      </c>
      <c r="E2290" t="inlineStr">
        <is>
          <t>SOLLEFTEÅ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58478-2021</t>
        </is>
      </c>
      <c r="B2291" s="1" t="n">
        <v>44488</v>
      </c>
      <c r="C2291" s="1" t="n">
        <v>45991</v>
      </c>
      <c r="D2291" t="inlineStr">
        <is>
          <t>VÄSTERNORRLANDS LÄN</t>
        </is>
      </c>
      <c r="E2291" t="inlineStr">
        <is>
          <t>SOLLEFTEÅ</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19429-2024</t>
        </is>
      </c>
      <c r="B2292" s="1" t="n">
        <v>45429</v>
      </c>
      <c r="C2292" s="1" t="n">
        <v>45991</v>
      </c>
      <c r="D2292" t="inlineStr">
        <is>
          <t>VÄSTERNORRLANDS LÄN</t>
        </is>
      </c>
      <c r="E2292" t="inlineStr">
        <is>
          <t>SOLLEFTEÅ</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35217-2024</t>
        </is>
      </c>
      <c r="B2293" s="1" t="n">
        <v>45530</v>
      </c>
      <c r="C2293" s="1" t="n">
        <v>45991</v>
      </c>
      <c r="D2293" t="inlineStr">
        <is>
          <t>VÄSTERNORRLANDS LÄN</t>
        </is>
      </c>
      <c r="E2293" t="inlineStr">
        <is>
          <t>SOLLEFTEÅ</t>
        </is>
      </c>
      <c r="F2293" t="inlineStr">
        <is>
          <t>Kommuner</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49771-2024</t>
        </is>
      </c>
      <c r="B2294" s="1" t="n">
        <v>45597.34481481482</v>
      </c>
      <c r="C2294" s="1" t="n">
        <v>45991</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49772-2024</t>
        </is>
      </c>
      <c r="B2295" s="1" t="n">
        <v>45597.34483796296</v>
      </c>
      <c r="C2295" s="1" t="n">
        <v>45991</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71580-2021</t>
        </is>
      </c>
      <c r="B2296" s="1" t="n">
        <v>44540</v>
      </c>
      <c r="C2296" s="1" t="n">
        <v>45991</v>
      </c>
      <c r="D2296" t="inlineStr">
        <is>
          <t>VÄSTERNORRLANDS LÄN</t>
        </is>
      </c>
      <c r="E2296" t="inlineStr">
        <is>
          <t>SOLLEFTEÅ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13315-2025</t>
        </is>
      </c>
      <c r="B2297" s="1" t="n">
        <v>45735.59418981482</v>
      </c>
      <c r="C2297" s="1" t="n">
        <v>45991</v>
      </c>
      <c r="D2297" t="inlineStr">
        <is>
          <t>VÄSTERNORRLANDS LÄN</t>
        </is>
      </c>
      <c r="E2297" t="inlineStr">
        <is>
          <t>SOLLEFTEÅ</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47179-2024</t>
        </is>
      </c>
      <c r="B2298" s="1" t="n">
        <v>45586.61634259259</v>
      </c>
      <c r="C2298" s="1" t="n">
        <v>45991</v>
      </c>
      <c r="D2298" t="inlineStr">
        <is>
          <t>VÄSTERNORRLANDS LÄN</t>
        </is>
      </c>
      <c r="E2298" t="inlineStr">
        <is>
          <t>SOLLEFTEÅ</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45991</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45991</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1848-2024</t>
        </is>
      </c>
      <c r="B2301" s="1" t="n">
        <v>45307</v>
      </c>
      <c r="C2301" s="1" t="n">
        <v>45991</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53212-2024</t>
        </is>
      </c>
      <c r="B2302" s="1" t="n">
        <v>45612.63576388889</v>
      </c>
      <c r="C2302" s="1" t="n">
        <v>45991</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9124-2022</t>
        </is>
      </c>
      <c r="B2303" s="1" t="n">
        <v>44615.58287037037</v>
      </c>
      <c r="C2303" s="1" t="n">
        <v>45991</v>
      </c>
      <c r="D2303" t="inlineStr">
        <is>
          <t>VÄSTERNORRLANDS LÄN</t>
        </is>
      </c>
      <c r="E2303" t="inlineStr">
        <is>
          <t>SOLLEFTEÅ</t>
        </is>
      </c>
      <c r="G2303" t="n">
        <v>20.2</v>
      </c>
      <c r="H2303" t="n">
        <v>0</v>
      </c>
      <c r="I2303" t="n">
        <v>0</v>
      </c>
      <c r="J2303" t="n">
        <v>0</v>
      </c>
      <c r="K2303" t="n">
        <v>0</v>
      </c>
      <c r="L2303" t="n">
        <v>0</v>
      </c>
      <c r="M2303" t="n">
        <v>0</v>
      </c>
      <c r="N2303" t="n">
        <v>0</v>
      </c>
      <c r="O2303" t="n">
        <v>0</v>
      </c>
      <c r="P2303" t="n">
        <v>0</v>
      </c>
      <c r="Q2303" t="n">
        <v>0</v>
      </c>
      <c r="R2303" s="2" t="inlineStr"/>
    </row>
    <row r="2304" ht="15" customHeight="1">
      <c r="A2304" t="inlineStr">
        <is>
          <t>A 9253-2025</t>
        </is>
      </c>
      <c r="B2304" s="1" t="n">
        <v>45714.59430555555</v>
      </c>
      <c r="C2304" s="1" t="n">
        <v>45991</v>
      </c>
      <c r="D2304" t="inlineStr">
        <is>
          <t>VÄSTERNORRLANDS LÄN</t>
        </is>
      </c>
      <c r="E2304" t="inlineStr">
        <is>
          <t>SOLLEFTEÅ</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21924-2021</t>
        </is>
      </c>
      <c r="B2305" s="1" t="n">
        <v>44322.91836805556</v>
      </c>
      <c r="C2305" s="1" t="n">
        <v>45991</v>
      </c>
      <c r="D2305" t="inlineStr">
        <is>
          <t>VÄSTERNORRLANDS LÄN</t>
        </is>
      </c>
      <c r="E2305" t="inlineStr">
        <is>
          <t>SOLLEFTEÅ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20799-2024</t>
        </is>
      </c>
      <c r="B2306" s="1" t="n">
        <v>45438</v>
      </c>
      <c r="C2306" s="1" t="n">
        <v>45991</v>
      </c>
      <c r="D2306" t="inlineStr">
        <is>
          <t>VÄSTERNORRLANDS LÄN</t>
        </is>
      </c>
      <c r="E2306" t="inlineStr">
        <is>
          <t>SOLLEFTEÅ</t>
        </is>
      </c>
      <c r="F2306" t="inlineStr">
        <is>
          <t>SCA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2583-2025</t>
        </is>
      </c>
      <c r="B2307" s="1" t="n">
        <v>45674.67803240741</v>
      </c>
      <c r="C2307" s="1" t="n">
        <v>45991</v>
      </c>
      <c r="D2307" t="inlineStr">
        <is>
          <t>VÄSTERNORRLANDS LÄN</t>
        </is>
      </c>
      <c r="E2307" t="inlineStr">
        <is>
          <t>SOLLEFTEÅ</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14036-2025</t>
        </is>
      </c>
      <c r="B2308" s="1" t="n">
        <v>45740.36508101852</v>
      </c>
      <c r="C2308" s="1" t="n">
        <v>45991</v>
      </c>
      <c r="D2308" t="inlineStr">
        <is>
          <t>VÄSTERNORRLANDS LÄN</t>
        </is>
      </c>
      <c r="E2308" t="inlineStr">
        <is>
          <t>SOLLEFTEÅ</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59564-2024</t>
        </is>
      </c>
      <c r="B2309" s="1" t="n">
        <v>45638.6375</v>
      </c>
      <c r="C2309" s="1" t="n">
        <v>45991</v>
      </c>
      <c r="D2309" t="inlineStr">
        <is>
          <t>VÄSTERNORRLANDS LÄN</t>
        </is>
      </c>
      <c r="E2309" t="inlineStr">
        <is>
          <t>SOLLEFTEÅ</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49036-2023</t>
        </is>
      </c>
      <c r="B2310" s="1" t="n">
        <v>45209.95693287037</v>
      </c>
      <c r="C2310" s="1" t="n">
        <v>45991</v>
      </c>
      <c r="D2310" t="inlineStr">
        <is>
          <t>VÄSTERNORRLANDS LÄN</t>
        </is>
      </c>
      <c r="E2310" t="inlineStr">
        <is>
          <t>SOLLEFTEÅ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7009-2023</t>
        </is>
      </c>
      <c r="B2311" s="1" t="n">
        <v>44967.92959490741</v>
      </c>
      <c r="C2311" s="1" t="n">
        <v>45991</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6736-2025</t>
        </is>
      </c>
      <c r="B2312" s="1" t="n">
        <v>45700.59442129629</v>
      </c>
      <c r="C2312" s="1" t="n">
        <v>45991</v>
      </c>
      <c r="D2312" t="inlineStr">
        <is>
          <t>VÄSTERNORRLANDS LÄN</t>
        </is>
      </c>
      <c r="E2312" t="inlineStr">
        <is>
          <t>SOLLEFTEÅ</t>
        </is>
      </c>
      <c r="F2312" t="inlineStr">
        <is>
          <t>SCA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49156-2024</t>
        </is>
      </c>
      <c r="B2313" s="1" t="n">
        <v>45594.834375</v>
      </c>
      <c r="C2313" s="1" t="n">
        <v>45991</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17049-2022</t>
        </is>
      </c>
      <c r="B2314" s="1" t="n">
        <v>44676</v>
      </c>
      <c r="C2314" s="1" t="n">
        <v>45991</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c r="U2314">
        <f>HYPERLINK("https://klasma.github.io/Logging_2283/knärot/A 17049-2022 karta knärot.png", "A 17049-2022")</f>
        <v/>
      </c>
      <c r="V2314">
        <f>HYPERLINK("https://klasma.github.io/Logging_2283/klagomål/A 17049-2022 FSC-klagomål.docx", "A 17049-2022")</f>
        <v/>
      </c>
      <c r="W2314">
        <f>HYPERLINK("https://klasma.github.io/Logging_2283/klagomålsmail/A 17049-2022 FSC-klagomål mail.docx", "A 17049-2022")</f>
        <v/>
      </c>
      <c r="X2314">
        <f>HYPERLINK("https://klasma.github.io/Logging_2283/tillsyn/A 17049-2022 tillsynsbegäran.docx", "A 17049-2022")</f>
        <v/>
      </c>
      <c r="Y2314">
        <f>HYPERLINK("https://klasma.github.io/Logging_2283/tillsynsmail/A 17049-2022 tillsynsbegäran mail.docx", "A 17049-2022")</f>
        <v/>
      </c>
    </row>
    <row r="2315" ht="15" customHeight="1">
      <c r="A2315" t="inlineStr">
        <is>
          <t>A 2580-2025</t>
        </is>
      </c>
      <c r="B2315" s="1" t="n">
        <v>45674</v>
      </c>
      <c r="C2315" s="1" t="n">
        <v>45991</v>
      </c>
      <c r="D2315" t="inlineStr">
        <is>
          <t>VÄSTERNORRLANDS LÄN</t>
        </is>
      </c>
      <c r="E2315" t="inlineStr">
        <is>
          <t>SOLLEFTEÅ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56134-2023</t>
        </is>
      </c>
      <c r="B2316" s="1" t="n">
        <v>45240</v>
      </c>
      <c r="C2316" s="1" t="n">
        <v>45991</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2345-2025</t>
        </is>
      </c>
      <c r="B2317" s="1" t="n">
        <v>45673.67747685185</v>
      </c>
      <c r="C2317" s="1" t="n">
        <v>45991</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6735-2025</t>
        </is>
      </c>
      <c r="B2318" s="1" t="n">
        <v>45700.59434027778</v>
      </c>
      <c r="C2318" s="1" t="n">
        <v>45991</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6737-2025</t>
        </is>
      </c>
      <c r="B2319" s="1" t="n">
        <v>45700.59450231482</v>
      </c>
      <c r="C2319" s="1" t="n">
        <v>45991</v>
      </c>
      <c r="D2319" t="inlineStr">
        <is>
          <t>VÄSTERNORRLANDS LÄN</t>
        </is>
      </c>
      <c r="E2319" t="inlineStr">
        <is>
          <t>SOLLEFTEÅ</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31556-2024</t>
        </is>
      </c>
      <c r="B2320" s="1" t="n">
        <v>45505</v>
      </c>
      <c r="C2320" s="1" t="n">
        <v>45991</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54978-2023</t>
        </is>
      </c>
      <c r="B2321" s="1" t="n">
        <v>45236.96600694444</v>
      </c>
      <c r="C2321" s="1" t="n">
        <v>45991</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55650-2023</t>
        </is>
      </c>
      <c r="B2322" s="1" t="n">
        <v>45238.96600694444</v>
      </c>
      <c r="C2322" s="1" t="n">
        <v>45991</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9557-2024</t>
        </is>
      </c>
      <c r="B2323" s="1" t="n">
        <v>45360</v>
      </c>
      <c r="C2323" s="1" t="n">
        <v>45991</v>
      </c>
      <c r="D2323" t="inlineStr">
        <is>
          <t>VÄSTERNORRLANDS LÄN</t>
        </is>
      </c>
      <c r="E2323" t="inlineStr">
        <is>
          <t>SOLLEFTEÅ</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49665-2022</t>
        </is>
      </c>
      <c r="B2324" s="1" t="n">
        <v>44862</v>
      </c>
      <c r="C2324" s="1" t="n">
        <v>45991</v>
      </c>
      <c r="D2324" t="inlineStr">
        <is>
          <t>VÄSTERNORRLANDS LÄN</t>
        </is>
      </c>
      <c r="E2324" t="inlineStr">
        <is>
          <t>SOLLEFTEÅ</t>
        </is>
      </c>
      <c r="F2324" t="inlineStr">
        <is>
          <t>Holmen skog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56398-2024</t>
        </is>
      </c>
      <c r="B2325" s="1" t="n">
        <v>45625.35395833333</v>
      </c>
      <c r="C2325" s="1" t="n">
        <v>45991</v>
      </c>
      <c r="D2325" t="inlineStr">
        <is>
          <t>VÄSTERNORRLANDS LÄN</t>
        </is>
      </c>
      <c r="E2325" t="inlineStr">
        <is>
          <t>SOLLEFTEÅ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8712-2025</t>
        </is>
      </c>
      <c r="B2326" s="1" t="n">
        <v>45712.49872685185</v>
      </c>
      <c r="C2326" s="1" t="n">
        <v>45991</v>
      </c>
      <c r="D2326" t="inlineStr">
        <is>
          <t>VÄSTERNORRLANDS LÄN</t>
        </is>
      </c>
      <c r="E2326" t="inlineStr">
        <is>
          <t>SOLLEFTEÅ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3548-2022</t>
        </is>
      </c>
      <c r="B2327" s="1" t="n">
        <v>44585.93784722222</v>
      </c>
      <c r="C2327" s="1" t="n">
        <v>45991</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7036-2025</t>
        </is>
      </c>
      <c r="B2328" s="1" t="n">
        <v>45701.63597222222</v>
      </c>
      <c r="C2328" s="1" t="n">
        <v>45991</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34638-2024</t>
        </is>
      </c>
      <c r="B2329" s="1" t="n">
        <v>45526</v>
      </c>
      <c r="C2329" s="1" t="n">
        <v>45991</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c r="U2329">
        <f>HYPERLINK("https://klasma.github.io/Logging_2283/knärot/A 34638-2024 karta knärot.png", "A 34638-2024")</f>
        <v/>
      </c>
      <c r="V2329">
        <f>HYPERLINK("https://klasma.github.io/Logging_2283/klagomål/A 34638-2024 FSC-klagomål.docx", "A 34638-2024")</f>
        <v/>
      </c>
      <c r="W2329">
        <f>HYPERLINK("https://klasma.github.io/Logging_2283/klagomålsmail/A 34638-2024 FSC-klagomål mail.docx", "A 34638-2024")</f>
        <v/>
      </c>
      <c r="X2329">
        <f>HYPERLINK("https://klasma.github.io/Logging_2283/tillsyn/A 34638-2024 tillsynsbegäran.docx", "A 34638-2024")</f>
        <v/>
      </c>
      <c r="Y2329">
        <f>HYPERLINK("https://klasma.github.io/Logging_2283/tillsynsmail/A 34638-2024 tillsynsbegäran mail.docx", "A 34638-2024")</f>
        <v/>
      </c>
    </row>
    <row r="2330" ht="15" customHeight="1">
      <c r="A2330" t="inlineStr">
        <is>
          <t>A 29337-2023</t>
        </is>
      </c>
      <c r="B2330" s="1" t="n">
        <v>45105</v>
      </c>
      <c r="C2330" s="1" t="n">
        <v>45991</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17258-2025</t>
        </is>
      </c>
      <c r="B2331" s="1" t="n">
        <v>45756.53278935186</v>
      </c>
      <c r="C2331" s="1" t="n">
        <v>45991</v>
      </c>
      <c r="D2331" t="inlineStr">
        <is>
          <t>VÄSTERNORRLANDS LÄN</t>
        </is>
      </c>
      <c r="E2331" t="inlineStr">
        <is>
          <t>SOLLEFTEÅ</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19051-2022</t>
        </is>
      </c>
      <c r="B2332" s="1" t="n">
        <v>44691.41167824074</v>
      </c>
      <c r="C2332" s="1" t="n">
        <v>45991</v>
      </c>
      <c r="D2332" t="inlineStr">
        <is>
          <t>VÄSTERNORRLANDS LÄN</t>
        </is>
      </c>
      <c r="E2332" t="inlineStr">
        <is>
          <t>SOLLEFTEÅ</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11539-2024</t>
        </is>
      </c>
      <c r="B2333" s="1" t="n">
        <v>45372.9560300926</v>
      </c>
      <c r="C2333" s="1" t="n">
        <v>45991</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22668-2024</t>
        </is>
      </c>
      <c r="B2334" s="1" t="n">
        <v>45447.94453703704</v>
      </c>
      <c r="C2334" s="1" t="n">
        <v>45991</v>
      </c>
      <c r="D2334" t="inlineStr">
        <is>
          <t>VÄSTERNORRLANDS LÄN</t>
        </is>
      </c>
      <c r="E2334" t="inlineStr">
        <is>
          <t>SOLLEFTEÅ</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49673-2024</t>
        </is>
      </c>
      <c r="B2335" s="1" t="n">
        <v>45596.65657407408</v>
      </c>
      <c r="C2335" s="1" t="n">
        <v>45991</v>
      </c>
      <c r="D2335" t="inlineStr">
        <is>
          <t>VÄSTERNORRLANDS LÄN</t>
        </is>
      </c>
      <c r="E2335" t="inlineStr">
        <is>
          <t>SOLLEFTEÅ</t>
        </is>
      </c>
      <c r="F2335" t="inlineStr">
        <is>
          <t>SCA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58463-2024</t>
        </is>
      </c>
      <c r="B2336" s="1" t="n">
        <v>45635.36650462963</v>
      </c>
      <c r="C2336" s="1" t="n">
        <v>45991</v>
      </c>
      <c r="D2336" t="inlineStr">
        <is>
          <t>VÄSTERNORRLANDS LÄN</t>
        </is>
      </c>
      <c r="E2336" t="inlineStr">
        <is>
          <t>SOLLEFTEÅ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13008-2023</t>
        </is>
      </c>
      <c r="B2337" s="1" t="n">
        <v>45002</v>
      </c>
      <c r="C2337" s="1" t="n">
        <v>45991</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15859-2024</t>
        </is>
      </c>
      <c r="B2338" s="1" t="n">
        <v>45404.99732638889</v>
      </c>
      <c r="C2338" s="1" t="n">
        <v>45991</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42228-2021</t>
        </is>
      </c>
      <c r="B2339" s="1" t="n">
        <v>44426</v>
      </c>
      <c r="C2339" s="1" t="n">
        <v>45991</v>
      </c>
      <c r="D2339" t="inlineStr">
        <is>
          <t>VÄSTERNORRLANDS LÄN</t>
        </is>
      </c>
      <c r="E2339" t="inlineStr">
        <is>
          <t>SOLLEFTEÅ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51440-2021</t>
        </is>
      </c>
      <c r="B2340" s="1" t="n">
        <v>44461</v>
      </c>
      <c r="C2340" s="1" t="n">
        <v>45991</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17481-2025</t>
        </is>
      </c>
      <c r="B2341" s="1" t="n">
        <v>45757.48979166667</v>
      </c>
      <c r="C2341" s="1" t="n">
        <v>45991</v>
      </c>
      <c r="D2341" t="inlineStr">
        <is>
          <t>VÄSTERNORRLANDS LÄN</t>
        </is>
      </c>
      <c r="E2341" t="inlineStr">
        <is>
          <t>SOLLEFTEÅ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21095-2024</t>
        </is>
      </c>
      <c r="B2342" s="1" t="n">
        <v>45439.95034722222</v>
      </c>
      <c r="C2342" s="1" t="n">
        <v>45991</v>
      </c>
      <c r="D2342" t="inlineStr">
        <is>
          <t>VÄSTERNORRLANDS LÄN</t>
        </is>
      </c>
      <c r="E2342" t="inlineStr">
        <is>
          <t>SOLLEFTEÅ</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34328-2023</t>
        </is>
      </c>
      <c r="B2343" s="1" t="n">
        <v>45138.9499074074</v>
      </c>
      <c r="C2343" s="1" t="n">
        <v>45991</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34330-2023</t>
        </is>
      </c>
      <c r="B2344" s="1" t="n">
        <v>45138</v>
      </c>
      <c r="C2344" s="1" t="n">
        <v>45991</v>
      </c>
      <c r="D2344" t="inlineStr">
        <is>
          <t>VÄSTERNORRLANDS LÄN</t>
        </is>
      </c>
      <c r="E2344" t="inlineStr">
        <is>
          <t>SOLLEFTEÅ</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3234-2024</t>
        </is>
      </c>
      <c r="B2345" s="1" t="n">
        <v>45316.94708333333</v>
      </c>
      <c r="C2345" s="1" t="n">
        <v>45991</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3231-2024</t>
        </is>
      </c>
      <c r="B2346" s="1" t="n">
        <v>45316</v>
      </c>
      <c r="C2346" s="1" t="n">
        <v>45991</v>
      </c>
      <c r="D2346" t="inlineStr">
        <is>
          <t>VÄSTERNORRLANDS LÄN</t>
        </is>
      </c>
      <c r="E2346" t="inlineStr">
        <is>
          <t>SOLLEFTEÅ</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3252-2024</t>
        </is>
      </c>
      <c r="B2347" s="1" t="n">
        <v>45316</v>
      </c>
      <c r="C2347" s="1" t="n">
        <v>45991</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21589-2021</t>
        </is>
      </c>
      <c r="B2348" s="1" t="n">
        <v>44321.66534722222</v>
      </c>
      <c r="C2348" s="1" t="n">
        <v>45991</v>
      </c>
      <c r="D2348" t="inlineStr">
        <is>
          <t>VÄSTERNORRLANDS LÄN</t>
        </is>
      </c>
      <c r="E2348" t="inlineStr">
        <is>
          <t>SOLLEFTEÅ</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50007-2024</t>
        </is>
      </c>
      <c r="B2349" s="1" t="n">
        <v>45598.57574074074</v>
      </c>
      <c r="C2349" s="1" t="n">
        <v>45991</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59473-2024</t>
        </is>
      </c>
      <c r="B2350" s="1" t="n">
        <v>45638.50436342593</v>
      </c>
      <c r="C2350" s="1" t="n">
        <v>45991</v>
      </c>
      <c r="D2350" t="inlineStr">
        <is>
          <t>VÄSTERNORRLANDS LÄN</t>
        </is>
      </c>
      <c r="E2350" t="inlineStr">
        <is>
          <t>SOLLEFTEÅ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3750-2025</t>
        </is>
      </c>
      <c r="B2351" s="1" t="n">
        <v>45681.580625</v>
      </c>
      <c r="C2351" s="1" t="n">
        <v>45991</v>
      </c>
      <c r="D2351" t="inlineStr">
        <is>
          <t>VÄSTERNORRLANDS LÄN</t>
        </is>
      </c>
      <c r="E2351" t="inlineStr">
        <is>
          <t>SOLLEFTEÅ</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34388-2024</t>
        </is>
      </c>
      <c r="B2352" s="1" t="n">
        <v>45525</v>
      </c>
      <c r="C2352" s="1" t="n">
        <v>45991</v>
      </c>
      <c r="D2352" t="inlineStr">
        <is>
          <t>VÄSTERNORRLANDS LÄN</t>
        </is>
      </c>
      <c r="E2352" t="inlineStr">
        <is>
          <t>SOLLEFTEÅ</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45237.97476851852</v>
      </c>
      <c r="C2353" s="1" t="n">
        <v>45991</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17889-2025</t>
        </is>
      </c>
      <c r="B2354" s="1" t="n">
        <v>45758.67746527777</v>
      </c>
      <c r="C2354" s="1" t="n">
        <v>45991</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32754-2024</t>
        </is>
      </c>
      <c r="B2355" s="1" t="n">
        <v>45516.46685185185</v>
      </c>
      <c r="C2355" s="1" t="n">
        <v>45991</v>
      </c>
      <c r="D2355" t="inlineStr">
        <is>
          <t>VÄSTERNORRLANDS LÄN</t>
        </is>
      </c>
      <c r="E2355" t="inlineStr">
        <is>
          <t>SOLLEFTEÅ</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50615-2023</t>
        </is>
      </c>
      <c r="B2356" s="1" t="n">
        <v>45217</v>
      </c>
      <c r="C2356" s="1" t="n">
        <v>45991</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6733-2025</t>
        </is>
      </c>
      <c r="B2357" s="1" t="n">
        <v>45700.59425925926</v>
      </c>
      <c r="C2357" s="1" t="n">
        <v>45991</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4857-2024</t>
        </is>
      </c>
      <c r="B2358" s="1" t="n">
        <v>45329</v>
      </c>
      <c r="C2358" s="1" t="n">
        <v>45991</v>
      </c>
      <c r="D2358" t="inlineStr">
        <is>
          <t>VÄSTERNORRLANDS LÄN</t>
        </is>
      </c>
      <c r="E2358" t="inlineStr">
        <is>
          <t>SOLLEFTEÅ</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59583-2023</t>
        </is>
      </c>
      <c r="B2359" s="1" t="n">
        <v>45254.60587962963</v>
      </c>
      <c r="C2359" s="1" t="n">
        <v>45991</v>
      </c>
      <c r="D2359" t="inlineStr">
        <is>
          <t>VÄSTERNORRLANDS LÄN</t>
        </is>
      </c>
      <c r="E2359" t="inlineStr">
        <is>
          <t>SOLLEFTEÅ</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21852-2024</t>
        </is>
      </c>
      <c r="B2360" s="1" t="n">
        <v>45442.9628125</v>
      </c>
      <c r="C2360" s="1" t="n">
        <v>45991</v>
      </c>
      <c r="D2360" t="inlineStr">
        <is>
          <t>VÄSTERNORRLANDS LÄN</t>
        </is>
      </c>
      <c r="E2360" t="inlineStr">
        <is>
          <t>SOLLEFTEÅ</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22672-2024</t>
        </is>
      </c>
      <c r="B2361" s="1" t="n">
        <v>45447.94486111111</v>
      </c>
      <c r="C2361" s="1" t="n">
        <v>45991</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31965-2022</t>
        </is>
      </c>
      <c r="B2362" s="1" t="n">
        <v>44777.95460648148</v>
      </c>
      <c r="C2362" s="1" t="n">
        <v>45991</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28366-2023</t>
        </is>
      </c>
      <c r="B2363" s="1" t="n">
        <v>45099</v>
      </c>
      <c r="C2363" s="1" t="n">
        <v>45991</v>
      </c>
      <c r="D2363" t="inlineStr">
        <is>
          <t>VÄSTERNORRLANDS LÄN</t>
        </is>
      </c>
      <c r="E2363" t="inlineStr">
        <is>
          <t>SOLLEFTEÅ</t>
        </is>
      </c>
      <c r="F2363" t="inlineStr">
        <is>
          <t>SCA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22666-2024</t>
        </is>
      </c>
      <c r="B2364" s="1" t="n">
        <v>45447</v>
      </c>
      <c r="C2364" s="1" t="n">
        <v>45991</v>
      </c>
      <c r="D2364" t="inlineStr">
        <is>
          <t>VÄSTERNORRLANDS LÄN</t>
        </is>
      </c>
      <c r="E2364" t="inlineStr">
        <is>
          <t>SOLLEFTEÅ</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22675-2024</t>
        </is>
      </c>
      <c r="B2365" s="1" t="n">
        <v>45447.94508101852</v>
      </c>
      <c r="C2365" s="1" t="n">
        <v>45991</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57273-2022</t>
        </is>
      </c>
      <c r="B2366" s="1" t="n">
        <v>44895.9487962963</v>
      </c>
      <c r="C2366" s="1" t="n">
        <v>45991</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54806-2024</t>
        </is>
      </c>
      <c r="B2367" s="1" t="n">
        <v>45618.51133101852</v>
      </c>
      <c r="C2367" s="1" t="n">
        <v>45991</v>
      </c>
      <c r="D2367" t="inlineStr">
        <is>
          <t>VÄSTERNORRLANDS LÄN</t>
        </is>
      </c>
      <c r="E2367" t="inlineStr">
        <is>
          <t>SOLLEFTEÅ</t>
        </is>
      </c>
      <c r="F2367" t="inlineStr">
        <is>
          <t>SCA</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38053-2024</t>
        </is>
      </c>
      <c r="B2368" s="1" t="n">
        <v>45544.71903935185</v>
      </c>
      <c r="C2368" s="1" t="n">
        <v>45991</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43487-2023</t>
        </is>
      </c>
      <c r="B2369" s="1" t="n">
        <v>45181</v>
      </c>
      <c r="C2369" s="1" t="n">
        <v>45991</v>
      </c>
      <c r="D2369" t="inlineStr">
        <is>
          <t>VÄSTERNORRLANDS LÄN</t>
        </is>
      </c>
      <c r="E2369" t="inlineStr">
        <is>
          <t>SOLLEFTEÅ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20437-2025</t>
        </is>
      </c>
      <c r="B2370" s="1" t="n">
        <v>45775</v>
      </c>
      <c r="C2370" s="1" t="n">
        <v>45991</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12644-2025</t>
        </is>
      </c>
      <c r="B2371" s="1" t="n">
        <v>45733.38726851852</v>
      </c>
      <c r="C2371" s="1" t="n">
        <v>45991</v>
      </c>
      <c r="D2371" t="inlineStr">
        <is>
          <t>VÄSTERNORRLANDS LÄN</t>
        </is>
      </c>
      <c r="E2371" t="inlineStr">
        <is>
          <t>SOLLEFTEÅ</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50716-2023</t>
        </is>
      </c>
      <c r="B2372" s="1" t="n">
        <v>45210</v>
      </c>
      <c r="C2372" s="1" t="n">
        <v>45991</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44762-2022</t>
        </is>
      </c>
      <c r="B2373" s="1" t="n">
        <v>44840</v>
      </c>
      <c r="C2373" s="1" t="n">
        <v>45991</v>
      </c>
      <c r="D2373" t="inlineStr">
        <is>
          <t>VÄSTERNORRLANDS LÄN</t>
        </is>
      </c>
      <c r="E2373" t="inlineStr">
        <is>
          <t>SOLLEFTEÅ</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61485-2024</t>
        </is>
      </c>
      <c r="B2374" s="1" t="n">
        <v>45646.53175925926</v>
      </c>
      <c r="C2374" s="1" t="n">
        <v>45991</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40098-2023</t>
        </is>
      </c>
      <c r="B2375" s="1" t="n">
        <v>45168.93726851852</v>
      </c>
      <c r="C2375" s="1" t="n">
        <v>45991</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20335-2025</t>
        </is>
      </c>
      <c r="B2376" s="1" t="n">
        <v>45775.36510416667</v>
      </c>
      <c r="C2376" s="1" t="n">
        <v>45991</v>
      </c>
      <c r="D2376" t="inlineStr">
        <is>
          <t>VÄSTERNORRLANDS LÄN</t>
        </is>
      </c>
      <c r="E2376" t="inlineStr">
        <is>
          <t>SOLLEFTEÅ</t>
        </is>
      </c>
      <c r="F2376" t="inlineStr">
        <is>
          <t>SCA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14889-2025</t>
        </is>
      </c>
      <c r="B2377" s="1" t="n">
        <v>45743.46898148148</v>
      </c>
      <c r="C2377" s="1" t="n">
        <v>45991</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20628-2023</t>
        </is>
      </c>
      <c r="B2378" s="1" t="n">
        <v>45057.94373842593</v>
      </c>
      <c r="C2378" s="1" t="n">
        <v>45991</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51006-2022</t>
        </is>
      </c>
      <c r="B2379" s="1" t="n">
        <v>44867</v>
      </c>
      <c r="C2379" s="1" t="n">
        <v>45991</v>
      </c>
      <c r="D2379" t="inlineStr">
        <is>
          <t>VÄSTERNORRLANDS LÄN</t>
        </is>
      </c>
      <c r="E2379" t="inlineStr">
        <is>
          <t>SOLLEFTEÅ</t>
        </is>
      </c>
      <c r="F2379" t="inlineStr">
        <is>
          <t>SCA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55440-2024</t>
        </is>
      </c>
      <c r="B2380" s="1" t="n">
        <v>45622.40679398148</v>
      </c>
      <c r="C2380" s="1" t="n">
        <v>45991</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60861-2023</t>
        </is>
      </c>
      <c r="B2381" s="1" t="n">
        <v>45260</v>
      </c>
      <c r="C2381" s="1" t="n">
        <v>45991</v>
      </c>
      <c r="D2381" t="inlineStr">
        <is>
          <t>VÄSTERNORRLANDS LÄN</t>
        </is>
      </c>
      <c r="E2381" t="inlineStr">
        <is>
          <t>SOLLEFTEÅ</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5108-2022</t>
        </is>
      </c>
      <c r="B2382" s="1" t="n">
        <v>44593.92135416667</v>
      </c>
      <c r="C2382" s="1" t="n">
        <v>45991</v>
      </c>
      <c r="D2382" t="inlineStr">
        <is>
          <t>VÄSTERNORRLANDS LÄN</t>
        </is>
      </c>
      <c r="E2382" t="inlineStr">
        <is>
          <t>SOLLEFTEÅ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5134-2022</t>
        </is>
      </c>
      <c r="B2383" s="1" t="n">
        <v>44594</v>
      </c>
      <c r="C2383" s="1" t="n">
        <v>45991</v>
      </c>
      <c r="D2383" t="inlineStr">
        <is>
          <t>VÄSTERNORRLANDS LÄN</t>
        </is>
      </c>
      <c r="E2383" t="inlineStr">
        <is>
          <t>SOLLEFTEÅ</t>
        </is>
      </c>
      <c r="G2383" t="n">
        <v>20.4</v>
      </c>
      <c r="H2383" t="n">
        <v>0</v>
      </c>
      <c r="I2383" t="n">
        <v>0</v>
      </c>
      <c r="J2383" t="n">
        <v>0</v>
      </c>
      <c r="K2383" t="n">
        <v>0</v>
      </c>
      <c r="L2383" t="n">
        <v>0</v>
      </c>
      <c r="M2383" t="n">
        <v>0</v>
      </c>
      <c r="N2383" t="n">
        <v>0</v>
      </c>
      <c r="O2383" t="n">
        <v>0</v>
      </c>
      <c r="P2383" t="n">
        <v>0</v>
      </c>
      <c r="Q2383" t="n">
        <v>0</v>
      </c>
      <c r="R2383" s="2" t="inlineStr"/>
    </row>
    <row r="2384" ht="15" customHeight="1">
      <c r="A2384" t="inlineStr">
        <is>
          <t>A 55872-2024</t>
        </is>
      </c>
      <c r="B2384" s="1" t="n">
        <v>45623</v>
      </c>
      <c r="C2384" s="1" t="n">
        <v>45991</v>
      </c>
      <c r="D2384" t="inlineStr">
        <is>
          <t>VÄSTERNORRLANDS LÄN</t>
        </is>
      </c>
      <c r="E2384" t="inlineStr">
        <is>
          <t>SOLLEFTEÅ</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35905-2024</t>
        </is>
      </c>
      <c r="B2385" s="1" t="n">
        <v>45533.40674768519</v>
      </c>
      <c r="C2385" s="1" t="n">
        <v>45991</v>
      </c>
      <c r="D2385" t="inlineStr">
        <is>
          <t>VÄSTERNORRLANDS LÄN</t>
        </is>
      </c>
      <c r="E2385" t="inlineStr">
        <is>
          <t>SOLLEFTEÅ</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62750-2022</t>
        </is>
      </c>
      <c r="B2386" s="1" t="n">
        <v>44925.93922453704</v>
      </c>
      <c r="C2386" s="1" t="n">
        <v>45991</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12627-2025</t>
        </is>
      </c>
      <c r="B2387" s="1" t="n">
        <v>45733.36728009259</v>
      </c>
      <c r="C2387" s="1" t="n">
        <v>45991</v>
      </c>
      <c r="D2387" t="inlineStr">
        <is>
          <t>VÄSTERNORRLANDS LÄN</t>
        </is>
      </c>
      <c r="E2387" t="inlineStr">
        <is>
          <t>SOLLEFTEÅ</t>
        </is>
      </c>
      <c r="G2387" t="n">
        <v>12.9</v>
      </c>
      <c r="H2387" t="n">
        <v>0</v>
      </c>
      <c r="I2387" t="n">
        <v>0</v>
      </c>
      <c r="J2387" t="n">
        <v>0</v>
      </c>
      <c r="K2387" t="n">
        <v>0</v>
      </c>
      <c r="L2387" t="n">
        <v>0</v>
      </c>
      <c r="M2387" t="n">
        <v>0</v>
      </c>
      <c r="N2387" t="n">
        <v>0</v>
      </c>
      <c r="O2387" t="n">
        <v>0</v>
      </c>
      <c r="P2387" t="n">
        <v>0</v>
      </c>
      <c r="Q2387" t="n">
        <v>0</v>
      </c>
      <c r="R2387" s="2" t="inlineStr"/>
    </row>
    <row r="2388" ht="15" customHeight="1">
      <c r="A2388" t="inlineStr">
        <is>
          <t>A 62827-2023</t>
        </is>
      </c>
      <c r="B2388" s="1" t="n">
        <v>45271.92690972222</v>
      </c>
      <c r="C2388" s="1" t="n">
        <v>45991</v>
      </c>
      <c r="D2388" t="inlineStr">
        <is>
          <t>VÄSTERNORRLANDS LÄN</t>
        </is>
      </c>
      <c r="E2388" t="inlineStr">
        <is>
          <t>SOLLEFTEÅ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31646-2022</t>
        </is>
      </c>
      <c r="B2389" s="1" t="n">
        <v>44775.94166666667</v>
      </c>
      <c r="C2389" s="1" t="n">
        <v>45991</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5548-2025</t>
        </is>
      </c>
      <c r="B2390" s="1" t="n">
        <v>45693.46940972222</v>
      </c>
      <c r="C2390" s="1" t="n">
        <v>45991</v>
      </c>
      <c r="D2390" t="inlineStr">
        <is>
          <t>VÄSTERNORRLANDS LÄN</t>
        </is>
      </c>
      <c r="E2390" t="inlineStr">
        <is>
          <t>SOLLEFTEÅ</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44410-2023</t>
        </is>
      </c>
      <c r="B2391" s="1" t="n">
        <v>45188.94677083333</v>
      </c>
      <c r="C2391" s="1" t="n">
        <v>45991</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13138-2024</t>
        </is>
      </c>
      <c r="B2392" s="1" t="n">
        <v>45386</v>
      </c>
      <c r="C2392" s="1" t="n">
        <v>45991</v>
      </c>
      <c r="D2392" t="inlineStr">
        <is>
          <t>VÄSTERNORRLANDS LÄN</t>
        </is>
      </c>
      <c r="E2392" t="inlineStr">
        <is>
          <t>SOLLEFTEÅ</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62507-2022</t>
        </is>
      </c>
      <c r="B2393" s="1" t="n">
        <v>44924</v>
      </c>
      <c r="C2393" s="1" t="n">
        <v>45991</v>
      </c>
      <c r="D2393" t="inlineStr">
        <is>
          <t>VÄSTERNORRLANDS LÄN</t>
        </is>
      </c>
      <c r="E2393" t="inlineStr">
        <is>
          <t>SOLLEFTEÅ</t>
        </is>
      </c>
      <c r="F2393" t="inlineStr">
        <is>
          <t>Holmen skog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30822-2023</t>
        </is>
      </c>
      <c r="B2394" s="1" t="n">
        <v>45112.94289351852</v>
      </c>
      <c r="C2394" s="1" t="n">
        <v>45991</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8895-2025</t>
        </is>
      </c>
      <c r="B2395" s="1" t="n">
        <v>45713.40670138889</v>
      </c>
      <c r="C2395" s="1" t="n">
        <v>45991</v>
      </c>
      <c r="D2395" t="inlineStr">
        <is>
          <t>VÄSTERNORRLANDS LÄN</t>
        </is>
      </c>
      <c r="E2395" t="inlineStr">
        <is>
          <t>SOLLEFTEÅ</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8914-2025</t>
        </is>
      </c>
      <c r="B2396" s="1" t="n">
        <v>45713.42743055556</v>
      </c>
      <c r="C2396" s="1" t="n">
        <v>45991</v>
      </c>
      <c r="D2396" t="inlineStr">
        <is>
          <t>VÄSTERNORRLANDS LÄN</t>
        </is>
      </c>
      <c r="E2396" t="inlineStr">
        <is>
          <t>SOLLEFTEÅ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57922-2024</t>
        </is>
      </c>
      <c r="B2397" s="1" t="n">
        <v>45631.5107175926</v>
      </c>
      <c r="C2397" s="1" t="n">
        <v>45991</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4131-2025</t>
        </is>
      </c>
      <c r="B2398" s="1" t="n">
        <v>45685.34508101852</v>
      </c>
      <c r="C2398" s="1" t="n">
        <v>45991</v>
      </c>
      <c r="D2398" t="inlineStr">
        <is>
          <t>VÄSTERNORRLANDS LÄN</t>
        </is>
      </c>
      <c r="E2398" t="inlineStr">
        <is>
          <t>SOLLEFTEÅ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3368-2025</t>
        </is>
      </c>
      <c r="B2399" s="1" t="n">
        <v>45679</v>
      </c>
      <c r="C2399" s="1" t="n">
        <v>45991</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20223-2024</t>
        </is>
      </c>
      <c r="B2400" s="1" t="n">
        <v>45434</v>
      </c>
      <c r="C2400" s="1" t="n">
        <v>45991</v>
      </c>
      <c r="D2400" t="inlineStr">
        <is>
          <t>VÄSTERNORRLANDS LÄN</t>
        </is>
      </c>
      <c r="E2400" t="inlineStr">
        <is>
          <t>SOLLEFTEÅ</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20516-2024</t>
        </is>
      </c>
      <c r="B2401" s="1" t="n">
        <v>45435</v>
      </c>
      <c r="C2401" s="1" t="n">
        <v>45991</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57492-2024</t>
        </is>
      </c>
      <c r="B2402" s="1" t="n">
        <v>45630.36827546296</v>
      </c>
      <c r="C2402" s="1" t="n">
        <v>45991</v>
      </c>
      <c r="D2402" t="inlineStr">
        <is>
          <t>VÄSTERNORRLANDS LÄN</t>
        </is>
      </c>
      <c r="E2402" t="inlineStr">
        <is>
          <t>SOLLEFTEÅ</t>
        </is>
      </c>
      <c r="F2402" t="inlineStr">
        <is>
          <t>Holmen skog AB</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945-2025</t>
        </is>
      </c>
      <c r="B2403" s="1" t="n">
        <v>45666.34412037037</v>
      </c>
      <c r="C2403" s="1" t="n">
        <v>45991</v>
      </c>
      <c r="D2403" t="inlineStr">
        <is>
          <t>VÄSTERNORRLANDS LÄN</t>
        </is>
      </c>
      <c r="E2403" t="inlineStr">
        <is>
          <t>SOLLEFTEÅ</t>
        </is>
      </c>
      <c r="F2403" t="inlineStr">
        <is>
          <t>SCA</t>
        </is>
      </c>
      <c r="G2403" t="n">
        <v>36.6</v>
      </c>
      <c r="H2403" t="n">
        <v>0</v>
      </c>
      <c r="I2403" t="n">
        <v>0</v>
      </c>
      <c r="J2403" t="n">
        <v>0</v>
      </c>
      <c r="K2403" t="n">
        <v>0</v>
      </c>
      <c r="L2403" t="n">
        <v>0</v>
      </c>
      <c r="M2403" t="n">
        <v>0</v>
      </c>
      <c r="N2403" t="n">
        <v>0</v>
      </c>
      <c r="O2403" t="n">
        <v>0</v>
      </c>
      <c r="P2403" t="n">
        <v>0</v>
      </c>
      <c r="Q2403" t="n">
        <v>0</v>
      </c>
      <c r="R2403" s="2" t="inlineStr"/>
    </row>
    <row r="2404" ht="15" customHeight="1">
      <c r="A2404" t="inlineStr">
        <is>
          <t>A 18696-2025</t>
        </is>
      </c>
      <c r="B2404" s="1" t="n">
        <v>45763.61578703704</v>
      </c>
      <c r="C2404" s="1" t="n">
        <v>45991</v>
      </c>
      <c r="D2404" t="inlineStr">
        <is>
          <t>VÄSTERNORRLANDS LÄN</t>
        </is>
      </c>
      <c r="E2404" t="inlineStr">
        <is>
          <t>SOLLEFTEÅ</t>
        </is>
      </c>
      <c r="F2404" t="inlineStr">
        <is>
          <t>SCA</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21109-2025</t>
        </is>
      </c>
      <c r="B2405" s="1" t="n">
        <v>45777.67744212963</v>
      </c>
      <c r="C2405" s="1" t="n">
        <v>45991</v>
      </c>
      <c r="D2405" t="inlineStr">
        <is>
          <t>VÄSTERNORRLANDS LÄN</t>
        </is>
      </c>
      <c r="E2405" t="inlineStr">
        <is>
          <t>SOLLEFTEÅ</t>
        </is>
      </c>
      <c r="F2405" t="inlineStr">
        <is>
          <t>SCA</t>
        </is>
      </c>
      <c r="G2405" t="n">
        <v>38.2</v>
      </c>
      <c r="H2405" t="n">
        <v>0</v>
      </c>
      <c r="I2405" t="n">
        <v>0</v>
      </c>
      <c r="J2405" t="n">
        <v>0</v>
      </c>
      <c r="K2405" t="n">
        <v>0</v>
      </c>
      <c r="L2405" t="n">
        <v>0</v>
      </c>
      <c r="M2405" t="n">
        <v>0</v>
      </c>
      <c r="N2405" t="n">
        <v>0</v>
      </c>
      <c r="O2405" t="n">
        <v>0</v>
      </c>
      <c r="P2405" t="n">
        <v>0</v>
      </c>
      <c r="Q2405" t="n">
        <v>0</v>
      </c>
      <c r="R2405" s="2" t="inlineStr"/>
    </row>
    <row r="2406" ht="15" customHeight="1">
      <c r="A2406" t="inlineStr">
        <is>
          <t>A 20867-2025</t>
        </is>
      </c>
      <c r="B2406" s="1" t="n">
        <v>45777.34471064815</v>
      </c>
      <c r="C2406" s="1" t="n">
        <v>45991</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21088-2025</t>
        </is>
      </c>
      <c r="B2407" s="1" t="n">
        <v>45777.61498842593</v>
      </c>
      <c r="C2407" s="1" t="n">
        <v>45991</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20638-2025</t>
        </is>
      </c>
      <c r="B2408" s="1" t="n">
        <v>45776.36480324074</v>
      </c>
      <c r="C2408" s="1" t="n">
        <v>45991</v>
      </c>
      <c r="D2408" t="inlineStr">
        <is>
          <t>VÄSTERNORRLANDS LÄN</t>
        </is>
      </c>
      <c r="E2408" t="inlineStr">
        <is>
          <t>SOLLEFTEÅ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20793-2025</t>
        </is>
      </c>
      <c r="B2409" s="1" t="n">
        <v>45776</v>
      </c>
      <c r="C2409" s="1" t="n">
        <v>45991</v>
      </c>
      <c r="D2409" t="inlineStr">
        <is>
          <t>VÄSTERNORRLANDS LÄN</t>
        </is>
      </c>
      <c r="E2409" t="inlineStr">
        <is>
          <t>SOLLEFTEÅ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20725-2025</t>
        </is>
      </c>
      <c r="B2410" s="1" t="n">
        <v>45776.51074074074</v>
      </c>
      <c r="C2410" s="1" t="n">
        <v>45991</v>
      </c>
      <c r="D2410" t="inlineStr">
        <is>
          <t>VÄSTERNORRLANDS LÄN</t>
        </is>
      </c>
      <c r="E2410" t="inlineStr">
        <is>
          <t>SOLLEFTEÅ</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52087-2023</t>
        </is>
      </c>
      <c r="B2411" s="1" t="n">
        <v>45223</v>
      </c>
      <c r="C2411" s="1" t="n">
        <v>45991</v>
      </c>
      <c r="D2411" t="inlineStr">
        <is>
          <t>VÄSTERNORRLANDS LÄN</t>
        </is>
      </c>
      <c r="E2411" t="inlineStr">
        <is>
          <t>SOLLEFTEÅ</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51527-2024</t>
        </is>
      </c>
      <c r="B2412" s="1" t="n">
        <v>45604</v>
      </c>
      <c r="C2412" s="1" t="n">
        <v>45991</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3990-2024</t>
        </is>
      </c>
      <c r="B2413" s="1" t="n">
        <v>45322.94880787037</v>
      </c>
      <c r="C2413" s="1" t="n">
        <v>45991</v>
      </c>
      <c r="D2413" t="inlineStr">
        <is>
          <t>VÄSTERNORRLANDS LÄN</t>
        </is>
      </c>
      <c r="E2413" t="inlineStr">
        <is>
          <t>SOLLEFTEÅ</t>
        </is>
      </c>
      <c r="F2413" t="inlineStr">
        <is>
          <t>SCA</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21269-2025</t>
        </is>
      </c>
      <c r="B2414" s="1" t="n">
        <v>45779.62265046296</v>
      </c>
      <c r="C2414" s="1" t="n">
        <v>45991</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45719-2022</t>
        </is>
      </c>
      <c r="B2415" s="1" t="n">
        <v>44845.95533564815</v>
      </c>
      <c r="C2415" s="1" t="n">
        <v>45991</v>
      </c>
      <c r="D2415" t="inlineStr">
        <is>
          <t>VÄSTERNORRLANDS LÄN</t>
        </is>
      </c>
      <c r="E2415" t="inlineStr">
        <is>
          <t>SOLLEFTEÅ</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21491-2025</t>
        </is>
      </c>
      <c r="B2416" s="1" t="n">
        <v>45782.59578703704</v>
      </c>
      <c r="C2416" s="1" t="n">
        <v>45991</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21687-2025</t>
        </is>
      </c>
      <c r="B2417" s="1" t="n">
        <v>45783.49135416667</v>
      </c>
      <c r="C2417" s="1" t="n">
        <v>45991</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21346-2025</t>
        </is>
      </c>
      <c r="B2418" s="1" t="n">
        <v>45782.40670138889</v>
      </c>
      <c r="C2418" s="1" t="n">
        <v>45991</v>
      </c>
      <c r="D2418" t="inlineStr">
        <is>
          <t>VÄSTERNORRLANDS LÄN</t>
        </is>
      </c>
      <c r="E2418" t="inlineStr">
        <is>
          <t>SOLLEFTEÅ</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21481-2025</t>
        </is>
      </c>
      <c r="B2419" s="1" t="n">
        <v>45782.59451388889</v>
      </c>
      <c r="C2419" s="1" t="n">
        <v>45991</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21348-2025</t>
        </is>
      </c>
      <c r="B2420" s="1" t="n">
        <v>45782.40679398148</v>
      </c>
      <c r="C2420" s="1" t="n">
        <v>45991</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21429-2025</t>
        </is>
      </c>
      <c r="B2421" s="1" t="n">
        <v>45782.51084490741</v>
      </c>
      <c r="C2421" s="1" t="n">
        <v>45991</v>
      </c>
      <c r="D2421" t="inlineStr">
        <is>
          <t>VÄSTERNORRLANDS LÄN</t>
        </is>
      </c>
      <c r="E2421" t="inlineStr">
        <is>
          <t>SOLLEFTEÅ</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21455-2025</t>
        </is>
      </c>
      <c r="B2422" s="1" t="n">
        <v>45782.55332175926</v>
      </c>
      <c r="C2422" s="1" t="n">
        <v>45991</v>
      </c>
      <c r="D2422" t="inlineStr">
        <is>
          <t>VÄSTERNORRLANDS LÄN</t>
        </is>
      </c>
      <c r="E2422" t="inlineStr">
        <is>
          <t>SOLLEFTEÅ</t>
        </is>
      </c>
      <c r="F2422" t="inlineStr">
        <is>
          <t>SCA</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21669-2025</t>
        </is>
      </c>
      <c r="B2423" s="1" t="n">
        <v>45783.46905092592</v>
      </c>
      <c r="C2423" s="1" t="n">
        <v>45991</v>
      </c>
      <c r="D2423" t="inlineStr">
        <is>
          <t>VÄSTERNORRLANDS LÄN</t>
        </is>
      </c>
      <c r="E2423" t="inlineStr">
        <is>
          <t>SOLLEFTEÅ</t>
        </is>
      </c>
      <c r="F2423" t="inlineStr">
        <is>
          <t>SCA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21489-2025</t>
        </is>
      </c>
      <c r="B2424" s="1" t="n">
        <v>45782.59555555556</v>
      </c>
      <c r="C2424" s="1" t="n">
        <v>45991</v>
      </c>
      <c r="D2424" t="inlineStr">
        <is>
          <t>VÄSTERNORRLANDS LÄN</t>
        </is>
      </c>
      <c r="E2424" t="inlineStr">
        <is>
          <t>SOLLEFTEÅ</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21553-2025</t>
        </is>
      </c>
      <c r="B2425" s="1" t="n">
        <v>45782.67805555555</v>
      </c>
      <c r="C2425" s="1" t="n">
        <v>45991</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21555-2025</t>
        </is>
      </c>
      <c r="B2426" s="1" t="n">
        <v>45782.67828703704</v>
      </c>
      <c r="C2426" s="1" t="n">
        <v>45991</v>
      </c>
      <c r="D2426" t="inlineStr">
        <is>
          <t>VÄSTERNORRLANDS LÄN</t>
        </is>
      </c>
      <c r="E2426" t="inlineStr">
        <is>
          <t>SOLLEFTEÅ</t>
        </is>
      </c>
      <c r="F2426" t="inlineStr">
        <is>
          <t>SCA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21564-2025</t>
        </is>
      </c>
      <c r="B2427" s="1" t="n">
        <v>45782.69837962963</v>
      </c>
      <c r="C2427" s="1" t="n">
        <v>45991</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6058-2024</t>
        </is>
      </c>
      <c r="B2428" s="1" t="n">
        <v>45336.75866898148</v>
      </c>
      <c r="C2428" s="1" t="n">
        <v>45991</v>
      </c>
      <c r="D2428" t="inlineStr">
        <is>
          <t>VÄSTERNORRLANDS LÄN</t>
        </is>
      </c>
      <c r="E2428" t="inlineStr">
        <is>
          <t>SOLLEFTEÅ</t>
        </is>
      </c>
      <c r="F2428" t="inlineStr">
        <is>
          <t>Övriga Aktiebolag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21565-2025</t>
        </is>
      </c>
      <c r="B2429" s="1" t="n">
        <v>45782</v>
      </c>
      <c r="C2429" s="1" t="n">
        <v>45991</v>
      </c>
      <c r="D2429" t="inlineStr">
        <is>
          <t>VÄSTERNORRLANDS LÄN</t>
        </is>
      </c>
      <c r="E2429" t="inlineStr">
        <is>
          <t>SOLLEFTEÅ</t>
        </is>
      </c>
      <c r="F2429" t="inlineStr">
        <is>
          <t>SCA</t>
        </is>
      </c>
      <c r="G2429" t="n">
        <v>17.4</v>
      </c>
      <c r="H2429" t="n">
        <v>0</v>
      </c>
      <c r="I2429" t="n">
        <v>0</v>
      </c>
      <c r="J2429" t="n">
        <v>0</v>
      </c>
      <c r="K2429" t="n">
        <v>0</v>
      </c>
      <c r="L2429" t="n">
        <v>0</v>
      </c>
      <c r="M2429" t="n">
        <v>0</v>
      </c>
      <c r="N2429" t="n">
        <v>0</v>
      </c>
      <c r="O2429" t="n">
        <v>0</v>
      </c>
      <c r="P2429" t="n">
        <v>0</v>
      </c>
      <c r="Q2429" t="n">
        <v>0</v>
      </c>
      <c r="R2429" s="2" t="inlineStr"/>
    </row>
    <row r="2430" ht="15" customHeight="1">
      <c r="A2430" t="inlineStr">
        <is>
          <t>A 21863-2025</t>
        </is>
      </c>
      <c r="B2430" s="1" t="n">
        <v>45784.36532407408</v>
      </c>
      <c r="C2430" s="1" t="n">
        <v>45991</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22182-2025</t>
        </is>
      </c>
      <c r="B2431" s="1" t="n">
        <v>45785.61640046296</v>
      </c>
      <c r="C2431" s="1" t="n">
        <v>45991</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22106-2025</t>
        </is>
      </c>
      <c r="B2432" s="1" t="n">
        <v>45785.48988425926</v>
      </c>
      <c r="C2432" s="1" t="n">
        <v>45991</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21897-2025</t>
        </is>
      </c>
      <c r="B2433" s="1" t="n">
        <v>45784.45376157408</v>
      </c>
      <c r="C2433" s="1" t="n">
        <v>45991</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22184-2025</t>
        </is>
      </c>
      <c r="B2434" s="1" t="n">
        <v>45785.61679398148</v>
      </c>
      <c r="C2434" s="1" t="n">
        <v>45991</v>
      </c>
      <c r="D2434" t="inlineStr">
        <is>
          <t>VÄSTERNORRLANDS LÄN</t>
        </is>
      </c>
      <c r="E2434" t="inlineStr">
        <is>
          <t>SOLLEFTEÅ</t>
        </is>
      </c>
      <c r="F2434" t="inlineStr">
        <is>
          <t>SCA</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7107-2024</t>
        </is>
      </c>
      <c r="B2435" s="1" t="n">
        <v>45343</v>
      </c>
      <c r="C2435" s="1" t="n">
        <v>45991</v>
      </c>
      <c r="D2435" t="inlineStr">
        <is>
          <t>VÄSTERNORRLANDS LÄN</t>
        </is>
      </c>
      <c r="E2435" t="inlineStr">
        <is>
          <t>SOLLEFTEÅ</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22046-2025</t>
        </is>
      </c>
      <c r="B2436" s="1" t="n">
        <v>45785.34412037037</v>
      </c>
      <c r="C2436" s="1" t="n">
        <v>45991</v>
      </c>
      <c r="D2436" t="inlineStr">
        <is>
          <t>VÄSTERNORRLANDS LÄN</t>
        </is>
      </c>
      <c r="E2436" t="inlineStr">
        <is>
          <t>SOLLEFTEÅ</t>
        </is>
      </c>
      <c r="F2436" t="inlineStr">
        <is>
          <t>SCA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22211-2025</t>
        </is>
      </c>
      <c r="B2437" s="1" t="n">
        <v>45785.65752314815</v>
      </c>
      <c r="C2437" s="1" t="n">
        <v>45991</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21898-2025</t>
        </is>
      </c>
      <c r="B2438" s="1" t="n">
        <v>45784.45386574074</v>
      </c>
      <c r="C2438" s="1" t="n">
        <v>45991</v>
      </c>
      <c r="D2438" t="inlineStr">
        <is>
          <t>VÄSTERNORRLANDS LÄN</t>
        </is>
      </c>
      <c r="E2438" t="inlineStr">
        <is>
          <t>SOLLEFTEÅ</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21896-2025</t>
        </is>
      </c>
      <c r="B2439" s="1" t="n">
        <v>45784.45366898148</v>
      </c>
      <c r="C2439" s="1" t="n">
        <v>45991</v>
      </c>
      <c r="D2439" t="inlineStr">
        <is>
          <t>VÄSTERNORRLANDS LÄN</t>
        </is>
      </c>
      <c r="E2439" t="inlineStr">
        <is>
          <t>SOLLEFTEÅ</t>
        </is>
      </c>
      <c r="G2439" t="n">
        <v>16.1</v>
      </c>
      <c r="H2439" t="n">
        <v>0</v>
      </c>
      <c r="I2439" t="n">
        <v>0</v>
      </c>
      <c r="J2439" t="n">
        <v>0</v>
      </c>
      <c r="K2439" t="n">
        <v>0</v>
      </c>
      <c r="L2439" t="n">
        <v>0</v>
      </c>
      <c r="M2439" t="n">
        <v>0</v>
      </c>
      <c r="N2439" t="n">
        <v>0</v>
      </c>
      <c r="O2439" t="n">
        <v>0</v>
      </c>
      <c r="P2439" t="n">
        <v>0</v>
      </c>
      <c r="Q2439" t="n">
        <v>0</v>
      </c>
      <c r="R2439" s="2" t="inlineStr"/>
    </row>
    <row r="2440" ht="15" customHeight="1">
      <c r="A2440" t="inlineStr">
        <is>
          <t>A 60389-2024</t>
        </is>
      </c>
      <c r="B2440" s="1" t="n">
        <v>45643.48988425926</v>
      </c>
      <c r="C2440" s="1" t="n">
        <v>45991</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22218-2025</t>
        </is>
      </c>
      <c r="B2441" s="1" t="n">
        <v>45785.65840277778</v>
      </c>
      <c r="C2441" s="1" t="n">
        <v>45991</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60361-2024</t>
        </is>
      </c>
      <c r="B2442" s="1" t="n">
        <v>45643.44851851852</v>
      </c>
      <c r="C2442" s="1" t="n">
        <v>45991</v>
      </c>
      <c r="D2442" t="inlineStr">
        <is>
          <t>VÄSTERNORRLANDS LÄN</t>
        </is>
      </c>
      <c r="E2442" t="inlineStr">
        <is>
          <t>SOLLEFTEÅ</t>
        </is>
      </c>
      <c r="F2442" t="inlineStr">
        <is>
          <t>SCA</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8337-2025</t>
        </is>
      </c>
      <c r="B2443" s="1" t="n">
        <v>45708.6597337963</v>
      </c>
      <c r="C2443" s="1" t="n">
        <v>45991</v>
      </c>
      <c r="D2443" t="inlineStr">
        <is>
          <t>VÄSTERNORRLANDS LÄN</t>
        </is>
      </c>
      <c r="E2443" t="inlineStr">
        <is>
          <t>SOLLEFTEÅ</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46207-2023</t>
        </is>
      </c>
      <c r="B2444" s="1" t="n">
        <v>45190</v>
      </c>
      <c r="C2444" s="1" t="n">
        <v>45991</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21983-2025</t>
        </is>
      </c>
      <c r="B2445" s="1" t="n">
        <v>45784.65678240741</v>
      </c>
      <c r="C2445" s="1" t="n">
        <v>45991</v>
      </c>
      <c r="D2445" t="inlineStr">
        <is>
          <t>VÄSTERNORRLANDS LÄN</t>
        </is>
      </c>
      <c r="E2445" t="inlineStr">
        <is>
          <t>SOLLEFTEÅ</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22036-2025</t>
        </is>
      </c>
      <c r="B2446" s="1" t="n">
        <v>45785.31820601852</v>
      </c>
      <c r="C2446" s="1" t="n">
        <v>45991</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21985-2025</t>
        </is>
      </c>
      <c r="B2447" s="1" t="n">
        <v>45784.65689814815</v>
      </c>
      <c r="C2447" s="1" t="n">
        <v>45991</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13521-2023</t>
        </is>
      </c>
      <c r="B2448" s="1" t="n">
        <v>45005</v>
      </c>
      <c r="C2448" s="1" t="n">
        <v>45991</v>
      </c>
      <c r="D2448" t="inlineStr">
        <is>
          <t>VÄSTERNORRLANDS LÄN</t>
        </is>
      </c>
      <c r="E2448" t="inlineStr">
        <is>
          <t>SOLLEFTEÅ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21099-2024</t>
        </is>
      </c>
      <c r="B2449" s="1" t="n">
        <v>45439</v>
      </c>
      <c r="C2449" s="1" t="n">
        <v>45991</v>
      </c>
      <c r="D2449" t="inlineStr">
        <is>
          <t>VÄSTERNORRLANDS LÄN</t>
        </is>
      </c>
      <c r="E2449" t="inlineStr">
        <is>
          <t>SOLLEFTEÅ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50864-2024</t>
        </is>
      </c>
      <c r="B2450" s="1" t="n">
        <v>45602.63653935185</v>
      </c>
      <c r="C2450" s="1" t="n">
        <v>45991</v>
      </c>
      <c r="D2450" t="inlineStr">
        <is>
          <t>VÄSTERNORRLANDS LÄN</t>
        </is>
      </c>
      <c r="E2450" t="inlineStr">
        <is>
          <t>SOLLEFTEÅ</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967-2025</t>
        </is>
      </c>
      <c r="B2451" s="1" t="n">
        <v>45666</v>
      </c>
      <c r="C2451" s="1" t="n">
        <v>45991</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22803-2025</t>
        </is>
      </c>
      <c r="B2452" s="1" t="n">
        <v>45789</v>
      </c>
      <c r="C2452" s="1" t="n">
        <v>45991</v>
      </c>
      <c r="D2452" t="inlineStr">
        <is>
          <t>VÄSTERNORRLANDS LÄN</t>
        </is>
      </c>
      <c r="E2452" t="inlineStr">
        <is>
          <t>SOLLEFTEÅ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56249-2024</t>
        </is>
      </c>
      <c r="B2453" s="1" t="n">
        <v>45624.63584490741</v>
      </c>
      <c r="C2453" s="1" t="n">
        <v>45991</v>
      </c>
      <c r="D2453" t="inlineStr">
        <is>
          <t>VÄSTERNORRLANDS LÄN</t>
        </is>
      </c>
      <c r="E2453" t="inlineStr">
        <is>
          <t>SOLLEFTEÅ</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21089-2025</t>
        </is>
      </c>
      <c r="B2454" s="1" t="n">
        <v>45777</v>
      </c>
      <c r="C2454" s="1" t="n">
        <v>45991</v>
      </c>
      <c r="D2454" t="inlineStr">
        <is>
          <t>VÄSTERNORRLANDS LÄN</t>
        </is>
      </c>
      <c r="E2454" t="inlineStr">
        <is>
          <t>SOLLEFTEÅ</t>
        </is>
      </c>
      <c r="F2454" t="inlineStr">
        <is>
          <t>SCA</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22615-2025</t>
        </is>
      </c>
      <c r="B2455" s="1" t="n">
        <v>45789.42741898148</v>
      </c>
      <c r="C2455" s="1" t="n">
        <v>45991</v>
      </c>
      <c r="D2455" t="inlineStr">
        <is>
          <t>VÄSTERNORRLANDS LÄN</t>
        </is>
      </c>
      <c r="E2455" t="inlineStr">
        <is>
          <t>SOLLEFTEÅ</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22815-2025</t>
        </is>
      </c>
      <c r="B2456" s="1" t="n">
        <v>45789.69826388889</v>
      </c>
      <c r="C2456" s="1" t="n">
        <v>45991</v>
      </c>
      <c r="D2456" t="inlineStr">
        <is>
          <t>VÄSTERNORRLANDS LÄN</t>
        </is>
      </c>
      <c r="E2456" t="inlineStr">
        <is>
          <t>SOLLEFTEÅ</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22569-2025</t>
        </is>
      </c>
      <c r="B2457" s="1" t="n">
        <v>45789.36363425926</v>
      </c>
      <c r="C2457" s="1" t="n">
        <v>45991</v>
      </c>
      <c r="D2457" t="inlineStr">
        <is>
          <t>VÄSTERNORRLANDS LÄN</t>
        </is>
      </c>
      <c r="E2457" t="inlineStr">
        <is>
          <t>SOLLEFTEÅ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22767-2025</t>
        </is>
      </c>
      <c r="B2458" s="1" t="n">
        <v>45789.63309027778</v>
      </c>
      <c r="C2458" s="1" t="n">
        <v>45991</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22287-2025</t>
        </is>
      </c>
      <c r="B2459" s="1" t="n">
        <v>45786.34409722222</v>
      </c>
      <c r="C2459" s="1" t="n">
        <v>45991</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4838-2025</t>
        </is>
      </c>
      <c r="B2460" s="1" t="n">
        <v>45688.67167824074</v>
      </c>
      <c r="C2460" s="1" t="n">
        <v>45991</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22562-2025</t>
        </is>
      </c>
      <c r="B2461" s="1" t="n">
        <v>45789.34736111111</v>
      </c>
      <c r="C2461" s="1" t="n">
        <v>45991</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41028-2024</t>
        </is>
      </c>
      <c r="B2462" s="1" t="n">
        <v>45559.34466435185</v>
      </c>
      <c r="C2462" s="1" t="n">
        <v>45991</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22737-2025</t>
        </is>
      </c>
      <c r="B2463" s="1" t="n">
        <v>45789.59130787037</v>
      </c>
      <c r="C2463" s="1" t="n">
        <v>45991</v>
      </c>
      <c r="D2463" t="inlineStr">
        <is>
          <t>VÄSTERNORRLANDS LÄN</t>
        </is>
      </c>
      <c r="E2463" t="inlineStr">
        <is>
          <t>SOLLEFTEÅ</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22810-2025</t>
        </is>
      </c>
      <c r="B2464" s="1" t="n">
        <v>45789.68076388889</v>
      </c>
      <c r="C2464" s="1" t="n">
        <v>45991</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26172-2024</t>
        </is>
      </c>
      <c r="B2465" s="1" t="n">
        <v>45468</v>
      </c>
      <c r="C2465" s="1" t="n">
        <v>45991</v>
      </c>
      <c r="D2465" t="inlineStr">
        <is>
          <t>VÄSTERNORRLANDS LÄN</t>
        </is>
      </c>
      <c r="E2465" t="inlineStr">
        <is>
          <t>SOLLEFTEÅ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22704-2025</t>
        </is>
      </c>
      <c r="B2466" s="1" t="n">
        <v>45789.55251157407</v>
      </c>
      <c r="C2466" s="1" t="n">
        <v>45991</v>
      </c>
      <c r="D2466" t="inlineStr">
        <is>
          <t>VÄSTERNORRLANDS LÄN</t>
        </is>
      </c>
      <c r="E2466" t="inlineStr">
        <is>
          <t>SOLLEFTEÅ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22866-2025</t>
        </is>
      </c>
      <c r="B2467" s="1" t="n">
        <v>45790.36519675926</v>
      </c>
      <c r="C2467" s="1" t="n">
        <v>45991</v>
      </c>
      <c r="D2467" t="inlineStr">
        <is>
          <t>VÄSTERNORRLANDS LÄN</t>
        </is>
      </c>
      <c r="E2467" t="inlineStr">
        <is>
          <t>SOLLEFTEÅ</t>
        </is>
      </c>
      <c r="F2467" t="inlineStr">
        <is>
          <t>SCA</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918-2023</t>
        </is>
      </c>
      <c r="B2468" s="1" t="n">
        <v>44931.95329861111</v>
      </c>
      <c r="C2468" s="1" t="n">
        <v>45991</v>
      </c>
      <c r="D2468" t="inlineStr">
        <is>
          <t>VÄSTERNORRLANDS LÄN</t>
        </is>
      </c>
      <c r="E2468" t="inlineStr">
        <is>
          <t>SOLLEFTEÅ</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20389-2025</t>
        </is>
      </c>
      <c r="B2469" s="1" t="n">
        <v>45775</v>
      </c>
      <c r="C2469" s="1" t="n">
        <v>45991</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25338-2022</t>
        </is>
      </c>
      <c r="B2470" s="1" t="n">
        <v>44731</v>
      </c>
      <c r="C2470" s="1" t="n">
        <v>45991</v>
      </c>
      <c r="D2470" t="inlineStr">
        <is>
          <t>VÄSTERNORRLANDS LÄN</t>
        </is>
      </c>
      <c r="E2470" t="inlineStr">
        <is>
          <t>SOLLEFTEÅ</t>
        </is>
      </c>
      <c r="F2470" t="inlineStr">
        <is>
          <t>SCA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22514-2025</t>
        </is>
      </c>
      <c r="B2471" s="1" t="n">
        <v>45786.67755787037</v>
      </c>
      <c r="C2471" s="1" t="n">
        <v>45991</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23090-2025</t>
        </is>
      </c>
      <c r="B2472" s="1" t="n">
        <v>45791.34443287037</v>
      </c>
      <c r="C2472" s="1" t="n">
        <v>45991</v>
      </c>
      <c r="D2472" t="inlineStr">
        <is>
          <t>VÄSTERNORRLANDS LÄN</t>
        </is>
      </c>
      <c r="E2472" t="inlineStr">
        <is>
          <t>SOLLEFTEÅ</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22854-2025</t>
        </is>
      </c>
      <c r="B2473" s="1" t="n">
        <v>45790.34457175926</v>
      </c>
      <c r="C2473" s="1" t="n">
        <v>45991</v>
      </c>
      <c r="D2473" t="inlineStr">
        <is>
          <t>VÄSTERNORRLANDS LÄN</t>
        </is>
      </c>
      <c r="E2473" t="inlineStr">
        <is>
          <t>SOLLEFTEÅ</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23339-2025</t>
        </is>
      </c>
      <c r="B2474" s="1" t="n">
        <v>45791.65577546296</v>
      </c>
      <c r="C2474" s="1" t="n">
        <v>45991</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22853-2025</t>
        </is>
      </c>
      <c r="B2475" s="1" t="n">
        <v>45790.34443287037</v>
      </c>
      <c r="C2475" s="1" t="n">
        <v>45991</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42915-2024</t>
        </is>
      </c>
      <c r="B2476" s="1" t="n">
        <v>45566</v>
      </c>
      <c r="C2476" s="1" t="n">
        <v>45991</v>
      </c>
      <c r="D2476" t="inlineStr">
        <is>
          <t>VÄSTERNORRLANDS LÄN</t>
        </is>
      </c>
      <c r="E2476" t="inlineStr">
        <is>
          <t>SOLLEFTEÅ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23409-2025</t>
        </is>
      </c>
      <c r="B2477" s="1" t="n">
        <v>45792.34560185186</v>
      </c>
      <c r="C2477" s="1" t="n">
        <v>45991</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23735-2025</t>
        </is>
      </c>
      <c r="B2478" s="1" t="n">
        <v>45793.42777777778</v>
      </c>
      <c r="C2478" s="1" t="n">
        <v>45991</v>
      </c>
      <c r="D2478" t="inlineStr">
        <is>
          <t>VÄSTERNORRLANDS LÄN</t>
        </is>
      </c>
      <c r="E2478" t="inlineStr">
        <is>
          <t>SOLLEFTEÅ</t>
        </is>
      </c>
      <c r="F2478" t="inlineStr">
        <is>
          <t>SCA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23738-2025</t>
        </is>
      </c>
      <c r="B2479" s="1" t="n">
        <v>45793.42819444444</v>
      </c>
      <c r="C2479" s="1" t="n">
        <v>45991</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23515-2025</t>
        </is>
      </c>
      <c r="B2480" s="1" t="n">
        <v>45792</v>
      </c>
      <c r="C2480" s="1" t="n">
        <v>45991</v>
      </c>
      <c r="D2480" t="inlineStr">
        <is>
          <t>VÄSTERNORRLANDS LÄN</t>
        </is>
      </c>
      <c r="E2480" t="inlineStr">
        <is>
          <t>SOLLEFTEÅ</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23634-2025</t>
        </is>
      </c>
      <c r="B2481" s="1" t="n">
        <v>45792.67803240741</v>
      </c>
      <c r="C2481" s="1" t="n">
        <v>45991</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23734-2025</t>
        </is>
      </c>
      <c r="B2482" s="1" t="n">
        <v>45793.4275462963</v>
      </c>
      <c r="C2482" s="1" t="n">
        <v>45991</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23564-2025</t>
        </is>
      </c>
      <c r="B2483" s="1" t="n">
        <v>45792.58840277778</v>
      </c>
      <c r="C2483" s="1" t="n">
        <v>45991</v>
      </c>
      <c r="D2483" t="inlineStr">
        <is>
          <t>VÄSTERNORRLANDS LÄN</t>
        </is>
      </c>
      <c r="E2483" t="inlineStr">
        <is>
          <t>SOLLEFTEÅ</t>
        </is>
      </c>
      <c r="F2483" t="inlineStr">
        <is>
          <t>Holmen skog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23542-2025</t>
        </is>
      </c>
      <c r="B2484" s="1" t="n">
        <v>45792.56184027778</v>
      </c>
      <c r="C2484" s="1" t="n">
        <v>45991</v>
      </c>
      <c r="D2484" t="inlineStr">
        <is>
          <t>VÄSTERNORRLANDS LÄN</t>
        </is>
      </c>
      <c r="E2484" t="inlineStr">
        <is>
          <t>SOLLEFTEÅ</t>
        </is>
      </c>
      <c r="F2484" t="inlineStr">
        <is>
          <t>Holmen skog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23871-2025</t>
        </is>
      </c>
      <c r="B2485" s="1" t="n">
        <v>45793.67741898148</v>
      </c>
      <c r="C2485" s="1" t="n">
        <v>45991</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23478-2025</t>
        </is>
      </c>
      <c r="B2486" s="1" t="n">
        <v>45792</v>
      </c>
      <c r="C2486" s="1" t="n">
        <v>45991</v>
      </c>
      <c r="D2486" t="inlineStr">
        <is>
          <t>VÄSTERNORRLANDS LÄN</t>
        </is>
      </c>
      <c r="E2486" t="inlineStr">
        <is>
          <t>SOLLEFTEÅ</t>
        </is>
      </c>
      <c r="F2486" t="inlineStr">
        <is>
          <t>Holmen skog AB</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23522-2025</t>
        </is>
      </c>
      <c r="B2487" s="1" t="n">
        <v>45792.51415509259</v>
      </c>
      <c r="C2487" s="1" t="n">
        <v>45991</v>
      </c>
      <c r="D2487" t="inlineStr">
        <is>
          <t>VÄSTERNORRLANDS LÄN</t>
        </is>
      </c>
      <c r="E2487" t="inlineStr">
        <is>
          <t>SOLLEFTEÅ</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23977-2025</t>
        </is>
      </c>
      <c r="B2488" s="1" t="n">
        <v>45796.38637731481</v>
      </c>
      <c r="C2488" s="1" t="n">
        <v>45991</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24420-2025</t>
        </is>
      </c>
      <c r="B2489" s="1" t="n">
        <v>45797.67771990741</v>
      </c>
      <c r="C2489" s="1" t="n">
        <v>45991</v>
      </c>
      <c r="D2489" t="inlineStr">
        <is>
          <t>VÄSTERNORRLANDS LÄN</t>
        </is>
      </c>
      <c r="E2489" t="inlineStr">
        <is>
          <t>SOLLEFTEÅ</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31886-2024</t>
        </is>
      </c>
      <c r="B2490" s="1" t="n">
        <v>45509.95780092593</v>
      </c>
      <c r="C2490" s="1" t="n">
        <v>45991</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16365-2022</t>
        </is>
      </c>
      <c r="B2491" s="1" t="n">
        <v>44670.9406712963</v>
      </c>
      <c r="C2491" s="1" t="n">
        <v>45991</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21100-2024</t>
        </is>
      </c>
      <c r="B2492" s="1" t="n">
        <v>45439.95072916667</v>
      </c>
      <c r="C2492" s="1" t="n">
        <v>45991</v>
      </c>
      <c r="D2492" t="inlineStr">
        <is>
          <t>VÄSTERNORRLANDS LÄN</t>
        </is>
      </c>
      <c r="E2492" t="inlineStr">
        <is>
          <t>SOLLEFTEÅ</t>
        </is>
      </c>
      <c r="F2492" t="inlineStr">
        <is>
          <t>SCA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2699-2025</t>
        </is>
      </c>
      <c r="B2493" s="1" t="n">
        <v>45677.40665509259</v>
      </c>
      <c r="C2493" s="1" t="n">
        <v>45991</v>
      </c>
      <c r="D2493" t="inlineStr">
        <is>
          <t>VÄSTERNORRLANDS LÄN</t>
        </is>
      </c>
      <c r="E2493" t="inlineStr">
        <is>
          <t>SOLLEFTEÅ</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55610-2021</t>
        </is>
      </c>
      <c r="B2494" s="1" t="n">
        <v>44475.94237268518</v>
      </c>
      <c r="C2494" s="1" t="n">
        <v>45991</v>
      </c>
      <c r="D2494" t="inlineStr">
        <is>
          <t>VÄSTERNORRLANDS LÄN</t>
        </is>
      </c>
      <c r="E2494" t="inlineStr">
        <is>
          <t>SOLLEFTEÅ</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23974-2025</t>
        </is>
      </c>
      <c r="B2495" s="1" t="n">
        <v>45796.38594907407</v>
      </c>
      <c r="C2495" s="1" t="n">
        <v>45991</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62523-2023</t>
        </is>
      </c>
      <c r="B2496" s="1" t="n">
        <v>45267</v>
      </c>
      <c r="C2496" s="1" t="n">
        <v>45991</v>
      </c>
      <c r="D2496" t="inlineStr">
        <is>
          <t>VÄSTERNORRLANDS LÄN</t>
        </is>
      </c>
      <c r="E2496" t="inlineStr">
        <is>
          <t>SOLLEFTEÅ</t>
        </is>
      </c>
      <c r="G2496" t="n">
        <v>33.6</v>
      </c>
      <c r="H2496" t="n">
        <v>0</v>
      </c>
      <c r="I2496" t="n">
        <v>0</v>
      </c>
      <c r="J2496" t="n">
        <v>0</v>
      </c>
      <c r="K2496" t="n">
        <v>0</v>
      </c>
      <c r="L2496" t="n">
        <v>0</v>
      </c>
      <c r="M2496" t="n">
        <v>0</v>
      </c>
      <c r="N2496" t="n">
        <v>0</v>
      </c>
      <c r="O2496" t="n">
        <v>0</v>
      </c>
      <c r="P2496" t="n">
        <v>0</v>
      </c>
      <c r="Q2496" t="n">
        <v>0</v>
      </c>
      <c r="R2496" s="2" t="inlineStr"/>
    </row>
    <row r="2497" ht="15" customHeight="1">
      <c r="A2497" t="inlineStr">
        <is>
          <t>A 35358-2021</t>
        </is>
      </c>
      <c r="B2497" s="1" t="n">
        <v>44384.93591435185</v>
      </c>
      <c r="C2497" s="1" t="n">
        <v>45991</v>
      </c>
      <c r="D2497" t="inlineStr">
        <is>
          <t>VÄSTERNORRLANDS LÄN</t>
        </is>
      </c>
      <c r="E2497" t="inlineStr">
        <is>
          <t>SOLLEFTEÅ</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52602-2024</t>
        </is>
      </c>
      <c r="B2498" s="1" t="n">
        <v>45609</v>
      </c>
      <c r="C2498" s="1" t="n">
        <v>45991</v>
      </c>
      <c r="D2498" t="inlineStr">
        <is>
          <t>VÄSTERNORRLANDS LÄN</t>
        </is>
      </c>
      <c r="E2498" t="inlineStr">
        <is>
          <t>SOLLEFTEÅ</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1268-2024</t>
        </is>
      </c>
      <c r="B2499" s="1" t="n">
        <v>45302</v>
      </c>
      <c r="C2499" s="1" t="n">
        <v>45991</v>
      </c>
      <c r="D2499" t="inlineStr">
        <is>
          <t>VÄSTERNORRLANDS LÄN</t>
        </is>
      </c>
      <c r="E2499" t="inlineStr">
        <is>
          <t>SOLLEFTEÅ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34983-2023</t>
        </is>
      </c>
      <c r="B2500" s="1" t="n">
        <v>45141</v>
      </c>
      <c r="C2500" s="1" t="n">
        <v>45991</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37648-2021</t>
        </is>
      </c>
      <c r="B2501" s="1" t="n">
        <v>44400</v>
      </c>
      <c r="C2501" s="1" t="n">
        <v>45991</v>
      </c>
      <c r="D2501" t="inlineStr">
        <is>
          <t>VÄSTERNORRLANDS LÄN</t>
        </is>
      </c>
      <c r="E2501" t="inlineStr">
        <is>
          <t>SOLLEFTEÅ</t>
        </is>
      </c>
      <c r="G2501" t="n">
        <v>33.6</v>
      </c>
      <c r="H2501" t="n">
        <v>0</v>
      </c>
      <c r="I2501" t="n">
        <v>0</v>
      </c>
      <c r="J2501" t="n">
        <v>0</v>
      </c>
      <c r="K2501" t="n">
        <v>0</v>
      </c>
      <c r="L2501" t="n">
        <v>0</v>
      </c>
      <c r="M2501" t="n">
        <v>0</v>
      </c>
      <c r="N2501" t="n">
        <v>0</v>
      </c>
      <c r="O2501" t="n">
        <v>0</v>
      </c>
      <c r="P2501" t="n">
        <v>0</v>
      </c>
      <c r="Q2501" t="n">
        <v>0</v>
      </c>
      <c r="R2501" s="2" t="inlineStr"/>
    </row>
    <row r="2502">
      <c r="A2502" t="inlineStr">
        <is>
          <t>A 23997-2025</t>
        </is>
      </c>
      <c r="B2502" s="1" t="n">
        <v>45796.42061342593</v>
      </c>
      <c r="C2502" s="1" t="n">
        <v>45991</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2025-11-30T10:22:46Z</dcterms:created>
  <dcterms:modified xmlns:dcterms="http://purl.org/dc/terms/" xmlns:xsi="http://www.w3.org/2001/XMLSchema-instance" xsi:type="dcterms:W3CDTF">2025-11-30T10:22:48Z</dcterms:modified>
</cp:coreProperties>
</file>