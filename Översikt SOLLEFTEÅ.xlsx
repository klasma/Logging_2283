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45723</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45723</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45723</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45723</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45723</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45723</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45723</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45723</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45723</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45723</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45723</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45723</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45723</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45723</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45723</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45723</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45723</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45723</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45723</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45723</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45723</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45723</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45723</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45723</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19347-2024</t>
        </is>
      </c>
      <c r="B80" s="1" t="n">
        <v>45429</v>
      </c>
      <c r="C80" s="1" t="n">
        <v>45723</v>
      </c>
      <c r="D80" t="inlineStr">
        <is>
          <t>VÄSTERNORRLANDS LÄN</t>
        </is>
      </c>
      <c r="E80" t="inlineStr">
        <is>
          <t>SOLLEFTEÅ</t>
        </is>
      </c>
      <c r="G80" t="n">
        <v>14.5</v>
      </c>
      <c r="H80" t="n">
        <v>3</v>
      </c>
      <c r="I80" t="n">
        <v>1</v>
      </c>
      <c r="J80" t="n">
        <v>8</v>
      </c>
      <c r="K80" t="n">
        <v>1</v>
      </c>
      <c r="L80" t="n">
        <v>0</v>
      </c>
      <c r="M80" t="n">
        <v>0</v>
      </c>
      <c r="N80" t="n">
        <v>0</v>
      </c>
      <c r="O80" t="n">
        <v>9</v>
      </c>
      <c r="P80" t="n">
        <v>1</v>
      </c>
      <c r="Q80" t="n">
        <v>10</v>
      </c>
      <c r="R80" s="2" t="inlineStr">
        <is>
          <t>Knärot
Gammelgransskål
Garnlav
Lunglav
Skrovellav
Spillkråka
Tallticka
Tretåig hackspett
Ullticka
Dropptaggsvamp</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29247-2024</t>
        </is>
      </c>
      <c r="B81" s="1" t="n">
        <v>45482</v>
      </c>
      <c r="C81" s="1" t="n">
        <v>45723</v>
      </c>
      <c r="D81" t="inlineStr">
        <is>
          <t>VÄSTERNORRLANDS LÄN</t>
        </is>
      </c>
      <c r="E81" t="inlineStr">
        <is>
          <t>SOLLEFTEÅ</t>
        </is>
      </c>
      <c r="F81" t="inlineStr">
        <is>
          <t>SCA</t>
        </is>
      </c>
      <c r="G81" t="n">
        <v>6</v>
      </c>
      <c r="H81" t="n">
        <v>2</v>
      </c>
      <c r="I81" t="n">
        <v>1</v>
      </c>
      <c r="J81" t="n">
        <v>6</v>
      </c>
      <c r="K81" t="n">
        <v>3</v>
      </c>
      <c r="L81" t="n">
        <v>0</v>
      </c>
      <c r="M81" t="n">
        <v>0</v>
      </c>
      <c r="N81" t="n">
        <v>0</v>
      </c>
      <c r="O81" t="n">
        <v>9</v>
      </c>
      <c r="P81" t="n">
        <v>3</v>
      </c>
      <c r="Q81" t="n">
        <v>10</v>
      </c>
      <c r="R81" s="2" t="inlineStr">
        <is>
          <t>Gräddporing
Knärot
Smalfotad taggsvamp
Dvärgbägarlav
Kolflarnlav
Lunglav
Mörk kolflarnlav
Talltita
Vedflamlav
Norrlandslav</t>
        </is>
      </c>
      <c r="S81">
        <f>HYPERLINK("https://klasma.github.io/Logging_2283/artfynd/A 29247-2024 artfynd.xlsx", "A 29247-2024")</f>
        <v/>
      </c>
      <c r="T81">
        <f>HYPERLINK("https://klasma.github.io/Logging_2283/kartor/A 29247-2024 karta.png", "A 29247-2024")</f>
        <v/>
      </c>
      <c r="U81">
        <f>HYPERLINK("https://klasma.github.io/Logging_2283/knärot/A 29247-2024 karta knärot.png", "A 29247-2024")</f>
        <v/>
      </c>
      <c r="V81">
        <f>HYPERLINK("https://klasma.github.io/Logging_2283/klagomål/A 29247-2024 FSC-klagomål.docx", "A 29247-2024")</f>
        <v/>
      </c>
      <c r="W81">
        <f>HYPERLINK("https://klasma.github.io/Logging_2283/klagomålsmail/A 29247-2024 FSC-klagomål mail.docx", "A 29247-2024")</f>
        <v/>
      </c>
      <c r="X81">
        <f>HYPERLINK("https://klasma.github.io/Logging_2283/tillsyn/A 29247-2024 tillsynsbegäran.docx", "A 29247-2024")</f>
        <v/>
      </c>
      <c r="Y81">
        <f>HYPERLINK("https://klasma.github.io/Logging_2283/tillsynsmail/A 29247-2024 tillsynsbegäran mail.docx", "A 29247-2024")</f>
        <v/>
      </c>
      <c r="Z81">
        <f>HYPERLINK("https://klasma.github.io/Logging_2283/fåglar/A 29247-2024 prioriterade fågelarter.docx", "A 29247-2024")</f>
        <v/>
      </c>
    </row>
    <row r="82" ht="15" customHeight="1">
      <c r="A82" t="inlineStr">
        <is>
          <t>A 40464-2024</t>
        </is>
      </c>
      <c r="B82" s="1" t="n">
        <v>45555</v>
      </c>
      <c r="C82" s="1" t="n">
        <v>45723</v>
      </c>
      <c r="D82" t="inlineStr">
        <is>
          <t>VÄSTERNORRLANDS LÄN</t>
        </is>
      </c>
      <c r="E82" t="inlineStr">
        <is>
          <t>SOLLEFTEÅ</t>
        </is>
      </c>
      <c r="F82" t="inlineStr">
        <is>
          <t>SCA</t>
        </is>
      </c>
      <c r="G82" t="n">
        <v>7.7</v>
      </c>
      <c r="H82" t="n">
        <v>4</v>
      </c>
      <c r="I82" t="n">
        <v>1</v>
      </c>
      <c r="J82" t="n">
        <v>7</v>
      </c>
      <c r="K82" t="n">
        <v>2</v>
      </c>
      <c r="L82" t="n">
        <v>0</v>
      </c>
      <c r="M82" t="n">
        <v>0</v>
      </c>
      <c r="N82" t="n">
        <v>0</v>
      </c>
      <c r="O82" t="n">
        <v>9</v>
      </c>
      <c r="P82" t="n">
        <v>2</v>
      </c>
      <c r="Q82" t="n">
        <v>10</v>
      </c>
      <c r="R82" s="2" t="inlineStr">
        <is>
          <t>Knärot
Rynkskinn
Gammelgransskål
Garnlav
Granticka
Järpe
Spillkråka
Tretåig hackspett
Ullticka
Vedticka</t>
        </is>
      </c>
      <c r="S82">
        <f>HYPERLINK("https://klasma.github.io/Logging_2283/artfynd/A 40464-2024 artfynd.xlsx", "A 40464-2024")</f>
        <v/>
      </c>
      <c r="T82">
        <f>HYPERLINK("https://klasma.github.io/Logging_2283/kartor/A 40464-2024 karta.png", "A 40464-2024")</f>
        <v/>
      </c>
      <c r="U82">
        <f>HYPERLINK("https://klasma.github.io/Logging_2283/knärot/A 40464-2024 karta knärot.png", "A 40464-2024")</f>
        <v/>
      </c>
      <c r="V82">
        <f>HYPERLINK("https://klasma.github.io/Logging_2283/klagomål/A 40464-2024 FSC-klagomål.docx", "A 40464-2024")</f>
        <v/>
      </c>
      <c r="W82">
        <f>HYPERLINK("https://klasma.github.io/Logging_2283/klagomålsmail/A 40464-2024 FSC-klagomål mail.docx", "A 40464-2024")</f>
        <v/>
      </c>
      <c r="X82">
        <f>HYPERLINK("https://klasma.github.io/Logging_2283/tillsyn/A 40464-2024 tillsynsbegäran.docx", "A 40464-2024")</f>
        <v/>
      </c>
      <c r="Y82">
        <f>HYPERLINK("https://klasma.github.io/Logging_2283/tillsynsmail/A 40464-2024 tillsynsbegäran mail.docx", "A 40464-2024")</f>
        <v/>
      </c>
      <c r="Z82">
        <f>HYPERLINK("https://klasma.github.io/Logging_2283/fåglar/A 40464-2024 prioriterade fågelarter.docx", "A 40464-2024")</f>
        <v/>
      </c>
    </row>
    <row r="83" ht="15" customHeight="1">
      <c r="A83" t="inlineStr">
        <is>
          <t>A 41963-2024</t>
        </is>
      </c>
      <c r="B83" s="1" t="n">
        <v>45561</v>
      </c>
      <c r="C83" s="1" t="n">
        <v>45723</v>
      </c>
      <c r="D83" t="inlineStr">
        <is>
          <t>VÄSTERNORRLANDS LÄN</t>
        </is>
      </c>
      <c r="E83" t="inlineStr">
        <is>
          <t>SOLLEFTEÅ</t>
        </is>
      </c>
      <c r="F83" t="inlineStr">
        <is>
          <t>SCA</t>
        </is>
      </c>
      <c r="G83" t="n">
        <v>3.8</v>
      </c>
      <c r="H83" t="n">
        <v>5</v>
      </c>
      <c r="I83" t="n">
        <v>3</v>
      </c>
      <c r="J83" t="n">
        <v>5</v>
      </c>
      <c r="K83" t="n">
        <v>2</v>
      </c>
      <c r="L83" t="n">
        <v>0</v>
      </c>
      <c r="M83" t="n">
        <v>0</v>
      </c>
      <c r="N83" t="n">
        <v>0</v>
      </c>
      <c r="O83" t="n">
        <v>7</v>
      </c>
      <c r="P83" t="n">
        <v>2</v>
      </c>
      <c r="Q83" t="n">
        <v>10</v>
      </c>
      <c r="R83" s="2" t="inlineStr">
        <is>
          <t>Knärot
Rynkskinn
Garnlav
Spillkråka
Talltita
Tretåig hackspett
Ullticka
Bronshjon
Lappranunkel
Vedticka</t>
        </is>
      </c>
      <c r="S83">
        <f>HYPERLINK("https://klasma.github.io/Logging_2283/artfynd/A 41963-2024 artfynd.xlsx", "A 41963-2024")</f>
        <v/>
      </c>
      <c r="T83">
        <f>HYPERLINK("https://klasma.github.io/Logging_2283/kartor/A 41963-2024 karta.png", "A 41963-2024")</f>
        <v/>
      </c>
      <c r="U83">
        <f>HYPERLINK("https://klasma.github.io/Logging_2283/knärot/A 41963-2024 karta knärot.png", "A 41963-2024")</f>
        <v/>
      </c>
      <c r="V83">
        <f>HYPERLINK("https://klasma.github.io/Logging_2283/klagomål/A 41963-2024 FSC-klagomål.docx", "A 41963-2024")</f>
        <v/>
      </c>
      <c r="W83">
        <f>HYPERLINK("https://klasma.github.io/Logging_2283/klagomålsmail/A 41963-2024 FSC-klagomål mail.docx", "A 41963-2024")</f>
        <v/>
      </c>
      <c r="X83">
        <f>HYPERLINK("https://klasma.github.io/Logging_2283/tillsyn/A 41963-2024 tillsynsbegäran.docx", "A 41963-2024")</f>
        <v/>
      </c>
      <c r="Y83">
        <f>HYPERLINK("https://klasma.github.io/Logging_2283/tillsynsmail/A 41963-2024 tillsynsbegäran mail.docx", "A 41963-2024")</f>
        <v/>
      </c>
      <c r="Z83">
        <f>HYPERLINK("https://klasma.github.io/Logging_2283/fåglar/A 41963-2024 prioriterade fågelarter.docx", "A 41963-2024")</f>
        <v/>
      </c>
    </row>
    <row r="84" ht="15" customHeight="1">
      <c r="A84" t="inlineStr">
        <is>
          <t>A 73845-2021</t>
        </is>
      </c>
      <c r="B84" s="1" t="n">
        <v>44553</v>
      </c>
      <c r="C84" s="1" t="n">
        <v>45723</v>
      </c>
      <c r="D84" t="inlineStr">
        <is>
          <t>VÄSTERNORRLANDS LÄN</t>
        </is>
      </c>
      <c r="E84" t="inlineStr">
        <is>
          <t>SOLLEFTEÅ</t>
        </is>
      </c>
      <c r="F84" t="inlineStr">
        <is>
          <t>Övriga Aktiebolag</t>
        </is>
      </c>
      <c r="G84" t="n">
        <v>25.2</v>
      </c>
      <c r="H84" t="n">
        <v>2</v>
      </c>
      <c r="I84" t="n">
        <v>2</v>
      </c>
      <c r="J84" t="n">
        <v>7</v>
      </c>
      <c r="K84" t="n">
        <v>0</v>
      </c>
      <c r="L84" t="n">
        <v>0</v>
      </c>
      <c r="M84" t="n">
        <v>0</v>
      </c>
      <c r="N84" t="n">
        <v>0</v>
      </c>
      <c r="O84" t="n">
        <v>7</v>
      </c>
      <c r="P84" t="n">
        <v>0</v>
      </c>
      <c r="Q84" t="n">
        <v>9</v>
      </c>
      <c r="R84" s="2" t="inlineStr">
        <is>
          <t>Garnlav
Granticka
Lunglav
Rosenticka
Talltita
Tretåig hackspett
Ullticka
Skinnlav
Vedticka</t>
        </is>
      </c>
      <c r="S84">
        <f>HYPERLINK("https://klasma.github.io/Logging_2283/artfynd/A 73845-2021 artfynd.xlsx", "A 73845-2021")</f>
        <v/>
      </c>
      <c r="T84">
        <f>HYPERLINK("https://klasma.github.io/Logging_2283/kartor/A 73845-2021 karta.png", "A 73845-2021")</f>
        <v/>
      </c>
      <c r="V84">
        <f>HYPERLINK("https://klasma.github.io/Logging_2283/klagomål/A 73845-2021 FSC-klagomål.docx", "A 73845-2021")</f>
        <v/>
      </c>
      <c r="W84">
        <f>HYPERLINK("https://klasma.github.io/Logging_2283/klagomålsmail/A 73845-2021 FSC-klagomål mail.docx", "A 73845-2021")</f>
        <v/>
      </c>
      <c r="X84">
        <f>HYPERLINK("https://klasma.github.io/Logging_2283/tillsyn/A 73845-2021 tillsynsbegäran.docx", "A 73845-2021")</f>
        <v/>
      </c>
      <c r="Y84">
        <f>HYPERLINK("https://klasma.github.io/Logging_2283/tillsynsmail/A 73845-2021 tillsynsbegäran mail.docx", "A 73845-2021")</f>
        <v/>
      </c>
      <c r="Z84">
        <f>HYPERLINK("https://klasma.github.io/Logging_2283/fåglar/A 73845-2021 prioriterade fågelarter.docx", "A 73845-2021")</f>
        <v/>
      </c>
    </row>
    <row r="85" ht="15" customHeight="1">
      <c r="A85" t="inlineStr">
        <is>
          <t>A 40274-2022</t>
        </is>
      </c>
      <c r="B85" s="1" t="n">
        <v>44820</v>
      </c>
      <c r="C85" s="1" t="n">
        <v>45723</v>
      </c>
      <c r="D85" t="inlineStr">
        <is>
          <t>VÄSTERNORRLANDS LÄN</t>
        </is>
      </c>
      <c r="E85" t="inlineStr">
        <is>
          <t>SOLLEFTEÅ</t>
        </is>
      </c>
      <c r="F85" t="inlineStr">
        <is>
          <t>SCA</t>
        </is>
      </c>
      <c r="G85" t="n">
        <v>2.1</v>
      </c>
      <c r="H85" t="n">
        <v>3</v>
      </c>
      <c r="I85" t="n">
        <v>0</v>
      </c>
      <c r="J85" t="n">
        <v>7</v>
      </c>
      <c r="K85" t="n">
        <v>2</v>
      </c>
      <c r="L85" t="n">
        <v>0</v>
      </c>
      <c r="M85" t="n">
        <v>0</v>
      </c>
      <c r="N85" t="n">
        <v>0</v>
      </c>
      <c r="O85" t="n">
        <v>9</v>
      </c>
      <c r="P85" t="n">
        <v>2</v>
      </c>
      <c r="Q85" t="n">
        <v>9</v>
      </c>
      <c r="R85" s="2" t="inlineStr">
        <is>
          <t>Knärot
Rynkskinn
Garnlav
Kolflarnlav
Lunglav
Rosenticka
Talltita
Tretåig hackspett
Ullticka</t>
        </is>
      </c>
      <c r="S85">
        <f>HYPERLINK("https://klasma.github.io/Logging_2283/artfynd/A 40274-2022 artfynd.xlsx", "A 40274-2022")</f>
        <v/>
      </c>
      <c r="T85">
        <f>HYPERLINK("https://klasma.github.io/Logging_2283/kartor/A 40274-2022 karta.png", "A 40274-2022")</f>
        <v/>
      </c>
      <c r="U85">
        <f>HYPERLINK("https://klasma.github.io/Logging_2283/knärot/A 40274-2022 karta knärot.png", "A 40274-2022")</f>
        <v/>
      </c>
      <c r="V85">
        <f>HYPERLINK("https://klasma.github.io/Logging_2283/klagomål/A 40274-2022 FSC-klagomål.docx", "A 40274-2022")</f>
        <v/>
      </c>
      <c r="W85">
        <f>HYPERLINK("https://klasma.github.io/Logging_2283/klagomålsmail/A 40274-2022 FSC-klagomål mail.docx", "A 40274-2022")</f>
        <v/>
      </c>
      <c r="X85">
        <f>HYPERLINK("https://klasma.github.io/Logging_2283/tillsyn/A 40274-2022 tillsynsbegäran.docx", "A 40274-2022")</f>
        <v/>
      </c>
      <c r="Y85">
        <f>HYPERLINK("https://klasma.github.io/Logging_2283/tillsynsmail/A 40274-2022 tillsynsbegäran mail.docx", "A 40274-2022")</f>
        <v/>
      </c>
      <c r="Z85">
        <f>HYPERLINK("https://klasma.github.io/Logging_2283/fåglar/A 40274-2022 prioriterade fågelarter.docx", "A 40274-2022")</f>
        <v/>
      </c>
    </row>
    <row r="86" ht="15" customHeight="1">
      <c r="A86" t="inlineStr">
        <is>
          <t>A 43131-2022</t>
        </is>
      </c>
      <c r="B86" s="1" t="n">
        <v>44833</v>
      </c>
      <c r="C86" s="1" t="n">
        <v>45723</v>
      </c>
      <c r="D86" t="inlineStr">
        <is>
          <t>VÄSTERNORRLANDS LÄN</t>
        </is>
      </c>
      <c r="E86" t="inlineStr">
        <is>
          <t>SOLLEFTEÅ</t>
        </is>
      </c>
      <c r="F86" t="inlineStr">
        <is>
          <t>SCA</t>
        </is>
      </c>
      <c r="G86" t="n">
        <v>2.6</v>
      </c>
      <c r="H86" t="n">
        <v>4</v>
      </c>
      <c r="I86" t="n">
        <v>1</v>
      </c>
      <c r="J86" t="n">
        <v>6</v>
      </c>
      <c r="K86" t="n">
        <v>1</v>
      </c>
      <c r="L86" t="n">
        <v>0</v>
      </c>
      <c r="M86" t="n">
        <v>0</v>
      </c>
      <c r="N86" t="n">
        <v>0</v>
      </c>
      <c r="O86" t="n">
        <v>7</v>
      </c>
      <c r="P86" t="n">
        <v>1</v>
      </c>
      <c r="Q86" t="n">
        <v>9</v>
      </c>
      <c r="R86" s="2" t="inlineStr">
        <is>
          <t>Knärot
Gammelgransskål
Garnlav
Harticka
Lunglav
Talltita
Tretåig hackspett
Luddlav
Revlummer</t>
        </is>
      </c>
      <c r="S86">
        <f>HYPERLINK("https://klasma.github.io/Logging_2283/artfynd/A 43131-2022 artfynd.xlsx", "A 43131-2022")</f>
        <v/>
      </c>
      <c r="T86">
        <f>HYPERLINK("https://klasma.github.io/Logging_2283/kartor/A 43131-2022 karta.png", "A 43131-2022")</f>
        <v/>
      </c>
      <c r="U86">
        <f>HYPERLINK("https://klasma.github.io/Logging_2283/knärot/A 43131-2022 karta knärot.png", "A 43131-2022")</f>
        <v/>
      </c>
      <c r="V86">
        <f>HYPERLINK("https://klasma.github.io/Logging_2283/klagomål/A 43131-2022 FSC-klagomål.docx", "A 43131-2022")</f>
        <v/>
      </c>
      <c r="W86">
        <f>HYPERLINK("https://klasma.github.io/Logging_2283/klagomålsmail/A 43131-2022 FSC-klagomål mail.docx", "A 43131-2022")</f>
        <v/>
      </c>
      <c r="X86">
        <f>HYPERLINK("https://klasma.github.io/Logging_2283/tillsyn/A 43131-2022 tillsynsbegäran.docx", "A 43131-2022")</f>
        <v/>
      </c>
      <c r="Y86">
        <f>HYPERLINK("https://klasma.github.io/Logging_2283/tillsynsmail/A 43131-2022 tillsynsbegäran mail.docx", "A 43131-2022")</f>
        <v/>
      </c>
      <c r="Z86">
        <f>HYPERLINK("https://klasma.github.io/Logging_2283/fåglar/A 43131-2022 prioriterade fågelarter.docx", "A 43131-2022")</f>
        <v/>
      </c>
    </row>
    <row r="87" ht="15" customHeight="1">
      <c r="A87" t="inlineStr">
        <is>
          <t>A 15983-2023</t>
        </is>
      </c>
      <c r="B87" s="1" t="n">
        <v>45022</v>
      </c>
      <c r="C87" s="1" t="n">
        <v>45723</v>
      </c>
      <c r="D87" t="inlineStr">
        <is>
          <t>VÄSTERNORRLANDS LÄN</t>
        </is>
      </c>
      <c r="E87" t="inlineStr">
        <is>
          <t>SOLLEFTEÅ</t>
        </is>
      </c>
      <c r="F87" t="inlineStr">
        <is>
          <t>SCA</t>
        </is>
      </c>
      <c r="G87" t="n">
        <v>4.7</v>
      </c>
      <c r="H87" t="n">
        <v>1</v>
      </c>
      <c r="I87" t="n">
        <v>0</v>
      </c>
      <c r="J87" t="n">
        <v>9</v>
      </c>
      <c r="K87" t="n">
        <v>0</v>
      </c>
      <c r="L87" t="n">
        <v>0</v>
      </c>
      <c r="M87" t="n">
        <v>0</v>
      </c>
      <c r="N87" t="n">
        <v>0</v>
      </c>
      <c r="O87" t="n">
        <v>9</v>
      </c>
      <c r="P87" t="n">
        <v>0</v>
      </c>
      <c r="Q87" t="n">
        <v>9</v>
      </c>
      <c r="R87" s="2" t="inlineStr">
        <is>
          <t>Dvärgbägarlav
Lunglav
Rosenticka
Skrovlig taggsvamp
Tretåig hackspett
Vedskivlav
Violmussling
Vitgrynig nållav
Vitplätt</t>
        </is>
      </c>
      <c r="S87">
        <f>HYPERLINK("https://klasma.github.io/Logging_2283/artfynd/A 15983-2023 artfynd.xlsx", "A 15983-2023")</f>
        <v/>
      </c>
      <c r="T87">
        <f>HYPERLINK("https://klasma.github.io/Logging_2283/kartor/A 15983-2023 karta.png", "A 15983-2023")</f>
        <v/>
      </c>
      <c r="V87">
        <f>HYPERLINK("https://klasma.github.io/Logging_2283/klagomål/A 15983-2023 FSC-klagomål.docx", "A 15983-2023")</f>
        <v/>
      </c>
      <c r="W87">
        <f>HYPERLINK("https://klasma.github.io/Logging_2283/klagomålsmail/A 15983-2023 FSC-klagomål mail.docx", "A 15983-2023")</f>
        <v/>
      </c>
      <c r="X87">
        <f>HYPERLINK("https://klasma.github.io/Logging_2283/tillsyn/A 15983-2023 tillsynsbegäran.docx", "A 15983-2023")</f>
        <v/>
      </c>
      <c r="Y87">
        <f>HYPERLINK("https://klasma.github.io/Logging_2283/tillsynsmail/A 15983-2023 tillsynsbegäran mail.docx", "A 15983-2023")</f>
        <v/>
      </c>
      <c r="Z87">
        <f>HYPERLINK("https://klasma.github.io/Logging_2283/fåglar/A 15983-2023 prioriterade fågelarter.docx", "A 15983-2023")</f>
        <v/>
      </c>
    </row>
    <row r="88" ht="15" customHeight="1">
      <c r="A88" t="inlineStr">
        <is>
          <t>A 38687-2023</t>
        </is>
      </c>
      <c r="B88" s="1" t="n">
        <v>45162</v>
      </c>
      <c r="C88" s="1" t="n">
        <v>45723</v>
      </c>
      <c r="D88" t="inlineStr">
        <is>
          <t>VÄSTERNORRLANDS LÄN</t>
        </is>
      </c>
      <c r="E88" t="inlineStr">
        <is>
          <t>SOLLEFTEÅ</t>
        </is>
      </c>
      <c r="F88" t="inlineStr">
        <is>
          <t>SCA</t>
        </is>
      </c>
      <c r="G88" t="n">
        <v>9.4</v>
      </c>
      <c r="H88" t="n">
        <v>0</v>
      </c>
      <c r="I88" t="n">
        <v>5</v>
      </c>
      <c r="J88" t="n">
        <v>4</v>
      </c>
      <c r="K88" t="n">
        <v>0</v>
      </c>
      <c r="L88" t="n">
        <v>0</v>
      </c>
      <c r="M88" t="n">
        <v>0</v>
      </c>
      <c r="N88" t="n">
        <v>0</v>
      </c>
      <c r="O88" t="n">
        <v>4</v>
      </c>
      <c r="P88" t="n">
        <v>0</v>
      </c>
      <c r="Q88" t="n">
        <v>9</v>
      </c>
      <c r="R88" s="2" t="inlineStr">
        <is>
          <t>Garnlav
Granticka
Lunglav
Stiftgelélav
Bårdlav
Norrlandslav
Skinnlav
Stuplav
Vedticka</t>
        </is>
      </c>
      <c r="S88">
        <f>HYPERLINK("https://klasma.github.io/Logging_2283/artfynd/A 38687-2023 artfynd.xlsx", "A 38687-2023")</f>
        <v/>
      </c>
      <c r="T88">
        <f>HYPERLINK("https://klasma.github.io/Logging_2283/kartor/A 38687-2023 karta.png", "A 38687-2023")</f>
        <v/>
      </c>
      <c r="V88">
        <f>HYPERLINK("https://klasma.github.io/Logging_2283/klagomål/A 38687-2023 FSC-klagomål.docx", "A 38687-2023")</f>
        <v/>
      </c>
      <c r="W88">
        <f>HYPERLINK("https://klasma.github.io/Logging_2283/klagomålsmail/A 38687-2023 FSC-klagomål mail.docx", "A 38687-2023")</f>
        <v/>
      </c>
      <c r="X88">
        <f>HYPERLINK("https://klasma.github.io/Logging_2283/tillsyn/A 38687-2023 tillsynsbegäran.docx", "A 38687-2023")</f>
        <v/>
      </c>
      <c r="Y88">
        <f>HYPERLINK("https://klasma.github.io/Logging_2283/tillsynsmail/A 38687-2023 tillsynsbegäran mail.docx", "A 38687-2023")</f>
        <v/>
      </c>
    </row>
    <row r="89" ht="15" customHeight="1">
      <c r="A89" t="inlineStr">
        <is>
          <t>A 40418-2023</t>
        </is>
      </c>
      <c r="B89" s="1" t="n">
        <v>45169</v>
      </c>
      <c r="C89" s="1" t="n">
        <v>45723</v>
      </c>
      <c r="D89" t="inlineStr">
        <is>
          <t>VÄSTERNORRLANDS LÄN</t>
        </is>
      </c>
      <c r="E89" t="inlineStr">
        <is>
          <t>SOLLEFTEÅ</t>
        </is>
      </c>
      <c r="F89" t="inlineStr">
        <is>
          <t>SCA</t>
        </is>
      </c>
      <c r="G89" t="n">
        <v>10.9</v>
      </c>
      <c r="H89" t="n">
        <v>5</v>
      </c>
      <c r="I89" t="n">
        <v>0</v>
      </c>
      <c r="J89" t="n">
        <v>7</v>
      </c>
      <c r="K89" t="n">
        <v>2</v>
      </c>
      <c r="L89" t="n">
        <v>0</v>
      </c>
      <c r="M89" t="n">
        <v>0</v>
      </c>
      <c r="N89" t="n">
        <v>0</v>
      </c>
      <c r="O89" t="n">
        <v>9</v>
      </c>
      <c r="P89" t="n">
        <v>2</v>
      </c>
      <c r="Q89" t="n">
        <v>9</v>
      </c>
      <c r="R89" s="2" t="inlineStr">
        <is>
          <t>Doftticka
Knärot
Harticka
Kolflarnlav
Lunglav
Spillkråka
Talltita
Tretåig hackspett
Ullticka</t>
        </is>
      </c>
      <c r="S89">
        <f>HYPERLINK("https://klasma.github.io/Logging_2283/artfynd/A 40418-2023 artfynd.xlsx", "A 40418-2023")</f>
        <v/>
      </c>
      <c r="T89">
        <f>HYPERLINK("https://klasma.github.io/Logging_2283/kartor/A 40418-2023 karta.png", "A 40418-2023")</f>
        <v/>
      </c>
      <c r="U89">
        <f>HYPERLINK("https://klasma.github.io/Logging_2283/knärot/A 40418-2023 karta knärot.png", "A 40418-2023")</f>
        <v/>
      </c>
      <c r="V89">
        <f>HYPERLINK("https://klasma.github.io/Logging_2283/klagomål/A 40418-2023 FSC-klagomål.docx", "A 40418-2023")</f>
        <v/>
      </c>
      <c r="W89">
        <f>HYPERLINK("https://klasma.github.io/Logging_2283/klagomålsmail/A 40418-2023 FSC-klagomål mail.docx", "A 40418-2023")</f>
        <v/>
      </c>
      <c r="X89">
        <f>HYPERLINK("https://klasma.github.io/Logging_2283/tillsyn/A 40418-2023 tillsynsbegäran.docx", "A 40418-2023")</f>
        <v/>
      </c>
      <c r="Y89">
        <f>HYPERLINK("https://klasma.github.io/Logging_2283/tillsynsmail/A 40418-2023 tillsynsbegäran mail.docx", "A 40418-2023")</f>
        <v/>
      </c>
      <c r="Z89">
        <f>HYPERLINK("https://klasma.github.io/Logging_2283/fåglar/A 40418-2023 prioriterade fågelarter.docx", "A 40418-2023")</f>
        <v/>
      </c>
    </row>
    <row r="90" ht="15" customHeight="1">
      <c r="A90" t="inlineStr">
        <is>
          <t>A 56697-2023</t>
        </is>
      </c>
      <c r="B90" s="1" t="n">
        <v>45243</v>
      </c>
      <c r="C90" s="1" t="n">
        <v>45723</v>
      </c>
      <c r="D90" t="inlineStr">
        <is>
          <t>VÄSTERNORRLANDS LÄN</t>
        </is>
      </c>
      <c r="E90" t="inlineStr">
        <is>
          <t>SOLLEFTEÅ</t>
        </is>
      </c>
      <c r="F90" t="inlineStr">
        <is>
          <t>SCA</t>
        </is>
      </c>
      <c r="G90" t="n">
        <v>8.1</v>
      </c>
      <c r="H90" t="n">
        <v>2</v>
      </c>
      <c r="I90" t="n">
        <v>3</v>
      </c>
      <c r="J90" t="n">
        <v>5</v>
      </c>
      <c r="K90" t="n">
        <v>1</v>
      </c>
      <c r="L90" t="n">
        <v>0</v>
      </c>
      <c r="M90" t="n">
        <v>0</v>
      </c>
      <c r="N90" t="n">
        <v>0</v>
      </c>
      <c r="O90" t="n">
        <v>6</v>
      </c>
      <c r="P90" t="n">
        <v>1</v>
      </c>
      <c r="Q90" t="n">
        <v>9</v>
      </c>
      <c r="R90" s="2" t="inlineStr">
        <is>
          <t>Knärot
Lunglav
Rosenticka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24755-2024</t>
        </is>
      </c>
      <c r="B91" s="1" t="n">
        <v>45460</v>
      </c>
      <c r="C91" s="1" t="n">
        <v>45723</v>
      </c>
      <c r="D91" t="inlineStr">
        <is>
          <t>VÄSTERNORRLANDS LÄN</t>
        </is>
      </c>
      <c r="E91" t="inlineStr">
        <is>
          <t>SOLLEFTEÅ</t>
        </is>
      </c>
      <c r="G91" t="n">
        <v>14</v>
      </c>
      <c r="H91" t="n">
        <v>4</v>
      </c>
      <c r="I91" t="n">
        <v>3</v>
      </c>
      <c r="J91" t="n">
        <v>4</v>
      </c>
      <c r="K91" t="n">
        <v>1</v>
      </c>
      <c r="L91" t="n">
        <v>0</v>
      </c>
      <c r="M91" t="n">
        <v>0</v>
      </c>
      <c r="N91" t="n">
        <v>0</v>
      </c>
      <c r="O91" t="n">
        <v>5</v>
      </c>
      <c r="P91" t="n">
        <v>1</v>
      </c>
      <c r="Q91" t="n">
        <v>9</v>
      </c>
      <c r="R91" s="2" t="inlineStr">
        <is>
          <t>Rynkskinn
Rosenticka
Spillkråka
Tretåig hackspett
Ullticka
Plattlummer
Tallfingersvamp
Vedticka
Revlummer</t>
        </is>
      </c>
      <c r="S91">
        <f>HYPERLINK("https://klasma.github.io/Logging_2283/artfynd/A 24755-2024 artfynd.xlsx", "A 24755-2024")</f>
        <v/>
      </c>
      <c r="T91">
        <f>HYPERLINK("https://klasma.github.io/Logging_2283/kartor/A 24755-2024 karta.png", "A 24755-2024")</f>
        <v/>
      </c>
      <c r="V91">
        <f>HYPERLINK("https://klasma.github.io/Logging_2283/klagomål/A 24755-2024 FSC-klagomål.docx", "A 24755-2024")</f>
        <v/>
      </c>
      <c r="W91">
        <f>HYPERLINK("https://klasma.github.io/Logging_2283/klagomålsmail/A 24755-2024 FSC-klagomål mail.docx", "A 24755-2024")</f>
        <v/>
      </c>
      <c r="X91">
        <f>HYPERLINK("https://klasma.github.io/Logging_2283/tillsyn/A 24755-2024 tillsynsbegäran.docx", "A 24755-2024")</f>
        <v/>
      </c>
      <c r="Y91">
        <f>HYPERLINK("https://klasma.github.io/Logging_2283/tillsynsmail/A 24755-2024 tillsynsbegäran mail.docx", "A 24755-2024")</f>
        <v/>
      </c>
      <c r="Z91">
        <f>HYPERLINK("https://klasma.github.io/Logging_2283/fåglar/A 24755-2024 prioriterade fågelarter.docx", "A 24755-2024")</f>
        <v/>
      </c>
    </row>
    <row r="92" ht="15" customHeight="1">
      <c r="A92" t="inlineStr">
        <is>
          <t>A 28161-2024</t>
        </is>
      </c>
      <c r="B92" s="1" t="n">
        <v>45476</v>
      </c>
      <c r="C92" s="1" t="n">
        <v>45723</v>
      </c>
      <c r="D92" t="inlineStr">
        <is>
          <t>VÄSTERNORRLANDS LÄN</t>
        </is>
      </c>
      <c r="E92" t="inlineStr">
        <is>
          <t>SOLLEFTEÅ</t>
        </is>
      </c>
      <c r="F92" t="inlineStr">
        <is>
          <t>SCA</t>
        </is>
      </c>
      <c r="G92" t="n">
        <v>1.5</v>
      </c>
      <c r="H92" t="n">
        <v>2</v>
      </c>
      <c r="I92" t="n">
        <v>3</v>
      </c>
      <c r="J92" t="n">
        <v>4</v>
      </c>
      <c r="K92" t="n">
        <v>2</v>
      </c>
      <c r="L92" t="n">
        <v>0</v>
      </c>
      <c r="M92" t="n">
        <v>0</v>
      </c>
      <c r="N92" t="n">
        <v>0</v>
      </c>
      <c r="O92" t="n">
        <v>6</v>
      </c>
      <c r="P92" t="n">
        <v>2</v>
      </c>
      <c r="Q92" t="n">
        <v>9</v>
      </c>
      <c r="R92" s="2" t="inlineStr">
        <is>
          <t>Doftticka
Rynkskinn
Lunglav
Rosenticka
Spillkråka
Ullticka
Bårdlav
Luddlav
Stuplav</t>
        </is>
      </c>
      <c r="S92">
        <f>HYPERLINK("https://klasma.github.io/Logging_2283/artfynd/A 28161-2024 artfynd.xlsx", "A 28161-2024")</f>
        <v/>
      </c>
      <c r="T92">
        <f>HYPERLINK("https://klasma.github.io/Logging_2283/kartor/A 28161-2024 karta.png",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28875-2024</t>
        </is>
      </c>
      <c r="B93" s="1" t="n">
        <v>45478</v>
      </c>
      <c r="C93" s="1" t="n">
        <v>45723</v>
      </c>
      <c r="D93" t="inlineStr">
        <is>
          <t>VÄSTERNORRLANDS LÄN</t>
        </is>
      </c>
      <c r="E93" t="inlineStr">
        <is>
          <t>SOLLEFTEÅ</t>
        </is>
      </c>
      <c r="F93" t="inlineStr">
        <is>
          <t>SCA</t>
        </is>
      </c>
      <c r="G93" t="n">
        <v>14.2</v>
      </c>
      <c r="H93" t="n">
        <v>2</v>
      </c>
      <c r="I93" t="n">
        <v>2</v>
      </c>
      <c r="J93" t="n">
        <v>7</v>
      </c>
      <c r="K93" t="n">
        <v>0</v>
      </c>
      <c r="L93" t="n">
        <v>0</v>
      </c>
      <c r="M93" t="n">
        <v>0</v>
      </c>
      <c r="N93" t="n">
        <v>0</v>
      </c>
      <c r="O93" t="n">
        <v>7</v>
      </c>
      <c r="P93" t="n">
        <v>0</v>
      </c>
      <c r="Q93" t="n">
        <v>9</v>
      </c>
      <c r="R93" s="2" t="inlineStr">
        <is>
          <t>Brunpudrad nållav
Doftskinn
Garnlav
Lunglav
Skrovellav
Talltita
Tretåig hackspett
Bårdlav
Gulnål</t>
        </is>
      </c>
      <c r="S93">
        <f>HYPERLINK("https://klasma.github.io/Logging_2283/artfynd/A 28875-2024 artfynd.xlsx", "A 28875-2024")</f>
        <v/>
      </c>
      <c r="T93">
        <f>HYPERLINK("https://klasma.github.io/Logging_2283/kartor/A 28875-2024 karta.png", "A 28875-2024")</f>
        <v/>
      </c>
      <c r="V93">
        <f>HYPERLINK("https://klasma.github.io/Logging_2283/klagomål/A 28875-2024 FSC-klagomål.docx", "A 28875-2024")</f>
        <v/>
      </c>
      <c r="W93">
        <f>HYPERLINK("https://klasma.github.io/Logging_2283/klagomålsmail/A 28875-2024 FSC-klagomål mail.docx", "A 28875-2024")</f>
        <v/>
      </c>
      <c r="X93">
        <f>HYPERLINK("https://klasma.github.io/Logging_2283/tillsyn/A 28875-2024 tillsynsbegäran.docx", "A 28875-2024")</f>
        <v/>
      </c>
      <c r="Y93">
        <f>HYPERLINK("https://klasma.github.io/Logging_2283/tillsynsmail/A 28875-2024 tillsynsbegäran mail.docx", "A 28875-2024")</f>
        <v/>
      </c>
      <c r="Z93">
        <f>HYPERLINK("https://klasma.github.io/Logging_2283/fåglar/A 28875-2024 prioriterade fågelarter.docx", "A 28875-2024")</f>
        <v/>
      </c>
    </row>
    <row r="94" ht="15" customHeight="1">
      <c r="A94" t="inlineStr">
        <is>
          <t>A 40216-2024</t>
        </is>
      </c>
      <c r="B94" s="1" t="n">
        <v>45554</v>
      </c>
      <c r="C94" s="1" t="n">
        <v>45723</v>
      </c>
      <c r="D94" t="inlineStr">
        <is>
          <t>VÄSTERNORRLANDS LÄN</t>
        </is>
      </c>
      <c r="E94" t="inlineStr">
        <is>
          <t>SOLLEFTEÅ</t>
        </is>
      </c>
      <c r="F94" t="inlineStr">
        <is>
          <t>SCA</t>
        </is>
      </c>
      <c r="G94" t="n">
        <v>11.2</v>
      </c>
      <c r="H94" t="n">
        <v>1</v>
      </c>
      <c r="I94" t="n">
        <v>3</v>
      </c>
      <c r="J94" t="n">
        <v>5</v>
      </c>
      <c r="K94" t="n">
        <v>1</v>
      </c>
      <c r="L94" t="n">
        <v>0</v>
      </c>
      <c r="M94" t="n">
        <v>0</v>
      </c>
      <c r="N94" t="n">
        <v>0</v>
      </c>
      <c r="O94" t="n">
        <v>6</v>
      </c>
      <c r="P94" t="n">
        <v>1</v>
      </c>
      <c r="Q94" t="n">
        <v>9</v>
      </c>
      <c r="R94" s="2" t="inlineStr">
        <is>
          <t>Knärot
Garnlav
Kolflarnlav
Lunglav
Skrovlig taggsvamp
Vaddporing
Dropptaggsvamp
Norrlandslav
Skarp dropptaggsvamp</t>
        </is>
      </c>
      <c r="S94">
        <f>HYPERLINK("https://klasma.github.io/Logging_2283/artfynd/A 40216-2024 artfynd.xlsx", "A 40216-2024")</f>
        <v/>
      </c>
      <c r="T94">
        <f>HYPERLINK("https://klasma.github.io/Logging_2283/kartor/A 40216-2024 karta.png", "A 40216-2024")</f>
        <v/>
      </c>
      <c r="U94">
        <f>HYPERLINK("https://klasma.github.io/Logging_2283/knärot/A 40216-2024 karta knärot.png", "A 40216-2024")</f>
        <v/>
      </c>
      <c r="V94">
        <f>HYPERLINK("https://klasma.github.io/Logging_2283/klagomål/A 40216-2024 FSC-klagomål.docx", "A 40216-2024")</f>
        <v/>
      </c>
      <c r="W94">
        <f>HYPERLINK("https://klasma.github.io/Logging_2283/klagomålsmail/A 40216-2024 FSC-klagomål mail.docx", "A 40216-2024")</f>
        <v/>
      </c>
      <c r="X94">
        <f>HYPERLINK("https://klasma.github.io/Logging_2283/tillsyn/A 40216-2024 tillsynsbegäran.docx", "A 40216-2024")</f>
        <v/>
      </c>
      <c r="Y94">
        <f>HYPERLINK("https://klasma.github.io/Logging_2283/tillsynsmail/A 40216-2024 tillsynsbegäran mail.docx", "A 40216-2024")</f>
        <v/>
      </c>
    </row>
    <row r="95" ht="15" customHeight="1">
      <c r="A95" t="inlineStr">
        <is>
          <t>A 47366-2024</t>
        </is>
      </c>
      <c r="B95" s="1" t="n">
        <v>45587</v>
      </c>
      <c r="C95" s="1" t="n">
        <v>45723</v>
      </c>
      <c r="D95" t="inlineStr">
        <is>
          <t>VÄSTERNORRLANDS LÄN</t>
        </is>
      </c>
      <c r="E95" t="inlineStr">
        <is>
          <t>SOLLEFTEÅ</t>
        </is>
      </c>
      <c r="F95" t="inlineStr">
        <is>
          <t>SCA</t>
        </is>
      </c>
      <c r="G95" t="n">
        <v>4.3</v>
      </c>
      <c r="H95" t="n">
        <v>5</v>
      </c>
      <c r="I95" t="n">
        <v>1</v>
      </c>
      <c r="J95" t="n">
        <v>6</v>
      </c>
      <c r="K95" t="n">
        <v>1</v>
      </c>
      <c r="L95" t="n">
        <v>0</v>
      </c>
      <c r="M95" t="n">
        <v>0</v>
      </c>
      <c r="N95" t="n">
        <v>0</v>
      </c>
      <c r="O95" t="n">
        <v>7</v>
      </c>
      <c r="P95" t="n">
        <v>1</v>
      </c>
      <c r="Q95" t="n">
        <v>9</v>
      </c>
      <c r="R95" s="2" t="inlineStr">
        <is>
          <t>Knärot
Gammelgransskål
Järpe
Lunglav
Talltita
Tretåig hackspett
Ullticka
Stuplav
Lavskrika</t>
        </is>
      </c>
      <c r="S95">
        <f>HYPERLINK("https://klasma.github.io/Logging_2283/artfynd/A 47366-2024 artfynd.xlsx", "A 47366-2024")</f>
        <v/>
      </c>
      <c r="T95">
        <f>HYPERLINK("https://klasma.github.io/Logging_2283/kartor/A 47366-2024 karta.png", "A 47366-2024")</f>
        <v/>
      </c>
      <c r="U95">
        <f>HYPERLINK("https://klasma.github.io/Logging_2283/knärot/A 47366-2024 karta knärot.png", "A 47366-2024")</f>
        <v/>
      </c>
      <c r="V95">
        <f>HYPERLINK("https://klasma.github.io/Logging_2283/klagomål/A 47366-2024 FSC-klagomål.docx", "A 47366-2024")</f>
        <v/>
      </c>
      <c r="W95">
        <f>HYPERLINK("https://klasma.github.io/Logging_2283/klagomålsmail/A 47366-2024 FSC-klagomål mail.docx", "A 47366-2024")</f>
        <v/>
      </c>
      <c r="X95">
        <f>HYPERLINK("https://klasma.github.io/Logging_2283/tillsyn/A 47366-2024 tillsynsbegäran.docx", "A 47366-2024")</f>
        <v/>
      </c>
      <c r="Y95">
        <f>HYPERLINK("https://klasma.github.io/Logging_2283/tillsynsmail/A 47366-2024 tillsynsbegäran mail.docx", "A 47366-2024")</f>
        <v/>
      </c>
      <c r="Z95">
        <f>HYPERLINK("https://klasma.github.io/Logging_2283/fåglar/A 47366-2024 prioriterade fågelarter.docx", "A 47366-2024")</f>
        <v/>
      </c>
    </row>
    <row r="96" ht="15" customHeight="1">
      <c r="A96" t="inlineStr">
        <is>
          <t>A 57790-2024</t>
        </is>
      </c>
      <c r="B96" s="1" t="n">
        <v>45631</v>
      </c>
      <c r="C96" s="1" t="n">
        <v>45723</v>
      </c>
      <c r="D96" t="inlineStr">
        <is>
          <t>VÄSTERNORRLANDS LÄN</t>
        </is>
      </c>
      <c r="E96" t="inlineStr">
        <is>
          <t>SOLLEFTEÅ</t>
        </is>
      </c>
      <c r="G96" t="n">
        <v>4.7</v>
      </c>
      <c r="H96" t="n">
        <v>4</v>
      </c>
      <c r="I96" t="n">
        <v>2</v>
      </c>
      <c r="J96" t="n">
        <v>6</v>
      </c>
      <c r="K96" t="n">
        <v>1</v>
      </c>
      <c r="L96" t="n">
        <v>0</v>
      </c>
      <c r="M96" t="n">
        <v>0</v>
      </c>
      <c r="N96" t="n">
        <v>0</v>
      </c>
      <c r="O96" t="n">
        <v>7</v>
      </c>
      <c r="P96" t="n">
        <v>1</v>
      </c>
      <c r="Q96" t="n">
        <v>9</v>
      </c>
      <c r="R96" s="2" t="inlineStr">
        <is>
          <t>Knärot
Garnlav
Rosenticka
Spillkråka
Talltita
Tretåig hackspett
Ullticka
Norrlandslav
Vedticka</t>
        </is>
      </c>
      <c r="S96">
        <f>HYPERLINK("https://klasma.github.io/Logging_2283/artfynd/A 57790-2024 artfynd.xlsx", "A 57790-2024")</f>
        <v/>
      </c>
      <c r="T96">
        <f>HYPERLINK("https://klasma.github.io/Logging_2283/kartor/A 57790-2024 karta.png", "A 57790-2024")</f>
        <v/>
      </c>
      <c r="U96">
        <f>HYPERLINK("https://klasma.github.io/Logging_2283/knärot/A 57790-2024 karta knärot.png", "A 57790-2024")</f>
        <v/>
      </c>
      <c r="V96">
        <f>HYPERLINK("https://klasma.github.io/Logging_2283/klagomål/A 57790-2024 FSC-klagomål.docx", "A 57790-2024")</f>
        <v/>
      </c>
      <c r="W96">
        <f>HYPERLINK("https://klasma.github.io/Logging_2283/klagomålsmail/A 57790-2024 FSC-klagomål mail.docx", "A 57790-2024")</f>
        <v/>
      </c>
      <c r="X96">
        <f>HYPERLINK("https://klasma.github.io/Logging_2283/tillsyn/A 57790-2024 tillsynsbegäran.docx", "A 57790-2024")</f>
        <v/>
      </c>
      <c r="Y96">
        <f>HYPERLINK("https://klasma.github.io/Logging_2283/tillsynsmail/A 57790-2024 tillsynsbegäran mail.docx", "A 57790-2024")</f>
        <v/>
      </c>
      <c r="Z96">
        <f>HYPERLINK("https://klasma.github.io/Logging_2283/fåglar/A 57790-2024 prioriterade fågelarter.docx", "A 57790-2024")</f>
        <v/>
      </c>
    </row>
    <row r="97" ht="15" customHeight="1">
      <c r="A97" t="inlineStr">
        <is>
          <t>A 26655-2022</t>
        </is>
      </c>
      <c r="B97" s="1" t="n">
        <v>44739</v>
      </c>
      <c r="C97" s="1" t="n">
        <v>45723</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45723</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29620-2023</t>
        </is>
      </c>
      <c r="B99" s="1" t="n">
        <v>45106</v>
      </c>
      <c r="C99" s="1" t="n">
        <v>45723</v>
      </c>
      <c r="D99" t="inlineStr">
        <is>
          <t>VÄSTERNORRLANDS LÄN</t>
        </is>
      </c>
      <c r="E99" t="inlineStr">
        <is>
          <t>SOLLEFTEÅ</t>
        </is>
      </c>
      <c r="F99" t="inlineStr">
        <is>
          <t>SCA</t>
        </is>
      </c>
      <c r="G99" t="n">
        <v>8.300000000000001</v>
      </c>
      <c r="H99" t="n">
        <v>4</v>
      </c>
      <c r="I99" t="n">
        <v>3</v>
      </c>
      <c r="J99" t="n">
        <v>3</v>
      </c>
      <c r="K99" t="n">
        <v>0</v>
      </c>
      <c r="L99" t="n">
        <v>0</v>
      </c>
      <c r="M99" t="n">
        <v>0</v>
      </c>
      <c r="N99" t="n">
        <v>0</v>
      </c>
      <c r="O99" t="n">
        <v>3</v>
      </c>
      <c r="P99" t="n">
        <v>0</v>
      </c>
      <c r="Q99" t="n">
        <v>8</v>
      </c>
      <c r="R99" s="2" t="inlineStr">
        <is>
          <t>Granticka
Rosenticka
Ullticka
Korallrot
Skinnlav
Spindelblomster
Fläcknycklar
Revlummer</t>
        </is>
      </c>
      <c r="S99">
        <f>HYPERLINK("https://klasma.github.io/Logging_2283/artfynd/A 29620-2023 artfynd.xlsx", "A 29620-2023")</f>
        <v/>
      </c>
      <c r="T99">
        <f>HYPERLINK("https://klasma.github.io/Logging_2283/kartor/A 29620-2023 karta.png", "A 29620-2023")</f>
        <v/>
      </c>
      <c r="V99">
        <f>HYPERLINK("https://klasma.github.io/Logging_2283/klagomål/A 29620-2023 FSC-klagomål.docx", "A 29620-2023")</f>
        <v/>
      </c>
      <c r="W99">
        <f>HYPERLINK("https://klasma.github.io/Logging_2283/klagomålsmail/A 29620-2023 FSC-klagomål mail.docx", "A 29620-2023")</f>
        <v/>
      </c>
      <c r="X99">
        <f>HYPERLINK("https://klasma.github.io/Logging_2283/tillsyn/A 29620-2023 tillsynsbegäran.docx", "A 29620-2023")</f>
        <v/>
      </c>
      <c r="Y99">
        <f>HYPERLINK("https://klasma.github.io/Logging_2283/tillsynsmail/A 29620-2023 tillsynsbegäran mail.docx", "A 29620-2023")</f>
        <v/>
      </c>
    </row>
    <row r="100" ht="15" customHeight="1">
      <c r="A100" t="inlineStr">
        <is>
          <t>A 32200-2023</t>
        </is>
      </c>
      <c r="B100" s="1" t="n">
        <v>45119</v>
      </c>
      <c r="C100" s="1" t="n">
        <v>45723</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39071-2023</t>
        </is>
      </c>
      <c r="B101" s="1" t="n">
        <v>45163</v>
      </c>
      <c r="C101" s="1" t="n">
        <v>45723</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45723</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5310-2024</t>
        </is>
      </c>
      <c r="B103" s="1" t="n">
        <v>45331</v>
      </c>
      <c r="C103" s="1" t="n">
        <v>45723</v>
      </c>
      <c r="D103" t="inlineStr">
        <is>
          <t>VÄSTERNORRLANDS LÄN</t>
        </is>
      </c>
      <c r="E103" t="inlineStr">
        <is>
          <t>SOLLEFTEÅ</t>
        </is>
      </c>
      <c r="G103" t="n">
        <v>8.5</v>
      </c>
      <c r="H103" t="n">
        <v>2</v>
      </c>
      <c r="I103" t="n">
        <v>3</v>
      </c>
      <c r="J103" t="n">
        <v>4</v>
      </c>
      <c r="K103" t="n">
        <v>1</v>
      </c>
      <c r="L103" t="n">
        <v>0</v>
      </c>
      <c r="M103" t="n">
        <v>0</v>
      </c>
      <c r="N103" t="n">
        <v>0</v>
      </c>
      <c r="O103" t="n">
        <v>5</v>
      </c>
      <c r="P103" t="n">
        <v>1</v>
      </c>
      <c r="Q103" t="n">
        <v>8</v>
      </c>
      <c r="R103" s="2" t="inlineStr">
        <is>
          <t>Knärot
Garnlav
Kortskaftad ärgspik
Rosenticka
Talltita
Barkticka
Bronshjon
Luddlav</t>
        </is>
      </c>
      <c r="S103">
        <f>HYPERLINK("https://klasma.github.io/Logging_2283/artfynd/A 5310-2024 artfynd.xlsx", "A 5310-2024")</f>
        <v/>
      </c>
      <c r="T103">
        <f>HYPERLINK("https://klasma.github.io/Logging_2283/kartor/A 5310-2024 karta.png", "A 5310-2024")</f>
        <v/>
      </c>
      <c r="U103">
        <f>HYPERLINK("https://klasma.github.io/Logging_2283/knärot/A 5310-2024 karta knärot.png", "A 5310-2024")</f>
        <v/>
      </c>
      <c r="V103">
        <f>HYPERLINK("https://klasma.github.io/Logging_2283/klagomål/A 5310-2024 FSC-klagomål.docx", "A 5310-2024")</f>
        <v/>
      </c>
      <c r="W103">
        <f>HYPERLINK("https://klasma.github.io/Logging_2283/klagomålsmail/A 5310-2024 FSC-klagomål mail.docx", "A 5310-2024")</f>
        <v/>
      </c>
      <c r="X103">
        <f>HYPERLINK("https://klasma.github.io/Logging_2283/tillsyn/A 5310-2024 tillsynsbegäran.docx", "A 5310-2024")</f>
        <v/>
      </c>
      <c r="Y103">
        <f>HYPERLINK("https://klasma.github.io/Logging_2283/tillsynsmail/A 5310-2024 tillsynsbegäran mail.docx", "A 5310-2024")</f>
        <v/>
      </c>
      <c r="Z103">
        <f>HYPERLINK("https://klasma.github.io/Logging_2283/fåglar/A 5310-2024 prioriterade fågelarter.docx", "A 5310-2024")</f>
        <v/>
      </c>
    </row>
    <row r="104" ht="15" customHeight="1">
      <c r="A104" t="inlineStr">
        <is>
          <t>A 24459-2024</t>
        </is>
      </c>
      <c r="B104" s="1" t="n">
        <v>45458</v>
      </c>
      <c r="C104" s="1" t="n">
        <v>45723</v>
      </c>
      <c r="D104" t="inlineStr">
        <is>
          <t>VÄSTERNORRLANDS LÄN</t>
        </is>
      </c>
      <c r="E104" t="inlineStr">
        <is>
          <t>SOLLEFTEÅ</t>
        </is>
      </c>
      <c r="F104" t="inlineStr">
        <is>
          <t>SCA</t>
        </is>
      </c>
      <c r="G104" t="n">
        <v>6.1</v>
      </c>
      <c r="H104" t="n">
        <v>0</v>
      </c>
      <c r="I104" t="n">
        <v>2</v>
      </c>
      <c r="J104" t="n">
        <v>6</v>
      </c>
      <c r="K104" t="n">
        <v>0</v>
      </c>
      <c r="L104" t="n">
        <v>0</v>
      </c>
      <c r="M104" t="n">
        <v>0</v>
      </c>
      <c r="N104" t="n">
        <v>0</v>
      </c>
      <c r="O104" t="n">
        <v>6</v>
      </c>
      <c r="P104" t="n">
        <v>0</v>
      </c>
      <c r="Q104" t="n">
        <v>8</v>
      </c>
      <c r="R104" s="2" t="inlineStr">
        <is>
          <t>Garnlav
Granticka
Lunglav
Rosenticka
Rödbrun blekspik
Ullticka
Luddlav
Vedticka</t>
        </is>
      </c>
      <c r="S104">
        <f>HYPERLINK("https://klasma.github.io/Logging_2283/artfynd/A 24459-2024 artfynd.xlsx", "A 24459-2024")</f>
        <v/>
      </c>
      <c r="T104">
        <f>HYPERLINK("https://klasma.github.io/Logging_2283/kartor/A 24459-2024 karta.png", "A 24459-2024")</f>
        <v/>
      </c>
      <c r="V104">
        <f>HYPERLINK("https://klasma.github.io/Logging_2283/klagomål/A 24459-2024 FSC-klagomål.docx", "A 24459-2024")</f>
        <v/>
      </c>
      <c r="W104">
        <f>HYPERLINK("https://klasma.github.io/Logging_2283/klagomålsmail/A 24459-2024 FSC-klagomål mail.docx", "A 24459-2024")</f>
        <v/>
      </c>
      <c r="X104">
        <f>HYPERLINK("https://klasma.github.io/Logging_2283/tillsyn/A 24459-2024 tillsynsbegäran.docx", "A 24459-2024")</f>
        <v/>
      </c>
      <c r="Y104">
        <f>HYPERLINK("https://klasma.github.io/Logging_2283/tillsynsmail/A 24459-2024 tillsynsbegäran mail.docx", "A 24459-2024")</f>
        <v/>
      </c>
    </row>
    <row r="105" ht="15" customHeight="1">
      <c r="A105" t="inlineStr">
        <is>
          <t>A 26946-2024</t>
        </is>
      </c>
      <c r="B105" s="1" t="n">
        <v>45471</v>
      </c>
      <c r="C105" s="1" t="n">
        <v>45723</v>
      </c>
      <c r="D105" t="inlineStr">
        <is>
          <t>VÄSTERNORRLANDS LÄN</t>
        </is>
      </c>
      <c r="E105" t="inlineStr">
        <is>
          <t>SOLLEFTEÅ</t>
        </is>
      </c>
      <c r="F105" t="inlineStr">
        <is>
          <t>SCA</t>
        </is>
      </c>
      <c r="G105" t="n">
        <v>11</v>
      </c>
      <c r="H105" t="n">
        <v>5</v>
      </c>
      <c r="I105" t="n">
        <v>0</v>
      </c>
      <c r="J105" t="n">
        <v>6</v>
      </c>
      <c r="K105" t="n">
        <v>1</v>
      </c>
      <c r="L105" t="n">
        <v>0</v>
      </c>
      <c r="M105" t="n">
        <v>0</v>
      </c>
      <c r="N105" t="n">
        <v>0</v>
      </c>
      <c r="O105" t="n">
        <v>7</v>
      </c>
      <c r="P105" t="n">
        <v>1</v>
      </c>
      <c r="Q105" t="n">
        <v>8</v>
      </c>
      <c r="R105" s="2" t="inlineStr">
        <is>
          <t>Knärot
Järpe
Kolflarnlav
Lunglav
Skrovellav
Talltita
Tretåig hackspett
Orre</t>
        </is>
      </c>
      <c r="S105">
        <f>HYPERLINK("https://klasma.github.io/Logging_2283/artfynd/A 26946-2024 artfynd.xlsx", "A 26946-2024")</f>
        <v/>
      </c>
      <c r="T105">
        <f>HYPERLINK("https://klasma.github.io/Logging_2283/kartor/A 26946-2024 karta.png", "A 26946-2024")</f>
        <v/>
      </c>
      <c r="U105">
        <f>HYPERLINK("https://klasma.github.io/Logging_2283/knärot/A 26946-2024 karta knärot.png", "A 26946-2024")</f>
        <v/>
      </c>
      <c r="V105">
        <f>HYPERLINK("https://klasma.github.io/Logging_2283/klagomål/A 26946-2024 FSC-klagomål.docx", "A 26946-2024")</f>
        <v/>
      </c>
      <c r="W105">
        <f>HYPERLINK("https://klasma.github.io/Logging_2283/klagomålsmail/A 26946-2024 FSC-klagomål mail.docx", "A 26946-2024")</f>
        <v/>
      </c>
      <c r="X105">
        <f>HYPERLINK("https://klasma.github.io/Logging_2283/tillsyn/A 26946-2024 tillsynsbegäran.docx", "A 26946-2024")</f>
        <v/>
      </c>
      <c r="Y105">
        <f>HYPERLINK("https://klasma.github.io/Logging_2283/tillsynsmail/A 26946-2024 tillsynsbegäran mail.docx", "A 26946-2024")</f>
        <v/>
      </c>
      <c r="Z105">
        <f>HYPERLINK("https://klasma.github.io/Logging_2283/fåglar/A 26946-2024 prioriterade fågelarter.docx", "A 26946-2024")</f>
        <v/>
      </c>
    </row>
    <row r="106" ht="15" customHeight="1">
      <c r="A106" t="inlineStr">
        <is>
          <t>A 38294-2024</t>
        </is>
      </c>
      <c r="B106" s="1" t="n">
        <v>45545</v>
      </c>
      <c r="C106" s="1" t="n">
        <v>45723</v>
      </c>
      <c r="D106" t="inlineStr">
        <is>
          <t>VÄSTERNORRLANDS LÄN</t>
        </is>
      </c>
      <c r="E106" t="inlineStr">
        <is>
          <t>SOLLEFTEÅ</t>
        </is>
      </c>
      <c r="F106" t="inlineStr">
        <is>
          <t>Kommuner</t>
        </is>
      </c>
      <c r="G106" t="n">
        <v>18.8</v>
      </c>
      <c r="H106" t="n">
        <v>5</v>
      </c>
      <c r="I106" t="n">
        <v>0</v>
      </c>
      <c r="J106" t="n">
        <v>6</v>
      </c>
      <c r="K106" t="n">
        <v>1</v>
      </c>
      <c r="L106" t="n">
        <v>0</v>
      </c>
      <c r="M106" t="n">
        <v>0</v>
      </c>
      <c r="N106" t="n">
        <v>0</v>
      </c>
      <c r="O106" t="n">
        <v>7</v>
      </c>
      <c r="P106" t="n">
        <v>1</v>
      </c>
      <c r="Q106" t="n">
        <v>8</v>
      </c>
      <c r="R106" s="2" t="inlineStr">
        <is>
          <t>Knärot
Garnlav
Granticka
Spillkråka
Talltita
Tretåig hackspett
Ullticka
Revlummer</t>
        </is>
      </c>
      <c r="S106">
        <f>HYPERLINK("https://klasma.github.io/Logging_2283/artfynd/A 38294-2024 artfynd.xlsx", "A 38294-2024")</f>
        <v/>
      </c>
      <c r="T106">
        <f>HYPERLINK("https://klasma.github.io/Logging_2283/kartor/A 38294-2024 karta.png", "A 38294-2024")</f>
        <v/>
      </c>
      <c r="U106">
        <f>HYPERLINK("https://klasma.github.io/Logging_2283/knärot/A 38294-2024 karta knärot.png", "A 38294-2024")</f>
        <v/>
      </c>
      <c r="V106">
        <f>HYPERLINK("https://klasma.github.io/Logging_2283/klagomål/A 38294-2024 FSC-klagomål.docx", "A 38294-2024")</f>
        <v/>
      </c>
      <c r="W106">
        <f>HYPERLINK("https://klasma.github.io/Logging_2283/klagomålsmail/A 38294-2024 FSC-klagomål mail.docx", "A 38294-2024")</f>
        <v/>
      </c>
      <c r="X106">
        <f>HYPERLINK("https://klasma.github.io/Logging_2283/tillsyn/A 38294-2024 tillsynsbegäran.docx", "A 38294-2024")</f>
        <v/>
      </c>
      <c r="Y106">
        <f>HYPERLINK("https://klasma.github.io/Logging_2283/tillsynsmail/A 38294-2024 tillsynsbegäran mail.docx", "A 38294-2024")</f>
        <v/>
      </c>
      <c r="Z106">
        <f>HYPERLINK("https://klasma.github.io/Logging_2283/fåglar/A 38294-2024 prioriterade fågelarter.docx", "A 38294-2024")</f>
        <v/>
      </c>
    </row>
    <row r="107" ht="15" customHeight="1">
      <c r="A107" t="inlineStr">
        <is>
          <t>A 40075-2024</t>
        </is>
      </c>
      <c r="B107" s="1" t="n">
        <v>45554</v>
      </c>
      <c r="C107" s="1" t="n">
        <v>45723</v>
      </c>
      <c r="D107" t="inlineStr">
        <is>
          <t>VÄSTERNORRLANDS LÄN</t>
        </is>
      </c>
      <c r="E107" t="inlineStr">
        <is>
          <t>SOLLEFTEÅ</t>
        </is>
      </c>
      <c r="F107" t="inlineStr">
        <is>
          <t>SCA</t>
        </is>
      </c>
      <c r="G107" t="n">
        <v>12.1</v>
      </c>
      <c r="H107" t="n">
        <v>3</v>
      </c>
      <c r="I107" t="n">
        <v>0</v>
      </c>
      <c r="J107" t="n">
        <v>7</v>
      </c>
      <c r="K107" t="n">
        <v>1</v>
      </c>
      <c r="L107" t="n">
        <v>0</v>
      </c>
      <c r="M107" t="n">
        <v>0</v>
      </c>
      <c r="N107" t="n">
        <v>0</v>
      </c>
      <c r="O107" t="n">
        <v>8</v>
      </c>
      <c r="P107" t="n">
        <v>1</v>
      </c>
      <c r="Q107" t="n">
        <v>8</v>
      </c>
      <c r="R107" s="2" t="inlineStr">
        <is>
          <t>Knärot
Gammelgransskål
Granticka
Järpe
Koralltaggsvamp
Lunglav
Tretåig hackspett
Ullticka</t>
        </is>
      </c>
      <c r="S107">
        <f>HYPERLINK("https://klasma.github.io/Logging_2283/artfynd/A 40075-2024 artfynd.xlsx", "A 40075-2024")</f>
        <v/>
      </c>
      <c r="T107">
        <f>HYPERLINK("https://klasma.github.io/Logging_2283/kartor/A 40075-2024 karta.png", "A 40075-2024")</f>
        <v/>
      </c>
      <c r="U107">
        <f>HYPERLINK("https://klasma.github.io/Logging_2283/knärot/A 40075-2024 karta knärot.png", "A 40075-2024")</f>
        <v/>
      </c>
      <c r="V107">
        <f>HYPERLINK("https://klasma.github.io/Logging_2283/klagomål/A 40075-2024 FSC-klagomål.docx", "A 40075-2024")</f>
        <v/>
      </c>
      <c r="W107">
        <f>HYPERLINK("https://klasma.github.io/Logging_2283/klagomålsmail/A 40075-2024 FSC-klagomål mail.docx", "A 40075-2024")</f>
        <v/>
      </c>
      <c r="X107">
        <f>HYPERLINK("https://klasma.github.io/Logging_2283/tillsyn/A 40075-2024 tillsynsbegäran.docx", "A 40075-2024")</f>
        <v/>
      </c>
      <c r="Y107">
        <f>HYPERLINK("https://klasma.github.io/Logging_2283/tillsynsmail/A 40075-2024 tillsynsbegäran mail.docx", "A 40075-2024")</f>
        <v/>
      </c>
      <c r="Z107">
        <f>HYPERLINK("https://klasma.github.io/Logging_2283/fåglar/A 40075-2024 prioriterade fågelarter.docx", "A 40075-2024")</f>
        <v/>
      </c>
    </row>
    <row r="108" ht="15" customHeight="1">
      <c r="A108" t="inlineStr">
        <is>
          <t>A 57317-2024</t>
        </is>
      </c>
      <c r="B108" s="1" t="n">
        <v>45629</v>
      </c>
      <c r="C108" s="1" t="n">
        <v>45723</v>
      </c>
      <c r="D108" t="inlineStr">
        <is>
          <t>VÄSTERNORRLANDS LÄN</t>
        </is>
      </c>
      <c r="E108" t="inlineStr">
        <is>
          <t>SOLLEFTEÅ</t>
        </is>
      </c>
      <c r="F108" t="inlineStr">
        <is>
          <t>SCA</t>
        </is>
      </c>
      <c r="G108" t="n">
        <v>4</v>
      </c>
      <c r="H108" t="n">
        <v>3</v>
      </c>
      <c r="I108" t="n">
        <v>0</v>
      </c>
      <c r="J108" t="n">
        <v>7</v>
      </c>
      <c r="K108" t="n">
        <v>1</v>
      </c>
      <c r="L108" t="n">
        <v>0</v>
      </c>
      <c r="M108" t="n">
        <v>0</v>
      </c>
      <c r="N108" t="n">
        <v>0</v>
      </c>
      <c r="O108" t="n">
        <v>8</v>
      </c>
      <c r="P108" t="n">
        <v>1</v>
      </c>
      <c r="Q108" t="n">
        <v>8</v>
      </c>
      <c r="R108" s="2" t="inlineStr">
        <is>
          <t>Knärot
Gammelgransskål
Garnlav
Granticka
Lunglav
Spillkråka
Tretåig hackspett
Ullticka</t>
        </is>
      </c>
      <c r="S108">
        <f>HYPERLINK("https://klasma.github.io/Logging_2283/artfynd/A 57317-2024 artfynd.xlsx", "A 57317-2024")</f>
        <v/>
      </c>
      <c r="T108">
        <f>HYPERLINK("https://klasma.github.io/Logging_2283/kartor/A 57317-2024 karta.png", "A 57317-2024")</f>
        <v/>
      </c>
      <c r="U108">
        <f>HYPERLINK("https://klasma.github.io/Logging_2283/knärot/A 57317-2024 karta knärot.png", "A 57317-2024")</f>
        <v/>
      </c>
      <c r="V108">
        <f>HYPERLINK("https://klasma.github.io/Logging_2283/klagomål/A 57317-2024 FSC-klagomål.docx", "A 57317-2024")</f>
        <v/>
      </c>
      <c r="W108">
        <f>HYPERLINK("https://klasma.github.io/Logging_2283/klagomålsmail/A 57317-2024 FSC-klagomål mail.docx", "A 57317-2024")</f>
        <v/>
      </c>
      <c r="X108">
        <f>HYPERLINK("https://klasma.github.io/Logging_2283/tillsyn/A 57317-2024 tillsynsbegäran.docx", "A 57317-2024")</f>
        <v/>
      </c>
      <c r="Y108">
        <f>HYPERLINK("https://klasma.github.io/Logging_2283/tillsynsmail/A 57317-2024 tillsynsbegäran mail.docx", "A 57317-2024")</f>
        <v/>
      </c>
      <c r="Z108">
        <f>HYPERLINK("https://klasma.github.io/Logging_2283/fåglar/A 57317-2024 prioriterade fågelarter.docx", "A 57317-2024")</f>
        <v/>
      </c>
    </row>
    <row r="109" ht="15" customHeight="1">
      <c r="A109" t="inlineStr">
        <is>
          <t>A 4930-2025</t>
        </is>
      </c>
      <c r="B109" s="1" t="n">
        <v>45688</v>
      </c>
      <c r="C109" s="1" t="n">
        <v>45723</v>
      </c>
      <c r="D109" t="inlineStr">
        <is>
          <t>VÄSTERNORRLANDS LÄN</t>
        </is>
      </c>
      <c r="E109" t="inlineStr">
        <is>
          <t>SOLLEFTEÅ</t>
        </is>
      </c>
      <c r="F109" t="inlineStr">
        <is>
          <t>Övriga statliga verk och myndigheter</t>
        </is>
      </c>
      <c r="G109" t="n">
        <v>15.3</v>
      </c>
      <c r="H109" t="n">
        <v>4</v>
      </c>
      <c r="I109" t="n">
        <v>1</v>
      </c>
      <c r="J109" t="n">
        <v>5</v>
      </c>
      <c r="K109" t="n">
        <v>2</v>
      </c>
      <c r="L109" t="n">
        <v>0</v>
      </c>
      <c r="M109" t="n">
        <v>0</v>
      </c>
      <c r="N109" t="n">
        <v>0</v>
      </c>
      <c r="O109" t="n">
        <v>7</v>
      </c>
      <c r="P109" t="n">
        <v>2</v>
      </c>
      <c r="Q109" t="n">
        <v>8</v>
      </c>
      <c r="R109" s="2" t="inlineStr">
        <is>
          <t>Doftticka
Rynkskinn
Björktrast
Rosenticka
Spillkråka
Tretåig hackspett
Ullticka
Underviol</t>
        </is>
      </c>
      <c r="S109">
        <f>HYPERLINK("https://klasma.github.io/Logging_2283/artfynd/A 4930-2025 artfynd.xlsx", "A 4930-2025")</f>
        <v/>
      </c>
      <c r="T109">
        <f>HYPERLINK("https://klasma.github.io/Logging_2283/kartor/A 4930-2025 karta.png", "A 4930-2025")</f>
        <v/>
      </c>
      <c r="V109">
        <f>HYPERLINK("https://klasma.github.io/Logging_2283/klagomål/A 4930-2025 FSC-klagomål.docx", "A 4930-2025")</f>
        <v/>
      </c>
      <c r="W109">
        <f>HYPERLINK("https://klasma.github.io/Logging_2283/klagomålsmail/A 4930-2025 FSC-klagomål mail.docx", "A 4930-2025")</f>
        <v/>
      </c>
      <c r="X109">
        <f>HYPERLINK("https://klasma.github.io/Logging_2283/tillsyn/A 4930-2025 tillsynsbegäran.docx", "A 4930-2025")</f>
        <v/>
      </c>
      <c r="Y109">
        <f>HYPERLINK("https://klasma.github.io/Logging_2283/tillsynsmail/A 4930-2025 tillsynsbegäran mail.docx", "A 4930-2025")</f>
        <v/>
      </c>
      <c r="Z109">
        <f>HYPERLINK("https://klasma.github.io/Logging_2283/fåglar/A 4930-2025 prioriterade fågelarter.docx", "A 4930-2025")</f>
        <v/>
      </c>
    </row>
    <row r="110" ht="15" customHeight="1">
      <c r="A110" t="inlineStr">
        <is>
          <t>A 6620-2025</t>
        </is>
      </c>
      <c r="B110" s="1" t="n">
        <v>45700</v>
      </c>
      <c r="C110" s="1" t="n">
        <v>45723</v>
      </c>
      <c r="D110" t="inlineStr">
        <is>
          <t>VÄSTERNORRLANDS LÄN</t>
        </is>
      </c>
      <c r="E110" t="inlineStr">
        <is>
          <t>SOLLEFTEÅ</t>
        </is>
      </c>
      <c r="F110" t="inlineStr">
        <is>
          <t>SCA</t>
        </is>
      </c>
      <c r="G110" t="n">
        <v>1.2</v>
      </c>
      <c r="H110" t="n">
        <v>4</v>
      </c>
      <c r="I110" t="n">
        <v>1</v>
      </c>
      <c r="J110" t="n">
        <v>7</v>
      </c>
      <c r="K110" t="n">
        <v>0</v>
      </c>
      <c r="L110" t="n">
        <v>0</v>
      </c>
      <c r="M110" t="n">
        <v>0</v>
      </c>
      <c r="N110" t="n">
        <v>0</v>
      </c>
      <c r="O110" t="n">
        <v>7</v>
      </c>
      <c r="P110" t="n">
        <v>0</v>
      </c>
      <c r="Q110" t="n">
        <v>8</v>
      </c>
      <c r="R110" s="2" t="inlineStr">
        <is>
          <t>Garnlav
Granticka
Rosenticka
Spillkråka
Talltita
Tretåig hackspett
Ullticka
Spindelblomster</t>
        </is>
      </c>
      <c r="S110">
        <f>HYPERLINK("https://klasma.github.io/Logging_2283/artfynd/A 6620-2025 artfynd.xlsx", "A 6620-2025")</f>
        <v/>
      </c>
      <c r="T110">
        <f>HYPERLINK("https://klasma.github.io/Logging_2283/kartor/A 6620-2025 karta.png", "A 6620-2025")</f>
        <v/>
      </c>
      <c r="V110">
        <f>HYPERLINK("https://klasma.github.io/Logging_2283/klagomål/A 6620-2025 FSC-klagomål.docx", "A 6620-2025")</f>
        <v/>
      </c>
      <c r="W110">
        <f>HYPERLINK("https://klasma.github.io/Logging_2283/klagomålsmail/A 6620-2025 FSC-klagomål mail.docx", "A 6620-2025")</f>
        <v/>
      </c>
      <c r="X110">
        <f>HYPERLINK("https://klasma.github.io/Logging_2283/tillsyn/A 6620-2025 tillsynsbegäran.docx", "A 6620-2025")</f>
        <v/>
      </c>
      <c r="Y110">
        <f>HYPERLINK("https://klasma.github.io/Logging_2283/tillsynsmail/A 6620-2025 tillsynsbegäran mail.docx", "A 6620-2025")</f>
        <v/>
      </c>
      <c r="Z110">
        <f>HYPERLINK("https://klasma.github.io/Logging_2283/fåglar/A 6620-2025 prioriterade fågelarter.docx", "A 6620-2025")</f>
        <v/>
      </c>
    </row>
    <row r="111" ht="15" customHeight="1">
      <c r="A111" t="inlineStr">
        <is>
          <t>A 11392-2020</t>
        </is>
      </c>
      <c r="B111" s="1" t="n">
        <v>43892</v>
      </c>
      <c r="C111" s="1" t="n">
        <v>45723</v>
      </c>
      <c r="D111" t="inlineStr">
        <is>
          <t>VÄSTERNORRLANDS LÄN</t>
        </is>
      </c>
      <c r="E111" t="inlineStr">
        <is>
          <t>SOLLEFTEÅ</t>
        </is>
      </c>
      <c r="G111" t="n">
        <v>3.5</v>
      </c>
      <c r="H111" t="n">
        <v>3</v>
      </c>
      <c r="I111" t="n">
        <v>1</v>
      </c>
      <c r="J111" t="n">
        <v>4</v>
      </c>
      <c r="K111" t="n">
        <v>1</v>
      </c>
      <c r="L111" t="n">
        <v>0</v>
      </c>
      <c r="M111" t="n">
        <v>0</v>
      </c>
      <c r="N111" t="n">
        <v>0</v>
      </c>
      <c r="O111" t="n">
        <v>5</v>
      </c>
      <c r="P111" t="n">
        <v>1</v>
      </c>
      <c r="Q111" t="n">
        <v>7</v>
      </c>
      <c r="R111" s="2" t="inlineStr">
        <is>
          <t>Rynkskinn
Rosenticka
Spillkråka
Tretåig hackspett
Ullticka
Mörk husmossa
Revlummer</t>
        </is>
      </c>
      <c r="S111">
        <f>HYPERLINK("https://klasma.github.io/Logging_2283/artfynd/A 11392-2020 artfynd.xlsx", "A 11392-2020")</f>
        <v/>
      </c>
      <c r="T111">
        <f>HYPERLINK("https://klasma.github.io/Logging_2283/kartor/A 11392-2020 karta.png", "A 11392-2020")</f>
        <v/>
      </c>
      <c r="V111">
        <f>HYPERLINK("https://klasma.github.io/Logging_2283/klagomål/A 11392-2020 FSC-klagomål.docx", "A 11392-2020")</f>
        <v/>
      </c>
      <c r="W111">
        <f>HYPERLINK("https://klasma.github.io/Logging_2283/klagomålsmail/A 11392-2020 FSC-klagomål mail.docx", "A 11392-2020")</f>
        <v/>
      </c>
      <c r="X111">
        <f>HYPERLINK("https://klasma.github.io/Logging_2283/tillsyn/A 11392-2020 tillsynsbegäran.docx", "A 11392-2020")</f>
        <v/>
      </c>
      <c r="Y111">
        <f>HYPERLINK("https://klasma.github.io/Logging_2283/tillsynsmail/A 11392-2020 tillsynsbegäran mail.docx", "A 11392-2020")</f>
        <v/>
      </c>
      <c r="Z111">
        <f>HYPERLINK("https://klasma.github.io/Logging_2283/fåglar/A 11392-2020 prioriterade fågelarter.docx", "A 11392-2020")</f>
        <v/>
      </c>
    </row>
    <row r="112" ht="15" customHeight="1">
      <c r="A112" t="inlineStr">
        <is>
          <t>A 33208-2020</t>
        </is>
      </c>
      <c r="B112" s="1" t="n">
        <v>44021</v>
      </c>
      <c r="C112" s="1" t="n">
        <v>45723</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33208-2020 artfynd.xlsx", "A 33208-2020")</f>
        <v/>
      </c>
      <c r="T112">
        <f>HYPERLINK("https://klasma.github.io/Logging_2283/kartor/A 33208-2020 karta.png", "A 33208-2020")</f>
        <v/>
      </c>
      <c r="V112">
        <f>HYPERLINK("https://klasma.github.io/Logging_2283/klagomål/A 33208-2020 FSC-klagomål.docx", "A 33208-2020")</f>
        <v/>
      </c>
      <c r="W112">
        <f>HYPERLINK("https://klasma.github.io/Logging_2283/klagomålsmail/A 33208-2020 FSC-klagomål mail.docx", "A 33208-2020")</f>
        <v/>
      </c>
      <c r="X112">
        <f>HYPERLINK("https://klasma.github.io/Logging_2283/tillsyn/A 33208-2020 tillsynsbegäran.docx", "A 33208-2020")</f>
        <v/>
      </c>
      <c r="Y112">
        <f>HYPERLINK("https://klasma.github.io/Logging_2283/tillsynsmail/A 33208-2020 tillsynsbegäran mail.docx", "A 33208-2020")</f>
        <v/>
      </c>
      <c r="Z112">
        <f>HYPERLINK("https://klasma.github.io/Logging_2283/fåglar/A 33208-2020 prioriterade fågelarter.docx", "A 33208-2020")</f>
        <v/>
      </c>
    </row>
    <row r="113" ht="15" customHeight="1">
      <c r="A113" t="inlineStr">
        <is>
          <t>A 66843-2020</t>
        </is>
      </c>
      <c r="B113" s="1" t="n">
        <v>44179</v>
      </c>
      <c r="C113" s="1" t="n">
        <v>45723</v>
      </c>
      <c r="D113" t="inlineStr">
        <is>
          <t>VÄSTERNORRLANDS LÄN</t>
        </is>
      </c>
      <c r="E113" t="inlineStr">
        <is>
          <t>SOLLEFTEÅ</t>
        </is>
      </c>
      <c r="F113" t="inlineStr">
        <is>
          <t>SCA</t>
        </is>
      </c>
      <c r="G113" t="n">
        <v>5</v>
      </c>
      <c r="H113" t="n">
        <v>0</v>
      </c>
      <c r="I113" t="n">
        <v>0</v>
      </c>
      <c r="J113" t="n">
        <v>4</v>
      </c>
      <c r="K113" t="n">
        <v>3</v>
      </c>
      <c r="L113" t="n">
        <v>0</v>
      </c>
      <c r="M113" t="n">
        <v>0</v>
      </c>
      <c r="N113" t="n">
        <v>0</v>
      </c>
      <c r="O113" t="n">
        <v>7</v>
      </c>
      <c r="P113" t="n">
        <v>3</v>
      </c>
      <c r="Q113" t="n">
        <v>7</v>
      </c>
      <c r="R113" s="2" t="inlineStr">
        <is>
          <t>Blackticka
Liten hornflikmossa
Rynkskinn
Granticka
Gränsticka
Rosenticka
Ullticka</t>
        </is>
      </c>
      <c r="S113">
        <f>HYPERLINK("https://klasma.github.io/Logging_2283/artfynd/A 66843-2020 artfynd.xlsx", "A 66843-2020")</f>
        <v/>
      </c>
      <c r="T113">
        <f>HYPERLINK("https://klasma.github.io/Logging_2283/kartor/A 66843-2020 karta.png", "A 66843-2020")</f>
        <v/>
      </c>
      <c r="V113">
        <f>HYPERLINK("https://klasma.github.io/Logging_2283/klagomål/A 66843-2020 FSC-klagomål.docx", "A 66843-2020")</f>
        <v/>
      </c>
      <c r="W113">
        <f>HYPERLINK("https://klasma.github.io/Logging_2283/klagomålsmail/A 66843-2020 FSC-klagomål mail.docx", "A 66843-2020")</f>
        <v/>
      </c>
      <c r="X113">
        <f>HYPERLINK("https://klasma.github.io/Logging_2283/tillsyn/A 66843-2020 tillsynsbegäran.docx", "A 66843-2020")</f>
        <v/>
      </c>
      <c r="Y113">
        <f>HYPERLINK("https://klasma.github.io/Logging_2283/tillsynsmail/A 66843-2020 tillsynsbegäran mail.docx", "A 66843-2020")</f>
        <v/>
      </c>
    </row>
    <row r="114" ht="15" customHeight="1">
      <c r="A114" t="inlineStr">
        <is>
          <t>A 18014-2022</t>
        </is>
      </c>
      <c r="B114" s="1" t="n">
        <v>44684</v>
      </c>
      <c r="C114" s="1" t="n">
        <v>45723</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43779-2022</t>
        </is>
      </c>
      <c r="B115" s="1" t="n">
        <v>44837</v>
      </c>
      <c r="C115" s="1" t="n">
        <v>45723</v>
      </c>
      <c r="D115" t="inlineStr">
        <is>
          <t>VÄSTERNORRLANDS LÄN</t>
        </is>
      </c>
      <c r="E115" t="inlineStr">
        <is>
          <t>SOLLEFTEÅ</t>
        </is>
      </c>
      <c r="F115" t="inlineStr">
        <is>
          <t>SCA</t>
        </is>
      </c>
      <c r="G115" t="n">
        <v>10.8</v>
      </c>
      <c r="H115" t="n">
        <v>2</v>
      </c>
      <c r="I115" t="n">
        <v>1</v>
      </c>
      <c r="J115" t="n">
        <v>4</v>
      </c>
      <c r="K115" t="n">
        <v>2</v>
      </c>
      <c r="L115" t="n">
        <v>0</v>
      </c>
      <c r="M115" t="n">
        <v>0</v>
      </c>
      <c r="N115" t="n">
        <v>0</v>
      </c>
      <c r="O115" t="n">
        <v>6</v>
      </c>
      <c r="P115" t="n">
        <v>2</v>
      </c>
      <c r="Q115" t="n">
        <v>7</v>
      </c>
      <c r="R115" s="2" t="inlineStr">
        <is>
          <t>Knärot
Rynkskinn
Garnlav
Lunglav
Talltita
Ullticka
Vedticka</t>
        </is>
      </c>
      <c r="S115">
        <f>HYPERLINK("https://klasma.github.io/Logging_2283/artfynd/A 43779-2022 artfynd.xlsx", "A 43779-2022")</f>
        <v/>
      </c>
      <c r="T115">
        <f>HYPERLINK("https://klasma.github.io/Logging_2283/kartor/A 43779-2022 karta.png", "A 43779-2022")</f>
        <v/>
      </c>
      <c r="U115">
        <f>HYPERLINK("https://klasma.github.io/Logging_2283/knärot/A 43779-2022 karta knärot.png", "A 43779-2022")</f>
        <v/>
      </c>
      <c r="V115">
        <f>HYPERLINK("https://klasma.github.io/Logging_2283/klagomål/A 43779-2022 FSC-klagomål.docx", "A 43779-2022")</f>
        <v/>
      </c>
      <c r="W115">
        <f>HYPERLINK("https://klasma.github.io/Logging_2283/klagomålsmail/A 43779-2022 FSC-klagomål mail.docx", "A 43779-2022")</f>
        <v/>
      </c>
      <c r="X115">
        <f>HYPERLINK("https://klasma.github.io/Logging_2283/tillsyn/A 43779-2022 tillsynsbegäran.docx", "A 43779-2022")</f>
        <v/>
      </c>
      <c r="Y115">
        <f>HYPERLINK("https://klasma.github.io/Logging_2283/tillsynsmail/A 43779-2022 tillsynsbegäran mail.docx", "A 43779-2022")</f>
        <v/>
      </c>
      <c r="Z115">
        <f>HYPERLINK("https://klasma.github.io/Logging_2283/fåglar/A 43779-2022 prioriterade fågelarter.docx", "A 43779-2022")</f>
        <v/>
      </c>
    </row>
    <row r="116" ht="15" customHeight="1">
      <c r="A116" t="inlineStr">
        <is>
          <t>A 47647-2022</t>
        </is>
      </c>
      <c r="B116" s="1" t="n">
        <v>44852</v>
      </c>
      <c r="C116" s="1" t="n">
        <v>45723</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53121-2022</t>
        </is>
      </c>
      <c r="B117" s="1" t="n">
        <v>44873</v>
      </c>
      <c r="C117" s="1" t="n">
        <v>45723</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45723</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715-2023</t>
        </is>
      </c>
      <c r="B119" s="1" t="n">
        <v>44930</v>
      </c>
      <c r="C119" s="1" t="n">
        <v>45723</v>
      </c>
      <c r="D119" t="inlineStr">
        <is>
          <t>VÄSTERNORRLANDS LÄN</t>
        </is>
      </c>
      <c r="E119" t="inlineStr">
        <is>
          <t>SOLLEFTEÅ</t>
        </is>
      </c>
      <c r="G119" t="n">
        <v>7.7</v>
      </c>
      <c r="H119" t="n">
        <v>0</v>
      </c>
      <c r="I119" t="n">
        <v>1</v>
      </c>
      <c r="J119" t="n">
        <v>3</v>
      </c>
      <c r="K119" t="n">
        <v>3</v>
      </c>
      <c r="L119" t="n">
        <v>0</v>
      </c>
      <c r="M119" t="n">
        <v>0</v>
      </c>
      <c r="N119" t="n">
        <v>0</v>
      </c>
      <c r="O119" t="n">
        <v>6</v>
      </c>
      <c r="P119" t="n">
        <v>3</v>
      </c>
      <c r="Q119" t="n">
        <v>7</v>
      </c>
      <c r="R119" s="2" t="inlineStr">
        <is>
          <t>Gräddporing
Gräddticka
Rynkskinn
Granticka
Rosenticka
Ullticka
Skinnlav</t>
        </is>
      </c>
      <c r="S119">
        <f>HYPERLINK("https://klasma.github.io/Logging_2283/artfynd/A 715-2023 artfynd.xlsx", "A 715-2023")</f>
        <v/>
      </c>
      <c r="T119">
        <f>HYPERLINK("https://klasma.github.io/Logging_2283/kartor/A 715-2023 karta.png", "A 715-2023")</f>
        <v/>
      </c>
      <c r="V119">
        <f>HYPERLINK("https://klasma.github.io/Logging_2283/klagomål/A 715-2023 FSC-klagomål.docx", "A 715-2023")</f>
        <v/>
      </c>
      <c r="W119">
        <f>HYPERLINK("https://klasma.github.io/Logging_2283/klagomålsmail/A 715-2023 FSC-klagomål mail.docx", "A 715-2023")</f>
        <v/>
      </c>
      <c r="X119">
        <f>HYPERLINK("https://klasma.github.io/Logging_2283/tillsyn/A 715-2023 tillsynsbegäran.docx", "A 715-2023")</f>
        <v/>
      </c>
      <c r="Y119">
        <f>HYPERLINK("https://klasma.github.io/Logging_2283/tillsynsmail/A 715-2023 tillsynsbegäran mail.docx", "A 715-2023")</f>
        <v/>
      </c>
    </row>
    <row r="120" ht="15" customHeight="1">
      <c r="A120" t="inlineStr">
        <is>
          <t>A 36116-2023</t>
        </is>
      </c>
      <c r="B120" s="1" t="n">
        <v>45148</v>
      </c>
      <c r="C120" s="1" t="n">
        <v>45723</v>
      </c>
      <c r="D120" t="inlineStr">
        <is>
          <t>VÄSTERNORRLANDS LÄN</t>
        </is>
      </c>
      <c r="E120" t="inlineStr">
        <is>
          <t>SOLLEFTEÅ</t>
        </is>
      </c>
      <c r="G120" t="n">
        <v>8.4</v>
      </c>
      <c r="H120" t="n">
        <v>2</v>
      </c>
      <c r="I120" t="n">
        <v>1</v>
      </c>
      <c r="J120" t="n">
        <v>3</v>
      </c>
      <c r="K120" t="n">
        <v>2</v>
      </c>
      <c r="L120" t="n">
        <v>0</v>
      </c>
      <c r="M120" t="n">
        <v>0</v>
      </c>
      <c r="N120" t="n">
        <v>0</v>
      </c>
      <c r="O120" t="n">
        <v>5</v>
      </c>
      <c r="P120" t="n">
        <v>2</v>
      </c>
      <c r="Q120" t="n">
        <v>7</v>
      </c>
      <c r="R120" s="2" t="inlineStr">
        <is>
          <t>Knärot
Rynkskinn
Garnlav
Lunglav
Ullticka
Skinnlav
Revlummer</t>
        </is>
      </c>
      <c r="S120">
        <f>HYPERLINK("https://klasma.github.io/Logging_2283/artfynd/A 36116-2023 artfynd.xlsx", "A 36116-2023")</f>
        <v/>
      </c>
      <c r="T120">
        <f>HYPERLINK("https://klasma.github.io/Logging_2283/kartor/A 36116-2023 karta.png", "A 36116-2023")</f>
        <v/>
      </c>
      <c r="U120">
        <f>HYPERLINK("https://klasma.github.io/Logging_2283/knärot/A 36116-2023 karta knärot.png", "A 36116-2023")</f>
        <v/>
      </c>
      <c r="V120">
        <f>HYPERLINK("https://klasma.github.io/Logging_2283/klagomål/A 36116-2023 FSC-klagomål.docx", "A 36116-2023")</f>
        <v/>
      </c>
      <c r="W120">
        <f>HYPERLINK("https://klasma.github.io/Logging_2283/klagomålsmail/A 36116-2023 FSC-klagomål mail.docx", "A 36116-2023")</f>
        <v/>
      </c>
      <c r="X120">
        <f>HYPERLINK("https://klasma.github.io/Logging_2283/tillsyn/A 36116-2023 tillsynsbegäran.docx", "A 36116-2023")</f>
        <v/>
      </c>
      <c r="Y120">
        <f>HYPERLINK("https://klasma.github.io/Logging_2283/tillsynsmail/A 36116-2023 tillsynsbegäran mail.docx", "A 36116-2023")</f>
        <v/>
      </c>
    </row>
    <row r="121" ht="15" customHeight="1">
      <c r="A121" t="inlineStr">
        <is>
          <t>A 38376-2023</t>
        </is>
      </c>
      <c r="B121" s="1" t="n">
        <v>45161</v>
      </c>
      <c r="C121" s="1" t="n">
        <v>45723</v>
      </c>
      <c r="D121" t="inlineStr">
        <is>
          <t>VÄSTERNORRLANDS LÄN</t>
        </is>
      </c>
      <c r="E121" t="inlineStr">
        <is>
          <t>SOLLEFTEÅ</t>
        </is>
      </c>
      <c r="F121" t="inlineStr">
        <is>
          <t>SCA</t>
        </is>
      </c>
      <c r="G121" t="n">
        <v>7.3</v>
      </c>
      <c r="H121" t="n">
        <v>2</v>
      </c>
      <c r="I121" t="n">
        <v>3</v>
      </c>
      <c r="J121" t="n">
        <v>2</v>
      </c>
      <c r="K121" t="n">
        <v>1</v>
      </c>
      <c r="L121" t="n">
        <v>0</v>
      </c>
      <c r="M121" t="n">
        <v>0</v>
      </c>
      <c r="N121" t="n">
        <v>0</v>
      </c>
      <c r="O121" t="n">
        <v>3</v>
      </c>
      <c r="P121" t="n">
        <v>1</v>
      </c>
      <c r="Q121" t="n">
        <v>7</v>
      </c>
      <c r="R121" s="2" t="inlineStr">
        <is>
          <t>Doftticka
Garnlav
Lunglav
Barkkornlav
Bårdlav
Stuplav
Revlummer</t>
        </is>
      </c>
      <c r="S121">
        <f>HYPERLINK("https://klasma.github.io/Logging_2283/artfynd/A 38376-2023 artfynd.xlsx", "A 38376-2023")</f>
        <v/>
      </c>
      <c r="T121">
        <f>HYPERLINK("https://klasma.github.io/Logging_2283/kartor/A 38376-2023 karta.png", "A 38376-2023")</f>
        <v/>
      </c>
      <c r="V121">
        <f>HYPERLINK("https://klasma.github.io/Logging_2283/klagomål/A 38376-2023 FSC-klagomål.docx", "A 38376-2023")</f>
        <v/>
      </c>
      <c r="W121">
        <f>HYPERLINK("https://klasma.github.io/Logging_2283/klagomålsmail/A 38376-2023 FSC-klagomål mail.docx", "A 38376-2023")</f>
        <v/>
      </c>
      <c r="X121">
        <f>HYPERLINK("https://klasma.github.io/Logging_2283/tillsyn/A 38376-2023 tillsynsbegäran.docx", "A 38376-2023")</f>
        <v/>
      </c>
      <c r="Y121">
        <f>HYPERLINK("https://klasma.github.io/Logging_2283/tillsynsmail/A 38376-2023 tillsynsbegäran mail.docx", "A 38376-2023")</f>
        <v/>
      </c>
    </row>
    <row r="122" ht="15" customHeight="1">
      <c r="A122" t="inlineStr">
        <is>
          <t>A 54049-2023</t>
        </is>
      </c>
      <c r="B122" s="1" t="n">
        <v>45231</v>
      </c>
      <c r="C122" s="1" t="n">
        <v>45723</v>
      </c>
      <c r="D122" t="inlineStr">
        <is>
          <t>VÄSTERNORRLANDS LÄN</t>
        </is>
      </c>
      <c r="E122" t="inlineStr">
        <is>
          <t>SOLLEFTEÅ</t>
        </is>
      </c>
      <c r="F122" t="inlineStr">
        <is>
          <t>SCA</t>
        </is>
      </c>
      <c r="G122" t="n">
        <v>9.800000000000001</v>
      </c>
      <c r="H122" t="n">
        <v>0</v>
      </c>
      <c r="I122" t="n">
        <v>1</v>
      </c>
      <c r="J122" t="n">
        <v>6</v>
      </c>
      <c r="K122" t="n">
        <v>0</v>
      </c>
      <c r="L122" t="n">
        <v>0</v>
      </c>
      <c r="M122" t="n">
        <v>0</v>
      </c>
      <c r="N122" t="n">
        <v>0</v>
      </c>
      <c r="O122" t="n">
        <v>6</v>
      </c>
      <c r="P122" t="n">
        <v>0</v>
      </c>
      <c r="Q122" t="n">
        <v>7</v>
      </c>
      <c r="R122" s="2" t="inlineStr">
        <is>
          <t>Doftskinn
Gammelgransskål
Garnlav
Rosenticka
Ullticka
Violettgrå tagellav
Vedticka</t>
        </is>
      </c>
      <c r="S122">
        <f>HYPERLINK("https://klasma.github.io/Logging_2283/artfynd/A 54049-2023 artfynd.xlsx", "A 54049-2023")</f>
        <v/>
      </c>
      <c r="T122">
        <f>HYPERLINK("https://klasma.github.io/Logging_2283/kartor/A 54049-2023 karta.png", "A 54049-2023")</f>
        <v/>
      </c>
      <c r="V122">
        <f>HYPERLINK("https://klasma.github.io/Logging_2283/klagomål/A 54049-2023 FSC-klagomål.docx", "A 54049-2023")</f>
        <v/>
      </c>
      <c r="W122">
        <f>HYPERLINK("https://klasma.github.io/Logging_2283/klagomålsmail/A 54049-2023 FSC-klagomål mail.docx", "A 54049-2023")</f>
        <v/>
      </c>
      <c r="X122">
        <f>HYPERLINK("https://klasma.github.io/Logging_2283/tillsyn/A 54049-2023 tillsynsbegäran.docx", "A 54049-2023")</f>
        <v/>
      </c>
      <c r="Y122">
        <f>HYPERLINK("https://klasma.github.io/Logging_2283/tillsynsmail/A 54049-2023 tillsynsbegäran mail.docx", "A 54049-2023")</f>
        <v/>
      </c>
    </row>
    <row r="123" ht="15" customHeight="1">
      <c r="A123" t="inlineStr">
        <is>
          <t>A 62992-2023</t>
        </is>
      </c>
      <c r="B123" s="1" t="n">
        <v>45272</v>
      </c>
      <c r="C123" s="1" t="n">
        <v>45723</v>
      </c>
      <c r="D123" t="inlineStr">
        <is>
          <t>VÄSTERNORRLANDS LÄN</t>
        </is>
      </c>
      <c r="E123" t="inlineStr">
        <is>
          <t>SOLLEFTEÅ</t>
        </is>
      </c>
      <c r="F123" t="inlineStr">
        <is>
          <t>Övriga Aktiebolag</t>
        </is>
      </c>
      <c r="G123" t="n">
        <v>16.7</v>
      </c>
      <c r="H123" t="n">
        <v>2</v>
      </c>
      <c r="I123" t="n">
        <v>2</v>
      </c>
      <c r="J123" t="n">
        <v>5</v>
      </c>
      <c r="K123" t="n">
        <v>0</v>
      </c>
      <c r="L123" t="n">
        <v>0</v>
      </c>
      <c r="M123" t="n">
        <v>0</v>
      </c>
      <c r="N123" t="n">
        <v>0</v>
      </c>
      <c r="O123" t="n">
        <v>5</v>
      </c>
      <c r="P123" t="n">
        <v>0</v>
      </c>
      <c r="Q123" t="n">
        <v>7</v>
      </c>
      <c r="R123" s="2" t="inlineStr">
        <is>
          <t>Gammelgransskål
Garnlav
Harticka
Rosenticka
Tretåig hackspett
Mörk husmossa
Spindelblomster</t>
        </is>
      </c>
      <c r="S123">
        <f>HYPERLINK("https://klasma.github.io/Logging_2283/artfynd/A 62992-2023 artfynd.xlsx", "A 62992-2023")</f>
        <v/>
      </c>
      <c r="T123">
        <f>HYPERLINK("https://klasma.github.io/Logging_2283/kartor/A 62992-2023 karta.png", "A 62992-2023")</f>
        <v/>
      </c>
      <c r="V123">
        <f>HYPERLINK("https://klasma.github.io/Logging_2283/klagomål/A 62992-2023 FSC-klagomål.docx", "A 62992-2023")</f>
        <v/>
      </c>
      <c r="W123">
        <f>HYPERLINK("https://klasma.github.io/Logging_2283/klagomålsmail/A 62992-2023 FSC-klagomål mail.docx", "A 62992-2023")</f>
        <v/>
      </c>
      <c r="X123">
        <f>HYPERLINK("https://klasma.github.io/Logging_2283/tillsyn/A 62992-2023 tillsynsbegäran.docx", "A 62992-2023")</f>
        <v/>
      </c>
      <c r="Y123">
        <f>HYPERLINK("https://klasma.github.io/Logging_2283/tillsynsmail/A 62992-2023 tillsynsbegäran mail.docx", "A 62992-2023")</f>
        <v/>
      </c>
      <c r="Z123">
        <f>HYPERLINK("https://klasma.github.io/Logging_2283/fåglar/A 62992-2023 prioriterade fågelarter.docx", "A 62992-2023")</f>
        <v/>
      </c>
    </row>
    <row r="124" ht="15" customHeight="1">
      <c r="A124" t="inlineStr">
        <is>
          <t>A 14580-2024</t>
        </is>
      </c>
      <c r="B124" s="1" t="n">
        <v>45394</v>
      </c>
      <c r="C124" s="1" t="n">
        <v>45723</v>
      </c>
      <c r="D124" t="inlineStr">
        <is>
          <t>VÄSTERNORRLANDS LÄN</t>
        </is>
      </c>
      <c r="E124" t="inlineStr">
        <is>
          <t>SOLLEFTEÅ</t>
        </is>
      </c>
      <c r="F124" t="inlineStr">
        <is>
          <t>SCA</t>
        </is>
      </c>
      <c r="G124" t="n">
        <v>4.1</v>
      </c>
      <c r="H124" t="n">
        <v>2</v>
      </c>
      <c r="I124" t="n">
        <v>1</v>
      </c>
      <c r="J124" t="n">
        <v>6</v>
      </c>
      <c r="K124" t="n">
        <v>0</v>
      </c>
      <c r="L124" t="n">
        <v>0</v>
      </c>
      <c r="M124" t="n">
        <v>0</v>
      </c>
      <c r="N124" t="n">
        <v>0</v>
      </c>
      <c r="O124" t="n">
        <v>6</v>
      </c>
      <c r="P124" t="n">
        <v>0</v>
      </c>
      <c r="Q124" t="n">
        <v>7</v>
      </c>
      <c r="R124" s="2" t="inlineStr">
        <is>
          <t>Garnlav
Lunglav
Rosenticka
Talltita
Tretåig hackspett
Ullticka
Vedticka</t>
        </is>
      </c>
      <c r="S124">
        <f>HYPERLINK("https://klasma.github.io/Logging_2283/artfynd/A 14580-2024 artfynd.xlsx", "A 14580-2024")</f>
        <v/>
      </c>
      <c r="T124">
        <f>HYPERLINK("https://klasma.github.io/Logging_2283/kartor/A 14580-2024 karta.png", "A 14580-2024")</f>
        <v/>
      </c>
      <c r="V124">
        <f>HYPERLINK("https://klasma.github.io/Logging_2283/klagomål/A 14580-2024 FSC-klagomål.docx", "A 14580-2024")</f>
        <v/>
      </c>
      <c r="W124">
        <f>HYPERLINK("https://klasma.github.io/Logging_2283/klagomålsmail/A 14580-2024 FSC-klagomål mail.docx", "A 14580-2024")</f>
        <v/>
      </c>
      <c r="X124">
        <f>HYPERLINK("https://klasma.github.io/Logging_2283/tillsyn/A 14580-2024 tillsynsbegäran.docx", "A 14580-2024")</f>
        <v/>
      </c>
      <c r="Y124">
        <f>HYPERLINK("https://klasma.github.io/Logging_2283/tillsynsmail/A 14580-2024 tillsynsbegäran mail.docx", "A 14580-2024")</f>
        <v/>
      </c>
      <c r="Z124">
        <f>HYPERLINK("https://klasma.github.io/Logging_2283/fåglar/A 14580-2024 prioriterade fågelarter.docx", "A 14580-2024")</f>
        <v/>
      </c>
    </row>
    <row r="125" ht="15" customHeight="1">
      <c r="A125" t="inlineStr">
        <is>
          <t>A 26654-2024</t>
        </is>
      </c>
      <c r="B125" s="1" t="n">
        <v>45469</v>
      </c>
      <c r="C125" s="1" t="n">
        <v>45723</v>
      </c>
      <c r="D125" t="inlineStr">
        <is>
          <t>VÄSTERNORRLANDS LÄN</t>
        </is>
      </c>
      <c r="E125" t="inlineStr">
        <is>
          <t>SOLLEFTEÅ</t>
        </is>
      </c>
      <c r="F125" t="inlineStr">
        <is>
          <t>SCA</t>
        </is>
      </c>
      <c r="G125" t="n">
        <v>7</v>
      </c>
      <c r="H125" t="n">
        <v>1</v>
      </c>
      <c r="I125" t="n">
        <v>2</v>
      </c>
      <c r="J125" t="n">
        <v>3</v>
      </c>
      <c r="K125" t="n">
        <v>2</v>
      </c>
      <c r="L125" t="n">
        <v>0</v>
      </c>
      <c r="M125" t="n">
        <v>0</v>
      </c>
      <c r="N125" t="n">
        <v>0</v>
      </c>
      <c r="O125" t="n">
        <v>5</v>
      </c>
      <c r="P125" t="n">
        <v>2</v>
      </c>
      <c r="Q125" t="n">
        <v>7</v>
      </c>
      <c r="R125" s="2" t="inlineStr">
        <is>
          <t>Knärot
Ulltickeporing
Garnlav
Harticka
Ullticka
Bårdlav
Skinnlav</t>
        </is>
      </c>
      <c r="S125">
        <f>HYPERLINK("https://klasma.github.io/Logging_2283/artfynd/A 26654-2024 artfynd.xlsx", "A 26654-2024")</f>
        <v/>
      </c>
      <c r="T125">
        <f>HYPERLINK("https://klasma.github.io/Logging_2283/kartor/A 26654-2024 karta.png", "A 26654-2024")</f>
        <v/>
      </c>
      <c r="U125">
        <f>HYPERLINK("https://klasma.github.io/Logging_2283/knärot/A 26654-2024 karta knärot.png", "A 26654-2024")</f>
        <v/>
      </c>
      <c r="V125">
        <f>HYPERLINK("https://klasma.github.io/Logging_2283/klagomål/A 26654-2024 FSC-klagomål.docx", "A 26654-2024")</f>
        <v/>
      </c>
      <c r="W125">
        <f>HYPERLINK("https://klasma.github.io/Logging_2283/klagomålsmail/A 26654-2024 FSC-klagomål mail.docx", "A 26654-2024")</f>
        <v/>
      </c>
      <c r="X125">
        <f>HYPERLINK("https://klasma.github.io/Logging_2283/tillsyn/A 26654-2024 tillsynsbegäran.docx", "A 26654-2024")</f>
        <v/>
      </c>
      <c r="Y125">
        <f>HYPERLINK("https://klasma.github.io/Logging_2283/tillsynsmail/A 26654-2024 tillsynsbegäran mail.docx", "A 26654-2024")</f>
        <v/>
      </c>
    </row>
    <row r="126" ht="15" customHeight="1">
      <c r="A126" t="inlineStr">
        <is>
          <t>A 29101-2024</t>
        </is>
      </c>
      <c r="B126" s="1" t="n">
        <v>45482</v>
      </c>
      <c r="C126" s="1" t="n">
        <v>45723</v>
      </c>
      <c r="D126" t="inlineStr">
        <is>
          <t>VÄSTERNORRLANDS LÄN</t>
        </is>
      </c>
      <c r="E126" t="inlineStr">
        <is>
          <t>SOLLEFTEÅ</t>
        </is>
      </c>
      <c r="F126" t="inlineStr">
        <is>
          <t>SCA</t>
        </is>
      </c>
      <c r="G126" t="n">
        <v>2.2</v>
      </c>
      <c r="H126" t="n">
        <v>2</v>
      </c>
      <c r="I126" t="n">
        <v>1</v>
      </c>
      <c r="J126" t="n">
        <v>4</v>
      </c>
      <c r="K126" t="n">
        <v>2</v>
      </c>
      <c r="L126" t="n">
        <v>0</v>
      </c>
      <c r="M126" t="n">
        <v>0</v>
      </c>
      <c r="N126" t="n">
        <v>0</v>
      </c>
      <c r="O126" t="n">
        <v>6</v>
      </c>
      <c r="P126" t="n">
        <v>2</v>
      </c>
      <c r="Q126" t="n">
        <v>7</v>
      </c>
      <c r="R126" s="2" t="inlineStr">
        <is>
          <t>Knärot
Rynkskinn
Garnlav
Rosenticka
Talltita
Ullticka
Vedticka</t>
        </is>
      </c>
      <c r="S126">
        <f>HYPERLINK("https://klasma.github.io/Logging_2283/artfynd/A 29101-2024 artfynd.xlsx", "A 29101-2024")</f>
        <v/>
      </c>
      <c r="T126">
        <f>HYPERLINK("https://klasma.github.io/Logging_2283/kartor/A 29101-2024 karta.png", "A 29101-2024")</f>
        <v/>
      </c>
      <c r="U126">
        <f>HYPERLINK("https://klasma.github.io/Logging_2283/knärot/A 29101-2024 karta knärot.png", "A 29101-2024")</f>
        <v/>
      </c>
      <c r="V126">
        <f>HYPERLINK("https://klasma.github.io/Logging_2283/klagomål/A 29101-2024 FSC-klagomål.docx", "A 29101-2024")</f>
        <v/>
      </c>
      <c r="W126">
        <f>HYPERLINK("https://klasma.github.io/Logging_2283/klagomålsmail/A 29101-2024 FSC-klagomål mail.docx", "A 29101-2024")</f>
        <v/>
      </c>
      <c r="X126">
        <f>HYPERLINK("https://klasma.github.io/Logging_2283/tillsyn/A 29101-2024 tillsynsbegäran.docx", "A 29101-2024")</f>
        <v/>
      </c>
      <c r="Y126">
        <f>HYPERLINK("https://klasma.github.io/Logging_2283/tillsynsmail/A 29101-2024 tillsynsbegäran mail.docx", "A 29101-2024")</f>
        <v/>
      </c>
      <c r="Z126">
        <f>HYPERLINK("https://klasma.github.io/Logging_2283/fåglar/A 29101-2024 prioriterade fågelarter.docx", "A 29101-2024")</f>
        <v/>
      </c>
    </row>
    <row r="127" ht="15" customHeight="1">
      <c r="A127" t="inlineStr">
        <is>
          <t>A 36499-2024</t>
        </is>
      </c>
      <c r="B127" s="1" t="n">
        <v>45537</v>
      </c>
      <c r="C127" s="1" t="n">
        <v>45723</v>
      </c>
      <c r="D127" t="inlineStr">
        <is>
          <t>VÄSTERNORRLANDS LÄN</t>
        </is>
      </c>
      <c r="E127" t="inlineStr">
        <is>
          <t>SOLLEFTEÅ</t>
        </is>
      </c>
      <c r="F127" t="inlineStr">
        <is>
          <t>SCA</t>
        </is>
      </c>
      <c r="G127" t="n">
        <v>18.2</v>
      </c>
      <c r="H127" t="n">
        <v>5</v>
      </c>
      <c r="I127" t="n">
        <v>0</v>
      </c>
      <c r="J127" t="n">
        <v>4</v>
      </c>
      <c r="K127" t="n">
        <v>2</v>
      </c>
      <c r="L127" t="n">
        <v>0</v>
      </c>
      <c r="M127" t="n">
        <v>0</v>
      </c>
      <c r="N127" t="n">
        <v>0</v>
      </c>
      <c r="O127" t="n">
        <v>6</v>
      </c>
      <c r="P127" t="n">
        <v>2</v>
      </c>
      <c r="Q127" t="n">
        <v>7</v>
      </c>
      <c r="R127" s="2" t="inlineStr">
        <is>
          <t>Doftticka
Knärot
Garnlav
Lunglav
Talltita
Tretåig hackspett
Tjäder</t>
        </is>
      </c>
      <c r="S127">
        <f>HYPERLINK("https://klasma.github.io/Logging_2283/artfynd/A 36499-2024 artfynd.xlsx", "A 36499-2024")</f>
        <v/>
      </c>
      <c r="T127">
        <f>HYPERLINK("https://klasma.github.io/Logging_2283/kartor/A 36499-2024 karta.png", "A 36499-2024")</f>
        <v/>
      </c>
      <c r="U127">
        <f>HYPERLINK("https://klasma.github.io/Logging_2283/knärot/A 36499-2024 karta knärot.png", "A 36499-2024")</f>
        <v/>
      </c>
      <c r="V127">
        <f>HYPERLINK("https://klasma.github.io/Logging_2283/klagomål/A 36499-2024 FSC-klagomål.docx", "A 36499-2024")</f>
        <v/>
      </c>
      <c r="W127">
        <f>HYPERLINK("https://klasma.github.io/Logging_2283/klagomålsmail/A 36499-2024 FSC-klagomål mail.docx", "A 36499-2024")</f>
        <v/>
      </c>
      <c r="X127">
        <f>HYPERLINK("https://klasma.github.io/Logging_2283/tillsyn/A 36499-2024 tillsynsbegäran.docx", "A 36499-2024")</f>
        <v/>
      </c>
      <c r="Y127">
        <f>HYPERLINK("https://klasma.github.io/Logging_2283/tillsynsmail/A 36499-2024 tillsynsbegäran mail.docx", "A 36499-2024")</f>
        <v/>
      </c>
      <c r="Z127">
        <f>HYPERLINK("https://klasma.github.io/Logging_2283/fåglar/A 36499-2024 prioriterade fågelarter.docx", "A 36499-2024")</f>
        <v/>
      </c>
    </row>
    <row r="128" ht="15" customHeight="1">
      <c r="A128" t="inlineStr">
        <is>
          <t>A 41506-2024</t>
        </is>
      </c>
      <c r="B128" s="1" t="n">
        <v>45560</v>
      </c>
      <c r="C128" s="1" t="n">
        <v>45723</v>
      </c>
      <c r="D128" t="inlineStr">
        <is>
          <t>VÄSTERNORRLANDS LÄN</t>
        </is>
      </c>
      <c r="E128" t="inlineStr">
        <is>
          <t>SOLLEFTEÅ</t>
        </is>
      </c>
      <c r="F128" t="inlineStr">
        <is>
          <t>SCA</t>
        </is>
      </c>
      <c r="G128" t="n">
        <v>8.1</v>
      </c>
      <c r="H128" t="n">
        <v>3</v>
      </c>
      <c r="I128" t="n">
        <v>0</v>
      </c>
      <c r="J128" t="n">
        <v>5</v>
      </c>
      <c r="K128" t="n">
        <v>1</v>
      </c>
      <c r="L128" t="n">
        <v>0</v>
      </c>
      <c r="M128" t="n">
        <v>0</v>
      </c>
      <c r="N128" t="n">
        <v>0</v>
      </c>
      <c r="O128" t="n">
        <v>6</v>
      </c>
      <c r="P128" t="n">
        <v>1</v>
      </c>
      <c r="Q128" t="n">
        <v>7</v>
      </c>
      <c r="R128" s="2" t="inlineStr">
        <is>
          <t>Knärot
Garnlav
Kolflarnlav
Lunglav
Tretåig hackspett
Ullticka
Revlummer</t>
        </is>
      </c>
      <c r="S128">
        <f>HYPERLINK("https://klasma.github.io/Logging_2283/artfynd/A 41506-2024 artfynd.xlsx", "A 41506-2024")</f>
        <v/>
      </c>
      <c r="T128">
        <f>HYPERLINK("https://klasma.github.io/Logging_2283/kartor/A 41506-2024 karta.png", "A 41506-2024")</f>
        <v/>
      </c>
      <c r="U128">
        <f>HYPERLINK("https://klasma.github.io/Logging_2283/knärot/A 41506-2024 karta knärot.png", "A 41506-2024")</f>
        <v/>
      </c>
      <c r="V128">
        <f>HYPERLINK("https://klasma.github.io/Logging_2283/klagomål/A 41506-2024 FSC-klagomål.docx", "A 41506-2024")</f>
        <v/>
      </c>
      <c r="W128">
        <f>HYPERLINK("https://klasma.github.io/Logging_2283/klagomålsmail/A 41506-2024 FSC-klagomål mail.docx", "A 41506-2024")</f>
        <v/>
      </c>
      <c r="X128">
        <f>HYPERLINK("https://klasma.github.io/Logging_2283/tillsyn/A 41506-2024 tillsynsbegäran.docx", "A 41506-2024")</f>
        <v/>
      </c>
      <c r="Y128">
        <f>HYPERLINK("https://klasma.github.io/Logging_2283/tillsynsmail/A 41506-2024 tillsynsbegäran mail.docx", "A 41506-2024")</f>
        <v/>
      </c>
      <c r="Z128">
        <f>HYPERLINK("https://klasma.github.io/Logging_2283/fåglar/A 41506-2024 prioriterade fågelarter.docx", "A 41506-2024")</f>
        <v/>
      </c>
    </row>
    <row r="129" ht="15" customHeight="1">
      <c r="A129" t="inlineStr">
        <is>
          <t>A 41666-2024</t>
        </is>
      </c>
      <c r="B129" s="1" t="n">
        <v>45560</v>
      </c>
      <c r="C129" s="1" t="n">
        <v>45723</v>
      </c>
      <c r="D129" t="inlineStr">
        <is>
          <t>VÄSTERNORRLANDS LÄN</t>
        </is>
      </c>
      <c r="E129" t="inlineStr">
        <is>
          <t>SOLLEFTEÅ</t>
        </is>
      </c>
      <c r="G129" t="n">
        <v>1</v>
      </c>
      <c r="H129" t="n">
        <v>1</v>
      </c>
      <c r="I129" t="n">
        <v>1</v>
      </c>
      <c r="J129" t="n">
        <v>4</v>
      </c>
      <c r="K129" t="n">
        <v>1</v>
      </c>
      <c r="L129" t="n">
        <v>0</v>
      </c>
      <c r="M129" t="n">
        <v>0</v>
      </c>
      <c r="N129" t="n">
        <v>0</v>
      </c>
      <c r="O129" t="n">
        <v>5</v>
      </c>
      <c r="P129" t="n">
        <v>1</v>
      </c>
      <c r="Q129" t="n">
        <v>7</v>
      </c>
      <c r="R129" s="2" t="inlineStr">
        <is>
          <t>Rynkskinn
Granticka
Lunglav
Rosenticka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43289-2024</t>
        </is>
      </c>
      <c r="B130" s="1" t="n">
        <v>45568</v>
      </c>
      <c r="C130" s="1" t="n">
        <v>45723</v>
      </c>
      <c r="D130" t="inlineStr">
        <is>
          <t>VÄSTERNORRLANDS LÄN</t>
        </is>
      </c>
      <c r="E130" t="inlineStr">
        <is>
          <t>SOLLEFTEÅ</t>
        </is>
      </c>
      <c r="F130" t="inlineStr">
        <is>
          <t>Kommuner</t>
        </is>
      </c>
      <c r="G130" t="n">
        <v>3.4</v>
      </c>
      <c r="H130" t="n">
        <v>2</v>
      </c>
      <c r="I130" t="n">
        <v>1</v>
      </c>
      <c r="J130" t="n">
        <v>5</v>
      </c>
      <c r="K130" t="n">
        <v>1</v>
      </c>
      <c r="L130" t="n">
        <v>0</v>
      </c>
      <c r="M130" t="n">
        <v>0</v>
      </c>
      <c r="N130" t="n">
        <v>0</v>
      </c>
      <c r="O130" t="n">
        <v>6</v>
      </c>
      <c r="P130" t="n">
        <v>1</v>
      </c>
      <c r="Q130" t="n">
        <v>7</v>
      </c>
      <c r="R130" s="2" t="inlineStr">
        <is>
          <t>Knärot
Garnlav
Granticka
Kolflarnlav
Svart taggsvamp
Tretåig hackspett
Dropptaggsvamp</t>
        </is>
      </c>
      <c r="S130">
        <f>HYPERLINK("https://klasma.github.io/Logging_2283/artfynd/A 43289-2024 artfynd.xlsx", "A 43289-2024")</f>
        <v/>
      </c>
      <c r="T130">
        <f>HYPERLINK("https://klasma.github.io/Logging_2283/kartor/A 43289-2024 karta.png", "A 43289-2024")</f>
        <v/>
      </c>
      <c r="U130">
        <f>HYPERLINK("https://klasma.github.io/Logging_2283/knärot/A 43289-2024 karta knärot.png", "A 43289-2024")</f>
        <v/>
      </c>
      <c r="V130">
        <f>HYPERLINK("https://klasma.github.io/Logging_2283/klagomål/A 43289-2024 FSC-klagomål.docx", "A 43289-2024")</f>
        <v/>
      </c>
      <c r="W130">
        <f>HYPERLINK("https://klasma.github.io/Logging_2283/klagomålsmail/A 43289-2024 FSC-klagomål mail.docx", "A 43289-2024")</f>
        <v/>
      </c>
      <c r="X130">
        <f>HYPERLINK("https://klasma.github.io/Logging_2283/tillsyn/A 43289-2024 tillsynsbegäran.docx", "A 43289-2024")</f>
        <v/>
      </c>
      <c r="Y130">
        <f>HYPERLINK("https://klasma.github.io/Logging_2283/tillsynsmail/A 43289-2024 tillsynsbegäran mail.docx", "A 43289-2024")</f>
        <v/>
      </c>
      <c r="Z130">
        <f>HYPERLINK("https://klasma.github.io/Logging_2283/fåglar/A 43289-2024 prioriterade fågelarter.docx", "A 43289-2024")</f>
        <v/>
      </c>
    </row>
    <row r="131" ht="15" customHeight="1">
      <c r="A131" t="inlineStr">
        <is>
          <t>A 59982-2024</t>
        </is>
      </c>
      <c r="B131" s="1" t="n">
        <v>45642</v>
      </c>
      <c r="C131" s="1" t="n">
        <v>45723</v>
      </c>
      <c r="D131" t="inlineStr">
        <is>
          <t>VÄSTERNORRLANDS LÄN</t>
        </is>
      </c>
      <c r="E131" t="inlineStr">
        <is>
          <t>SOLLEFTEÅ</t>
        </is>
      </c>
      <c r="G131" t="n">
        <v>12.1</v>
      </c>
      <c r="H131" t="n">
        <v>3</v>
      </c>
      <c r="I131" t="n">
        <v>2</v>
      </c>
      <c r="J131" t="n">
        <v>3</v>
      </c>
      <c r="K131" t="n">
        <v>1</v>
      </c>
      <c r="L131" t="n">
        <v>0</v>
      </c>
      <c r="M131" t="n">
        <v>0</v>
      </c>
      <c r="N131" t="n">
        <v>0</v>
      </c>
      <c r="O131" t="n">
        <v>4</v>
      </c>
      <c r="P131" t="n">
        <v>1</v>
      </c>
      <c r="Q131" t="n">
        <v>7</v>
      </c>
      <c r="R131" s="2" t="inlineStr">
        <is>
          <t>Knärot
Garnlav
Rosenticka
Ullticka
Korallrot
Vedticka
Fläcknycklar</t>
        </is>
      </c>
      <c r="S131">
        <f>HYPERLINK("https://klasma.github.io/Logging_2283/artfynd/A 59982-2024 artfynd.xlsx", "A 59982-2024")</f>
        <v/>
      </c>
      <c r="T131">
        <f>HYPERLINK("https://klasma.github.io/Logging_2283/kartor/A 59982-2024 karta.png", "A 59982-2024")</f>
        <v/>
      </c>
      <c r="U131">
        <f>HYPERLINK("https://klasma.github.io/Logging_2283/knärot/A 59982-2024 karta knärot.png", "A 59982-2024")</f>
        <v/>
      </c>
      <c r="V131">
        <f>HYPERLINK("https://klasma.github.io/Logging_2283/klagomål/A 59982-2024 FSC-klagomål.docx", "A 59982-2024")</f>
        <v/>
      </c>
      <c r="W131">
        <f>HYPERLINK("https://klasma.github.io/Logging_2283/klagomålsmail/A 59982-2024 FSC-klagomål mail.docx", "A 59982-2024")</f>
        <v/>
      </c>
      <c r="X131">
        <f>HYPERLINK("https://klasma.github.io/Logging_2283/tillsyn/A 59982-2024 tillsynsbegäran.docx", "A 59982-2024")</f>
        <v/>
      </c>
      <c r="Y131">
        <f>HYPERLINK("https://klasma.github.io/Logging_2283/tillsynsmail/A 59982-2024 tillsynsbegäran mail.docx", "A 59982-2024")</f>
        <v/>
      </c>
    </row>
    <row r="132" ht="15" customHeight="1">
      <c r="A132" t="inlineStr">
        <is>
          <t>A 60956-2024</t>
        </is>
      </c>
      <c r="B132" s="1" t="n">
        <v>45645</v>
      </c>
      <c r="C132" s="1" t="n">
        <v>45723</v>
      </c>
      <c r="D132" t="inlineStr">
        <is>
          <t>VÄSTERNORRLANDS LÄN</t>
        </is>
      </c>
      <c r="E132" t="inlineStr">
        <is>
          <t>SOLLEFTEÅ</t>
        </is>
      </c>
      <c r="F132" t="inlineStr">
        <is>
          <t>SCA</t>
        </is>
      </c>
      <c r="G132" t="n">
        <v>14</v>
      </c>
      <c r="H132" t="n">
        <v>2</v>
      </c>
      <c r="I132" t="n">
        <v>2</v>
      </c>
      <c r="J132" t="n">
        <v>5</v>
      </c>
      <c r="K132" t="n">
        <v>0</v>
      </c>
      <c r="L132" t="n">
        <v>0</v>
      </c>
      <c r="M132" t="n">
        <v>0</v>
      </c>
      <c r="N132" t="n">
        <v>0</v>
      </c>
      <c r="O132" t="n">
        <v>5</v>
      </c>
      <c r="P132" t="n">
        <v>0</v>
      </c>
      <c r="Q132" t="n">
        <v>7</v>
      </c>
      <c r="R132" s="2" t="inlineStr">
        <is>
          <t>Garnlav
Lunglav
Talltita
Tretåig hackspett
Ullticka
Korallblylav
Skinnlav</t>
        </is>
      </c>
      <c r="S132">
        <f>HYPERLINK("https://klasma.github.io/Logging_2283/artfynd/A 60956-2024 artfynd.xlsx", "A 60956-2024")</f>
        <v/>
      </c>
      <c r="T132">
        <f>HYPERLINK("https://klasma.github.io/Logging_2283/kartor/A 60956-2024 karta.png", "A 60956-2024")</f>
        <v/>
      </c>
      <c r="V132">
        <f>HYPERLINK("https://klasma.github.io/Logging_2283/klagomål/A 60956-2024 FSC-klagomål.docx", "A 60956-2024")</f>
        <v/>
      </c>
      <c r="W132">
        <f>HYPERLINK("https://klasma.github.io/Logging_2283/klagomålsmail/A 60956-2024 FSC-klagomål mail.docx", "A 60956-2024")</f>
        <v/>
      </c>
      <c r="X132">
        <f>HYPERLINK("https://klasma.github.io/Logging_2283/tillsyn/A 60956-2024 tillsynsbegäran.docx", "A 60956-2024")</f>
        <v/>
      </c>
      <c r="Y132">
        <f>HYPERLINK("https://klasma.github.io/Logging_2283/tillsynsmail/A 60956-2024 tillsynsbegäran mail.docx", "A 60956-2024")</f>
        <v/>
      </c>
      <c r="Z132">
        <f>HYPERLINK("https://klasma.github.io/Logging_2283/fåglar/A 60956-2024 prioriterade fågelarter.docx", "A 60956-2024")</f>
        <v/>
      </c>
    </row>
    <row r="133" ht="15" customHeight="1">
      <c r="A133" t="inlineStr">
        <is>
          <t>A 26633-2019</t>
        </is>
      </c>
      <c r="B133" s="1" t="n">
        <v>43612</v>
      </c>
      <c r="C133" s="1" t="n">
        <v>45723</v>
      </c>
      <c r="D133" t="inlineStr">
        <is>
          <t>VÄSTERNORRLANDS LÄN</t>
        </is>
      </c>
      <c r="E133" t="inlineStr">
        <is>
          <t>SOLLEFTEÅ</t>
        </is>
      </c>
      <c r="F133" t="inlineStr">
        <is>
          <t>SCA</t>
        </is>
      </c>
      <c r="G133" t="n">
        <v>20.5</v>
      </c>
      <c r="H133" t="n">
        <v>1</v>
      </c>
      <c r="I133" t="n">
        <v>1</v>
      </c>
      <c r="J133" t="n">
        <v>5</v>
      </c>
      <c r="K133" t="n">
        <v>0</v>
      </c>
      <c r="L133" t="n">
        <v>0</v>
      </c>
      <c r="M133" t="n">
        <v>0</v>
      </c>
      <c r="N133" t="n">
        <v>0</v>
      </c>
      <c r="O133" t="n">
        <v>5</v>
      </c>
      <c r="P133" t="n">
        <v>0</v>
      </c>
      <c r="Q133" t="n">
        <v>6</v>
      </c>
      <c r="R133" s="2" t="inlineStr">
        <is>
          <t>Grantaggsvamp
Knölgrynna
Slät tallkapuschongbagge
Tallriska
Tretåig hackspett
Dropptaggsvamp</t>
        </is>
      </c>
      <c r="S133">
        <f>HYPERLINK("https://klasma.github.io/Logging_2283/artfynd/A 26633-2019 artfynd.xlsx", "A 26633-2019")</f>
        <v/>
      </c>
      <c r="T133">
        <f>HYPERLINK("https://klasma.github.io/Logging_2283/kartor/A 26633-2019 karta.png", "A 26633-2019")</f>
        <v/>
      </c>
      <c r="V133">
        <f>HYPERLINK("https://klasma.github.io/Logging_2283/klagomål/A 26633-2019 FSC-klagomål.docx", "A 26633-2019")</f>
        <v/>
      </c>
      <c r="W133">
        <f>HYPERLINK("https://klasma.github.io/Logging_2283/klagomålsmail/A 26633-2019 FSC-klagomål mail.docx", "A 26633-2019")</f>
        <v/>
      </c>
      <c r="X133">
        <f>HYPERLINK("https://klasma.github.io/Logging_2283/tillsyn/A 26633-2019 tillsynsbegäran.docx", "A 26633-2019")</f>
        <v/>
      </c>
      <c r="Y133">
        <f>HYPERLINK("https://klasma.github.io/Logging_2283/tillsynsmail/A 26633-2019 tillsynsbegäran mail.docx", "A 26633-2019")</f>
        <v/>
      </c>
      <c r="Z133">
        <f>HYPERLINK("https://klasma.github.io/Logging_2283/fåglar/A 26633-2019 prioriterade fågelarter.docx", "A 26633-2019")</f>
        <v/>
      </c>
    </row>
    <row r="134" ht="15" customHeight="1">
      <c r="A134" t="inlineStr">
        <is>
          <t>A 59075-2019</t>
        </is>
      </c>
      <c r="B134" s="1" t="n">
        <v>43774</v>
      </c>
      <c r="C134" s="1" t="n">
        <v>45723</v>
      </c>
      <c r="D134" t="inlineStr">
        <is>
          <t>VÄSTERNORRLANDS LÄN</t>
        </is>
      </c>
      <c r="E134" t="inlineStr">
        <is>
          <t>SOLLEFTEÅ</t>
        </is>
      </c>
      <c r="G134" t="n">
        <v>1.6</v>
      </c>
      <c r="H134" t="n">
        <v>2</v>
      </c>
      <c r="I134" t="n">
        <v>2</v>
      </c>
      <c r="J134" t="n">
        <v>3</v>
      </c>
      <c r="K134" t="n">
        <v>0</v>
      </c>
      <c r="L134" t="n">
        <v>0</v>
      </c>
      <c r="M134" t="n">
        <v>0</v>
      </c>
      <c r="N134" t="n">
        <v>0</v>
      </c>
      <c r="O134" t="n">
        <v>3</v>
      </c>
      <c r="P134" t="n">
        <v>0</v>
      </c>
      <c r="Q134" t="n">
        <v>6</v>
      </c>
      <c r="R134" s="2" t="inlineStr">
        <is>
          <t>Lunglav
Mindre hackspett
Rosenticka
Skinnlav
Svart trolldruva
Revlummer</t>
        </is>
      </c>
      <c r="S134">
        <f>HYPERLINK("https://klasma.github.io/Logging_2283/artfynd/A 59075-2019 artfynd.xlsx", "A 59075-2019")</f>
        <v/>
      </c>
      <c r="T134">
        <f>HYPERLINK("https://klasma.github.io/Logging_2283/kartor/A 59075-2019 karta.png", "A 59075-2019")</f>
        <v/>
      </c>
      <c r="V134">
        <f>HYPERLINK("https://klasma.github.io/Logging_2283/klagomål/A 59075-2019 FSC-klagomål.docx", "A 59075-2019")</f>
        <v/>
      </c>
      <c r="W134">
        <f>HYPERLINK("https://klasma.github.io/Logging_2283/klagomålsmail/A 59075-2019 FSC-klagomål mail.docx", "A 59075-2019")</f>
        <v/>
      </c>
      <c r="X134">
        <f>HYPERLINK("https://klasma.github.io/Logging_2283/tillsyn/A 59075-2019 tillsynsbegäran.docx", "A 59075-2019")</f>
        <v/>
      </c>
      <c r="Y134">
        <f>HYPERLINK("https://klasma.github.io/Logging_2283/tillsynsmail/A 59075-2019 tillsynsbegäran mail.docx", "A 59075-2019")</f>
        <v/>
      </c>
      <c r="Z134">
        <f>HYPERLINK("https://klasma.github.io/Logging_2283/fåglar/A 59075-2019 prioriterade fågelarter.docx", "A 59075-2019")</f>
        <v/>
      </c>
    </row>
    <row r="135" ht="15" customHeight="1">
      <c r="A135" t="inlineStr">
        <is>
          <t>A 4528-2022</t>
        </is>
      </c>
      <c r="B135" s="1" t="n">
        <v>44589</v>
      </c>
      <c r="C135" s="1" t="n">
        <v>45723</v>
      </c>
      <c r="D135" t="inlineStr">
        <is>
          <t>VÄSTERNORRLANDS LÄN</t>
        </is>
      </c>
      <c r="E135" t="inlineStr">
        <is>
          <t>SOLLEFTEÅ</t>
        </is>
      </c>
      <c r="G135" t="n">
        <v>2.6</v>
      </c>
      <c r="H135" t="n">
        <v>2</v>
      </c>
      <c r="I135" t="n">
        <v>1</v>
      </c>
      <c r="J135" t="n">
        <v>4</v>
      </c>
      <c r="K135" t="n">
        <v>0</v>
      </c>
      <c r="L135" t="n">
        <v>0</v>
      </c>
      <c r="M135" t="n">
        <v>0</v>
      </c>
      <c r="N135" t="n">
        <v>0</v>
      </c>
      <c r="O135" t="n">
        <v>4</v>
      </c>
      <c r="P135" t="n">
        <v>0</v>
      </c>
      <c r="Q135" t="n">
        <v>6</v>
      </c>
      <c r="R135" s="2" t="inlineStr">
        <is>
          <t>Garnlav
Tallticka
Tretåig hackspett
Ullticka
Vedticka
Revlummer</t>
        </is>
      </c>
      <c r="S135">
        <f>HYPERLINK("https://klasma.github.io/Logging_2283/artfynd/A 4528-2022 artfynd.xlsx", "A 4528-2022")</f>
        <v/>
      </c>
      <c r="T135">
        <f>HYPERLINK("https://klasma.github.io/Logging_2283/kartor/A 4528-2022 karta.png", "A 4528-2022")</f>
        <v/>
      </c>
      <c r="V135">
        <f>HYPERLINK("https://klasma.github.io/Logging_2283/klagomål/A 4528-2022 FSC-klagomål.docx", "A 4528-2022")</f>
        <v/>
      </c>
      <c r="W135">
        <f>HYPERLINK("https://klasma.github.io/Logging_2283/klagomålsmail/A 4528-2022 FSC-klagomål mail.docx", "A 4528-2022")</f>
        <v/>
      </c>
      <c r="X135">
        <f>HYPERLINK("https://klasma.github.io/Logging_2283/tillsyn/A 4528-2022 tillsynsbegäran.docx", "A 4528-2022")</f>
        <v/>
      </c>
      <c r="Y135">
        <f>HYPERLINK("https://klasma.github.io/Logging_2283/tillsynsmail/A 4528-2022 tillsynsbegäran mail.docx", "A 4528-2022")</f>
        <v/>
      </c>
      <c r="Z135">
        <f>HYPERLINK("https://klasma.github.io/Logging_2283/fåglar/A 4528-2022 prioriterade fågelarter.docx", "A 4528-2022")</f>
        <v/>
      </c>
    </row>
    <row r="136" ht="15" customHeight="1">
      <c r="A136" t="inlineStr">
        <is>
          <t>A 16087-2022</t>
        </is>
      </c>
      <c r="B136" s="1" t="n">
        <v>44665</v>
      </c>
      <c r="C136" s="1" t="n">
        <v>45723</v>
      </c>
      <c r="D136" t="inlineStr">
        <is>
          <t>VÄSTERNORRLANDS LÄN</t>
        </is>
      </c>
      <c r="E136" t="inlineStr">
        <is>
          <t>SOLLEFTEÅ</t>
        </is>
      </c>
      <c r="F136" t="inlineStr">
        <is>
          <t>Holmen skog AB</t>
        </is>
      </c>
      <c r="G136" t="n">
        <v>7.5</v>
      </c>
      <c r="H136" t="n">
        <v>0</v>
      </c>
      <c r="I136" t="n">
        <v>1</v>
      </c>
      <c r="J136" t="n">
        <v>3</v>
      </c>
      <c r="K136" t="n">
        <v>2</v>
      </c>
      <c r="L136" t="n">
        <v>0</v>
      </c>
      <c r="M136" t="n">
        <v>0</v>
      </c>
      <c r="N136" t="n">
        <v>0</v>
      </c>
      <c r="O136" t="n">
        <v>5</v>
      </c>
      <c r="P136" t="n">
        <v>2</v>
      </c>
      <c r="Q136" t="n">
        <v>6</v>
      </c>
      <c r="R136" s="2" t="inlineStr">
        <is>
          <t>Bitter taggsvamp
Goliatmusseron
Blå taggsvamp
Orange taggsvamp
Skrovlig taggsvamp
Skarp dropptaggsvamp</t>
        </is>
      </c>
      <c r="S136">
        <f>HYPERLINK("https://klasma.github.io/Logging_2283/artfynd/A 16087-2022 artfynd.xlsx", "A 16087-2022")</f>
        <v/>
      </c>
      <c r="T136">
        <f>HYPERLINK("https://klasma.github.io/Logging_2283/kartor/A 16087-2022 karta.png", "A 16087-2022")</f>
        <v/>
      </c>
      <c r="V136">
        <f>HYPERLINK("https://klasma.github.io/Logging_2283/klagomål/A 16087-2022 FSC-klagomål.docx", "A 16087-2022")</f>
        <v/>
      </c>
      <c r="W136">
        <f>HYPERLINK("https://klasma.github.io/Logging_2283/klagomålsmail/A 16087-2022 FSC-klagomål mail.docx", "A 16087-2022")</f>
        <v/>
      </c>
      <c r="X136">
        <f>HYPERLINK("https://klasma.github.io/Logging_2283/tillsyn/A 16087-2022 tillsynsbegäran.docx", "A 16087-2022")</f>
        <v/>
      </c>
      <c r="Y136">
        <f>HYPERLINK("https://klasma.github.io/Logging_2283/tillsynsmail/A 16087-2022 tillsynsbegäran mail.docx", "A 16087-2022")</f>
        <v/>
      </c>
    </row>
    <row r="137" ht="15" customHeight="1">
      <c r="A137" t="inlineStr">
        <is>
          <t>A 24887-2022</t>
        </is>
      </c>
      <c r="B137" s="1" t="n">
        <v>44728</v>
      </c>
      <c r="C137" s="1" t="n">
        <v>45723</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26594-2022</t>
        </is>
      </c>
      <c r="B138" s="1" t="n">
        <v>44739</v>
      </c>
      <c r="C138" s="1" t="n">
        <v>45723</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61377-2022</t>
        </is>
      </c>
      <c r="B139" s="1" t="n">
        <v>44915</v>
      </c>
      <c r="C139" s="1" t="n">
        <v>45723</v>
      </c>
      <c r="D139" t="inlineStr">
        <is>
          <t>VÄSTERNORRLANDS LÄN</t>
        </is>
      </c>
      <c r="E139" t="inlineStr">
        <is>
          <t>SOLLEFTEÅ</t>
        </is>
      </c>
      <c r="G139" t="n">
        <v>10.5</v>
      </c>
      <c r="H139" t="n">
        <v>0</v>
      </c>
      <c r="I139" t="n">
        <v>1</v>
      </c>
      <c r="J139" t="n">
        <v>5</v>
      </c>
      <c r="K139" t="n">
        <v>0</v>
      </c>
      <c r="L139" t="n">
        <v>0</v>
      </c>
      <c r="M139" t="n">
        <v>0</v>
      </c>
      <c r="N139" t="n">
        <v>0</v>
      </c>
      <c r="O139" t="n">
        <v>5</v>
      </c>
      <c r="P139" t="n">
        <v>0</v>
      </c>
      <c r="Q139" t="n">
        <v>6</v>
      </c>
      <c r="R139" s="2" t="inlineStr">
        <is>
          <t>Gammelgransskål
Garnlav
Granticka
Lunglav
Stjärntagging
Spädstarr</t>
        </is>
      </c>
      <c r="S139">
        <f>HYPERLINK("https://klasma.github.io/Logging_2283/artfynd/A 61377-2022 artfynd.xlsx", "A 61377-2022")</f>
        <v/>
      </c>
      <c r="T139">
        <f>HYPERLINK("https://klasma.github.io/Logging_2283/kartor/A 61377-2022 karta.png", "A 61377-2022")</f>
        <v/>
      </c>
      <c r="V139">
        <f>HYPERLINK("https://klasma.github.io/Logging_2283/klagomål/A 61377-2022 FSC-klagomål.docx", "A 61377-2022")</f>
        <v/>
      </c>
      <c r="W139">
        <f>HYPERLINK("https://klasma.github.io/Logging_2283/klagomålsmail/A 61377-2022 FSC-klagomål mail.docx", "A 61377-2022")</f>
        <v/>
      </c>
      <c r="X139">
        <f>HYPERLINK("https://klasma.github.io/Logging_2283/tillsyn/A 61377-2022 tillsynsbegäran.docx", "A 61377-2022")</f>
        <v/>
      </c>
      <c r="Y139">
        <f>HYPERLINK("https://klasma.github.io/Logging_2283/tillsynsmail/A 61377-2022 tillsynsbegäran mail.docx", "A 61377-2022")</f>
        <v/>
      </c>
    </row>
    <row r="140" ht="15" customHeight="1">
      <c r="A140" t="inlineStr">
        <is>
          <t>A 14860-2023</t>
        </is>
      </c>
      <c r="B140" s="1" t="n">
        <v>45015</v>
      </c>
      <c r="C140" s="1" t="n">
        <v>45723</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39198-2023</t>
        </is>
      </c>
      <c r="B141" s="1" t="n">
        <v>45166</v>
      </c>
      <c r="C141" s="1" t="n">
        <v>45723</v>
      </c>
      <c r="D141" t="inlineStr">
        <is>
          <t>VÄSTERNORRLANDS LÄN</t>
        </is>
      </c>
      <c r="E141" t="inlineStr">
        <is>
          <t>SOLLEFTEÅ</t>
        </is>
      </c>
      <c r="G141" t="n">
        <v>11</v>
      </c>
      <c r="H141" t="n">
        <v>0</v>
      </c>
      <c r="I141" t="n">
        <v>2</v>
      </c>
      <c r="J141" t="n">
        <v>4</v>
      </c>
      <c r="K141" t="n">
        <v>0</v>
      </c>
      <c r="L141" t="n">
        <v>0</v>
      </c>
      <c r="M141" t="n">
        <v>0</v>
      </c>
      <c r="N141" t="n">
        <v>0</v>
      </c>
      <c r="O141" t="n">
        <v>4</v>
      </c>
      <c r="P141" t="n">
        <v>0</v>
      </c>
      <c r="Q141" t="n">
        <v>6</v>
      </c>
      <c r="R141" s="2" t="inlineStr">
        <is>
          <t>Garnlav
Lunglav
Rosenticka
Ullticka
Stor aspticka
Vedticka</t>
        </is>
      </c>
      <c r="S141">
        <f>HYPERLINK("https://klasma.github.io/Logging_2283/artfynd/A 39198-2023 artfynd.xlsx", "A 39198-2023")</f>
        <v/>
      </c>
      <c r="T141">
        <f>HYPERLINK("https://klasma.github.io/Logging_2283/kartor/A 39198-2023 karta.png", "A 39198-2023")</f>
        <v/>
      </c>
      <c r="U141">
        <f>HYPERLINK("https://klasma.github.io/Logging_2283/knärot/A 39198-2023 karta knärot.png", "A 39198-2023")</f>
        <v/>
      </c>
      <c r="V141">
        <f>HYPERLINK("https://klasma.github.io/Logging_2283/klagomål/A 39198-2023 FSC-klagomål.docx", "A 39198-2023")</f>
        <v/>
      </c>
      <c r="W141">
        <f>HYPERLINK("https://klasma.github.io/Logging_2283/klagomålsmail/A 39198-2023 FSC-klagomål mail.docx", "A 39198-2023")</f>
        <v/>
      </c>
      <c r="X141">
        <f>HYPERLINK("https://klasma.github.io/Logging_2283/tillsyn/A 39198-2023 tillsynsbegäran.docx", "A 39198-2023")</f>
        <v/>
      </c>
      <c r="Y141">
        <f>HYPERLINK("https://klasma.github.io/Logging_2283/tillsynsmail/A 39198-2023 tillsynsbegäran mail.docx", "A 39198-2023")</f>
        <v/>
      </c>
    </row>
    <row r="142" ht="15" customHeight="1">
      <c r="A142" t="inlineStr">
        <is>
          <t>A 40420-2023</t>
        </is>
      </c>
      <c r="B142" s="1" t="n">
        <v>45169</v>
      </c>
      <c r="C142" s="1" t="n">
        <v>45723</v>
      </c>
      <c r="D142" t="inlineStr">
        <is>
          <t>VÄSTERNORRLANDS LÄN</t>
        </is>
      </c>
      <c r="E142" t="inlineStr">
        <is>
          <t>SOLLEFTEÅ</t>
        </is>
      </c>
      <c r="F142" t="inlineStr">
        <is>
          <t>SCA</t>
        </is>
      </c>
      <c r="G142" t="n">
        <v>10</v>
      </c>
      <c r="H142" t="n">
        <v>2</v>
      </c>
      <c r="I142" t="n">
        <v>0</v>
      </c>
      <c r="J142" t="n">
        <v>3</v>
      </c>
      <c r="K142" t="n">
        <v>2</v>
      </c>
      <c r="L142" t="n">
        <v>0</v>
      </c>
      <c r="M142" t="n">
        <v>0</v>
      </c>
      <c r="N142" t="n">
        <v>0</v>
      </c>
      <c r="O142" t="n">
        <v>5</v>
      </c>
      <c r="P142" t="n">
        <v>2</v>
      </c>
      <c r="Q142" t="n">
        <v>6</v>
      </c>
      <c r="R142" s="2" t="inlineStr">
        <is>
          <t>Knärot
Rynkskinn
Lunglav
Rosenticka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40417-2023</t>
        </is>
      </c>
      <c r="B143" s="1" t="n">
        <v>45169</v>
      </c>
      <c r="C143" s="1" t="n">
        <v>45723</v>
      </c>
      <c r="D143" t="inlineStr">
        <is>
          <t>VÄSTERNORRLANDS LÄN</t>
        </is>
      </c>
      <c r="E143" t="inlineStr">
        <is>
          <t>SOLLEFTEÅ</t>
        </is>
      </c>
      <c r="F143" t="inlineStr">
        <is>
          <t>SCA</t>
        </is>
      </c>
      <c r="G143" t="n">
        <v>10.6</v>
      </c>
      <c r="H143" t="n">
        <v>2</v>
      </c>
      <c r="I143" t="n">
        <v>0</v>
      </c>
      <c r="J143" t="n">
        <v>4</v>
      </c>
      <c r="K143" t="n">
        <v>1</v>
      </c>
      <c r="L143" t="n">
        <v>0</v>
      </c>
      <c r="M143" t="n">
        <v>0</v>
      </c>
      <c r="N143" t="n">
        <v>0</v>
      </c>
      <c r="O143" t="n">
        <v>5</v>
      </c>
      <c r="P143" t="n">
        <v>1</v>
      </c>
      <c r="Q143" t="n">
        <v>6</v>
      </c>
      <c r="R143" s="2" t="inlineStr">
        <is>
          <t>Knärot
Kolflarnlav
Lunglav
Motaggsvamp
Mörk kolflarnlav
Tjäder</t>
        </is>
      </c>
      <c r="S143">
        <f>HYPERLINK("https://klasma.github.io/Logging_2283/artfynd/A 40417-2023 artfynd.xlsx", "A 40417-2023")</f>
        <v/>
      </c>
      <c r="T143">
        <f>HYPERLINK("https://klasma.github.io/Logging_2283/kartor/A 40417-2023 karta.png", "A 40417-2023")</f>
        <v/>
      </c>
      <c r="U143">
        <f>HYPERLINK("https://klasma.github.io/Logging_2283/knärot/A 40417-2023 karta knärot.png", "A 40417-2023")</f>
        <v/>
      </c>
      <c r="V143">
        <f>HYPERLINK("https://klasma.github.io/Logging_2283/klagomål/A 40417-2023 FSC-klagomål.docx", "A 40417-2023")</f>
        <v/>
      </c>
      <c r="W143">
        <f>HYPERLINK("https://klasma.github.io/Logging_2283/klagomålsmail/A 40417-2023 FSC-klagomål mail.docx", "A 40417-2023")</f>
        <v/>
      </c>
      <c r="X143">
        <f>HYPERLINK("https://klasma.github.io/Logging_2283/tillsyn/A 40417-2023 tillsynsbegäran.docx", "A 40417-2023")</f>
        <v/>
      </c>
      <c r="Y143">
        <f>HYPERLINK("https://klasma.github.io/Logging_2283/tillsynsmail/A 40417-2023 tillsynsbegäran mail.docx", "A 40417-2023")</f>
        <v/>
      </c>
      <c r="Z143">
        <f>HYPERLINK("https://klasma.github.io/Logging_2283/fåglar/A 40417-2023 prioriterade fågelarter.docx", "A 40417-2023")</f>
        <v/>
      </c>
    </row>
    <row r="144" ht="15" customHeight="1">
      <c r="A144" t="inlineStr">
        <is>
          <t>A 2068-2024</t>
        </is>
      </c>
      <c r="B144" s="1" t="n">
        <v>45308</v>
      </c>
      <c r="C144" s="1" t="n">
        <v>45723</v>
      </c>
      <c r="D144" t="inlineStr">
        <is>
          <t>VÄSTERNORRLANDS LÄN</t>
        </is>
      </c>
      <c r="E144" t="inlineStr">
        <is>
          <t>SOLLEFTEÅ</t>
        </is>
      </c>
      <c r="F144" t="inlineStr">
        <is>
          <t>SCA</t>
        </is>
      </c>
      <c r="G144" t="n">
        <v>5.7</v>
      </c>
      <c r="H144" t="n">
        <v>1</v>
      </c>
      <c r="I144" t="n">
        <v>2</v>
      </c>
      <c r="J144" t="n">
        <v>4</v>
      </c>
      <c r="K144" t="n">
        <v>0</v>
      </c>
      <c r="L144" t="n">
        <v>0</v>
      </c>
      <c r="M144" t="n">
        <v>0</v>
      </c>
      <c r="N144" t="n">
        <v>0</v>
      </c>
      <c r="O144" t="n">
        <v>4</v>
      </c>
      <c r="P144" t="n">
        <v>0</v>
      </c>
      <c r="Q144" t="n">
        <v>6</v>
      </c>
      <c r="R144" s="2" t="inlineStr">
        <is>
          <t>Garnlav
Lunglav
Tretåig hackspett
Ullticka
Bollvitmossa
Bårdlav</t>
        </is>
      </c>
      <c r="S144">
        <f>HYPERLINK("https://klasma.github.io/Logging_2283/artfynd/A 2068-2024 artfynd.xlsx", "A 2068-2024")</f>
        <v/>
      </c>
      <c r="T144">
        <f>HYPERLINK("https://klasma.github.io/Logging_2283/kartor/A 2068-2024 karta.png", "A 2068-2024")</f>
        <v/>
      </c>
      <c r="V144">
        <f>HYPERLINK("https://klasma.github.io/Logging_2283/klagomål/A 2068-2024 FSC-klagomål.docx", "A 2068-2024")</f>
        <v/>
      </c>
      <c r="W144">
        <f>HYPERLINK("https://klasma.github.io/Logging_2283/klagomålsmail/A 2068-2024 FSC-klagomål mail.docx", "A 2068-2024")</f>
        <v/>
      </c>
      <c r="X144">
        <f>HYPERLINK("https://klasma.github.io/Logging_2283/tillsyn/A 2068-2024 tillsynsbegäran.docx", "A 2068-2024")</f>
        <v/>
      </c>
      <c r="Y144">
        <f>HYPERLINK("https://klasma.github.io/Logging_2283/tillsynsmail/A 2068-2024 tillsynsbegäran mail.docx", "A 2068-2024")</f>
        <v/>
      </c>
      <c r="Z144">
        <f>HYPERLINK("https://klasma.github.io/Logging_2283/fåglar/A 2068-2024 prioriterade fågelarter.docx", "A 2068-2024")</f>
        <v/>
      </c>
    </row>
    <row r="145" ht="15" customHeight="1">
      <c r="A145" t="inlineStr">
        <is>
          <t>A 7114-2024</t>
        </is>
      </c>
      <c r="B145" s="1" t="n">
        <v>45343</v>
      </c>
      <c r="C145" s="1" t="n">
        <v>45723</v>
      </c>
      <c r="D145" t="inlineStr">
        <is>
          <t>VÄSTERNORRLANDS LÄN</t>
        </is>
      </c>
      <c r="E145" t="inlineStr">
        <is>
          <t>SOLLEFTEÅ</t>
        </is>
      </c>
      <c r="F145" t="inlineStr">
        <is>
          <t>SCA</t>
        </is>
      </c>
      <c r="G145" t="n">
        <v>2.9</v>
      </c>
      <c r="H145" t="n">
        <v>3</v>
      </c>
      <c r="I145" t="n">
        <v>0</v>
      </c>
      <c r="J145" t="n">
        <v>6</v>
      </c>
      <c r="K145" t="n">
        <v>0</v>
      </c>
      <c r="L145" t="n">
        <v>0</v>
      </c>
      <c r="M145" t="n">
        <v>0</v>
      </c>
      <c r="N145" t="n">
        <v>0</v>
      </c>
      <c r="O145" t="n">
        <v>6</v>
      </c>
      <c r="P145" t="n">
        <v>0</v>
      </c>
      <c r="Q145" t="n">
        <v>6</v>
      </c>
      <c r="R145" s="2" t="inlineStr">
        <is>
          <t>Garnlav
Järpe
Rosenticka
Spillkråka
Tretåig hackspett
Ullticka</t>
        </is>
      </c>
      <c r="S145">
        <f>HYPERLINK("https://klasma.github.io/Logging_2283/artfynd/A 7114-2024 artfynd.xlsx", "A 7114-2024")</f>
        <v/>
      </c>
      <c r="T145">
        <f>HYPERLINK("https://klasma.github.io/Logging_2283/kartor/A 7114-2024 karta.png", "A 7114-2024")</f>
        <v/>
      </c>
      <c r="V145">
        <f>HYPERLINK("https://klasma.github.io/Logging_2283/klagomål/A 7114-2024 FSC-klagomål.docx", "A 7114-2024")</f>
        <v/>
      </c>
      <c r="W145">
        <f>HYPERLINK("https://klasma.github.io/Logging_2283/klagomålsmail/A 7114-2024 FSC-klagomål mail.docx", "A 7114-2024")</f>
        <v/>
      </c>
      <c r="X145">
        <f>HYPERLINK("https://klasma.github.io/Logging_2283/tillsyn/A 7114-2024 tillsynsbegäran.docx", "A 7114-2024")</f>
        <v/>
      </c>
      <c r="Y145">
        <f>HYPERLINK("https://klasma.github.io/Logging_2283/tillsynsmail/A 7114-2024 tillsynsbegäran mail.docx", "A 7114-2024")</f>
        <v/>
      </c>
      <c r="Z145">
        <f>HYPERLINK("https://klasma.github.io/Logging_2283/fåglar/A 7114-2024 prioriterade fågelarter.docx", "A 7114-2024")</f>
        <v/>
      </c>
    </row>
    <row r="146" ht="15" customHeight="1">
      <c r="A146" t="inlineStr">
        <is>
          <t>A 11552-2024</t>
        </is>
      </c>
      <c r="B146" s="1" t="n">
        <v>45372</v>
      </c>
      <c r="C146" s="1" t="n">
        <v>45723</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29250-2024</t>
        </is>
      </c>
      <c r="B147" s="1" t="n">
        <v>45482</v>
      </c>
      <c r="C147" s="1" t="n">
        <v>45723</v>
      </c>
      <c r="D147" t="inlineStr">
        <is>
          <t>VÄSTERNORRLANDS LÄN</t>
        </is>
      </c>
      <c r="E147" t="inlineStr">
        <is>
          <t>SOLLEFTEÅ</t>
        </is>
      </c>
      <c r="F147" t="inlineStr">
        <is>
          <t>SCA</t>
        </is>
      </c>
      <c r="G147" t="n">
        <v>14.4</v>
      </c>
      <c r="H147" t="n">
        <v>4</v>
      </c>
      <c r="I147" t="n">
        <v>1</v>
      </c>
      <c r="J147" t="n">
        <v>4</v>
      </c>
      <c r="K147" t="n">
        <v>1</v>
      </c>
      <c r="L147" t="n">
        <v>0</v>
      </c>
      <c r="M147" t="n">
        <v>0</v>
      </c>
      <c r="N147" t="n">
        <v>0</v>
      </c>
      <c r="O147" t="n">
        <v>5</v>
      </c>
      <c r="P147" t="n">
        <v>1</v>
      </c>
      <c r="Q147" t="n">
        <v>6</v>
      </c>
      <c r="R147" s="2" t="inlineStr">
        <is>
          <t>Knärot
Granticka
Harticka
Järpe
Tretåig hackspett
Lappranunkel</t>
        </is>
      </c>
      <c r="S147">
        <f>HYPERLINK("https://klasma.github.io/Logging_2283/artfynd/A 29250-2024 artfynd.xlsx", "A 29250-2024")</f>
        <v/>
      </c>
      <c r="T147">
        <f>HYPERLINK("https://klasma.github.io/Logging_2283/kartor/A 29250-2024 karta.png", "A 29250-2024")</f>
        <v/>
      </c>
      <c r="U147">
        <f>HYPERLINK("https://klasma.github.io/Logging_2283/knärot/A 29250-2024 karta knärot.png", "A 29250-2024")</f>
        <v/>
      </c>
      <c r="V147">
        <f>HYPERLINK("https://klasma.github.io/Logging_2283/klagomål/A 29250-2024 FSC-klagomål.docx", "A 29250-2024")</f>
        <v/>
      </c>
      <c r="W147">
        <f>HYPERLINK("https://klasma.github.io/Logging_2283/klagomålsmail/A 29250-2024 FSC-klagomål mail.docx", "A 29250-2024")</f>
        <v/>
      </c>
      <c r="X147">
        <f>HYPERLINK("https://klasma.github.io/Logging_2283/tillsyn/A 29250-2024 tillsynsbegäran.docx", "A 29250-2024")</f>
        <v/>
      </c>
      <c r="Y147">
        <f>HYPERLINK("https://klasma.github.io/Logging_2283/tillsynsmail/A 29250-2024 tillsynsbegäran mail.docx", "A 29250-2024")</f>
        <v/>
      </c>
      <c r="Z147">
        <f>HYPERLINK("https://klasma.github.io/Logging_2283/fåglar/A 29250-2024 prioriterade fågelarter.docx", "A 29250-2024")</f>
        <v/>
      </c>
    </row>
    <row r="148" ht="15" customHeight="1">
      <c r="A148" t="inlineStr">
        <is>
          <t>A 31885-2024</t>
        </is>
      </c>
      <c r="B148" s="1" t="n">
        <v>45510</v>
      </c>
      <c r="C148" s="1" t="n">
        <v>45723</v>
      </c>
      <c r="D148" t="inlineStr">
        <is>
          <t>VÄSTERNORRLANDS LÄN</t>
        </is>
      </c>
      <c r="E148" t="inlineStr">
        <is>
          <t>SOLLEFTEÅ</t>
        </is>
      </c>
      <c r="F148" t="inlineStr">
        <is>
          <t>SCA</t>
        </is>
      </c>
      <c r="G148" t="n">
        <v>4.1</v>
      </c>
      <c r="H148" t="n">
        <v>3</v>
      </c>
      <c r="I148" t="n">
        <v>1</v>
      </c>
      <c r="J148" t="n">
        <v>4</v>
      </c>
      <c r="K148" t="n">
        <v>1</v>
      </c>
      <c r="L148" t="n">
        <v>0</v>
      </c>
      <c r="M148" t="n">
        <v>0</v>
      </c>
      <c r="N148" t="n">
        <v>0</v>
      </c>
      <c r="O148" t="n">
        <v>5</v>
      </c>
      <c r="P148" t="n">
        <v>1</v>
      </c>
      <c r="Q148" t="n">
        <v>6</v>
      </c>
      <c r="R148" s="2" t="inlineStr">
        <is>
          <t>Knärot
Garnlav
Lunglav
Spillkråka
Talltita
Luddlav</t>
        </is>
      </c>
      <c r="S148">
        <f>HYPERLINK("https://klasma.github.io/Logging_2283/artfynd/A 31885-2024 artfynd.xlsx", "A 31885-2024")</f>
        <v/>
      </c>
      <c r="T148">
        <f>HYPERLINK("https://klasma.github.io/Logging_2283/kartor/A 31885-2024 karta.png", "A 31885-2024")</f>
        <v/>
      </c>
      <c r="U148">
        <f>HYPERLINK("https://klasma.github.io/Logging_2283/knärot/A 31885-2024 karta knärot.png", "A 31885-2024")</f>
        <v/>
      </c>
      <c r="V148">
        <f>HYPERLINK("https://klasma.github.io/Logging_2283/klagomål/A 31885-2024 FSC-klagomål.docx", "A 31885-2024")</f>
        <v/>
      </c>
      <c r="W148">
        <f>HYPERLINK("https://klasma.github.io/Logging_2283/klagomålsmail/A 31885-2024 FSC-klagomål mail.docx", "A 31885-2024")</f>
        <v/>
      </c>
      <c r="X148">
        <f>HYPERLINK("https://klasma.github.io/Logging_2283/tillsyn/A 31885-2024 tillsynsbegäran.docx", "A 31885-2024")</f>
        <v/>
      </c>
      <c r="Y148">
        <f>HYPERLINK("https://klasma.github.io/Logging_2283/tillsynsmail/A 31885-2024 tillsynsbegäran mail.docx", "A 31885-2024")</f>
        <v/>
      </c>
      <c r="Z148">
        <f>HYPERLINK("https://klasma.github.io/Logging_2283/fåglar/A 31885-2024 prioriterade fågelarter.docx", "A 31885-2024")</f>
        <v/>
      </c>
    </row>
    <row r="149" ht="15" customHeight="1">
      <c r="A149" t="inlineStr">
        <is>
          <t>A 32448-2024</t>
        </is>
      </c>
      <c r="B149" s="1" t="n">
        <v>45512</v>
      </c>
      <c r="C149" s="1" t="n">
        <v>45723</v>
      </c>
      <c r="D149" t="inlineStr">
        <is>
          <t>VÄSTERNORRLANDS LÄN</t>
        </is>
      </c>
      <c r="E149" t="inlineStr">
        <is>
          <t>SOLLEFTEÅ</t>
        </is>
      </c>
      <c r="F149" t="inlineStr">
        <is>
          <t>SCA</t>
        </is>
      </c>
      <c r="G149" t="n">
        <v>6</v>
      </c>
      <c r="H149" t="n">
        <v>1</v>
      </c>
      <c r="I149" t="n">
        <v>1</v>
      </c>
      <c r="J149" t="n">
        <v>3</v>
      </c>
      <c r="K149" t="n">
        <v>1</v>
      </c>
      <c r="L149" t="n">
        <v>0</v>
      </c>
      <c r="M149" t="n">
        <v>0</v>
      </c>
      <c r="N149" t="n">
        <v>0</v>
      </c>
      <c r="O149" t="n">
        <v>4</v>
      </c>
      <c r="P149" t="n">
        <v>1</v>
      </c>
      <c r="Q149" t="n">
        <v>6</v>
      </c>
      <c r="R149" s="2" t="inlineStr">
        <is>
          <t>Rynkskinn
Garnlav
Rosenticka
Ullticka
Vedticka
Revlummer</t>
        </is>
      </c>
      <c r="S149">
        <f>HYPERLINK("https://klasma.github.io/Logging_2283/artfynd/A 32448-2024 artfynd.xlsx", "A 32448-2024")</f>
        <v/>
      </c>
      <c r="T149">
        <f>HYPERLINK("https://klasma.github.io/Logging_2283/kartor/A 32448-2024 karta.png", "A 32448-2024")</f>
        <v/>
      </c>
      <c r="V149">
        <f>HYPERLINK("https://klasma.github.io/Logging_2283/klagomål/A 32448-2024 FSC-klagomål.docx", "A 32448-2024")</f>
        <v/>
      </c>
      <c r="W149">
        <f>HYPERLINK("https://klasma.github.io/Logging_2283/klagomålsmail/A 32448-2024 FSC-klagomål mail.docx", "A 32448-2024")</f>
        <v/>
      </c>
      <c r="X149">
        <f>HYPERLINK("https://klasma.github.io/Logging_2283/tillsyn/A 32448-2024 tillsynsbegäran.docx", "A 32448-2024")</f>
        <v/>
      </c>
      <c r="Y149">
        <f>HYPERLINK("https://klasma.github.io/Logging_2283/tillsynsmail/A 32448-2024 tillsynsbegäran mail.docx", "A 32448-2024")</f>
        <v/>
      </c>
    </row>
    <row r="150" ht="15" customHeight="1">
      <c r="A150" t="inlineStr">
        <is>
          <t>A 35406-2024</t>
        </is>
      </c>
      <c r="B150" s="1" t="n">
        <v>45531</v>
      </c>
      <c r="C150" s="1" t="n">
        <v>45723</v>
      </c>
      <c r="D150" t="inlineStr">
        <is>
          <t>VÄSTERNORRLANDS LÄN</t>
        </is>
      </c>
      <c r="E150" t="inlineStr">
        <is>
          <t>SOLLEFTEÅ</t>
        </is>
      </c>
      <c r="F150" t="inlineStr">
        <is>
          <t>SCA</t>
        </is>
      </c>
      <c r="G150" t="n">
        <v>3.5</v>
      </c>
      <c r="H150" t="n">
        <v>0</v>
      </c>
      <c r="I150" t="n">
        <v>2</v>
      </c>
      <c r="J150" t="n">
        <v>4</v>
      </c>
      <c r="K150" t="n">
        <v>0</v>
      </c>
      <c r="L150" t="n">
        <v>0</v>
      </c>
      <c r="M150" t="n">
        <v>0</v>
      </c>
      <c r="N150" t="n">
        <v>0</v>
      </c>
      <c r="O150" t="n">
        <v>4</v>
      </c>
      <c r="P150" t="n">
        <v>0</v>
      </c>
      <c r="Q150" t="n">
        <v>6</v>
      </c>
      <c r="R150" s="2" t="inlineStr">
        <is>
          <t>Blå taggsvamp
Kolflarnlav
Orange taggsvamp
Skrovlig taggsvamp
Dropptaggsvamp
Skarp dropptaggsvamp</t>
        </is>
      </c>
      <c r="S150">
        <f>HYPERLINK("https://klasma.github.io/Logging_2283/artfynd/A 35406-2024 artfynd.xlsx", "A 35406-2024")</f>
        <v/>
      </c>
      <c r="T150">
        <f>HYPERLINK("https://klasma.github.io/Logging_2283/kartor/A 35406-2024 karta.png", "A 35406-2024")</f>
        <v/>
      </c>
      <c r="V150">
        <f>HYPERLINK("https://klasma.github.io/Logging_2283/klagomål/A 35406-2024 FSC-klagomål.docx", "A 35406-2024")</f>
        <v/>
      </c>
      <c r="W150">
        <f>HYPERLINK("https://klasma.github.io/Logging_2283/klagomålsmail/A 35406-2024 FSC-klagomål mail.docx", "A 35406-2024")</f>
        <v/>
      </c>
      <c r="X150">
        <f>HYPERLINK("https://klasma.github.io/Logging_2283/tillsyn/A 35406-2024 tillsynsbegäran.docx", "A 35406-2024")</f>
        <v/>
      </c>
      <c r="Y150">
        <f>HYPERLINK("https://klasma.github.io/Logging_2283/tillsynsmail/A 35406-2024 tillsynsbegäran mail.docx", "A 35406-2024")</f>
        <v/>
      </c>
    </row>
    <row r="151" ht="15" customHeight="1">
      <c r="A151" t="inlineStr">
        <is>
          <t>A 36470-2024</t>
        </is>
      </c>
      <c r="B151" s="1" t="n">
        <v>45537</v>
      </c>
      <c r="C151" s="1" t="n">
        <v>45723</v>
      </c>
      <c r="D151" t="inlineStr">
        <is>
          <t>VÄSTERNORRLANDS LÄN</t>
        </is>
      </c>
      <c r="E151" t="inlineStr">
        <is>
          <t>SOLLEFTEÅ</t>
        </is>
      </c>
      <c r="F151" t="inlineStr">
        <is>
          <t>SCA</t>
        </is>
      </c>
      <c r="G151" t="n">
        <v>10.3</v>
      </c>
      <c r="H151" t="n">
        <v>3</v>
      </c>
      <c r="I151" t="n">
        <v>0</v>
      </c>
      <c r="J151" t="n">
        <v>6</v>
      </c>
      <c r="K151" t="n">
        <v>0</v>
      </c>
      <c r="L151" t="n">
        <v>0</v>
      </c>
      <c r="M151" t="n">
        <v>0</v>
      </c>
      <c r="N151" t="n">
        <v>0</v>
      </c>
      <c r="O151" t="n">
        <v>6</v>
      </c>
      <c r="P151" t="n">
        <v>0</v>
      </c>
      <c r="Q151" t="n">
        <v>6</v>
      </c>
      <c r="R151" s="2" t="inlineStr">
        <is>
          <t>Gammelgransskål
Granticka
Harticka
Spillkråka
Talltita
Tretåig hackspett</t>
        </is>
      </c>
      <c r="S151">
        <f>HYPERLINK("https://klasma.github.io/Logging_2283/artfynd/A 36470-2024 artfynd.xlsx", "A 36470-2024")</f>
        <v/>
      </c>
      <c r="T151">
        <f>HYPERLINK("https://klasma.github.io/Logging_2283/kartor/A 36470-2024 karta.png", "A 36470-2024")</f>
        <v/>
      </c>
      <c r="V151">
        <f>HYPERLINK("https://klasma.github.io/Logging_2283/klagomål/A 36470-2024 FSC-klagomål.docx", "A 36470-2024")</f>
        <v/>
      </c>
      <c r="W151">
        <f>HYPERLINK("https://klasma.github.io/Logging_2283/klagomålsmail/A 36470-2024 FSC-klagomål mail.docx", "A 36470-2024")</f>
        <v/>
      </c>
      <c r="X151">
        <f>HYPERLINK("https://klasma.github.io/Logging_2283/tillsyn/A 36470-2024 tillsynsbegäran.docx", "A 36470-2024")</f>
        <v/>
      </c>
      <c r="Y151">
        <f>HYPERLINK("https://klasma.github.io/Logging_2283/tillsynsmail/A 36470-2024 tillsynsbegäran mail.docx", "A 36470-2024")</f>
        <v/>
      </c>
      <c r="Z151">
        <f>HYPERLINK("https://klasma.github.io/Logging_2283/fåglar/A 36470-2024 prioriterade fågelarter.docx", "A 36470-2024")</f>
        <v/>
      </c>
    </row>
    <row r="152" ht="15" customHeight="1">
      <c r="A152" t="inlineStr">
        <is>
          <t>A 40094-2024</t>
        </is>
      </c>
      <c r="B152" s="1" t="n">
        <v>45554</v>
      </c>
      <c r="C152" s="1" t="n">
        <v>45723</v>
      </c>
      <c r="D152" t="inlineStr">
        <is>
          <t>VÄSTERNORRLANDS LÄN</t>
        </is>
      </c>
      <c r="E152" t="inlineStr">
        <is>
          <t>SOLLEFTEÅ</t>
        </is>
      </c>
      <c r="F152" t="inlineStr">
        <is>
          <t>SCA</t>
        </is>
      </c>
      <c r="G152" t="n">
        <v>7.9</v>
      </c>
      <c r="H152" t="n">
        <v>2</v>
      </c>
      <c r="I152" t="n">
        <v>0</v>
      </c>
      <c r="J152" t="n">
        <v>6</v>
      </c>
      <c r="K152" t="n">
        <v>0</v>
      </c>
      <c r="L152" t="n">
        <v>0</v>
      </c>
      <c r="M152" t="n">
        <v>0</v>
      </c>
      <c r="N152" t="n">
        <v>0</v>
      </c>
      <c r="O152" t="n">
        <v>6</v>
      </c>
      <c r="P152" t="n">
        <v>0</v>
      </c>
      <c r="Q152" t="n">
        <v>6</v>
      </c>
      <c r="R152" s="2" t="inlineStr">
        <is>
          <t>Granticka
Lunglav
Skogshare
Skrovellav
Talltita
Tretåig hackspett</t>
        </is>
      </c>
      <c r="S152">
        <f>HYPERLINK("https://klasma.github.io/Logging_2283/artfynd/A 40094-2024 artfynd.xlsx", "A 40094-2024")</f>
        <v/>
      </c>
      <c r="T152">
        <f>HYPERLINK("https://klasma.github.io/Logging_2283/kartor/A 40094-2024 karta.png", "A 40094-2024")</f>
        <v/>
      </c>
      <c r="V152">
        <f>HYPERLINK("https://klasma.github.io/Logging_2283/klagomål/A 40094-2024 FSC-klagomål.docx", "A 40094-2024")</f>
        <v/>
      </c>
      <c r="W152">
        <f>HYPERLINK("https://klasma.github.io/Logging_2283/klagomålsmail/A 40094-2024 FSC-klagomål mail.docx", "A 40094-2024")</f>
        <v/>
      </c>
      <c r="X152">
        <f>HYPERLINK("https://klasma.github.io/Logging_2283/tillsyn/A 40094-2024 tillsynsbegäran.docx", "A 40094-2024")</f>
        <v/>
      </c>
      <c r="Y152">
        <f>HYPERLINK("https://klasma.github.io/Logging_2283/tillsynsmail/A 40094-2024 tillsynsbegäran mail.docx", "A 40094-2024")</f>
        <v/>
      </c>
      <c r="Z152">
        <f>HYPERLINK("https://klasma.github.io/Logging_2283/fåglar/A 40094-2024 prioriterade fågelarter.docx", "A 40094-2024")</f>
        <v/>
      </c>
    </row>
    <row r="153" ht="15" customHeight="1">
      <c r="A153" t="inlineStr">
        <is>
          <t>A 41788-2024</t>
        </is>
      </c>
      <c r="B153" s="1" t="n">
        <v>45561</v>
      </c>
      <c r="C153" s="1" t="n">
        <v>45723</v>
      </c>
      <c r="D153" t="inlineStr">
        <is>
          <t>VÄSTERNORRLANDS LÄN</t>
        </is>
      </c>
      <c r="E153" t="inlineStr">
        <is>
          <t>SOLLEFTEÅ</t>
        </is>
      </c>
      <c r="F153" t="inlineStr">
        <is>
          <t>SCA</t>
        </is>
      </c>
      <c r="G153" t="n">
        <v>4.1</v>
      </c>
      <c r="H153" t="n">
        <v>3</v>
      </c>
      <c r="I153" t="n">
        <v>1</v>
      </c>
      <c r="J153" t="n">
        <v>4</v>
      </c>
      <c r="K153" t="n">
        <v>1</v>
      </c>
      <c r="L153" t="n">
        <v>0</v>
      </c>
      <c r="M153" t="n">
        <v>0</v>
      </c>
      <c r="N153" t="n">
        <v>0</v>
      </c>
      <c r="O153" t="n">
        <v>5</v>
      </c>
      <c r="P153" t="n">
        <v>1</v>
      </c>
      <c r="Q153" t="n">
        <v>6</v>
      </c>
      <c r="R153" s="2" t="inlineStr">
        <is>
          <t>Knärot
Garnlav
Lunglav
Spillkråka
Talltita
Luddlav</t>
        </is>
      </c>
      <c r="S153">
        <f>HYPERLINK("https://klasma.github.io/Logging_2283/artfynd/A 41788-2024 artfynd.xlsx", "A 41788-2024")</f>
        <v/>
      </c>
      <c r="T153">
        <f>HYPERLINK("https://klasma.github.io/Logging_2283/kartor/A 41788-2024 karta.png", "A 41788-2024")</f>
        <v/>
      </c>
      <c r="U153">
        <f>HYPERLINK("https://klasma.github.io/Logging_2283/knärot/A 41788-2024 karta knärot.png", "A 41788-2024")</f>
        <v/>
      </c>
      <c r="V153">
        <f>HYPERLINK("https://klasma.github.io/Logging_2283/klagomål/A 41788-2024 FSC-klagomål.docx", "A 41788-2024")</f>
        <v/>
      </c>
      <c r="W153">
        <f>HYPERLINK("https://klasma.github.io/Logging_2283/klagomålsmail/A 41788-2024 FSC-klagomål mail.docx", "A 41788-2024")</f>
        <v/>
      </c>
      <c r="X153">
        <f>HYPERLINK("https://klasma.github.io/Logging_2283/tillsyn/A 41788-2024 tillsynsbegäran.docx", "A 41788-2024")</f>
        <v/>
      </c>
      <c r="Y153">
        <f>HYPERLINK("https://klasma.github.io/Logging_2283/tillsynsmail/A 41788-2024 tillsynsbegäran mail.docx", "A 41788-2024")</f>
        <v/>
      </c>
      <c r="Z153">
        <f>HYPERLINK("https://klasma.github.io/Logging_2283/fåglar/A 41788-2024 prioriterade fågelarter.docx", "A 41788-2024")</f>
        <v/>
      </c>
    </row>
    <row r="154" ht="15" customHeight="1">
      <c r="A154" t="inlineStr">
        <is>
          <t>A 52357-2024</t>
        </is>
      </c>
      <c r="B154" s="1" t="n">
        <v>45609</v>
      </c>
      <c r="C154" s="1" t="n">
        <v>45723</v>
      </c>
      <c r="D154" t="inlineStr">
        <is>
          <t>VÄSTERNORRLANDS LÄN</t>
        </is>
      </c>
      <c r="E154" t="inlineStr">
        <is>
          <t>SOLLEFTEÅ</t>
        </is>
      </c>
      <c r="F154" t="inlineStr">
        <is>
          <t>SCA</t>
        </is>
      </c>
      <c r="G154" t="n">
        <v>9</v>
      </c>
      <c r="H154" t="n">
        <v>0</v>
      </c>
      <c r="I154" t="n">
        <v>3</v>
      </c>
      <c r="J154" t="n">
        <v>2</v>
      </c>
      <c r="K154" t="n">
        <v>1</v>
      </c>
      <c r="L154" t="n">
        <v>0</v>
      </c>
      <c r="M154" t="n">
        <v>0</v>
      </c>
      <c r="N154" t="n">
        <v>0</v>
      </c>
      <c r="O154" t="n">
        <v>3</v>
      </c>
      <c r="P154" t="n">
        <v>1</v>
      </c>
      <c r="Q154" t="n">
        <v>6</v>
      </c>
      <c r="R154" s="2" t="inlineStr">
        <is>
          <t>Rynkskinn
Garnlav
Lunglav
Bårdlav
Mörk husmossa
Stuplav</t>
        </is>
      </c>
      <c r="S154">
        <f>HYPERLINK("https://klasma.github.io/Logging_2283/artfynd/A 52357-2024 artfynd.xlsx", "A 52357-2024")</f>
        <v/>
      </c>
      <c r="T154">
        <f>HYPERLINK("https://klasma.github.io/Logging_2283/kartor/A 52357-2024 karta.png", "A 52357-2024")</f>
        <v/>
      </c>
      <c r="V154">
        <f>HYPERLINK("https://klasma.github.io/Logging_2283/klagomål/A 52357-2024 FSC-klagomål.docx", "A 52357-2024")</f>
        <v/>
      </c>
      <c r="W154">
        <f>HYPERLINK("https://klasma.github.io/Logging_2283/klagomålsmail/A 52357-2024 FSC-klagomål mail.docx", "A 52357-2024")</f>
        <v/>
      </c>
      <c r="X154">
        <f>HYPERLINK("https://klasma.github.io/Logging_2283/tillsyn/A 52357-2024 tillsynsbegäran.docx", "A 52357-2024")</f>
        <v/>
      </c>
      <c r="Y154">
        <f>HYPERLINK("https://klasma.github.io/Logging_2283/tillsynsmail/A 52357-2024 tillsynsbegäran mail.docx", "A 52357-2024")</f>
        <v/>
      </c>
    </row>
    <row r="155" ht="15" customHeight="1">
      <c r="A155" t="inlineStr">
        <is>
          <t>A 53829-2024</t>
        </is>
      </c>
      <c r="B155" s="1" t="n">
        <v>45615</v>
      </c>
      <c r="C155" s="1" t="n">
        <v>45723</v>
      </c>
      <c r="D155" t="inlineStr">
        <is>
          <t>VÄSTERNORRLANDS LÄN</t>
        </is>
      </c>
      <c r="E155" t="inlineStr">
        <is>
          <t>SOLLEFTEÅ</t>
        </is>
      </c>
      <c r="F155" t="inlineStr">
        <is>
          <t>SCA</t>
        </is>
      </c>
      <c r="G155" t="n">
        <v>12</v>
      </c>
      <c r="H155" t="n">
        <v>0</v>
      </c>
      <c r="I155" t="n">
        <v>1</v>
      </c>
      <c r="J155" t="n">
        <v>5</v>
      </c>
      <c r="K155" t="n">
        <v>0</v>
      </c>
      <c r="L155" t="n">
        <v>0</v>
      </c>
      <c r="M155" t="n">
        <v>0</v>
      </c>
      <c r="N155" t="n">
        <v>0</v>
      </c>
      <c r="O155" t="n">
        <v>5</v>
      </c>
      <c r="P155" t="n">
        <v>0</v>
      </c>
      <c r="Q155" t="n">
        <v>6</v>
      </c>
      <c r="R155" s="2" t="inlineStr">
        <is>
          <t>Blå taggsvamp
Granticka
Lunglav
Orange taggsvamp
Tallticka
Dropptaggsvamp</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57791-2024</t>
        </is>
      </c>
      <c r="B156" s="1" t="n">
        <v>45631</v>
      </c>
      <c r="C156" s="1" t="n">
        <v>45723</v>
      </c>
      <c r="D156" t="inlineStr">
        <is>
          <t>VÄSTERNORRLANDS LÄN</t>
        </is>
      </c>
      <c r="E156" t="inlineStr">
        <is>
          <t>SOLLEFTEÅ</t>
        </is>
      </c>
      <c r="G156" t="n">
        <v>4.9</v>
      </c>
      <c r="H156" t="n">
        <v>2</v>
      </c>
      <c r="I156" t="n">
        <v>2</v>
      </c>
      <c r="J156" t="n">
        <v>2</v>
      </c>
      <c r="K156" t="n">
        <v>1</v>
      </c>
      <c r="L156" t="n">
        <v>0</v>
      </c>
      <c r="M156" t="n">
        <v>0</v>
      </c>
      <c r="N156" t="n">
        <v>0</v>
      </c>
      <c r="O156" t="n">
        <v>3</v>
      </c>
      <c r="P156" t="n">
        <v>1</v>
      </c>
      <c r="Q156" t="n">
        <v>6</v>
      </c>
      <c r="R156" s="2" t="inlineStr">
        <is>
          <t>Knärot
Rosenticka
Ullticka
Gytterlav
Vedticka
Fläcknycklar</t>
        </is>
      </c>
      <c r="S156">
        <f>HYPERLINK("https://klasma.github.io/Logging_2283/artfynd/A 57791-2024 artfynd.xlsx", "A 57791-2024")</f>
        <v/>
      </c>
      <c r="T156">
        <f>HYPERLINK("https://klasma.github.io/Logging_2283/kartor/A 57791-2024 karta.png", "A 57791-2024")</f>
        <v/>
      </c>
      <c r="U156">
        <f>HYPERLINK("https://klasma.github.io/Logging_2283/knärot/A 57791-2024 karta knärot.png", "A 57791-2024")</f>
        <v/>
      </c>
      <c r="V156">
        <f>HYPERLINK("https://klasma.github.io/Logging_2283/klagomål/A 57791-2024 FSC-klagomål.docx", "A 57791-2024")</f>
        <v/>
      </c>
      <c r="W156">
        <f>HYPERLINK("https://klasma.github.io/Logging_2283/klagomålsmail/A 57791-2024 FSC-klagomål mail.docx", "A 57791-2024")</f>
        <v/>
      </c>
      <c r="X156">
        <f>HYPERLINK("https://klasma.github.io/Logging_2283/tillsyn/A 57791-2024 tillsynsbegäran.docx", "A 57791-2024")</f>
        <v/>
      </c>
      <c r="Y156">
        <f>HYPERLINK("https://klasma.github.io/Logging_2283/tillsynsmail/A 57791-2024 tillsynsbegäran mail.docx", "A 57791-2024")</f>
        <v/>
      </c>
    </row>
    <row r="157" ht="15" customHeight="1">
      <c r="A157" t="inlineStr">
        <is>
          <t>A 61323-2024</t>
        </is>
      </c>
      <c r="B157" s="1" t="n">
        <v>45646</v>
      </c>
      <c r="C157" s="1" t="n">
        <v>45723</v>
      </c>
      <c r="D157" t="inlineStr">
        <is>
          <t>VÄSTERNORRLANDS LÄN</t>
        </is>
      </c>
      <c r="E157" t="inlineStr">
        <is>
          <t>SOLLEFTEÅ</t>
        </is>
      </c>
      <c r="F157" t="inlineStr">
        <is>
          <t>SCA</t>
        </is>
      </c>
      <c r="G157" t="n">
        <v>5.2</v>
      </c>
      <c r="H157" t="n">
        <v>0</v>
      </c>
      <c r="I157" t="n">
        <v>0</v>
      </c>
      <c r="J157" t="n">
        <v>5</v>
      </c>
      <c r="K157" t="n">
        <v>1</v>
      </c>
      <c r="L157" t="n">
        <v>0</v>
      </c>
      <c r="M157" t="n">
        <v>0</v>
      </c>
      <c r="N157" t="n">
        <v>0</v>
      </c>
      <c r="O157" t="n">
        <v>6</v>
      </c>
      <c r="P157" t="n">
        <v>1</v>
      </c>
      <c r="Q157" t="n">
        <v>6</v>
      </c>
      <c r="R157" s="2" t="inlineStr">
        <is>
          <t>Ulltickeporing
Garnlav
Harticka
Rosenticka
Ullticka
Vitgrynig nållav</t>
        </is>
      </c>
      <c r="S157">
        <f>HYPERLINK("https://klasma.github.io/Logging_2283/artfynd/A 61323-2024 artfynd.xlsx", "A 61323-2024")</f>
        <v/>
      </c>
      <c r="T157">
        <f>HYPERLINK("https://klasma.github.io/Logging_2283/kartor/A 61323-2024 karta.png", "A 61323-2024")</f>
        <v/>
      </c>
      <c r="V157">
        <f>HYPERLINK("https://klasma.github.io/Logging_2283/klagomål/A 61323-2024 FSC-klagomål.docx", "A 61323-2024")</f>
        <v/>
      </c>
      <c r="W157">
        <f>HYPERLINK("https://klasma.github.io/Logging_2283/klagomålsmail/A 61323-2024 FSC-klagomål mail.docx", "A 61323-2024")</f>
        <v/>
      </c>
      <c r="X157">
        <f>HYPERLINK("https://klasma.github.io/Logging_2283/tillsyn/A 61323-2024 tillsynsbegäran.docx", "A 61323-2024")</f>
        <v/>
      </c>
      <c r="Y157">
        <f>HYPERLINK("https://klasma.github.io/Logging_2283/tillsynsmail/A 61323-2024 tillsynsbegäran mail.docx", "A 61323-2024")</f>
        <v/>
      </c>
    </row>
    <row r="158" ht="15" customHeight="1">
      <c r="A158" t="inlineStr">
        <is>
          <t>A 61541-2024</t>
        </is>
      </c>
      <c r="B158" s="1" t="n">
        <v>45646</v>
      </c>
      <c r="C158" s="1" t="n">
        <v>45723</v>
      </c>
      <c r="D158" t="inlineStr">
        <is>
          <t>VÄSTERNORRLANDS LÄN</t>
        </is>
      </c>
      <c r="E158" t="inlineStr">
        <is>
          <t>SOLLEFTEÅ</t>
        </is>
      </c>
      <c r="F158" t="inlineStr">
        <is>
          <t>SCA</t>
        </is>
      </c>
      <c r="G158" t="n">
        <v>6.8</v>
      </c>
      <c r="H158" t="n">
        <v>1</v>
      </c>
      <c r="I158" t="n">
        <v>0</v>
      </c>
      <c r="J158" t="n">
        <v>6</v>
      </c>
      <c r="K158" t="n">
        <v>0</v>
      </c>
      <c r="L158" t="n">
        <v>0</v>
      </c>
      <c r="M158" t="n">
        <v>0</v>
      </c>
      <c r="N158" t="n">
        <v>0</v>
      </c>
      <c r="O158" t="n">
        <v>6</v>
      </c>
      <c r="P158" t="n">
        <v>0</v>
      </c>
      <c r="Q158" t="n">
        <v>6</v>
      </c>
      <c r="R158" s="2" t="inlineStr">
        <is>
          <t>Gammelgransskål
Garnlav
Skogshare
Tretåig hackspett
Ullticka
Vitgrynig nållav</t>
        </is>
      </c>
      <c r="S158">
        <f>HYPERLINK("https://klasma.github.io/Logging_2283/artfynd/A 61541-2024 artfynd.xlsx", "A 61541-2024")</f>
        <v/>
      </c>
      <c r="T158">
        <f>HYPERLINK("https://klasma.github.io/Logging_2283/kartor/A 61541-2024 karta.png", "A 61541-2024")</f>
        <v/>
      </c>
      <c r="V158">
        <f>HYPERLINK("https://klasma.github.io/Logging_2283/klagomål/A 61541-2024 FSC-klagomål.docx", "A 61541-2024")</f>
        <v/>
      </c>
      <c r="W158">
        <f>HYPERLINK("https://klasma.github.io/Logging_2283/klagomålsmail/A 61541-2024 FSC-klagomål mail.docx", "A 61541-2024")</f>
        <v/>
      </c>
      <c r="X158">
        <f>HYPERLINK("https://klasma.github.io/Logging_2283/tillsyn/A 61541-2024 tillsynsbegäran.docx", "A 61541-2024")</f>
        <v/>
      </c>
      <c r="Y158">
        <f>HYPERLINK("https://klasma.github.io/Logging_2283/tillsynsmail/A 61541-2024 tillsynsbegäran mail.docx", "A 61541-2024")</f>
        <v/>
      </c>
      <c r="Z158">
        <f>HYPERLINK("https://klasma.github.io/Logging_2283/fåglar/A 61541-2024 prioriterade fågelarter.docx", "A 61541-2024")</f>
        <v/>
      </c>
    </row>
    <row r="159" ht="15" customHeight="1">
      <c r="A159" t="inlineStr">
        <is>
          <t>A 4827-2025</t>
        </is>
      </c>
      <c r="B159" s="1" t="n">
        <v>45688</v>
      </c>
      <c r="C159" s="1" t="n">
        <v>45723</v>
      </c>
      <c r="D159" t="inlineStr">
        <is>
          <t>VÄSTERNORRLANDS LÄN</t>
        </is>
      </c>
      <c r="E159" t="inlineStr">
        <is>
          <t>SOLLEFTEÅ</t>
        </is>
      </c>
      <c r="G159" t="n">
        <v>33</v>
      </c>
      <c r="H159" t="n">
        <v>2</v>
      </c>
      <c r="I159" t="n">
        <v>0</v>
      </c>
      <c r="J159" t="n">
        <v>6</v>
      </c>
      <c r="K159" t="n">
        <v>0</v>
      </c>
      <c r="L159" t="n">
        <v>0</v>
      </c>
      <c r="M159" t="n">
        <v>0</v>
      </c>
      <c r="N159" t="n">
        <v>0</v>
      </c>
      <c r="O159" t="n">
        <v>6</v>
      </c>
      <c r="P159" t="n">
        <v>0</v>
      </c>
      <c r="Q159" t="n">
        <v>6</v>
      </c>
      <c r="R159" s="2" t="inlineStr">
        <is>
          <t>Garnlav
Granticka
Lunglav
Talltita
Tretåig hackspett
Ullticka</t>
        </is>
      </c>
      <c r="S159">
        <f>HYPERLINK("https://klasma.github.io/Logging_2283/artfynd/A 4827-2025 artfynd.xlsx", "A 4827-2025")</f>
        <v/>
      </c>
      <c r="T159">
        <f>HYPERLINK("https://klasma.github.io/Logging_2283/kartor/A 4827-2025 karta.png", "A 4827-2025")</f>
        <v/>
      </c>
      <c r="V159">
        <f>HYPERLINK("https://klasma.github.io/Logging_2283/klagomål/A 4827-2025 FSC-klagomål.docx", "A 4827-2025")</f>
        <v/>
      </c>
      <c r="W159">
        <f>HYPERLINK("https://klasma.github.io/Logging_2283/klagomålsmail/A 4827-2025 FSC-klagomål mail.docx", "A 4827-2025")</f>
        <v/>
      </c>
      <c r="X159">
        <f>HYPERLINK("https://klasma.github.io/Logging_2283/tillsyn/A 4827-2025 tillsynsbegäran.docx", "A 4827-2025")</f>
        <v/>
      </c>
      <c r="Y159">
        <f>HYPERLINK("https://klasma.github.io/Logging_2283/tillsynsmail/A 4827-2025 tillsynsbegäran mail.docx", "A 4827-2025")</f>
        <v/>
      </c>
      <c r="Z159">
        <f>HYPERLINK("https://klasma.github.io/Logging_2283/fåglar/A 4827-2025 prioriterade fågelarter.docx", "A 4827-2025")</f>
        <v/>
      </c>
    </row>
    <row r="160" ht="15" customHeight="1">
      <c r="A160" t="inlineStr">
        <is>
          <t>A 7334-2025</t>
        </is>
      </c>
      <c r="B160" s="1" t="n">
        <v>45703</v>
      </c>
      <c r="C160" s="1" t="n">
        <v>45723</v>
      </c>
      <c r="D160" t="inlineStr">
        <is>
          <t>VÄSTERNORRLANDS LÄN</t>
        </is>
      </c>
      <c r="E160" t="inlineStr">
        <is>
          <t>SOLLEFTEÅ</t>
        </is>
      </c>
      <c r="G160" t="n">
        <v>2.2</v>
      </c>
      <c r="H160" t="n">
        <v>4</v>
      </c>
      <c r="I160" t="n">
        <v>2</v>
      </c>
      <c r="J160" t="n">
        <v>3</v>
      </c>
      <c r="K160" t="n">
        <v>0</v>
      </c>
      <c r="L160" t="n">
        <v>0</v>
      </c>
      <c r="M160" t="n">
        <v>0</v>
      </c>
      <c r="N160" t="n">
        <v>0</v>
      </c>
      <c r="O160" t="n">
        <v>3</v>
      </c>
      <c r="P160" t="n">
        <v>0</v>
      </c>
      <c r="Q160" t="n">
        <v>6</v>
      </c>
      <c r="R160" s="2" t="inlineStr">
        <is>
          <t>Björktrast
Gulsparv
Rödvingetrast
Skinnlav
Stor aspticka
Revlummer</t>
        </is>
      </c>
      <c r="S160">
        <f>HYPERLINK("https://klasma.github.io/Logging_2283/artfynd/A 7334-2025 artfynd.xlsx", "A 7334-2025")</f>
        <v/>
      </c>
      <c r="T160">
        <f>HYPERLINK("https://klasma.github.io/Logging_2283/kartor/A 7334-2025 karta.png", "A 7334-2025")</f>
        <v/>
      </c>
      <c r="V160">
        <f>HYPERLINK("https://klasma.github.io/Logging_2283/klagomål/A 7334-2025 FSC-klagomål.docx", "A 7334-2025")</f>
        <v/>
      </c>
      <c r="W160">
        <f>HYPERLINK("https://klasma.github.io/Logging_2283/klagomålsmail/A 7334-2025 FSC-klagomål mail.docx", "A 7334-2025")</f>
        <v/>
      </c>
      <c r="X160">
        <f>HYPERLINK("https://klasma.github.io/Logging_2283/tillsyn/A 7334-2025 tillsynsbegäran.docx", "A 7334-2025")</f>
        <v/>
      </c>
      <c r="Y160">
        <f>HYPERLINK("https://klasma.github.io/Logging_2283/tillsynsmail/A 7334-2025 tillsynsbegäran mail.docx", "A 7334-2025")</f>
        <v/>
      </c>
      <c r="Z160">
        <f>HYPERLINK("https://klasma.github.io/Logging_2283/fåglar/A 7334-2025 prioriterade fågelarter.docx", "A 7334-2025")</f>
        <v/>
      </c>
    </row>
    <row r="161" ht="15" customHeight="1">
      <c r="A161" t="inlineStr">
        <is>
          <t>A 41785-2019</t>
        </is>
      </c>
      <c r="B161" s="1" t="n">
        <v>43699</v>
      </c>
      <c r="C161" s="1" t="n">
        <v>45723</v>
      </c>
      <c r="D161" t="inlineStr">
        <is>
          <t>VÄSTERNORRLANDS LÄN</t>
        </is>
      </c>
      <c r="E161" t="inlineStr">
        <is>
          <t>SOLLEFTEÅ</t>
        </is>
      </c>
      <c r="F161" t="inlineStr">
        <is>
          <t>SCA</t>
        </is>
      </c>
      <c r="G161" t="n">
        <v>3.1</v>
      </c>
      <c r="H161" t="n">
        <v>0</v>
      </c>
      <c r="I161" t="n">
        <v>1</v>
      </c>
      <c r="J161" t="n">
        <v>3</v>
      </c>
      <c r="K161" t="n">
        <v>1</v>
      </c>
      <c r="L161" t="n">
        <v>0</v>
      </c>
      <c r="M161" t="n">
        <v>0</v>
      </c>
      <c r="N161" t="n">
        <v>0</v>
      </c>
      <c r="O161" t="n">
        <v>4</v>
      </c>
      <c r="P161" t="n">
        <v>1</v>
      </c>
      <c r="Q161" t="n">
        <v>5</v>
      </c>
      <c r="R161" s="2" t="inlineStr">
        <is>
          <t>Rynkskinn
Rosenticka
Ullticka
Violmussling
Stor aspticka</t>
        </is>
      </c>
      <c r="S161">
        <f>HYPERLINK("https://klasma.github.io/Logging_2283/artfynd/A 41785-2019 artfynd.xlsx", "A 41785-2019")</f>
        <v/>
      </c>
      <c r="T161">
        <f>HYPERLINK("https://klasma.github.io/Logging_2283/kartor/A 41785-2019 karta.png", "A 41785-2019")</f>
        <v/>
      </c>
      <c r="V161">
        <f>HYPERLINK("https://klasma.github.io/Logging_2283/klagomål/A 41785-2019 FSC-klagomål.docx", "A 41785-2019")</f>
        <v/>
      </c>
      <c r="W161">
        <f>HYPERLINK("https://klasma.github.io/Logging_2283/klagomålsmail/A 41785-2019 FSC-klagomål mail.docx", "A 41785-2019")</f>
        <v/>
      </c>
      <c r="X161">
        <f>HYPERLINK("https://klasma.github.io/Logging_2283/tillsyn/A 41785-2019 tillsynsbegäran.docx", "A 41785-2019")</f>
        <v/>
      </c>
      <c r="Y161">
        <f>HYPERLINK("https://klasma.github.io/Logging_2283/tillsynsmail/A 41785-2019 tillsynsbegäran mail.docx", "A 41785-2019")</f>
        <v/>
      </c>
    </row>
    <row r="162" ht="15" customHeight="1">
      <c r="A162" t="inlineStr">
        <is>
          <t>A 33209-2020</t>
        </is>
      </c>
      <c r="B162" s="1" t="n">
        <v>44021</v>
      </c>
      <c r="C162" s="1" t="n">
        <v>45723</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Granticka
Harticka
Talltita
Tretåig hackspett</t>
        </is>
      </c>
      <c r="S162">
        <f>HYPERLINK("https://klasma.github.io/Logging_2283/artfynd/A 33209-2020 artfynd.xlsx", "A 33209-2020")</f>
        <v/>
      </c>
      <c r="T162">
        <f>HYPERLINK("https://klasma.github.io/Logging_2283/kartor/A 33209-2020 karta.png", "A 33209-2020")</f>
        <v/>
      </c>
      <c r="V162">
        <f>HYPERLINK("https://klasma.github.io/Logging_2283/klagomål/A 33209-2020 FSC-klagomål.docx", "A 33209-2020")</f>
        <v/>
      </c>
      <c r="W162">
        <f>HYPERLINK("https://klasma.github.io/Logging_2283/klagomålsmail/A 33209-2020 FSC-klagomål mail.docx", "A 33209-2020")</f>
        <v/>
      </c>
      <c r="X162">
        <f>HYPERLINK("https://klasma.github.io/Logging_2283/tillsyn/A 33209-2020 tillsynsbegäran.docx", "A 33209-2020")</f>
        <v/>
      </c>
      <c r="Y162">
        <f>HYPERLINK("https://klasma.github.io/Logging_2283/tillsynsmail/A 33209-2020 tillsynsbegäran mail.docx", "A 33209-2020")</f>
        <v/>
      </c>
      <c r="Z162">
        <f>HYPERLINK("https://klasma.github.io/Logging_2283/fåglar/A 33209-2020 prioriterade fågelarter.docx", "A 33209-2020")</f>
        <v/>
      </c>
    </row>
    <row r="163" ht="15" customHeight="1">
      <c r="A163" t="inlineStr">
        <is>
          <t>A 33612-2020</t>
        </is>
      </c>
      <c r="B163" s="1" t="n">
        <v>44025</v>
      </c>
      <c r="C163" s="1" t="n">
        <v>45723</v>
      </c>
      <c r="D163" t="inlineStr">
        <is>
          <t>VÄSTERNORRLANDS LÄN</t>
        </is>
      </c>
      <c r="E163" t="inlineStr">
        <is>
          <t>SOLLEFTEÅ</t>
        </is>
      </c>
      <c r="F163" t="inlineStr">
        <is>
          <t>SCA</t>
        </is>
      </c>
      <c r="G163" t="n">
        <v>2.3</v>
      </c>
      <c r="H163" t="n">
        <v>2</v>
      </c>
      <c r="I163" t="n">
        <v>1</v>
      </c>
      <c r="J163" t="n">
        <v>3</v>
      </c>
      <c r="K163" t="n">
        <v>0</v>
      </c>
      <c r="L163" t="n">
        <v>0</v>
      </c>
      <c r="M163" t="n">
        <v>0</v>
      </c>
      <c r="N163" t="n">
        <v>0</v>
      </c>
      <c r="O163" t="n">
        <v>3</v>
      </c>
      <c r="P163" t="n">
        <v>0</v>
      </c>
      <c r="Q163" t="n">
        <v>5</v>
      </c>
      <c r="R163" s="2" t="inlineStr">
        <is>
          <t>Dvärgbägarlav
Garnlav
Tretåig hackspett
Dropptaggsvamp
Tjäder</t>
        </is>
      </c>
      <c r="S163">
        <f>HYPERLINK("https://klasma.github.io/Logging_2283/artfynd/A 33612-2020 artfynd.xlsx", "A 33612-2020")</f>
        <v/>
      </c>
      <c r="T163">
        <f>HYPERLINK("https://klasma.github.io/Logging_2283/kartor/A 33612-2020 karta.png", "A 33612-2020")</f>
        <v/>
      </c>
      <c r="V163">
        <f>HYPERLINK("https://klasma.github.io/Logging_2283/klagomål/A 33612-2020 FSC-klagomål.docx", "A 33612-2020")</f>
        <v/>
      </c>
      <c r="W163">
        <f>HYPERLINK("https://klasma.github.io/Logging_2283/klagomålsmail/A 33612-2020 FSC-klagomål mail.docx", "A 33612-2020")</f>
        <v/>
      </c>
      <c r="X163">
        <f>HYPERLINK("https://klasma.github.io/Logging_2283/tillsyn/A 33612-2020 tillsynsbegäran.docx", "A 33612-2020")</f>
        <v/>
      </c>
      <c r="Y163">
        <f>HYPERLINK("https://klasma.github.io/Logging_2283/tillsynsmail/A 33612-2020 tillsynsbegäran mail.docx", "A 33612-2020")</f>
        <v/>
      </c>
      <c r="Z163">
        <f>HYPERLINK("https://klasma.github.io/Logging_2283/fåglar/A 33612-2020 prioriterade fågelarter.docx", "A 33612-2020")</f>
        <v/>
      </c>
    </row>
    <row r="164" ht="15" customHeight="1">
      <c r="A164" t="inlineStr">
        <is>
          <t>A 57076-2020</t>
        </is>
      </c>
      <c r="B164" s="1" t="n">
        <v>44138</v>
      </c>
      <c r="C164" s="1" t="n">
        <v>45723</v>
      </c>
      <c r="D164" t="inlineStr">
        <is>
          <t>VÄSTERNORRLANDS LÄN</t>
        </is>
      </c>
      <c r="E164" t="inlineStr">
        <is>
          <t>SOLLEFTEÅ</t>
        </is>
      </c>
      <c r="G164" t="n">
        <v>3.8</v>
      </c>
      <c r="H164" t="n">
        <v>3</v>
      </c>
      <c r="I164" t="n">
        <v>1</v>
      </c>
      <c r="J164" t="n">
        <v>3</v>
      </c>
      <c r="K164" t="n">
        <v>0</v>
      </c>
      <c r="L164" t="n">
        <v>0</v>
      </c>
      <c r="M164" t="n">
        <v>0</v>
      </c>
      <c r="N164" t="n">
        <v>0</v>
      </c>
      <c r="O164" t="n">
        <v>3</v>
      </c>
      <c r="P164" t="n">
        <v>0</v>
      </c>
      <c r="Q164" t="n">
        <v>5</v>
      </c>
      <c r="R164" s="2" t="inlineStr">
        <is>
          <t>Kråka
Nipsippa
Rosenticka
Strutbräken
Revlummer</t>
        </is>
      </c>
      <c r="S164">
        <f>HYPERLINK("https://klasma.github.io/Logging_2283/artfynd/A 57076-2020 artfynd.xlsx", "A 57076-2020")</f>
        <v/>
      </c>
      <c r="T164">
        <f>HYPERLINK("https://klasma.github.io/Logging_2283/kartor/A 57076-2020 karta.png", "A 57076-2020")</f>
        <v/>
      </c>
      <c r="V164">
        <f>HYPERLINK("https://klasma.github.io/Logging_2283/klagomål/A 57076-2020 FSC-klagomål.docx", "A 57076-2020")</f>
        <v/>
      </c>
      <c r="W164">
        <f>HYPERLINK("https://klasma.github.io/Logging_2283/klagomålsmail/A 57076-2020 FSC-klagomål mail.docx", "A 57076-2020")</f>
        <v/>
      </c>
      <c r="X164">
        <f>HYPERLINK("https://klasma.github.io/Logging_2283/tillsyn/A 57076-2020 tillsynsbegäran.docx", "A 57076-2020")</f>
        <v/>
      </c>
      <c r="Y164">
        <f>HYPERLINK("https://klasma.github.io/Logging_2283/tillsynsmail/A 57076-2020 tillsynsbegäran mail.docx", "A 57076-2020")</f>
        <v/>
      </c>
      <c r="Z164">
        <f>HYPERLINK("https://klasma.github.io/Logging_2283/fåglar/A 57076-2020 prioriterade fågelarter.docx", "A 57076-2020")</f>
        <v/>
      </c>
    </row>
    <row r="165" ht="15" customHeight="1">
      <c r="A165" t="inlineStr">
        <is>
          <t>A 59318-2021</t>
        </is>
      </c>
      <c r="B165" s="1" t="n">
        <v>44491</v>
      </c>
      <c r="C165" s="1" t="n">
        <v>45723</v>
      </c>
      <c r="D165" t="inlineStr">
        <is>
          <t>VÄSTERNORRLANDS LÄN</t>
        </is>
      </c>
      <c r="E165" t="inlineStr">
        <is>
          <t>SOLLEFTEÅ</t>
        </is>
      </c>
      <c r="G165" t="n">
        <v>1.2</v>
      </c>
      <c r="H165" t="n">
        <v>2</v>
      </c>
      <c r="I165" t="n">
        <v>1</v>
      </c>
      <c r="J165" t="n">
        <v>4</v>
      </c>
      <c r="K165" t="n">
        <v>0</v>
      </c>
      <c r="L165" t="n">
        <v>0</v>
      </c>
      <c r="M165" t="n">
        <v>0</v>
      </c>
      <c r="N165" t="n">
        <v>0</v>
      </c>
      <c r="O165" t="n">
        <v>4</v>
      </c>
      <c r="P165" t="n">
        <v>0</v>
      </c>
      <c r="Q165" t="n">
        <v>5</v>
      </c>
      <c r="R165" s="2" t="inlineStr">
        <is>
          <t>Gammelgransskål
Garnlav
Spillkråka
Talltita
Skinnlav</t>
        </is>
      </c>
      <c r="S165">
        <f>HYPERLINK("https://klasma.github.io/Logging_2283/artfynd/A 59318-2021 artfynd.xlsx", "A 59318-2021")</f>
        <v/>
      </c>
      <c r="T165">
        <f>HYPERLINK("https://klasma.github.io/Logging_2283/kartor/A 59318-2021 karta.png", "A 59318-2021")</f>
        <v/>
      </c>
      <c r="V165">
        <f>HYPERLINK("https://klasma.github.io/Logging_2283/klagomål/A 59318-2021 FSC-klagomål.docx", "A 59318-2021")</f>
        <v/>
      </c>
      <c r="W165">
        <f>HYPERLINK("https://klasma.github.io/Logging_2283/klagomålsmail/A 59318-2021 FSC-klagomål mail.docx", "A 59318-2021")</f>
        <v/>
      </c>
      <c r="X165">
        <f>HYPERLINK("https://klasma.github.io/Logging_2283/tillsyn/A 59318-2021 tillsynsbegäran.docx", "A 59318-2021")</f>
        <v/>
      </c>
      <c r="Y165">
        <f>HYPERLINK("https://klasma.github.io/Logging_2283/tillsynsmail/A 59318-2021 tillsynsbegäran mail.docx", "A 59318-2021")</f>
        <v/>
      </c>
      <c r="Z165">
        <f>HYPERLINK("https://klasma.github.io/Logging_2283/fåglar/A 59318-2021 prioriterade fågelarter.docx", "A 59318-2021")</f>
        <v/>
      </c>
    </row>
    <row r="166" ht="15" customHeight="1">
      <c r="A166" t="inlineStr">
        <is>
          <t>A 68354-2021</t>
        </is>
      </c>
      <c r="B166" s="1" t="n">
        <v>44528</v>
      </c>
      <c r="C166" s="1" t="n">
        <v>45723</v>
      </c>
      <c r="D166" t="inlineStr">
        <is>
          <t>VÄSTERNORRLANDS LÄN</t>
        </is>
      </c>
      <c r="E166" t="inlineStr">
        <is>
          <t>SOLLEFTEÅ</t>
        </is>
      </c>
      <c r="G166" t="n">
        <v>3.3</v>
      </c>
      <c r="H166" t="n">
        <v>2</v>
      </c>
      <c r="I166" t="n">
        <v>1</v>
      </c>
      <c r="J166" t="n">
        <v>4</v>
      </c>
      <c r="K166" t="n">
        <v>0</v>
      </c>
      <c r="L166" t="n">
        <v>0</v>
      </c>
      <c r="M166" t="n">
        <v>0</v>
      </c>
      <c r="N166" t="n">
        <v>0</v>
      </c>
      <c r="O166" t="n">
        <v>4</v>
      </c>
      <c r="P166" t="n">
        <v>0</v>
      </c>
      <c r="Q166" t="n">
        <v>5</v>
      </c>
      <c r="R166" s="2" t="inlineStr">
        <is>
          <t>Rosenticka
Spillkråka
Talltita
Ullticka
Vanlig flatbagge</t>
        </is>
      </c>
      <c r="S166">
        <f>HYPERLINK("https://klasma.github.io/Logging_2283/artfynd/A 68354-2021 artfynd.xlsx", "A 68354-2021")</f>
        <v/>
      </c>
      <c r="T166">
        <f>HYPERLINK("https://klasma.github.io/Logging_2283/kartor/A 68354-2021 karta.png", "A 68354-2021")</f>
        <v/>
      </c>
      <c r="V166">
        <f>HYPERLINK("https://klasma.github.io/Logging_2283/klagomål/A 68354-2021 FSC-klagomål.docx", "A 68354-2021")</f>
        <v/>
      </c>
      <c r="W166">
        <f>HYPERLINK("https://klasma.github.io/Logging_2283/klagomålsmail/A 68354-2021 FSC-klagomål mail.docx", "A 68354-2021")</f>
        <v/>
      </c>
      <c r="X166">
        <f>HYPERLINK("https://klasma.github.io/Logging_2283/tillsyn/A 68354-2021 tillsynsbegäran.docx", "A 68354-2021")</f>
        <v/>
      </c>
      <c r="Y166">
        <f>HYPERLINK("https://klasma.github.io/Logging_2283/tillsynsmail/A 68354-2021 tillsynsbegäran mail.docx", "A 68354-2021")</f>
        <v/>
      </c>
      <c r="Z166">
        <f>HYPERLINK("https://klasma.github.io/Logging_2283/fåglar/A 68354-2021 prioriterade fågelarter.docx", "A 68354-2021")</f>
        <v/>
      </c>
    </row>
    <row r="167" ht="15" customHeight="1">
      <c r="A167" t="inlineStr">
        <is>
          <t>A 10400-2022</t>
        </is>
      </c>
      <c r="B167" s="1" t="n">
        <v>44623</v>
      </c>
      <c r="C167" s="1" t="n">
        <v>45723</v>
      </c>
      <c r="D167" t="inlineStr">
        <is>
          <t>VÄSTERNORRLANDS LÄN</t>
        </is>
      </c>
      <c r="E167" t="inlineStr">
        <is>
          <t>SOLLEFTEÅ</t>
        </is>
      </c>
      <c r="G167" t="n">
        <v>25.8</v>
      </c>
      <c r="H167" t="n">
        <v>2</v>
      </c>
      <c r="I167" t="n">
        <v>1</v>
      </c>
      <c r="J167" t="n">
        <v>4</v>
      </c>
      <c r="K167" t="n">
        <v>0</v>
      </c>
      <c r="L167" t="n">
        <v>0</v>
      </c>
      <c r="M167" t="n">
        <v>0</v>
      </c>
      <c r="N167" t="n">
        <v>0</v>
      </c>
      <c r="O167" t="n">
        <v>4</v>
      </c>
      <c r="P167" t="n">
        <v>0</v>
      </c>
      <c r="Q167" t="n">
        <v>5</v>
      </c>
      <c r="R167" s="2" t="inlineStr">
        <is>
          <t>Lunglav
Spillkråka
Tretåig hackspett
Ullticka
Korallblylav</t>
        </is>
      </c>
      <c r="S167">
        <f>HYPERLINK("https://klasma.github.io/Logging_2283/artfynd/A 10400-2022 artfynd.xlsx", "A 10400-2022")</f>
        <v/>
      </c>
      <c r="T167">
        <f>HYPERLINK("https://klasma.github.io/Logging_2283/kartor/A 10400-2022 karta.png", "A 10400-2022")</f>
        <v/>
      </c>
      <c r="V167">
        <f>HYPERLINK("https://klasma.github.io/Logging_2283/klagomål/A 10400-2022 FSC-klagomål.docx", "A 10400-2022")</f>
        <v/>
      </c>
      <c r="W167">
        <f>HYPERLINK("https://klasma.github.io/Logging_2283/klagomålsmail/A 10400-2022 FSC-klagomål mail.docx", "A 10400-2022")</f>
        <v/>
      </c>
      <c r="X167">
        <f>HYPERLINK("https://klasma.github.io/Logging_2283/tillsyn/A 10400-2022 tillsynsbegäran.docx", "A 10400-2022")</f>
        <v/>
      </c>
      <c r="Y167">
        <f>HYPERLINK("https://klasma.github.io/Logging_2283/tillsynsmail/A 10400-2022 tillsynsbegäran mail.docx", "A 10400-2022")</f>
        <v/>
      </c>
      <c r="Z167">
        <f>HYPERLINK("https://klasma.github.io/Logging_2283/fåglar/A 10400-2022 prioriterade fågelarter.docx", "A 10400-2022")</f>
        <v/>
      </c>
    </row>
    <row r="168" ht="15" customHeight="1">
      <c r="A168" t="inlineStr">
        <is>
          <t>A 11490-2022</t>
        </is>
      </c>
      <c r="B168" s="1" t="n">
        <v>44630</v>
      </c>
      <c r="C168" s="1" t="n">
        <v>45723</v>
      </c>
      <c r="D168" t="inlineStr">
        <is>
          <t>VÄSTERNORRLANDS LÄN</t>
        </is>
      </c>
      <c r="E168" t="inlineStr">
        <is>
          <t>SOLLEFTEÅ</t>
        </is>
      </c>
      <c r="F168" t="inlineStr">
        <is>
          <t>SCA</t>
        </is>
      </c>
      <c r="G168" t="n">
        <v>2</v>
      </c>
      <c r="H168" t="n">
        <v>2</v>
      </c>
      <c r="I168" t="n">
        <v>0</v>
      </c>
      <c r="J168" t="n">
        <v>5</v>
      </c>
      <c r="K168" t="n">
        <v>0</v>
      </c>
      <c r="L168" t="n">
        <v>0</v>
      </c>
      <c r="M168" t="n">
        <v>0</v>
      </c>
      <c r="N168" t="n">
        <v>0</v>
      </c>
      <c r="O168" t="n">
        <v>5</v>
      </c>
      <c r="P168" t="n">
        <v>0</v>
      </c>
      <c r="Q168" t="n">
        <v>5</v>
      </c>
      <c r="R168" s="2" t="inlineStr">
        <is>
          <t>Garnlav
Lunglav
Spillkråka
Tretåig hackspett
Ullticka</t>
        </is>
      </c>
      <c r="S168">
        <f>HYPERLINK("https://klasma.github.io/Logging_2283/artfynd/A 11490-2022 artfynd.xlsx", "A 11490-2022")</f>
        <v/>
      </c>
      <c r="T168">
        <f>HYPERLINK("https://klasma.github.io/Logging_2283/kartor/A 11490-2022 karta.png", "A 11490-2022")</f>
        <v/>
      </c>
      <c r="V168">
        <f>HYPERLINK("https://klasma.github.io/Logging_2283/klagomål/A 11490-2022 FSC-klagomål.docx", "A 11490-2022")</f>
        <v/>
      </c>
      <c r="W168">
        <f>HYPERLINK("https://klasma.github.io/Logging_2283/klagomålsmail/A 11490-2022 FSC-klagomål mail.docx", "A 11490-2022")</f>
        <v/>
      </c>
      <c r="X168">
        <f>HYPERLINK("https://klasma.github.io/Logging_2283/tillsyn/A 11490-2022 tillsynsbegäran.docx", "A 11490-2022")</f>
        <v/>
      </c>
      <c r="Y168">
        <f>HYPERLINK("https://klasma.github.io/Logging_2283/tillsynsmail/A 11490-2022 tillsynsbegäran mail.docx", "A 11490-2022")</f>
        <v/>
      </c>
      <c r="Z168">
        <f>HYPERLINK("https://klasma.github.io/Logging_2283/fåglar/A 11490-2022 prioriterade fågelarter.docx", "A 11490-2022")</f>
        <v/>
      </c>
    </row>
    <row r="169" ht="15" customHeight="1">
      <c r="A169" t="inlineStr">
        <is>
          <t>A 20949-2022</t>
        </is>
      </c>
      <c r="B169" s="1" t="n">
        <v>44702</v>
      </c>
      <c r="C169" s="1" t="n">
        <v>45723</v>
      </c>
      <c r="D169" t="inlineStr">
        <is>
          <t>VÄSTERNORRLANDS LÄN</t>
        </is>
      </c>
      <c r="E169" t="inlineStr">
        <is>
          <t>SOLLEFTEÅ</t>
        </is>
      </c>
      <c r="F169" t="inlineStr">
        <is>
          <t>SCA</t>
        </is>
      </c>
      <c r="G169" t="n">
        <v>2.2</v>
      </c>
      <c r="H169" t="n">
        <v>1</v>
      </c>
      <c r="I169" t="n">
        <v>0</v>
      </c>
      <c r="J169" t="n">
        <v>5</v>
      </c>
      <c r="K169" t="n">
        <v>0</v>
      </c>
      <c r="L169" t="n">
        <v>0</v>
      </c>
      <c r="M169" t="n">
        <v>0</v>
      </c>
      <c r="N169" t="n">
        <v>0</v>
      </c>
      <c r="O169" t="n">
        <v>5</v>
      </c>
      <c r="P169" t="n">
        <v>0</v>
      </c>
      <c r="Q169" t="n">
        <v>5</v>
      </c>
      <c r="R169" s="2" t="inlineStr">
        <is>
          <t>Garnlav
Kolflarnlav
Lunglav
Tretåig hackspett
Vedskivlav</t>
        </is>
      </c>
      <c r="S169">
        <f>HYPERLINK("https://klasma.github.io/Logging_2283/artfynd/A 20949-2022 artfynd.xlsx", "A 20949-2022")</f>
        <v/>
      </c>
      <c r="T169">
        <f>HYPERLINK("https://klasma.github.io/Logging_2283/kartor/A 20949-2022 karta.png", "A 20949-2022")</f>
        <v/>
      </c>
      <c r="V169">
        <f>HYPERLINK("https://klasma.github.io/Logging_2283/klagomål/A 20949-2022 FSC-klagomål.docx", "A 20949-2022")</f>
        <v/>
      </c>
      <c r="W169">
        <f>HYPERLINK("https://klasma.github.io/Logging_2283/klagomålsmail/A 20949-2022 FSC-klagomål mail.docx", "A 20949-2022")</f>
        <v/>
      </c>
      <c r="X169">
        <f>HYPERLINK("https://klasma.github.io/Logging_2283/tillsyn/A 20949-2022 tillsynsbegäran.docx", "A 20949-2022")</f>
        <v/>
      </c>
      <c r="Y169">
        <f>HYPERLINK("https://klasma.github.io/Logging_2283/tillsynsmail/A 20949-2022 tillsynsbegäran mail.docx", "A 20949-2022")</f>
        <v/>
      </c>
      <c r="Z169">
        <f>HYPERLINK("https://klasma.github.io/Logging_2283/fåglar/A 20949-2022 prioriterade fågelarter.docx", "A 20949-2022")</f>
        <v/>
      </c>
    </row>
    <row r="170" ht="15" customHeight="1">
      <c r="A170" t="inlineStr">
        <is>
          <t>A 30235-2022</t>
        </is>
      </c>
      <c r="B170" s="1" t="n">
        <v>44757</v>
      </c>
      <c r="C170" s="1" t="n">
        <v>45723</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41169-2022</t>
        </is>
      </c>
      <c r="B171" s="1" t="n">
        <v>44825</v>
      </c>
      <c r="C171" s="1" t="n">
        <v>45723</v>
      </c>
      <c r="D171" t="inlineStr">
        <is>
          <t>VÄSTERNORRLANDS LÄN</t>
        </is>
      </c>
      <c r="E171" t="inlineStr">
        <is>
          <t>SOLLEFTEÅ</t>
        </is>
      </c>
      <c r="F171" t="inlineStr">
        <is>
          <t>SCA</t>
        </is>
      </c>
      <c r="G171" t="n">
        <v>1.8</v>
      </c>
      <c r="H171" t="n">
        <v>2</v>
      </c>
      <c r="I171" t="n">
        <v>1</v>
      </c>
      <c r="J171" t="n">
        <v>4</v>
      </c>
      <c r="K171" t="n">
        <v>0</v>
      </c>
      <c r="L171" t="n">
        <v>0</v>
      </c>
      <c r="M171" t="n">
        <v>0</v>
      </c>
      <c r="N171" t="n">
        <v>0</v>
      </c>
      <c r="O171" t="n">
        <v>4</v>
      </c>
      <c r="P171" t="n">
        <v>0</v>
      </c>
      <c r="Q171" t="n">
        <v>5</v>
      </c>
      <c r="R171" s="2" t="inlineStr">
        <is>
          <t>Spillkråka
Tretåig hackspett
Ullticka
Vedskivlav
Vedticka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46629-2022</t>
        </is>
      </c>
      <c r="B172" s="1" t="n">
        <v>44848</v>
      </c>
      <c r="C172" s="1" t="n">
        <v>45723</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81-2023</t>
        </is>
      </c>
      <c r="B173" s="1" t="n">
        <v>44920</v>
      </c>
      <c r="C173" s="1" t="n">
        <v>45723</v>
      </c>
      <c r="D173" t="inlineStr">
        <is>
          <t>VÄSTERNORRLANDS LÄN</t>
        </is>
      </c>
      <c r="E173" t="inlineStr">
        <is>
          <t>SOLLEFTEÅ</t>
        </is>
      </c>
      <c r="G173" t="n">
        <v>20</v>
      </c>
      <c r="H173" t="n">
        <v>2</v>
      </c>
      <c r="I173" t="n">
        <v>1</v>
      </c>
      <c r="J173" t="n">
        <v>3</v>
      </c>
      <c r="K173" t="n">
        <v>1</v>
      </c>
      <c r="L173" t="n">
        <v>0</v>
      </c>
      <c r="M173" t="n">
        <v>0</v>
      </c>
      <c r="N173" t="n">
        <v>0</v>
      </c>
      <c r="O173" t="n">
        <v>4</v>
      </c>
      <c r="P173" t="n">
        <v>1</v>
      </c>
      <c r="Q173" t="n">
        <v>5</v>
      </c>
      <c r="R173" s="2" t="inlineStr">
        <is>
          <t>Knärot
Garnlav
Lunglav
Talltita
Luddlav</t>
        </is>
      </c>
      <c r="S173">
        <f>HYPERLINK("https://klasma.github.io/Logging_2283/artfynd/A 81-2023 artfynd.xlsx", "A 81-2023")</f>
        <v/>
      </c>
      <c r="T173">
        <f>HYPERLINK("https://klasma.github.io/Logging_2283/kartor/A 81-2023 karta.png", "A 81-2023")</f>
        <v/>
      </c>
      <c r="U173">
        <f>HYPERLINK("https://klasma.github.io/Logging_2283/knärot/A 81-2023 karta knärot.png", "A 81-2023")</f>
        <v/>
      </c>
      <c r="V173">
        <f>HYPERLINK("https://klasma.github.io/Logging_2283/klagomål/A 81-2023 FSC-klagomål.docx", "A 81-2023")</f>
        <v/>
      </c>
      <c r="W173">
        <f>HYPERLINK("https://klasma.github.io/Logging_2283/klagomålsmail/A 81-2023 FSC-klagomål mail.docx", "A 81-2023")</f>
        <v/>
      </c>
      <c r="X173">
        <f>HYPERLINK("https://klasma.github.io/Logging_2283/tillsyn/A 81-2023 tillsynsbegäran.docx", "A 81-2023")</f>
        <v/>
      </c>
      <c r="Y173">
        <f>HYPERLINK("https://klasma.github.io/Logging_2283/tillsynsmail/A 81-2023 tillsynsbegäran mail.docx", "A 81-2023")</f>
        <v/>
      </c>
      <c r="Z173">
        <f>HYPERLINK("https://klasma.github.io/Logging_2283/fåglar/A 81-2023 prioriterade fågelarter.docx", "A 81-2023")</f>
        <v/>
      </c>
    </row>
    <row r="174" ht="15" customHeight="1">
      <c r="A174" t="inlineStr">
        <is>
          <t>A 14079-2023</t>
        </is>
      </c>
      <c r="B174" s="1" t="n">
        <v>45009</v>
      </c>
      <c r="C174" s="1" t="n">
        <v>45723</v>
      </c>
      <c r="D174" t="inlineStr">
        <is>
          <t>VÄSTERNORRLANDS LÄN</t>
        </is>
      </c>
      <c r="E174" t="inlineStr">
        <is>
          <t>SOLLEFTEÅ</t>
        </is>
      </c>
      <c r="F174" t="inlineStr">
        <is>
          <t>SCA</t>
        </is>
      </c>
      <c r="G174" t="n">
        <v>9</v>
      </c>
      <c r="H174" t="n">
        <v>0</v>
      </c>
      <c r="I174" t="n">
        <v>0</v>
      </c>
      <c r="J174" t="n">
        <v>5</v>
      </c>
      <c r="K174" t="n">
        <v>0</v>
      </c>
      <c r="L174" t="n">
        <v>0</v>
      </c>
      <c r="M174" t="n">
        <v>0</v>
      </c>
      <c r="N174" t="n">
        <v>0</v>
      </c>
      <c r="O174" t="n">
        <v>5</v>
      </c>
      <c r="P174" t="n">
        <v>0</v>
      </c>
      <c r="Q174" t="n">
        <v>5</v>
      </c>
      <c r="R174" s="2" t="inlineStr">
        <is>
          <t>Gammelgransskål
Garnlav
Ullticka
Vedskivlav
Vedtrappmossa</t>
        </is>
      </c>
      <c r="S174">
        <f>HYPERLINK("https://klasma.github.io/Logging_2283/artfynd/A 14079-2023 artfynd.xlsx", "A 14079-2023")</f>
        <v/>
      </c>
      <c r="T174">
        <f>HYPERLINK("https://klasma.github.io/Logging_2283/kartor/A 14079-2023 karta.png", "A 14079-2023")</f>
        <v/>
      </c>
      <c r="V174">
        <f>HYPERLINK("https://klasma.github.io/Logging_2283/klagomål/A 14079-2023 FSC-klagomål.docx", "A 14079-2023")</f>
        <v/>
      </c>
      <c r="W174">
        <f>HYPERLINK("https://klasma.github.io/Logging_2283/klagomålsmail/A 14079-2023 FSC-klagomål mail.docx", "A 14079-2023")</f>
        <v/>
      </c>
      <c r="X174">
        <f>HYPERLINK("https://klasma.github.io/Logging_2283/tillsyn/A 14079-2023 tillsynsbegäran.docx", "A 14079-2023")</f>
        <v/>
      </c>
      <c r="Y174">
        <f>HYPERLINK("https://klasma.github.io/Logging_2283/tillsynsmail/A 14079-2023 tillsynsbegäran mail.docx", "A 14079-2023")</f>
        <v/>
      </c>
    </row>
    <row r="175" ht="15" customHeight="1">
      <c r="A175" t="inlineStr">
        <is>
          <t>A 18163-2023</t>
        </is>
      </c>
      <c r="B175" s="1" t="n">
        <v>45040</v>
      </c>
      <c r="C175" s="1" t="n">
        <v>45723</v>
      </c>
      <c r="D175" t="inlineStr">
        <is>
          <t>VÄSTERNORRLANDS LÄN</t>
        </is>
      </c>
      <c r="E175" t="inlineStr">
        <is>
          <t>SOLLEFTEÅ</t>
        </is>
      </c>
      <c r="F175" t="inlineStr">
        <is>
          <t>SCA</t>
        </is>
      </c>
      <c r="G175" t="n">
        <v>5.2</v>
      </c>
      <c r="H175" t="n">
        <v>1</v>
      </c>
      <c r="I175" t="n">
        <v>0</v>
      </c>
      <c r="J175" t="n">
        <v>5</v>
      </c>
      <c r="K175" t="n">
        <v>0</v>
      </c>
      <c r="L175" t="n">
        <v>0</v>
      </c>
      <c r="M175" t="n">
        <v>0</v>
      </c>
      <c r="N175" t="n">
        <v>0</v>
      </c>
      <c r="O175" t="n">
        <v>5</v>
      </c>
      <c r="P175" t="n">
        <v>0</v>
      </c>
      <c r="Q175" t="n">
        <v>5</v>
      </c>
      <c r="R175" s="2" t="inlineStr">
        <is>
          <t>Garnlav
Granticka
Kolflarnlav
Spillkråka
Ullticka</t>
        </is>
      </c>
      <c r="S175">
        <f>HYPERLINK("https://klasma.github.io/Logging_2283/artfynd/A 18163-2023 artfynd.xlsx", "A 18163-2023")</f>
        <v/>
      </c>
      <c r="T175">
        <f>HYPERLINK("https://klasma.github.io/Logging_2283/kartor/A 18163-2023 karta.png", "A 18163-2023")</f>
        <v/>
      </c>
      <c r="V175">
        <f>HYPERLINK("https://klasma.github.io/Logging_2283/klagomål/A 18163-2023 FSC-klagomål.docx", "A 18163-2023")</f>
        <v/>
      </c>
      <c r="W175">
        <f>HYPERLINK("https://klasma.github.io/Logging_2283/klagomålsmail/A 18163-2023 FSC-klagomål mail.docx", "A 18163-2023")</f>
        <v/>
      </c>
      <c r="X175">
        <f>HYPERLINK("https://klasma.github.io/Logging_2283/tillsyn/A 18163-2023 tillsynsbegäran.docx", "A 18163-2023")</f>
        <v/>
      </c>
      <c r="Y175">
        <f>HYPERLINK("https://klasma.github.io/Logging_2283/tillsynsmail/A 18163-2023 tillsynsbegäran mail.docx", "A 18163-2023")</f>
        <v/>
      </c>
      <c r="Z175">
        <f>HYPERLINK("https://klasma.github.io/Logging_2283/fåglar/A 18163-2023 prioriterade fågelarter.docx", "A 18163-2023")</f>
        <v/>
      </c>
    </row>
    <row r="176" ht="15" customHeight="1">
      <c r="A176" t="inlineStr">
        <is>
          <t>A 27675-2023</t>
        </is>
      </c>
      <c r="B176" s="1" t="n">
        <v>45097</v>
      </c>
      <c r="C176" s="1" t="n">
        <v>45723</v>
      </c>
      <c r="D176" t="inlineStr">
        <is>
          <t>VÄSTERNORRLANDS LÄN</t>
        </is>
      </c>
      <c r="E176" t="inlineStr">
        <is>
          <t>SOLLEFTEÅ</t>
        </is>
      </c>
      <c r="G176" t="n">
        <v>4.7</v>
      </c>
      <c r="H176" t="n">
        <v>1</v>
      </c>
      <c r="I176" t="n">
        <v>1</v>
      </c>
      <c r="J176" t="n">
        <v>3</v>
      </c>
      <c r="K176" t="n">
        <v>1</v>
      </c>
      <c r="L176" t="n">
        <v>0</v>
      </c>
      <c r="M176" t="n">
        <v>0</v>
      </c>
      <c r="N176" t="n">
        <v>0</v>
      </c>
      <c r="O176" t="n">
        <v>4</v>
      </c>
      <c r="P176" t="n">
        <v>1</v>
      </c>
      <c r="Q176" t="n">
        <v>5</v>
      </c>
      <c r="R176" s="2" t="inlineStr">
        <is>
          <t>Knärot
Garnlav
Lunglav
Ullticka
Stuplav</t>
        </is>
      </c>
      <c r="S176">
        <f>HYPERLINK("https://klasma.github.io/Logging_2283/artfynd/A 27675-2023 artfynd.xlsx", "A 27675-2023")</f>
        <v/>
      </c>
      <c r="T176">
        <f>HYPERLINK("https://klasma.github.io/Logging_2283/kartor/A 27675-2023 karta.png", "A 27675-2023")</f>
        <v/>
      </c>
      <c r="U176">
        <f>HYPERLINK("https://klasma.github.io/Logging_2283/knärot/A 27675-2023 karta knärot.png", "A 27675-2023")</f>
        <v/>
      </c>
      <c r="V176">
        <f>HYPERLINK("https://klasma.github.io/Logging_2283/klagomål/A 27675-2023 FSC-klagomål.docx", "A 27675-2023")</f>
        <v/>
      </c>
      <c r="W176">
        <f>HYPERLINK("https://klasma.github.io/Logging_2283/klagomålsmail/A 27675-2023 FSC-klagomål mail.docx", "A 27675-2023")</f>
        <v/>
      </c>
      <c r="X176">
        <f>HYPERLINK("https://klasma.github.io/Logging_2283/tillsyn/A 27675-2023 tillsynsbegäran.docx", "A 27675-2023")</f>
        <v/>
      </c>
      <c r="Y176">
        <f>HYPERLINK("https://klasma.github.io/Logging_2283/tillsynsmail/A 27675-2023 tillsynsbegäran mail.docx", "A 27675-2023")</f>
        <v/>
      </c>
    </row>
    <row r="177" ht="15" customHeight="1">
      <c r="A177" t="inlineStr">
        <is>
          <t>A 32217-2023</t>
        </is>
      </c>
      <c r="B177" s="1" t="n">
        <v>45119</v>
      </c>
      <c r="C177" s="1" t="n">
        <v>45723</v>
      </c>
      <c r="D177" t="inlineStr">
        <is>
          <t>VÄSTERNORRLANDS LÄN</t>
        </is>
      </c>
      <c r="E177" t="inlineStr">
        <is>
          <t>SOLLEFTEÅ</t>
        </is>
      </c>
      <c r="F177" t="inlineStr">
        <is>
          <t>SCA</t>
        </is>
      </c>
      <c r="G177" t="n">
        <v>1.8</v>
      </c>
      <c r="H177" t="n">
        <v>1</v>
      </c>
      <c r="I177" t="n">
        <v>0</v>
      </c>
      <c r="J177" t="n">
        <v>5</v>
      </c>
      <c r="K177" t="n">
        <v>0</v>
      </c>
      <c r="L177" t="n">
        <v>0</v>
      </c>
      <c r="M177" t="n">
        <v>0</v>
      </c>
      <c r="N177" t="n">
        <v>0</v>
      </c>
      <c r="O177" t="n">
        <v>5</v>
      </c>
      <c r="P177" t="n">
        <v>0</v>
      </c>
      <c r="Q177" t="n">
        <v>5</v>
      </c>
      <c r="R177" s="2" t="inlineStr">
        <is>
          <t>Garnlav
Lunglav
Rosenticka
Skogshare
Tretåig hackspett</t>
        </is>
      </c>
      <c r="S177">
        <f>HYPERLINK("https://klasma.github.io/Logging_2283/artfynd/A 32217-2023 artfynd.xlsx", "A 32217-2023")</f>
        <v/>
      </c>
      <c r="T177">
        <f>HYPERLINK("https://klasma.github.io/Logging_2283/kartor/A 32217-2023 karta.png", "A 32217-2023")</f>
        <v/>
      </c>
      <c r="V177">
        <f>HYPERLINK("https://klasma.github.io/Logging_2283/klagomål/A 32217-2023 FSC-klagomål.docx", "A 32217-2023")</f>
        <v/>
      </c>
      <c r="W177">
        <f>HYPERLINK("https://klasma.github.io/Logging_2283/klagomålsmail/A 32217-2023 FSC-klagomål mail.docx", "A 32217-2023")</f>
        <v/>
      </c>
      <c r="X177">
        <f>HYPERLINK("https://klasma.github.io/Logging_2283/tillsyn/A 32217-2023 tillsynsbegäran.docx", "A 32217-2023")</f>
        <v/>
      </c>
      <c r="Y177">
        <f>HYPERLINK("https://klasma.github.io/Logging_2283/tillsynsmail/A 32217-2023 tillsynsbegäran mail.docx", "A 32217-2023")</f>
        <v/>
      </c>
      <c r="Z177">
        <f>HYPERLINK("https://klasma.github.io/Logging_2283/fåglar/A 32217-2023 prioriterade fågelarter.docx", "A 32217-2023")</f>
        <v/>
      </c>
    </row>
    <row r="178" ht="15" customHeight="1">
      <c r="A178" t="inlineStr">
        <is>
          <t>A 32216-2023</t>
        </is>
      </c>
      <c r="B178" s="1" t="n">
        <v>45120</v>
      </c>
      <c r="C178" s="1" t="n">
        <v>45723</v>
      </c>
      <c r="D178" t="inlineStr">
        <is>
          <t>VÄSTERNORRLANDS LÄN</t>
        </is>
      </c>
      <c r="E178" t="inlineStr">
        <is>
          <t>SOLLEFTEÅ</t>
        </is>
      </c>
      <c r="F178" t="inlineStr">
        <is>
          <t>SCA</t>
        </is>
      </c>
      <c r="G178" t="n">
        <v>2.2</v>
      </c>
      <c r="H178" t="n">
        <v>1</v>
      </c>
      <c r="I178" t="n">
        <v>0</v>
      </c>
      <c r="J178" t="n">
        <v>4</v>
      </c>
      <c r="K178" t="n">
        <v>1</v>
      </c>
      <c r="L178" t="n">
        <v>0</v>
      </c>
      <c r="M178" t="n">
        <v>0</v>
      </c>
      <c r="N178" t="n">
        <v>0</v>
      </c>
      <c r="O178" t="n">
        <v>5</v>
      </c>
      <c r="P178" t="n">
        <v>1</v>
      </c>
      <c r="Q178" t="n">
        <v>5</v>
      </c>
      <c r="R178" s="2" t="inlineStr">
        <is>
          <t>Rynkskinn
Lunglav
Rosenticka
Tretåig hackspett
Ullticka</t>
        </is>
      </c>
      <c r="S178">
        <f>HYPERLINK("https://klasma.github.io/Logging_2283/artfynd/A 32216-2023 artfynd.xlsx", "A 32216-2023")</f>
        <v/>
      </c>
      <c r="T178">
        <f>HYPERLINK("https://klasma.github.io/Logging_2283/kartor/A 32216-2023 karta.png", "A 32216-2023")</f>
        <v/>
      </c>
      <c r="V178">
        <f>HYPERLINK("https://klasma.github.io/Logging_2283/klagomål/A 32216-2023 FSC-klagomål.docx", "A 32216-2023")</f>
        <v/>
      </c>
      <c r="W178">
        <f>HYPERLINK("https://klasma.github.io/Logging_2283/klagomålsmail/A 32216-2023 FSC-klagomål mail.docx", "A 32216-2023")</f>
        <v/>
      </c>
      <c r="X178">
        <f>HYPERLINK("https://klasma.github.io/Logging_2283/tillsyn/A 32216-2023 tillsynsbegäran.docx", "A 32216-2023")</f>
        <v/>
      </c>
      <c r="Y178">
        <f>HYPERLINK("https://klasma.github.io/Logging_2283/tillsynsmail/A 32216-2023 tillsynsbegäran mail.docx", "A 32216-2023")</f>
        <v/>
      </c>
      <c r="Z178">
        <f>HYPERLINK("https://klasma.github.io/Logging_2283/fåglar/A 32216-2023 prioriterade fågelarter.docx", "A 32216-2023")</f>
        <v/>
      </c>
    </row>
    <row r="179" ht="15" customHeight="1">
      <c r="A179" t="inlineStr">
        <is>
          <t>A 59662-2023</t>
        </is>
      </c>
      <c r="B179" s="1" t="n">
        <v>45255</v>
      </c>
      <c r="C179" s="1" t="n">
        <v>45723</v>
      </c>
      <c r="D179" t="inlineStr">
        <is>
          <t>VÄSTERNORRLANDS LÄN</t>
        </is>
      </c>
      <c r="E179" t="inlineStr">
        <is>
          <t>SOLLEFTEÅ</t>
        </is>
      </c>
      <c r="F179" t="inlineStr">
        <is>
          <t>SCA</t>
        </is>
      </c>
      <c r="G179" t="n">
        <v>4.8</v>
      </c>
      <c r="H179" t="n">
        <v>1</v>
      </c>
      <c r="I179" t="n">
        <v>0</v>
      </c>
      <c r="J179" t="n">
        <v>4</v>
      </c>
      <c r="K179" t="n">
        <v>1</v>
      </c>
      <c r="L179" t="n">
        <v>0</v>
      </c>
      <c r="M179" t="n">
        <v>0</v>
      </c>
      <c r="N179" t="n">
        <v>0</v>
      </c>
      <c r="O179" t="n">
        <v>5</v>
      </c>
      <c r="P179" t="n">
        <v>1</v>
      </c>
      <c r="Q179" t="n">
        <v>5</v>
      </c>
      <c r="R179" s="2" t="inlineStr">
        <is>
          <t>Knärot
Dvärgbägarlav
Kolflarnlav
Koralltaggsvamp
Tallticka</t>
        </is>
      </c>
      <c r="S179">
        <f>HYPERLINK("https://klasma.github.io/Logging_2283/artfynd/A 59662-2023 artfynd.xlsx", "A 59662-2023")</f>
        <v/>
      </c>
      <c r="T179">
        <f>HYPERLINK("https://klasma.github.io/Logging_2283/kartor/A 59662-2023 karta.png", "A 59662-2023")</f>
        <v/>
      </c>
      <c r="U179">
        <f>HYPERLINK("https://klasma.github.io/Logging_2283/knärot/A 59662-2023 karta knärot.png", "A 59662-2023")</f>
        <v/>
      </c>
      <c r="V179">
        <f>HYPERLINK("https://klasma.github.io/Logging_2283/klagomål/A 59662-2023 FSC-klagomål.docx", "A 59662-2023")</f>
        <v/>
      </c>
      <c r="W179">
        <f>HYPERLINK("https://klasma.github.io/Logging_2283/klagomålsmail/A 59662-2023 FSC-klagomål mail.docx", "A 59662-2023")</f>
        <v/>
      </c>
      <c r="X179">
        <f>HYPERLINK("https://klasma.github.io/Logging_2283/tillsyn/A 59662-2023 tillsynsbegäran.docx", "A 59662-2023")</f>
        <v/>
      </c>
      <c r="Y179">
        <f>HYPERLINK("https://klasma.github.io/Logging_2283/tillsynsmail/A 59662-2023 tillsynsbegäran mail.docx", "A 59662-2023")</f>
        <v/>
      </c>
    </row>
    <row r="180" ht="15" customHeight="1">
      <c r="A180" t="inlineStr">
        <is>
          <t>A 2067-2024</t>
        </is>
      </c>
      <c r="B180" s="1" t="n">
        <v>45308</v>
      </c>
      <c r="C180" s="1" t="n">
        <v>45723</v>
      </c>
      <c r="D180" t="inlineStr">
        <is>
          <t>VÄSTERNORRLANDS LÄN</t>
        </is>
      </c>
      <c r="E180" t="inlineStr">
        <is>
          <t>SOLLEFTEÅ</t>
        </is>
      </c>
      <c r="F180" t="inlineStr">
        <is>
          <t>SCA</t>
        </is>
      </c>
      <c r="G180" t="n">
        <v>3.1</v>
      </c>
      <c r="H180" t="n">
        <v>1</v>
      </c>
      <c r="I180" t="n">
        <v>2</v>
      </c>
      <c r="J180" t="n">
        <v>3</v>
      </c>
      <c r="K180" t="n">
        <v>0</v>
      </c>
      <c r="L180" t="n">
        <v>0</v>
      </c>
      <c r="M180" t="n">
        <v>0</v>
      </c>
      <c r="N180" t="n">
        <v>0</v>
      </c>
      <c r="O180" t="n">
        <v>3</v>
      </c>
      <c r="P180" t="n">
        <v>0</v>
      </c>
      <c r="Q180" t="n">
        <v>5</v>
      </c>
      <c r="R180" s="2" t="inlineStr">
        <is>
          <t>Garnlav
Lunglav
Tretåig hackspett
Dropptaggsvamp
Stuplav</t>
        </is>
      </c>
      <c r="S180">
        <f>HYPERLINK("https://klasma.github.io/Logging_2283/artfynd/A 2067-2024 artfynd.xlsx", "A 2067-2024")</f>
        <v/>
      </c>
      <c r="T180">
        <f>HYPERLINK("https://klasma.github.io/Logging_2283/kartor/A 2067-2024 karta.png", "A 2067-2024")</f>
        <v/>
      </c>
      <c r="V180">
        <f>HYPERLINK("https://klasma.github.io/Logging_2283/klagomål/A 2067-2024 FSC-klagomål.docx", "A 2067-2024")</f>
        <v/>
      </c>
      <c r="W180">
        <f>HYPERLINK("https://klasma.github.io/Logging_2283/klagomålsmail/A 2067-2024 FSC-klagomål mail.docx", "A 2067-2024")</f>
        <v/>
      </c>
      <c r="X180">
        <f>HYPERLINK("https://klasma.github.io/Logging_2283/tillsyn/A 2067-2024 tillsynsbegäran.docx", "A 2067-2024")</f>
        <v/>
      </c>
      <c r="Y180">
        <f>HYPERLINK("https://klasma.github.io/Logging_2283/tillsynsmail/A 2067-2024 tillsynsbegäran mail.docx", "A 2067-2024")</f>
        <v/>
      </c>
      <c r="Z180">
        <f>HYPERLINK("https://klasma.github.io/Logging_2283/fåglar/A 2067-2024 prioriterade fågelarter.docx", "A 2067-2024")</f>
        <v/>
      </c>
    </row>
    <row r="181" ht="15" customHeight="1">
      <c r="A181" t="inlineStr">
        <is>
          <t>A 11540-2024</t>
        </is>
      </c>
      <c r="B181" s="1" t="n">
        <v>45372</v>
      </c>
      <c r="C181" s="1" t="n">
        <v>45723</v>
      </c>
      <c r="D181" t="inlineStr">
        <is>
          <t>VÄSTERNORRLANDS LÄN</t>
        </is>
      </c>
      <c r="E181" t="inlineStr">
        <is>
          <t>SOLLEFTEÅ</t>
        </is>
      </c>
      <c r="F181" t="inlineStr">
        <is>
          <t>SCA</t>
        </is>
      </c>
      <c r="G181" t="n">
        <v>2.2</v>
      </c>
      <c r="H181" t="n">
        <v>5</v>
      </c>
      <c r="I181" t="n">
        <v>0</v>
      </c>
      <c r="J181" t="n">
        <v>2</v>
      </c>
      <c r="K181" t="n">
        <v>0</v>
      </c>
      <c r="L181" t="n">
        <v>0</v>
      </c>
      <c r="M181" t="n">
        <v>0</v>
      </c>
      <c r="N181" t="n">
        <v>0</v>
      </c>
      <c r="O181" t="n">
        <v>2</v>
      </c>
      <c r="P181" t="n">
        <v>0</v>
      </c>
      <c r="Q181" t="n">
        <v>5</v>
      </c>
      <c r="R181" s="2" t="inlineStr">
        <is>
          <t>Björktrast
Tretåig hackspett
Grönsiska
Kungsfågel
Tjäder</t>
        </is>
      </c>
      <c r="S181">
        <f>HYPERLINK("https://klasma.github.io/Logging_2283/artfynd/A 11540-2024 artfynd.xlsx", "A 11540-2024")</f>
        <v/>
      </c>
      <c r="T181">
        <f>HYPERLINK("https://klasma.github.io/Logging_2283/kartor/A 11540-2024 karta.png", "A 11540-2024")</f>
        <v/>
      </c>
      <c r="V181">
        <f>HYPERLINK("https://klasma.github.io/Logging_2283/klagomål/A 11540-2024 FSC-klagomål.docx", "A 11540-2024")</f>
        <v/>
      </c>
      <c r="W181">
        <f>HYPERLINK("https://klasma.github.io/Logging_2283/klagomålsmail/A 11540-2024 FSC-klagomål mail.docx", "A 11540-2024")</f>
        <v/>
      </c>
      <c r="X181">
        <f>HYPERLINK("https://klasma.github.io/Logging_2283/tillsyn/A 11540-2024 tillsynsbegäran.docx", "A 11540-2024")</f>
        <v/>
      </c>
      <c r="Y181">
        <f>HYPERLINK("https://klasma.github.io/Logging_2283/tillsynsmail/A 11540-2024 tillsynsbegäran mail.docx", "A 11540-2024")</f>
        <v/>
      </c>
      <c r="Z181">
        <f>HYPERLINK("https://klasma.github.io/Logging_2283/fåglar/A 11540-2024 prioriterade fågelarter.docx", "A 11540-2024")</f>
        <v/>
      </c>
    </row>
    <row r="182" ht="15" customHeight="1">
      <c r="A182" t="inlineStr">
        <is>
          <t>A 19081-2024</t>
        </is>
      </c>
      <c r="B182" s="1" t="n">
        <v>45428</v>
      </c>
      <c r="C182" s="1" t="n">
        <v>45723</v>
      </c>
      <c r="D182" t="inlineStr">
        <is>
          <t>VÄSTERNORRLANDS LÄN</t>
        </is>
      </c>
      <c r="E182" t="inlineStr">
        <is>
          <t>SOLLEFTEÅ</t>
        </is>
      </c>
      <c r="F182" t="inlineStr">
        <is>
          <t>SCA</t>
        </is>
      </c>
      <c r="G182" t="n">
        <v>21.5</v>
      </c>
      <c r="H182" t="n">
        <v>2</v>
      </c>
      <c r="I182" t="n">
        <v>0</v>
      </c>
      <c r="J182" t="n">
        <v>4</v>
      </c>
      <c r="K182" t="n">
        <v>0</v>
      </c>
      <c r="L182" t="n">
        <v>0</v>
      </c>
      <c r="M182" t="n">
        <v>0</v>
      </c>
      <c r="N182" t="n">
        <v>0</v>
      </c>
      <c r="O182" t="n">
        <v>4</v>
      </c>
      <c r="P182" t="n">
        <v>0</v>
      </c>
      <c r="Q182" t="n">
        <v>5</v>
      </c>
      <c r="R182" s="2" t="inlineStr">
        <is>
          <t>Garnlav
Granticka
Järpe
Ullticka
Fläcknycklar</t>
        </is>
      </c>
      <c r="S182">
        <f>HYPERLINK("https://klasma.github.io/Logging_2283/artfynd/A 19081-2024 artfynd.xlsx", "A 19081-2024")</f>
        <v/>
      </c>
      <c r="T182">
        <f>HYPERLINK("https://klasma.github.io/Logging_2283/kartor/A 19081-2024 karta.png", "A 19081-2024")</f>
        <v/>
      </c>
      <c r="V182">
        <f>HYPERLINK("https://klasma.github.io/Logging_2283/klagomål/A 19081-2024 FSC-klagomål.docx", "A 19081-2024")</f>
        <v/>
      </c>
      <c r="W182">
        <f>HYPERLINK("https://klasma.github.io/Logging_2283/klagomålsmail/A 19081-2024 FSC-klagomål mail.docx", "A 19081-2024")</f>
        <v/>
      </c>
      <c r="X182">
        <f>HYPERLINK("https://klasma.github.io/Logging_2283/tillsyn/A 19081-2024 tillsynsbegäran.docx", "A 19081-2024")</f>
        <v/>
      </c>
      <c r="Y182">
        <f>HYPERLINK("https://klasma.github.io/Logging_2283/tillsynsmail/A 19081-2024 tillsynsbegäran mail.docx", "A 19081-2024")</f>
        <v/>
      </c>
      <c r="Z182">
        <f>HYPERLINK("https://klasma.github.io/Logging_2283/fåglar/A 19081-2024 prioriterade fågelarter.docx", "A 19081-2024")</f>
        <v/>
      </c>
    </row>
    <row r="183" ht="15" customHeight="1">
      <c r="A183" t="inlineStr">
        <is>
          <t>A 22125-2024</t>
        </is>
      </c>
      <c r="B183" s="1" t="n">
        <v>45443</v>
      </c>
      <c r="C183" s="1" t="n">
        <v>45723</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45723</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45723</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45723</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45723</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45723</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45723</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45723</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45723</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45723</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45723</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45723</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45723</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45723</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45723</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45723</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45723</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45723</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45723</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45723</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45723</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45723</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45723</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45723</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45723</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45723</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45723</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45723</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45723</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45723</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45723</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45723</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45723</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45723</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45723</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45723</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45723</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45723</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45723</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45723</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45723</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45723</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45723</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45723</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45723</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45723</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45723</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45723</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45723</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45723</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45723</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45723</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45723</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45723</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45723</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45723</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45723</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45723</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45723</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45723</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45723</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45723</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45723</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45723</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45723</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45723</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45723</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45723</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45723</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45723</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45723</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45723</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45723</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45723</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45723</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45723</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45723</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45723</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45723</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45723</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45006-2023</t>
        </is>
      </c>
      <c r="B263" s="1" t="n">
        <v>45190</v>
      </c>
      <c r="C263" s="1" t="n">
        <v>45723</v>
      </c>
      <c r="D263" t="inlineStr">
        <is>
          <t>VÄSTERNORRLANDS LÄN</t>
        </is>
      </c>
      <c r="E263" t="inlineStr">
        <is>
          <t>SOLLEFTEÅ</t>
        </is>
      </c>
      <c r="F263" t="inlineStr">
        <is>
          <t>SCA</t>
        </is>
      </c>
      <c r="G263" t="n">
        <v>5.1</v>
      </c>
      <c r="H263" t="n">
        <v>0</v>
      </c>
      <c r="I263" t="n">
        <v>0</v>
      </c>
      <c r="J263" t="n">
        <v>2</v>
      </c>
      <c r="K263" t="n">
        <v>1</v>
      </c>
      <c r="L263" t="n">
        <v>0</v>
      </c>
      <c r="M263" t="n">
        <v>0</v>
      </c>
      <c r="N263" t="n">
        <v>0</v>
      </c>
      <c r="O263" t="n">
        <v>3</v>
      </c>
      <c r="P263" t="n">
        <v>1</v>
      </c>
      <c r="Q263" t="n">
        <v>3</v>
      </c>
      <c r="R263" s="2" t="inlineStr">
        <is>
          <t>Rynkskinn
Gammelgransskål
Rosenticka</t>
        </is>
      </c>
      <c r="S263">
        <f>HYPERLINK("https://klasma.github.io/Logging_2283/artfynd/A 45006-2023 artfynd.xlsx", "A 45006-2023")</f>
        <v/>
      </c>
      <c r="T263">
        <f>HYPERLINK("https://klasma.github.io/Logging_2283/kartor/A 45006-2023 karta.png", "A 45006-2023")</f>
        <v/>
      </c>
      <c r="V263">
        <f>HYPERLINK("https://klasma.github.io/Logging_2283/klagomål/A 45006-2023 FSC-klagomål.docx", "A 45006-2023")</f>
        <v/>
      </c>
      <c r="W263">
        <f>HYPERLINK("https://klasma.github.io/Logging_2283/klagomålsmail/A 45006-2023 FSC-klagomål mail.docx", "A 45006-2023")</f>
        <v/>
      </c>
      <c r="X263">
        <f>HYPERLINK("https://klasma.github.io/Logging_2283/tillsyn/A 45006-2023 tillsynsbegäran.docx", "A 45006-2023")</f>
        <v/>
      </c>
      <c r="Y263">
        <f>HYPERLINK("https://klasma.github.io/Logging_2283/tillsynsmail/A 45006-2023 tillsynsbegäran mail.docx", "A 45006-2023")</f>
        <v/>
      </c>
    </row>
    <row r="264" ht="15" customHeight="1">
      <c r="A264" t="inlineStr">
        <is>
          <t>A 50838-2023</t>
        </is>
      </c>
      <c r="B264" s="1" t="n">
        <v>45217</v>
      </c>
      <c r="C264" s="1" t="n">
        <v>45723</v>
      </c>
      <c r="D264" t="inlineStr">
        <is>
          <t>VÄSTERNORRLANDS LÄN</t>
        </is>
      </c>
      <c r="E264" t="inlineStr">
        <is>
          <t>SOLLEFTEÅ</t>
        </is>
      </c>
      <c r="F264" t="inlineStr">
        <is>
          <t>SCA</t>
        </is>
      </c>
      <c r="G264" t="n">
        <v>2.1</v>
      </c>
      <c r="H264" t="n">
        <v>2</v>
      </c>
      <c r="I264" t="n">
        <v>0</v>
      </c>
      <c r="J264" t="n">
        <v>1</v>
      </c>
      <c r="K264" t="n">
        <v>2</v>
      </c>
      <c r="L264" t="n">
        <v>0</v>
      </c>
      <c r="M264" t="n">
        <v>0</v>
      </c>
      <c r="N264" t="n">
        <v>0</v>
      </c>
      <c r="O264" t="n">
        <v>3</v>
      </c>
      <c r="P264" t="n">
        <v>2</v>
      </c>
      <c r="Q264" t="n">
        <v>3</v>
      </c>
      <c r="R264" s="2" t="inlineStr">
        <is>
          <t>Doftticka
Knärot
Lunglav</t>
        </is>
      </c>
      <c r="S264">
        <f>HYPERLINK("https://klasma.github.io/Logging_2283/artfynd/A 50838-2023 artfynd.xlsx", "A 50838-2023")</f>
        <v/>
      </c>
      <c r="T264">
        <f>HYPERLINK("https://klasma.github.io/Logging_2283/kartor/A 50838-2023 karta.png", "A 50838-2023")</f>
        <v/>
      </c>
      <c r="U264">
        <f>HYPERLINK("https://klasma.github.io/Logging_2283/knärot/A 50838-2023 karta knärot.png", "A 50838-2023")</f>
        <v/>
      </c>
      <c r="V264">
        <f>HYPERLINK("https://klasma.github.io/Logging_2283/klagomål/A 50838-2023 FSC-klagomål.docx", "A 50838-2023")</f>
        <v/>
      </c>
      <c r="W264">
        <f>HYPERLINK("https://klasma.github.io/Logging_2283/klagomålsmail/A 50838-2023 FSC-klagomål mail.docx", "A 50838-2023")</f>
        <v/>
      </c>
      <c r="X264">
        <f>HYPERLINK("https://klasma.github.io/Logging_2283/tillsyn/A 50838-2023 tillsynsbegäran.docx", "A 50838-2023")</f>
        <v/>
      </c>
      <c r="Y264">
        <f>HYPERLINK("https://klasma.github.io/Logging_2283/tillsynsmail/A 50838-2023 tillsynsbegäran mail.docx", "A 50838-2023")</f>
        <v/>
      </c>
    </row>
    <row r="265" ht="15" customHeight="1">
      <c r="A265" t="inlineStr">
        <is>
          <t>A 52762-2023</t>
        </is>
      </c>
      <c r="B265" s="1" t="n">
        <v>45225</v>
      </c>
      <c r="C265" s="1" t="n">
        <v>45723</v>
      </c>
      <c r="D265" t="inlineStr">
        <is>
          <t>VÄSTERNORRLANDS LÄN</t>
        </is>
      </c>
      <c r="E265" t="inlineStr">
        <is>
          <t>SOLLEFTEÅ</t>
        </is>
      </c>
      <c r="F265" t="inlineStr">
        <is>
          <t>SCA</t>
        </is>
      </c>
      <c r="G265" t="n">
        <v>6.3</v>
      </c>
      <c r="H265" t="n">
        <v>1</v>
      </c>
      <c r="I265" t="n">
        <v>0</v>
      </c>
      <c r="J265" t="n">
        <v>2</v>
      </c>
      <c r="K265" t="n">
        <v>0</v>
      </c>
      <c r="L265" t="n">
        <v>0</v>
      </c>
      <c r="M265" t="n">
        <v>0</v>
      </c>
      <c r="N265" t="n">
        <v>0</v>
      </c>
      <c r="O265" t="n">
        <v>2</v>
      </c>
      <c r="P265" t="n">
        <v>0</v>
      </c>
      <c r="Q265" t="n">
        <v>3</v>
      </c>
      <c r="R265" s="2" t="inlineStr">
        <is>
          <t>Rosenticka
Ullticka
Fläcknycklar</t>
        </is>
      </c>
      <c r="S265">
        <f>HYPERLINK("https://klasma.github.io/Logging_2283/artfynd/A 52762-2023 artfynd.xlsx", "A 52762-2023")</f>
        <v/>
      </c>
      <c r="T265">
        <f>HYPERLINK("https://klasma.github.io/Logging_2283/kartor/A 52762-2023 karta.png", "A 52762-2023")</f>
        <v/>
      </c>
      <c r="V265">
        <f>HYPERLINK("https://klasma.github.io/Logging_2283/klagomål/A 52762-2023 FSC-klagomål.docx", "A 52762-2023")</f>
        <v/>
      </c>
      <c r="W265">
        <f>HYPERLINK("https://klasma.github.io/Logging_2283/klagomålsmail/A 52762-2023 FSC-klagomål mail.docx", "A 52762-2023")</f>
        <v/>
      </c>
      <c r="X265">
        <f>HYPERLINK("https://klasma.github.io/Logging_2283/tillsyn/A 52762-2023 tillsynsbegäran.docx", "A 52762-2023")</f>
        <v/>
      </c>
      <c r="Y265">
        <f>HYPERLINK("https://klasma.github.io/Logging_2283/tillsynsmail/A 52762-2023 tillsynsbegäran mail.docx", "A 52762-2023")</f>
        <v/>
      </c>
    </row>
    <row r="266" ht="15" customHeight="1">
      <c r="A266" t="inlineStr">
        <is>
          <t>A 54030-2023</t>
        </is>
      </c>
      <c r="B266" s="1" t="n">
        <v>45231</v>
      </c>
      <c r="C266" s="1" t="n">
        <v>45723</v>
      </c>
      <c r="D266" t="inlineStr">
        <is>
          <t>VÄSTERNORRLANDS LÄN</t>
        </is>
      </c>
      <c r="E266" t="inlineStr">
        <is>
          <t>SOLLEFTEÅ</t>
        </is>
      </c>
      <c r="G266" t="n">
        <v>4.4</v>
      </c>
      <c r="H266" t="n">
        <v>0</v>
      </c>
      <c r="I266" t="n">
        <v>0</v>
      </c>
      <c r="J266" t="n">
        <v>2</v>
      </c>
      <c r="K266" t="n">
        <v>1</v>
      </c>
      <c r="L266" t="n">
        <v>0</v>
      </c>
      <c r="M266" t="n">
        <v>0</v>
      </c>
      <c r="N266" t="n">
        <v>0</v>
      </c>
      <c r="O266" t="n">
        <v>3</v>
      </c>
      <c r="P266" t="n">
        <v>1</v>
      </c>
      <c r="Q266" t="n">
        <v>3</v>
      </c>
      <c r="R266" s="2" t="inlineStr">
        <is>
          <t>Rynkskinn
Rosenticka
Ullticka</t>
        </is>
      </c>
      <c r="S266">
        <f>HYPERLINK("https://klasma.github.io/Logging_2283/artfynd/A 54030-2023 artfynd.xlsx", "A 54030-2023")</f>
        <v/>
      </c>
      <c r="T266">
        <f>HYPERLINK("https://klasma.github.io/Logging_2283/kartor/A 54030-2023 karta.png", "A 54030-2023")</f>
        <v/>
      </c>
      <c r="V266">
        <f>HYPERLINK("https://klasma.github.io/Logging_2283/klagomål/A 54030-2023 FSC-klagomål.docx", "A 54030-2023")</f>
        <v/>
      </c>
      <c r="W266">
        <f>HYPERLINK("https://klasma.github.io/Logging_2283/klagomålsmail/A 54030-2023 FSC-klagomål mail.docx", "A 54030-2023")</f>
        <v/>
      </c>
      <c r="X266">
        <f>HYPERLINK("https://klasma.github.io/Logging_2283/tillsyn/A 54030-2023 tillsynsbegäran.docx", "A 54030-2023")</f>
        <v/>
      </c>
      <c r="Y266">
        <f>HYPERLINK("https://klasma.github.io/Logging_2283/tillsynsmail/A 54030-2023 tillsynsbegäran mail.docx", "A 54030-2023")</f>
        <v/>
      </c>
    </row>
    <row r="267" ht="15" customHeight="1">
      <c r="A267" t="inlineStr">
        <is>
          <t>A 16702-2024</t>
        </is>
      </c>
      <c r="B267" s="1" t="n">
        <v>45409</v>
      </c>
      <c r="C267" s="1" t="n">
        <v>45723</v>
      </c>
      <c r="D267" t="inlineStr">
        <is>
          <t>VÄSTERNORRLANDS LÄN</t>
        </is>
      </c>
      <c r="E267" t="inlineStr">
        <is>
          <t>SOLLEFTEÅ</t>
        </is>
      </c>
      <c r="F267" t="inlineStr">
        <is>
          <t>SCA</t>
        </is>
      </c>
      <c r="G267" t="n">
        <v>2.4</v>
      </c>
      <c r="H267" t="n">
        <v>0</v>
      </c>
      <c r="I267" t="n">
        <v>0</v>
      </c>
      <c r="J267" t="n">
        <v>3</v>
      </c>
      <c r="K267" t="n">
        <v>0</v>
      </c>
      <c r="L267" t="n">
        <v>0</v>
      </c>
      <c r="M267" t="n">
        <v>0</v>
      </c>
      <c r="N267" t="n">
        <v>0</v>
      </c>
      <c r="O267" t="n">
        <v>3</v>
      </c>
      <c r="P267" t="n">
        <v>0</v>
      </c>
      <c r="Q267" t="n">
        <v>3</v>
      </c>
      <c r="R267" s="2" t="inlineStr">
        <is>
          <t>Gammelgransskål
Rosenticka
Ullticka</t>
        </is>
      </c>
      <c r="S267">
        <f>HYPERLINK("https://klasma.github.io/Logging_2283/artfynd/A 16702-2024 artfynd.xlsx", "A 16702-2024")</f>
        <v/>
      </c>
      <c r="T267">
        <f>HYPERLINK("https://klasma.github.io/Logging_2283/kartor/A 16702-2024 karta.png", "A 16702-2024")</f>
        <v/>
      </c>
      <c r="V267">
        <f>HYPERLINK("https://klasma.github.io/Logging_2283/klagomål/A 16702-2024 FSC-klagomål.docx", "A 16702-2024")</f>
        <v/>
      </c>
      <c r="W267">
        <f>HYPERLINK("https://klasma.github.io/Logging_2283/klagomålsmail/A 16702-2024 FSC-klagomål mail.docx", "A 16702-2024")</f>
        <v/>
      </c>
      <c r="X267">
        <f>HYPERLINK("https://klasma.github.io/Logging_2283/tillsyn/A 16702-2024 tillsynsbegäran.docx", "A 16702-2024")</f>
        <v/>
      </c>
      <c r="Y267">
        <f>HYPERLINK("https://klasma.github.io/Logging_2283/tillsynsmail/A 16702-2024 tillsynsbegäran mail.docx", "A 16702-2024")</f>
        <v/>
      </c>
    </row>
    <row r="268" ht="15" customHeight="1">
      <c r="A268" t="inlineStr">
        <is>
          <t>A 21097-2024</t>
        </is>
      </c>
      <c r="B268" s="1" t="n">
        <v>45440</v>
      </c>
      <c r="C268" s="1" t="n">
        <v>45723</v>
      </c>
      <c r="D268" t="inlineStr">
        <is>
          <t>VÄSTERNORRLANDS LÄN</t>
        </is>
      </c>
      <c r="E268" t="inlineStr">
        <is>
          <t>SOLLEFTEÅ</t>
        </is>
      </c>
      <c r="F268" t="inlineStr">
        <is>
          <t>SCA</t>
        </is>
      </c>
      <c r="G268" t="n">
        <v>7.7</v>
      </c>
      <c r="H268" t="n">
        <v>1</v>
      </c>
      <c r="I268" t="n">
        <v>1</v>
      </c>
      <c r="J268" t="n">
        <v>2</v>
      </c>
      <c r="K268" t="n">
        <v>0</v>
      </c>
      <c r="L268" t="n">
        <v>0</v>
      </c>
      <c r="M268" t="n">
        <v>0</v>
      </c>
      <c r="N268" t="n">
        <v>0</v>
      </c>
      <c r="O268" t="n">
        <v>2</v>
      </c>
      <c r="P268" t="n">
        <v>0</v>
      </c>
      <c r="Q268" t="n">
        <v>3</v>
      </c>
      <c r="R268" s="2" t="inlineStr">
        <is>
          <t>Lunglav
Ullticka
Lappranunkel</t>
        </is>
      </c>
      <c r="S268">
        <f>HYPERLINK("https://klasma.github.io/Logging_2283/artfynd/A 21097-2024 artfynd.xlsx", "A 21097-2024")</f>
        <v/>
      </c>
      <c r="T268">
        <f>HYPERLINK("https://klasma.github.io/Logging_2283/kartor/A 21097-2024 karta.png", "A 21097-2024")</f>
        <v/>
      </c>
      <c r="V268">
        <f>HYPERLINK("https://klasma.github.io/Logging_2283/klagomål/A 21097-2024 FSC-klagomål.docx", "A 21097-2024")</f>
        <v/>
      </c>
      <c r="W268">
        <f>HYPERLINK("https://klasma.github.io/Logging_2283/klagomålsmail/A 21097-2024 FSC-klagomål mail.docx", "A 21097-2024")</f>
        <v/>
      </c>
      <c r="X268">
        <f>HYPERLINK("https://klasma.github.io/Logging_2283/tillsyn/A 21097-2024 tillsynsbegäran.docx", "A 21097-2024")</f>
        <v/>
      </c>
      <c r="Y268">
        <f>HYPERLINK("https://klasma.github.io/Logging_2283/tillsynsmail/A 21097-2024 tillsynsbegäran mail.docx", "A 21097-2024")</f>
        <v/>
      </c>
    </row>
    <row r="269" ht="15" customHeight="1">
      <c r="A269" t="inlineStr">
        <is>
          <t>A 23939-2024</t>
        </is>
      </c>
      <c r="B269" s="1" t="n">
        <v>45456</v>
      </c>
      <c r="C269" s="1" t="n">
        <v>45723</v>
      </c>
      <c r="D269" t="inlineStr">
        <is>
          <t>VÄSTERNORRLANDS LÄN</t>
        </is>
      </c>
      <c r="E269" t="inlineStr">
        <is>
          <t>SOLLEFTEÅ</t>
        </is>
      </c>
      <c r="F269" t="inlineStr">
        <is>
          <t>SCA</t>
        </is>
      </c>
      <c r="G269" t="n">
        <v>3</v>
      </c>
      <c r="H269" t="n">
        <v>1</v>
      </c>
      <c r="I269" t="n">
        <v>1</v>
      </c>
      <c r="J269" t="n">
        <v>2</v>
      </c>
      <c r="K269" t="n">
        <v>0</v>
      </c>
      <c r="L269" t="n">
        <v>0</v>
      </c>
      <c r="M269" t="n">
        <v>0</v>
      </c>
      <c r="N269" t="n">
        <v>0</v>
      </c>
      <c r="O269" t="n">
        <v>2</v>
      </c>
      <c r="P269" t="n">
        <v>0</v>
      </c>
      <c r="Q269" t="n">
        <v>3</v>
      </c>
      <c r="R269" s="2" t="inlineStr">
        <is>
          <t>Lunglav
Talltita
Stuplav</t>
        </is>
      </c>
      <c r="S269">
        <f>HYPERLINK("https://klasma.github.io/Logging_2283/artfynd/A 23939-2024 artfynd.xlsx", "A 23939-2024")</f>
        <v/>
      </c>
      <c r="T269">
        <f>HYPERLINK("https://klasma.github.io/Logging_2283/kartor/A 23939-2024 karta.png", "A 23939-2024")</f>
        <v/>
      </c>
      <c r="V269">
        <f>HYPERLINK("https://klasma.github.io/Logging_2283/klagomål/A 23939-2024 FSC-klagomål.docx", "A 23939-2024")</f>
        <v/>
      </c>
      <c r="W269">
        <f>HYPERLINK("https://klasma.github.io/Logging_2283/klagomålsmail/A 23939-2024 FSC-klagomål mail.docx", "A 23939-2024")</f>
        <v/>
      </c>
      <c r="X269">
        <f>HYPERLINK("https://klasma.github.io/Logging_2283/tillsyn/A 23939-2024 tillsynsbegäran.docx", "A 23939-2024")</f>
        <v/>
      </c>
      <c r="Y269">
        <f>HYPERLINK("https://klasma.github.io/Logging_2283/tillsynsmail/A 23939-2024 tillsynsbegäran mail.docx", "A 23939-2024")</f>
        <v/>
      </c>
      <c r="Z269">
        <f>HYPERLINK("https://klasma.github.io/Logging_2283/fåglar/A 23939-2024 prioriterade fågelarter.docx", "A 23939-2024")</f>
        <v/>
      </c>
    </row>
    <row r="270" ht="15" customHeight="1">
      <c r="A270" t="inlineStr">
        <is>
          <t>A 24757-2024</t>
        </is>
      </c>
      <c r="B270" s="1" t="n">
        <v>45460</v>
      </c>
      <c r="C270" s="1" t="n">
        <v>45723</v>
      </c>
      <c r="D270" t="inlineStr">
        <is>
          <t>VÄSTERNORRLANDS LÄN</t>
        </is>
      </c>
      <c r="E270" t="inlineStr">
        <is>
          <t>SOLLEFTEÅ</t>
        </is>
      </c>
      <c r="G270" t="n">
        <v>1.4</v>
      </c>
      <c r="H270" t="n">
        <v>1</v>
      </c>
      <c r="I270" t="n">
        <v>0</v>
      </c>
      <c r="J270" t="n">
        <v>2</v>
      </c>
      <c r="K270" t="n">
        <v>0</v>
      </c>
      <c r="L270" t="n">
        <v>0</v>
      </c>
      <c r="M270" t="n">
        <v>0</v>
      </c>
      <c r="N270" t="n">
        <v>0</v>
      </c>
      <c r="O270" t="n">
        <v>2</v>
      </c>
      <c r="P270" t="n">
        <v>0</v>
      </c>
      <c r="Q270" t="n">
        <v>3</v>
      </c>
      <c r="R270" s="2" t="inlineStr">
        <is>
          <t>Harticka
Lunglav
Revlummer</t>
        </is>
      </c>
      <c r="S270">
        <f>HYPERLINK("https://klasma.github.io/Logging_2283/artfynd/A 24757-2024 artfynd.xlsx", "A 24757-2024")</f>
        <v/>
      </c>
      <c r="T270">
        <f>HYPERLINK("https://klasma.github.io/Logging_2283/kartor/A 24757-2024 karta.png", "A 24757-2024")</f>
        <v/>
      </c>
      <c r="V270">
        <f>HYPERLINK("https://klasma.github.io/Logging_2283/klagomål/A 24757-2024 FSC-klagomål.docx", "A 24757-2024")</f>
        <v/>
      </c>
      <c r="W270">
        <f>HYPERLINK("https://klasma.github.io/Logging_2283/klagomålsmail/A 24757-2024 FSC-klagomål mail.docx", "A 24757-2024")</f>
        <v/>
      </c>
      <c r="X270">
        <f>HYPERLINK("https://klasma.github.io/Logging_2283/tillsyn/A 24757-2024 tillsynsbegäran.docx", "A 24757-2024")</f>
        <v/>
      </c>
      <c r="Y270">
        <f>HYPERLINK("https://klasma.github.io/Logging_2283/tillsynsmail/A 24757-2024 tillsynsbegäran mail.docx", "A 24757-2024")</f>
        <v/>
      </c>
    </row>
    <row r="271" ht="15" customHeight="1">
      <c r="A271" t="inlineStr">
        <is>
          <t>A 32256-2024</t>
        </is>
      </c>
      <c r="B271" s="1" t="n">
        <v>45511</v>
      </c>
      <c r="C271" s="1" t="n">
        <v>45723</v>
      </c>
      <c r="D271" t="inlineStr">
        <is>
          <t>VÄSTERNORRLANDS LÄN</t>
        </is>
      </c>
      <c r="E271" t="inlineStr">
        <is>
          <t>SOLLEFTEÅ</t>
        </is>
      </c>
      <c r="F271" t="inlineStr">
        <is>
          <t>SCA</t>
        </is>
      </c>
      <c r="G271" t="n">
        <v>3.9</v>
      </c>
      <c r="H271" t="n">
        <v>1</v>
      </c>
      <c r="I271" t="n">
        <v>1</v>
      </c>
      <c r="J271" t="n">
        <v>2</v>
      </c>
      <c r="K271" t="n">
        <v>0</v>
      </c>
      <c r="L271" t="n">
        <v>0</v>
      </c>
      <c r="M271" t="n">
        <v>0</v>
      </c>
      <c r="N271" t="n">
        <v>0</v>
      </c>
      <c r="O271" t="n">
        <v>2</v>
      </c>
      <c r="P271" t="n">
        <v>0</v>
      </c>
      <c r="Q271" t="n">
        <v>3</v>
      </c>
      <c r="R271" s="2" t="inlineStr">
        <is>
          <t>Tretåig hackspett
Vedtrappmossa
Fjällig taggsvamp s.str.</t>
        </is>
      </c>
      <c r="S271">
        <f>HYPERLINK("https://klasma.github.io/Logging_2283/artfynd/A 32256-2024 artfynd.xlsx", "A 32256-2024")</f>
        <v/>
      </c>
      <c r="T271">
        <f>HYPERLINK("https://klasma.github.io/Logging_2283/kartor/A 32256-2024 karta.png", "A 32256-2024")</f>
        <v/>
      </c>
      <c r="V271">
        <f>HYPERLINK("https://klasma.github.io/Logging_2283/klagomål/A 32256-2024 FSC-klagomål.docx", "A 32256-2024")</f>
        <v/>
      </c>
      <c r="W271">
        <f>HYPERLINK("https://klasma.github.io/Logging_2283/klagomålsmail/A 32256-2024 FSC-klagomål mail.docx", "A 32256-2024")</f>
        <v/>
      </c>
      <c r="X271">
        <f>HYPERLINK("https://klasma.github.io/Logging_2283/tillsyn/A 32256-2024 tillsynsbegäran.docx", "A 32256-2024")</f>
        <v/>
      </c>
      <c r="Y271">
        <f>HYPERLINK("https://klasma.github.io/Logging_2283/tillsynsmail/A 32256-2024 tillsynsbegäran mail.docx", "A 32256-2024")</f>
        <v/>
      </c>
      <c r="Z271">
        <f>HYPERLINK("https://klasma.github.io/Logging_2283/fåglar/A 32256-2024 prioriterade fågelarter.docx", "A 32256-2024")</f>
        <v/>
      </c>
    </row>
    <row r="272" ht="15" customHeight="1">
      <c r="A272" t="inlineStr">
        <is>
          <t>A 38096-2024</t>
        </is>
      </c>
      <c r="B272" s="1" t="n">
        <v>45545</v>
      </c>
      <c r="C272" s="1" t="n">
        <v>45723</v>
      </c>
      <c r="D272" t="inlineStr">
        <is>
          <t>VÄSTERNORRLANDS LÄN</t>
        </is>
      </c>
      <c r="E272" t="inlineStr">
        <is>
          <t>SOLLEFTEÅ</t>
        </is>
      </c>
      <c r="F272" t="inlineStr">
        <is>
          <t>SCA</t>
        </is>
      </c>
      <c r="G272" t="n">
        <v>5.2</v>
      </c>
      <c r="H272" t="n">
        <v>1</v>
      </c>
      <c r="I272" t="n">
        <v>2</v>
      </c>
      <c r="J272" t="n">
        <v>1</v>
      </c>
      <c r="K272" t="n">
        <v>0</v>
      </c>
      <c r="L272" t="n">
        <v>0</v>
      </c>
      <c r="M272" t="n">
        <v>0</v>
      </c>
      <c r="N272" t="n">
        <v>0</v>
      </c>
      <c r="O272" t="n">
        <v>1</v>
      </c>
      <c r="P272" t="n">
        <v>0</v>
      </c>
      <c r="Q272" t="n">
        <v>3</v>
      </c>
      <c r="R272" s="2" t="inlineStr">
        <is>
          <t>Lunglav
Bollvitmossa
Lappranunkel</t>
        </is>
      </c>
      <c r="S272">
        <f>HYPERLINK("https://klasma.github.io/Logging_2283/artfynd/A 38096-2024 artfynd.xlsx", "A 38096-2024")</f>
        <v/>
      </c>
      <c r="T272">
        <f>HYPERLINK("https://klasma.github.io/Logging_2283/kartor/A 38096-2024 karta.png", "A 38096-2024")</f>
        <v/>
      </c>
      <c r="V272">
        <f>HYPERLINK("https://klasma.github.io/Logging_2283/klagomål/A 38096-2024 FSC-klagomål.docx", "A 38096-2024")</f>
        <v/>
      </c>
      <c r="W272">
        <f>HYPERLINK("https://klasma.github.io/Logging_2283/klagomålsmail/A 38096-2024 FSC-klagomål mail.docx", "A 38096-2024")</f>
        <v/>
      </c>
      <c r="X272">
        <f>HYPERLINK("https://klasma.github.io/Logging_2283/tillsyn/A 38096-2024 tillsynsbegäran.docx", "A 38096-2024")</f>
        <v/>
      </c>
      <c r="Y272">
        <f>HYPERLINK("https://klasma.github.io/Logging_2283/tillsynsmail/A 38096-2024 tillsynsbegäran mail.docx", "A 38096-2024")</f>
        <v/>
      </c>
    </row>
    <row r="273" ht="15" customHeight="1">
      <c r="A273" t="inlineStr">
        <is>
          <t>A 42951-2024</t>
        </is>
      </c>
      <c r="B273" s="1" t="n">
        <v>45567</v>
      </c>
      <c r="C273" s="1" t="n">
        <v>45723</v>
      </c>
      <c r="D273" t="inlineStr">
        <is>
          <t>VÄSTERNORRLANDS LÄN</t>
        </is>
      </c>
      <c r="E273" t="inlineStr">
        <is>
          <t>SOLLEFTEÅ</t>
        </is>
      </c>
      <c r="F273" t="inlineStr">
        <is>
          <t>SCA</t>
        </is>
      </c>
      <c r="G273" t="n">
        <v>8</v>
      </c>
      <c r="H273" t="n">
        <v>2</v>
      </c>
      <c r="I273" t="n">
        <v>0</v>
      </c>
      <c r="J273" t="n">
        <v>1</v>
      </c>
      <c r="K273" t="n">
        <v>1</v>
      </c>
      <c r="L273" t="n">
        <v>0</v>
      </c>
      <c r="M273" t="n">
        <v>0</v>
      </c>
      <c r="N273" t="n">
        <v>0</v>
      </c>
      <c r="O273" t="n">
        <v>2</v>
      </c>
      <c r="P273" t="n">
        <v>1</v>
      </c>
      <c r="Q273" t="n">
        <v>3</v>
      </c>
      <c r="R273" s="2" t="inlineStr">
        <is>
          <t>Knärot
Rosenticka
Revlummer</t>
        </is>
      </c>
      <c r="S273">
        <f>HYPERLINK("https://klasma.github.io/Logging_2283/artfynd/A 42951-2024 artfynd.xlsx", "A 42951-2024")</f>
        <v/>
      </c>
      <c r="T273">
        <f>HYPERLINK("https://klasma.github.io/Logging_2283/kartor/A 42951-2024 karta.png", "A 42951-2024")</f>
        <v/>
      </c>
      <c r="U273">
        <f>HYPERLINK("https://klasma.github.io/Logging_2283/knärot/A 42951-2024 karta knärot.png", "A 42951-2024")</f>
        <v/>
      </c>
      <c r="V273">
        <f>HYPERLINK("https://klasma.github.io/Logging_2283/klagomål/A 42951-2024 FSC-klagomål.docx", "A 42951-2024")</f>
        <v/>
      </c>
      <c r="W273">
        <f>HYPERLINK("https://klasma.github.io/Logging_2283/klagomålsmail/A 42951-2024 FSC-klagomål mail.docx", "A 42951-2024")</f>
        <v/>
      </c>
      <c r="X273">
        <f>HYPERLINK("https://klasma.github.io/Logging_2283/tillsyn/A 42951-2024 tillsynsbegäran.docx", "A 42951-2024")</f>
        <v/>
      </c>
      <c r="Y273">
        <f>HYPERLINK("https://klasma.github.io/Logging_2283/tillsynsmail/A 42951-2024 tillsynsbegäran mail.docx", "A 42951-2024")</f>
        <v/>
      </c>
    </row>
    <row r="274" ht="15" customHeight="1">
      <c r="A274" t="inlineStr">
        <is>
          <t>A 51064-2024</t>
        </is>
      </c>
      <c r="B274" s="1" t="n">
        <v>45603</v>
      </c>
      <c r="C274" s="1" t="n">
        <v>45723</v>
      </c>
      <c r="D274" t="inlineStr">
        <is>
          <t>VÄSTERNORRLANDS LÄN</t>
        </is>
      </c>
      <c r="E274" t="inlineStr">
        <is>
          <t>SOLLEFTEÅ</t>
        </is>
      </c>
      <c r="F274" t="inlineStr">
        <is>
          <t>SCA</t>
        </is>
      </c>
      <c r="G274" t="n">
        <v>1.6</v>
      </c>
      <c r="H274" t="n">
        <v>1</v>
      </c>
      <c r="I274" t="n">
        <v>0</v>
      </c>
      <c r="J274" t="n">
        <v>2</v>
      </c>
      <c r="K274" t="n">
        <v>1</v>
      </c>
      <c r="L274" t="n">
        <v>0</v>
      </c>
      <c r="M274" t="n">
        <v>0</v>
      </c>
      <c r="N274" t="n">
        <v>0</v>
      </c>
      <c r="O274" t="n">
        <v>3</v>
      </c>
      <c r="P274" t="n">
        <v>1</v>
      </c>
      <c r="Q274" t="n">
        <v>3</v>
      </c>
      <c r="R274" s="2" t="inlineStr">
        <is>
          <t>Knärot
Lunglav
Rosenticka</t>
        </is>
      </c>
      <c r="S274">
        <f>HYPERLINK("https://klasma.github.io/Logging_2283/artfynd/A 51064-2024 artfynd.xlsx", "A 51064-2024")</f>
        <v/>
      </c>
      <c r="T274">
        <f>HYPERLINK("https://klasma.github.io/Logging_2283/kartor/A 51064-2024 karta.png", "A 51064-2024")</f>
        <v/>
      </c>
      <c r="U274">
        <f>HYPERLINK("https://klasma.github.io/Logging_2283/knärot/A 51064-2024 karta knärot.png", "A 51064-2024")</f>
        <v/>
      </c>
      <c r="V274">
        <f>HYPERLINK("https://klasma.github.io/Logging_2283/klagomål/A 51064-2024 FSC-klagomål.docx", "A 51064-2024")</f>
        <v/>
      </c>
      <c r="W274">
        <f>HYPERLINK("https://klasma.github.io/Logging_2283/klagomålsmail/A 51064-2024 FSC-klagomål mail.docx", "A 51064-2024")</f>
        <v/>
      </c>
      <c r="X274">
        <f>HYPERLINK("https://klasma.github.io/Logging_2283/tillsyn/A 51064-2024 tillsynsbegäran.docx", "A 51064-2024")</f>
        <v/>
      </c>
      <c r="Y274">
        <f>HYPERLINK("https://klasma.github.io/Logging_2283/tillsynsmail/A 51064-2024 tillsynsbegäran mail.docx", "A 51064-2024")</f>
        <v/>
      </c>
    </row>
    <row r="275" ht="15" customHeight="1">
      <c r="A275" t="inlineStr">
        <is>
          <t>A 53852-2024</t>
        </is>
      </c>
      <c r="B275" s="1" t="n">
        <v>45615</v>
      </c>
      <c r="C275" s="1" t="n">
        <v>45723</v>
      </c>
      <c r="D275" t="inlineStr">
        <is>
          <t>VÄSTERNORRLANDS LÄN</t>
        </is>
      </c>
      <c r="E275" t="inlineStr">
        <is>
          <t>SOLLEFTEÅ</t>
        </is>
      </c>
      <c r="F275" t="inlineStr">
        <is>
          <t>SCA</t>
        </is>
      </c>
      <c r="G275" t="n">
        <v>0.7</v>
      </c>
      <c r="H275" t="n">
        <v>1</v>
      </c>
      <c r="I275" t="n">
        <v>2</v>
      </c>
      <c r="J275" t="n">
        <v>1</v>
      </c>
      <c r="K275" t="n">
        <v>0</v>
      </c>
      <c r="L275" t="n">
        <v>0</v>
      </c>
      <c r="M275" t="n">
        <v>0</v>
      </c>
      <c r="N275" t="n">
        <v>0</v>
      </c>
      <c r="O275" t="n">
        <v>1</v>
      </c>
      <c r="P275" t="n">
        <v>0</v>
      </c>
      <c r="Q275" t="n">
        <v>3</v>
      </c>
      <c r="R275" s="2" t="inlineStr">
        <is>
          <t>Garnlav
Korallrot
Ögonpyrola</t>
        </is>
      </c>
      <c r="S275">
        <f>HYPERLINK("https://klasma.github.io/Logging_2283/artfynd/A 53852-2024 artfynd.xlsx", "A 53852-2024")</f>
        <v/>
      </c>
      <c r="T275">
        <f>HYPERLINK("https://klasma.github.io/Logging_2283/kartor/A 53852-2024 karta.png", "A 53852-2024")</f>
        <v/>
      </c>
      <c r="V275">
        <f>HYPERLINK("https://klasma.github.io/Logging_2283/klagomål/A 53852-2024 FSC-klagomål.docx", "A 53852-2024")</f>
        <v/>
      </c>
      <c r="W275">
        <f>HYPERLINK("https://klasma.github.io/Logging_2283/klagomålsmail/A 53852-2024 FSC-klagomål mail.docx", "A 53852-2024")</f>
        <v/>
      </c>
      <c r="X275">
        <f>HYPERLINK("https://klasma.github.io/Logging_2283/tillsyn/A 53852-2024 tillsynsbegäran.docx", "A 53852-2024")</f>
        <v/>
      </c>
      <c r="Y275">
        <f>HYPERLINK("https://klasma.github.io/Logging_2283/tillsynsmail/A 53852-2024 tillsynsbegäran mail.docx", "A 53852-2024")</f>
        <v/>
      </c>
    </row>
    <row r="276" ht="15" customHeight="1">
      <c r="A276" t="inlineStr">
        <is>
          <t>A 53682-2024</t>
        </is>
      </c>
      <c r="B276" s="1" t="n">
        <v>45615</v>
      </c>
      <c r="C276" s="1" t="n">
        <v>45723</v>
      </c>
      <c r="D276" t="inlineStr">
        <is>
          <t>VÄSTERNORRLANDS LÄN</t>
        </is>
      </c>
      <c r="E276" t="inlineStr">
        <is>
          <t>SOLLEFTEÅ</t>
        </is>
      </c>
      <c r="F276" t="inlineStr">
        <is>
          <t>SCA</t>
        </is>
      </c>
      <c r="G276" t="n">
        <v>9.5</v>
      </c>
      <c r="H276" t="n">
        <v>0</v>
      </c>
      <c r="I276" t="n">
        <v>0</v>
      </c>
      <c r="J276" t="n">
        <v>2</v>
      </c>
      <c r="K276" t="n">
        <v>1</v>
      </c>
      <c r="L276" t="n">
        <v>0</v>
      </c>
      <c r="M276" t="n">
        <v>0</v>
      </c>
      <c r="N276" t="n">
        <v>0</v>
      </c>
      <c r="O276" t="n">
        <v>3</v>
      </c>
      <c r="P276" t="n">
        <v>1</v>
      </c>
      <c r="Q276" t="n">
        <v>3</v>
      </c>
      <c r="R276" s="2" t="inlineStr">
        <is>
          <t>Tallgråticka
Blå taggsvamp
Skrovlig taggsvamp</t>
        </is>
      </c>
      <c r="S276">
        <f>HYPERLINK("https://klasma.github.io/Logging_2283/artfynd/A 53682-2024 artfynd.xlsx", "A 53682-2024")</f>
        <v/>
      </c>
      <c r="T276">
        <f>HYPERLINK("https://klasma.github.io/Logging_2283/kartor/A 53682-2024 karta.png", "A 53682-2024")</f>
        <v/>
      </c>
      <c r="V276">
        <f>HYPERLINK("https://klasma.github.io/Logging_2283/klagomål/A 53682-2024 FSC-klagomål.docx", "A 53682-2024")</f>
        <v/>
      </c>
      <c r="W276">
        <f>HYPERLINK("https://klasma.github.io/Logging_2283/klagomålsmail/A 53682-2024 FSC-klagomål mail.docx", "A 53682-2024")</f>
        <v/>
      </c>
      <c r="X276">
        <f>HYPERLINK("https://klasma.github.io/Logging_2283/tillsyn/A 53682-2024 tillsynsbegäran.docx", "A 53682-2024")</f>
        <v/>
      </c>
      <c r="Y276">
        <f>HYPERLINK("https://klasma.github.io/Logging_2283/tillsynsmail/A 53682-2024 tillsynsbegäran mail.docx", "A 53682-2024")</f>
        <v/>
      </c>
    </row>
    <row r="277" ht="15" customHeight="1">
      <c r="A277" t="inlineStr">
        <is>
          <t>A 54177-2024</t>
        </is>
      </c>
      <c r="B277" s="1" t="n">
        <v>45616</v>
      </c>
      <c r="C277" s="1" t="n">
        <v>45723</v>
      </c>
      <c r="D277" t="inlineStr">
        <is>
          <t>VÄSTERNORRLANDS LÄN</t>
        </is>
      </c>
      <c r="E277" t="inlineStr">
        <is>
          <t>SOLLEFTEÅ</t>
        </is>
      </c>
      <c r="F277" t="inlineStr">
        <is>
          <t>SCA</t>
        </is>
      </c>
      <c r="G277" t="n">
        <v>6.6</v>
      </c>
      <c r="H277" t="n">
        <v>3</v>
      </c>
      <c r="I277" t="n">
        <v>0</v>
      </c>
      <c r="J277" t="n">
        <v>2</v>
      </c>
      <c r="K277" t="n">
        <v>0</v>
      </c>
      <c r="L277" t="n">
        <v>0</v>
      </c>
      <c r="M277" t="n">
        <v>0</v>
      </c>
      <c r="N277" t="n">
        <v>0</v>
      </c>
      <c r="O277" t="n">
        <v>2</v>
      </c>
      <c r="P277" t="n">
        <v>0</v>
      </c>
      <c r="Q277" t="n">
        <v>3</v>
      </c>
      <c r="R277" s="2" t="inlineStr">
        <is>
          <t>Spillkråka
Tretåig hackspett
Tjäder</t>
        </is>
      </c>
      <c r="S277">
        <f>HYPERLINK("https://klasma.github.io/Logging_2283/artfynd/A 54177-2024 artfynd.xlsx", "A 54177-2024")</f>
        <v/>
      </c>
      <c r="T277">
        <f>HYPERLINK("https://klasma.github.io/Logging_2283/kartor/A 54177-2024 karta.png", "A 54177-2024")</f>
        <v/>
      </c>
      <c r="V277">
        <f>HYPERLINK("https://klasma.github.io/Logging_2283/klagomål/A 54177-2024 FSC-klagomål.docx", "A 54177-2024")</f>
        <v/>
      </c>
      <c r="W277">
        <f>HYPERLINK("https://klasma.github.io/Logging_2283/klagomålsmail/A 54177-2024 FSC-klagomål mail.docx", "A 54177-2024")</f>
        <v/>
      </c>
      <c r="X277">
        <f>HYPERLINK("https://klasma.github.io/Logging_2283/tillsyn/A 54177-2024 tillsynsbegäran.docx", "A 54177-2024")</f>
        <v/>
      </c>
      <c r="Y277">
        <f>HYPERLINK("https://klasma.github.io/Logging_2283/tillsynsmail/A 54177-2024 tillsynsbegäran mail.docx", "A 54177-2024")</f>
        <v/>
      </c>
      <c r="Z277">
        <f>HYPERLINK("https://klasma.github.io/Logging_2283/fåglar/A 54177-2024 prioriterade fågelarter.docx", "A 54177-2024")</f>
        <v/>
      </c>
    </row>
    <row r="278" ht="15" customHeight="1">
      <c r="A278" t="inlineStr">
        <is>
          <t>A 54624-2024</t>
        </is>
      </c>
      <c r="B278" s="1" t="n">
        <v>45617</v>
      </c>
      <c r="C278" s="1" t="n">
        <v>45723</v>
      </c>
      <c r="D278" t="inlineStr">
        <is>
          <t>VÄSTERNORRLANDS LÄN</t>
        </is>
      </c>
      <c r="E278" t="inlineStr">
        <is>
          <t>SOLLEFTEÅ</t>
        </is>
      </c>
      <c r="G278" t="n">
        <v>11.5</v>
      </c>
      <c r="H278" t="n">
        <v>0</v>
      </c>
      <c r="I278" t="n">
        <v>2</v>
      </c>
      <c r="J278" t="n">
        <v>1</v>
      </c>
      <c r="K278" t="n">
        <v>0</v>
      </c>
      <c r="L278" t="n">
        <v>0</v>
      </c>
      <c r="M278" t="n">
        <v>0</v>
      </c>
      <c r="N278" t="n">
        <v>0</v>
      </c>
      <c r="O278" t="n">
        <v>1</v>
      </c>
      <c r="P278" t="n">
        <v>0</v>
      </c>
      <c r="Q278" t="n">
        <v>3</v>
      </c>
      <c r="R278" s="2" t="inlineStr">
        <is>
          <t>Ullticka
Stuplav
Vedticka</t>
        </is>
      </c>
      <c r="S278">
        <f>HYPERLINK("https://klasma.github.io/Logging_2283/artfynd/A 54624-2024 artfynd.xlsx", "A 54624-2024")</f>
        <v/>
      </c>
      <c r="T278">
        <f>HYPERLINK("https://klasma.github.io/Logging_2283/kartor/A 54624-2024 karta.png", "A 54624-2024")</f>
        <v/>
      </c>
      <c r="V278">
        <f>HYPERLINK("https://klasma.github.io/Logging_2283/klagomål/A 54624-2024 FSC-klagomål.docx", "A 54624-2024")</f>
        <v/>
      </c>
      <c r="W278">
        <f>HYPERLINK("https://klasma.github.io/Logging_2283/klagomålsmail/A 54624-2024 FSC-klagomål mail.docx", "A 54624-2024")</f>
        <v/>
      </c>
      <c r="X278">
        <f>HYPERLINK("https://klasma.github.io/Logging_2283/tillsyn/A 54624-2024 tillsynsbegäran.docx", "A 54624-2024")</f>
        <v/>
      </c>
      <c r="Y278">
        <f>HYPERLINK("https://klasma.github.io/Logging_2283/tillsynsmail/A 54624-2024 tillsynsbegäran mail.docx", "A 54624-2024")</f>
        <v/>
      </c>
    </row>
    <row r="279" ht="15" customHeight="1">
      <c r="A279" t="inlineStr">
        <is>
          <t>A 57101-2024</t>
        </is>
      </c>
      <c r="B279" s="1" t="n">
        <v>45629</v>
      </c>
      <c r="C279" s="1" t="n">
        <v>45723</v>
      </c>
      <c r="D279" t="inlineStr">
        <is>
          <t>VÄSTERNORRLANDS LÄN</t>
        </is>
      </c>
      <c r="E279" t="inlineStr">
        <is>
          <t>SOLLEFTEÅ</t>
        </is>
      </c>
      <c r="F279" t="inlineStr">
        <is>
          <t>SCA</t>
        </is>
      </c>
      <c r="G279" t="n">
        <v>4.3</v>
      </c>
      <c r="H279" t="n">
        <v>2</v>
      </c>
      <c r="I279" t="n">
        <v>0</v>
      </c>
      <c r="J279" t="n">
        <v>2</v>
      </c>
      <c r="K279" t="n">
        <v>0</v>
      </c>
      <c r="L279" t="n">
        <v>0</v>
      </c>
      <c r="M279" t="n">
        <v>0</v>
      </c>
      <c r="N279" t="n">
        <v>0</v>
      </c>
      <c r="O279" t="n">
        <v>2</v>
      </c>
      <c r="P279" t="n">
        <v>0</v>
      </c>
      <c r="Q279" t="n">
        <v>3</v>
      </c>
      <c r="R279" s="2" t="inlineStr">
        <is>
          <t>Garnlav
Tretåig hackspett
Tjäder</t>
        </is>
      </c>
      <c r="S279">
        <f>HYPERLINK("https://klasma.github.io/Logging_2283/artfynd/A 57101-2024 artfynd.xlsx", "A 57101-2024")</f>
        <v/>
      </c>
      <c r="T279">
        <f>HYPERLINK("https://klasma.github.io/Logging_2283/kartor/A 57101-2024 karta.png", "A 57101-2024")</f>
        <v/>
      </c>
      <c r="V279">
        <f>HYPERLINK("https://klasma.github.io/Logging_2283/klagomål/A 57101-2024 FSC-klagomål.docx", "A 57101-2024")</f>
        <v/>
      </c>
      <c r="W279">
        <f>HYPERLINK("https://klasma.github.io/Logging_2283/klagomålsmail/A 57101-2024 FSC-klagomål mail.docx", "A 57101-2024")</f>
        <v/>
      </c>
      <c r="X279">
        <f>HYPERLINK("https://klasma.github.io/Logging_2283/tillsyn/A 57101-2024 tillsynsbegäran.docx", "A 57101-2024")</f>
        <v/>
      </c>
      <c r="Y279">
        <f>HYPERLINK("https://klasma.github.io/Logging_2283/tillsynsmail/A 57101-2024 tillsynsbegäran mail.docx", "A 57101-2024")</f>
        <v/>
      </c>
      <c r="Z279">
        <f>HYPERLINK("https://klasma.github.io/Logging_2283/fåglar/A 57101-2024 prioriterade fågelarter.docx", "A 57101-2024")</f>
        <v/>
      </c>
    </row>
    <row r="280" ht="15" customHeight="1">
      <c r="A280" t="inlineStr">
        <is>
          <t>A 5121-2025</t>
        </is>
      </c>
      <c r="B280" s="1" t="n">
        <v>45691</v>
      </c>
      <c r="C280" s="1" t="n">
        <v>45723</v>
      </c>
      <c r="D280" t="inlineStr">
        <is>
          <t>VÄSTERNORRLANDS LÄN</t>
        </is>
      </c>
      <c r="E280" t="inlineStr">
        <is>
          <t>SOLLEFTEÅ</t>
        </is>
      </c>
      <c r="G280" t="n">
        <v>3.4</v>
      </c>
      <c r="H280" t="n">
        <v>1</v>
      </c>
      <c r="I280" t="n">
        <v>0</v>
      </c>
      <c r="J280" t="n">
        <v>3</v>
      </c>
      <c r="K280" t="n">
        <v>0</v>
      </c>
      <c r="L280" t="n">
        <v>0</v>
      </c>
      <c r="M280" t="n">
        <v>0</v>
      </c>
      <c r="N280" t="n">
        <v>0</v>
      </c>
      <c r="O280" t="n">
        <v>3</v>
      </c>
      <c r="P280" t="n">
        <v>0</v>
      </c>
      <c r="Q280" t="n">
        <v>3</v>
      </c>
      <c r="R280" s="2" t="inlineStr">
        <is>
          <t>Granticka
Tretåig hackspett
Ullticka</t>
        </is>
      </c>
      <c r="S280">
        <f>HYPERLINK("https://klasma.github.io/Logging_2283/artfynd/A 5121-2025 artfynd.xlsx", "A 5121-2025")</f>
        <v/>
      </c>
      <c r="T280">
        <f>HYPERLINK("https://klasma.github.io/Logging_2283/kartor/A 5121-2025 karta.png", "A 5121-2025")</f>
        <v/>
      </c>
      <c r="V280">
        <f>HYPERLINK("https://klasma.github.io/Logging_2283/klagomål/A 5121-2025 FSC-klagomål.docx", "A 5121-2025")</f>
        <v/>
      </c>
      <c r="W280">
        <f>HYPERLINK("https://klasma.github.io/Logging_2283/klagomålsmail/A 5121-2025 FSC-klagomål mail.docx", "A 5121-2025")</f>
        <v/>
      </c>
      <c r="X280">
        <f>HYPERLINK("https://klasma.github.io/Logging_2283/tillsyn/A 5121-2025 tillsynsbegäran.docx", "A 5121-2025")</f>
        <v/>
      </c>
      <c r="Y280">
        <f>HYPERLINK("https://klasma.github.io/Logging_2283/tillsynsmail/A 5121-2025 tillsynsbegäran mail.docx", "A 5121-2025")</f>
        <v/>
      </c>
      <c r="Z280">
        <f>HYPERLINK("https://klasma.github.io/Logging_2283/fåglar/A 5121-2025 prioriterade fågelarter.docx", "A 5121-2025")</f>
        <v/>
      </c>
    </row>
    <row r="281" ht="15" customHeight="1">
      <c r="A281" t="inlineStr">
        <is>
          <t>A 18452-2019</t>
        </is>
      </c>
      <c r="B281" s="1" t="n">
        <v>43559</v>
      </c>
      <c r="C281" s="1" t="n">
        <v>45723</v>
      </c>
      <c r="D281" t="inlineStr">
        <is>
          <t>VÄSTERNORRLANDS LÄN</t>
        </is>
      </c>
      <c r="E281" t="inlineStr">
        <is>
          <t>SOLLEFTEÅ</t>
        </is>
      </c>
      <c r="G281" t="n">
        <v>2.2</v>
      </c>
      <c r="H281" t="n">
        <v>0</v>
      </c>
      <c r="I281" t="n">
        <v>1</v>
      </c>
      <c r="J281" t="n">
        <v>1</v>
      </c>
      <c r="K281" t="n">
        <v>0</v>
      </c>
      <c r="L281" t="n">
        <v>0</v>
      </c>
      <c r="M281" t="n">
        <v>0</v>
      </c>
      <c r="N281" t="n">
        <v>0</v>
      </c>
      <c r="O281" t="n">
        <v>1</v>
      </c>
      <c r="P281" t="n">
        <v>0</v>
      </c>
      <c r="Q281" t="n">
        <v>2</v>
      </c>
      <c r="R281" s="2" t="inlineStr">
        <is>
          <t>Lunglav
Bollvitmossa</t>
        </is>
      </c>
      <c r="S281">
        <f>HYPERLINK("https://klasma.github.io/Logging_2283/artfynd/A 18452-2019 artfynd.xlsx", "A 18452-2019")</f>
        <v/>
      </c>
      <c r="T281">
        <f>HYPERLINK("https://klasma.github.io/Logging_2283/kartor/A 18452-2019 karta.png", "A 18452-2019")</f>
        <v/>
      </c>
      <c r="V281">
        <f>HYPERLINK("https://klasma.github.io/Logging_2283/klagomål/A 18452-2019 FSC-klagomål.docx", "A 18452-2019")</f>
        <v/>
      </c>
      <c r="W281">
        <f>HYPERLINK("https://klasma.github.io/Logging_2283/klagomålsmail/A 18452-2019 FSC-klagomål mail.docx", "A 18452-2019")</f>
        <v/>
      </c>
      <c r="X281">
        <f>HYPERLINK("https://klasma.github.io/Logging_2283/tillsyn/A 18452-2019 tillsynsbegäran.docx", "A 18452-2019")</f>
        <v/>
      </c>
      <c r="Y281">
        <f>HYPERLINK("https://klasma.github.io/Logging_2283/tillsynsmail/A 18452-2019 tillsynsbegäran mail.docx", "A 18452-2019")</f>
        <v/>
      </c>
    </row>
    <row r="282" ht="15" customHeight="1">
      <c r="A282" t="inlineStr">
        <is>
          <t>A 21120-2019</t>
        </is>
      </c>
      <c r="B282" s="1" t="n">
        <v>43578</v>
      </c>
      <c r="C282" s="1" t="n">
        <v>45723</v>
      </c>
      <c r="D282" t="inlineStr">
        <is>
          <t>VÄSTERNORRLANDS LÄN</t>
        </is>
      </c>
      <c r="E282" t="inlineStr">
        <is>
          <t>SOLLEFTEÅ</t>
        </is>
      </c>
      <c r="F282" t="inlineStr">
        <is>
          <t>SCA</t>
        </is>
      </c>
      <c r="G282" t="n">
        <v>54.4</v>
      </c>
      <c r="H282" t="n">
        <v>2</v>
      </c>
      <c r="I282" t="n">
        <v>0</v>
      </c>
      <c r="J282" t="n">
        <v>1</v>
      </c>
      <c r="K282" t="n">
        <v>0</v>
      </c>
      <c r="L282" t="n">
        <v>0</v>
      </c>
      <c r="M282" t="n">
        <v>0</v>
      </c>
      <c r="N282" t="n">
        <v>0</v>
      </c>
      <c r="O282" t="n">
        <v>1</v>
      </c>
      <c r="P282" t="n">
        <v>0</v>
      </c>
      <c r="Q282" t="n">
        <v>2</v>
      </c>
      <c r="R282" s="2" t="inlineStr">
        <is>
          <t>Buskskvätta
Revlummer</t>
        </is>
      </c>
      <c r="S282">
        <f>HYPERLINK("https://klasma.github.io/Logging_2283/artfynd/A 21120-2019 artfynd.xlsx", "A 21120-2019")</f>
        <v/>
      </c>
      <c r="T282">
        <f>HYPERLINK("https://klasma.github.io/Logging_2283/kartor/A 21120-2019 karta.png", "A 21120-2019")</f>
        <v/>
      </c>
      <c r="V282">
        <f>HYPERLINK("https://klasma.github.io/Logging_2283/klagomål/A 21120-2019 FSC-klagomål.docx", "A 21120-2019")</f>
        <v/>
      </c>
      <c r="W282">
        <f>HYPERLINK("https://klasma.github.io/Logging_2283/klagomålsmail/A 21120-2019 FSC-klagomål mail.docx", "A 21120-2019")</f>
        <v/>
      </c>
      <c r="X282">
        <f>HYPERLINK("https://klasma.github.io/Logging_2283/tillsyn/A 21120-2019 tillsynsbegäran.docx", "A 21120-2019")</f>
        <v/>
      </c>
      <c r="Y282">
        <f>HYPERLINK("https://klasma.github.io/Logging_2283/tillsynsmail/A 21120-2019 tillsynsbegäran mail.docx", "A 21120-2019")</f>
        <v/>
      </c>
      <c r="Z282">
        <f>HYPERLINK("https://klasma.github.io/Logging_2283/fåglar/A 21120-2019 prioriterade fågelarter.docx", "A 21120-2019")</f>
        <v/>
      </c>
    </row>
    <row r="283" ht="15" customHeight="1">
      <c r="A283" t="inlineStr">
        <is>
          <t>A 34918-2019</t>
        </is>
      </c>
      <c r="B283" s="1" t="n">
        <v>43658</v>
      </c>
      <c r="C283" s="1" t="n">
        <v>45723</v>
      </c>
      <c r="D283" t="inlineStr">
        <is>
          <t>VÄSTERNORRLANDS LÄN</t>
        </is>
      </c>
      <c r="E283" t="inlineStr">
        <is>
          <t>SOLLEFTEÅ</t>
        </is>
      </c>
      <c r="G283" t="n">
        <v>2.7</v>
      </c>
      <c r="H283" t="n">
        <v>0</v>
      </c>
      <c r="I283" t="n">
        <v>0</v>
      </c>
      <c r="J283" t="n">
        <v>2</v>
      </c>
      <c r="K283" t="n">
        <v>0</v>
      </c>
      <c r="L283" t="n">
        <v>0</v>
      </c>
      <c r="M283" t="n">
        <v>0</v>
      </c>
      <c r="N283" t="n">
        <v>0</v>
      </c>
      <c r="O283" t="n">
        <v>2</v>
      </c>
      <c r="P283" t="n">
        <v>0</v>
      </c>
      <c r="Q283" t="n">
        <v>2</v>
      </c>
      <c r="R283" s="2" t="inlineStr">
        <is>
          <t>Granticka
Ullticka</t>
        </is>
      </c>
      <c r="S283">
        <f>HYPERLINK("https://klasma.github.io/Logging_2283/artfynd/A 34918-2019 artfynd.xlsx", "A 34918-2019")</f>
        <v/>
      </c>
      <c r="T283">
        <f>HYPERLINK("https://klasma.github.io/Logging_2283/kartor/A 34918-2019 karta.png", "A 34918-2019")</f>
        <v/>
      </c>
      <c r="V283">
        <f>HYPERLINK("https://klasma.github.io/Logging_2283/klagomål/A 34918-2019 FSC-klagomål.docx", "A 34918-2019")</f>
        <v/>
      </c>
      <c r="W283">
        <f>HYPERLINK("https://klasma.github.io/Logging_2283/klagomålsmail/A 34918-2019 FSC-klagomål mail.docx", "A 34918-2019")</f>
        <v/>
      </c>
      <c r="X283">
        <f>HYPERLINK("https://klasma.github.io/Logging_2283/tillsyn/A 34918-2019 tillsynsbegäran.docx", "A 34918-2019")</f>
        <v/>
      </c>
      <c r="Y283">
        <f>HYPERLINK("https://klasma.github.io/Logging_2283/tillsynsmail/A 34918-2019 tillsynsbegäran mail.docx", "A 34918-2019")</f>
        <v/>
      </c>
    </row>
    <row r="284" ht="15" customHeight="1">
      <c r="A284" t="inlineStr">
        <is>
          <t>A 66366-2019</t>
        </is>
      </c>
      <c r="B284" s="1" t="n">
        <v>43808</v>
      </c>
      <c r="C284" s="1" t="n">
        <v>45723</v>
      </c>
      <c r="D284" t="inlineStr">
        <is>
          <t>VÄSTERNORRLANDS LÄN</t>
        </is>
      </c>
      <c r="E284" t="inlineStr">
        <is>
          <t>SOLLEFTEÅ</t>
        </is>
      </c>
      <c r="G284" t="n">
        <v>2.9</v>
      </c>
      <c r="H284" t="n">
        <v>0</v>
      </c>
      <c r="I284" t="n">
        <v>1</v>
      </c>
      <c r="J284" t="n">
        <v>1</v>
      </c>
      <c r="K284" t="n">
        <v>0</v>
      </c>
      <c r="L284" t="n">
        <v>0</v>
      </c>
      <c r="M284" t="n">
        <v>0</v>
      </c>
      <c r="N284" t="n">
        <v>0</v>
      </c>
      <c r="O284" t="n">
        <v>1</v>
      </c>
      <c r="P284" t="n">
        <v>0</v>
      </c>
      <c r="Q284" t="n">
        <v>2</v>
      </c>
      <c r="R284" s="2" t="inlineStr">
        <is>
          <t>Lunglav
Stor aspticka</t>
        </is>
      </c>
      <c r="S284">
        <f>HYPERLINK("https://klasma.github.io/Logging_2283/artfynd/A 66366-2019 artfynd.xlsx", "A 66366-2019")</f>
        <v/>
      </c>
      <c r="T284">
        <f>HYPERLINK("https://klasma.github.io/Logging_2283/kartor/A 66366-2019 karta.png", "A 66366-2019")</f>
        <v/>
      </c>
      <c r="V284">
        <f>HYPERLINK("https://klasma.github.io/Logging_2283/klagomål/A 66366-2019 FSC-klagomål.docx", "A 66366-2019")</f>
        <v/>
      </c>
      <c r="W284">
        <f>HYPERLINK("https://klasma.github.io/Logging_2283/klagomålsmail/A 66366-2019 FSC-klagomål mail.docx", "A 66366-2019")</f>
        <v/>
      </c>
      <c r="X284">
        <f>HYPERLINK("https://klasma.github.io/Logging_2283/tillsyn/A 66366-2019 tillsynsbegäran.docx", "A 66366-2019")</f>
        <v/>
      </c>
      <c r="Y284">
        <f>HYPERLINK("https://klasma.github.io/Logging_2283/tillsynsmail/A 66366-2019 tillsynsbegäran mail.docx", "A 66366-2019")</f>
        <v/>
      </c>
    </row>
    <row r="285" ht="15" customHeight="1">
      <c r="A285" t="inlineStr">
        <is>
          <t>A 5314-2020</t>
        </is>
      </c>
      <c r="B285" s="1" t="n">
        <v>43857</v>
      </c>
      <c r="C285" s="1" t="n">
        <v>45723</v>
      </c>
      <c r="D285" t="inlineStr">
        <is>
          <t>VÄSTERNORRLANDS LÄN</t>
        </is>
      </c>
      <c r="E285" t="inlineStr">
        <is>
          <t>SOLLEFTEÅ</t>
        </is>
      </c>
      <c r="G285" t="n">
        <v>1.1</v>
      </c>
      <c r="H285" t="n">
        <v>0</v>
      </c>
      <c r="I285" t="n">
        <v>0</v>
      </c>
      <c r="J285" t="n">
        <v>2</v>
      </c>
      <c r="K285" t="n">
        <v>0</v>
      </c>
      <c r="L285" t="n">
        <v>0</v>
      </c>
      <c r="M285" t="n">
        <v>0</v>
      </c>
      <c r="N285" t="n">
        <v>0</v>
      </c>
      <c r="O285" t="n">
        <v>2</v>
      </c>
      <c r="P285" t="n">
        <v>0</v>
      </c>
      <c r="Q285" t="n">
        <v>2</v>
      </c>
      <c r="R285" s="2" t="inlineStr">
        <is>
          <t>Kolflarnlav
Vedskivlav</t>
        </is>
      </c>
      <c r="S285">
        <f>HYPERLINK("https://klasma.github.io/Logging_2283/artfynd/A 5314-2020 artfynd.xlsx", "A 5314-2020")</f>
        <v/>
      </c>
      <c r="T285">
        <f>HYPERLINK("https://klasma.github.io/Logging_2283/kartor/A 5314-2020 karta.png", "A 5314-2020")</f>
        <v/>
      </c>
      <c r="V285">
        <f>HYPERLINK("https://klasma.github.io/Logging_2283/klagomål/A 5314-2020 FSC-klagomål.docx", "A 5314-2020")</f>
        <v/>
      </c>
      <c r="W285">
        <f>HYPERLINK("https://klasma.github.io/Logging_2283/klagomålsmail/A 5314-2020 FSC-klagomål mail.docx", "A 5314-2020")</f>
        <v/>
      </c>
      <c r="X285">
        <f>HYPERLINK("https://klasma.github.io/Logging_2283/tillsyn/A 5314-2020 tillsynsbegäran.docx", "A 5314-2020")</f>
        <v/>
      </c>
      <c r="Y285">
        <f>HYPERLINK("https://klasma.github.io/Logging_2283/tillsynsmail/A 5314-2020 tillsynsbegäran mail.docx", "A 5314-2020")</f>
        <v/>
      </c>
    </row>
    <row r="286" ht="15" customHeight="1">
      <c r="A286" t="inlineStr">
        <is>
          <t>A 29505-2020</t>
        </is>
      </c>
      <c r="B286" s="1" t="n">
        <v>44004</v>
      </c>
      <c r="C286" s="1" t="n">
        <v>45723</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Lunglav
Bårdlav</t>
        </is>
      </c>
      <c r="S286">
        <f>HYPERLINK("https://klasma.github.io/Logging_2283/artfynd/A 29505-2020 artfynd.xlsx", "A 29505-2020")</f>
        <v/>
      </c>
      <c r="T286">
        <f>HYPERLINK("https://klasma.github.io/Logging_2283/kartor/A 29505-2020 karta.png", "A 29505-2020")</f>
        <v/>
      </c>
      <c r="V286">
        <f>HYPERLINK("https://klasma.github.io/Logging_2283/klagomål/A 29505-2020 FSC-klagomål.docx", "A 29505-2020")</f>
        <v/>
      </c>
      <c r="W286">
        <f>HYPERLINK("https://klasma.github.io/Logging_2283/klagomålsmail/A 29505-2020 FSC-klagomål mail.docx", "A 29505-2020")</f>
        <v/>
      </c>
      <c r="X286">
        <f>HYPERLINK("https://klasma.github.io/Logging_2283/tillsyn/A 29505-2020 tillsynsbegäran.docx", "A 29505-2020")</f>
        <v/>
      </c>
      <c r="Y286">
        <f>HYPERLINK("https://klasma.github.io/Logging_2283/tillsynsmail/A 29505-2020 tillsynsbegäran mail.docx", "A 29505-2020")</f>
        <v/>
      </c>
    </row>
    <row r="287" ht="15" customHeight="1">
      <c r="A287" t="inlineStr">
        <is>
          <t>A 35220-2020</t>
        </is>
      </c>
      <c r="B287" s="1" t="n">
        <v>44041</v>
      </c>
      <c r="C287" s="1" t="n">
        <v>45723</v>
      </c>
      <c r="D287" t="inlineStr">
        <is>
          <t>VÄSTERNORRLANDS LÄN</t>
        </is>
      </c>
      <c r="E287" t="inlineStr">
        <is>
          <t>SOLLEFTEÅ</t>
        </is>
      </c>
      <c r="F287" t="inlineStr">
        <is>
          <t>SCA</t>
        </is>
      </c>
      <c r="G287" t="n">
        <v>3.4</v>
      </c>
      <c r="H287" t="n">
        <v>2</v>
      </c>
      <c r="I287" t="n">
        <v>0</v>
      </c>
      <c r="J287" t="n">
        <v>1</v>
      </c>
      <c r="K287" t="n">
        <v>0</v>
      </c>
      <c r="L287" t="n">
        <v>0</v>
      </c>
      <c r="M287" t="n">
        <v>0</v>
      </c>
      <c r="N287" t="n">
        <v>0</v>
      </c>
      <c r="O287" t="n">
        <v>1</v>
      </c>
      <c r="P287" t="n">
        <v>0</v>
      </c>
      <c r="Q287" t="n">
        <v>2</v>
      </c>
      <c r="R287" s="2" t="inlineStr">
        <is>
          <t>Järpe
Tjäder</t>
        </is>
      </c>
      <c r="S287">
        <f>HYPERLINK("https://klasma.github.io/Logging_2283/artfynd/A 35220-2020 artfynd.xlsx", "A 35220-2020")</f>
        <v/>
      </c>
      <c r="T287">
        <f>HYPERLINK("https://klasma.github.io/Logging_2283/kartor/A 35220-2020 karta.png", "A 35220-2020")</f>
        <v/>
      </c>
      <c r="V287">
        <f>HYPERLINK("https://klasma.github.io/Logging_2283/klagomål/A 35220-2020 FSC-klagomål.docx", "A 35220-2020")</f>
        <v/>
      </c>
      <c r="W287">
        <f>HYPERLINK("https://klasma.github.io/Logging_2283/klagomålsmail/A 35220-2020 FSC-klagomål mail.docx", "A 35220-2020")</f>
        <v/>
      </c>
      <c r="X287">
        <f>HYPERLINK("https://klasma.github.io/Logging_2283/tillsyn/A 35220-2020 tillsynsbegäran.docx", "A 35220-2020")</f>
        <v/>
      </c>
      <c r="Y287">
        <f>HYPERLINK("https://klasma.github.io/Logging_2283/tillsynsmail/A 35220-2020 tillsynsbegäran mail.docx", "A 35220-2020")</f>
        <v/>
      </c>
      <c r="Z287">
        <f>HYPERLINK("https://klasma.github.io/Logging_2283/fåglar/A 35220-2020 prioriterade fågelarter.docx", "A 35220-2020")</f>
        <v/>
      </c>
    </row>
    <row r="288" ht="15" customHeight="1">
      <c r="A288" t="inlineStr">
        <is>
          <t>A 2309-2021</t>
        </is>
      </c>
      <c r="B288" s="1" t="n">
        <v>44213</v>
      </c>
      <c r="C288" s="1" t="n">
        <v>45723</v>
      </c>
      <c r="D288" t="inlineStr">
        <is>
          <t>VÄSTERNORRLANDS LÄN</t>
        </is>
      </c>
      <c r="E288" t="inlineStr">
        <is>
          <t>SOLLEFTEÅ</t>
        </is>
      </c>
      <c r="G288" t="n">
        <v>2.1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2309-2021 artfynd.xlsx", "A 2309-2021")</f>
        <v/>
      </c>
      <c r="T288">
        <f>HYPERLINK("https://klasma.github.io/Logging_2283/kartor/A 2309-2021 karta.png", "A 2309-2021")</f>
        <v/>
      </c>
      <c r="V288">
        <f>HYPERLINK("https://klasma.github.io/Logging_2283/klagomål/A 2309-2021 FSC-klagomål.docx", "A 2309-2021")</f>
        <v/>
      </c>
      <c r="W288">
        <f>HYPERLINK("https://klasma.github.io/Logging_2283/klagomålsmail/A 2309-2021 FSC-klagomål mail.docx", "A 2309-2021")</f>
        <v/>
      </c>
      <c r="X288">
        <f>HYPERLINK("https://klasma.github.io/Logging_2283/tillsyn/A 2309-2021 tillsynsbegäran.docx", "A 2309-2021")</f>
        <v/>
      </c>
      <c r="Y288">
        <f>HYPERLINK("https://klasma.github.io/Logging_2283/tillsynsmail/A 2309-2021 tillsynsbegäran mail.docx", "A 2309-2021")</f>
        <v/>
      </c>
      <c r="Z288">
        <f>HYPERLINK("https://klasma.github.io/Logging_2283/fåglar/A 2309-2021 prioriterade fågelarter.docx", "A 2309-2021")</f>
        <v/>
      </c>
    </row>
    <row r="289" ht="15" customHeight="1">
      <c r="A289" t="inlineStr">
        <is>
          <t>A 20836-2021</t>
        </is>
      </c>
      <c r="B289" s="1" t="n">
        <v>44318</v>
      </c>
      <c r="C289" s="1" t="n">
        <v>45723</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27983-2021</t>
        </is>
      </c>
      <c r="B290" s="1" t="n">
        <v>44354</v>
      </c>
      <c r="C290" s="1" t="n">
        <v>45723</v>
      </c>
      <c r="D290" t="inlineStr">
        <is>
          <t>VÄSTERNORRLANDS LÄN</t>
        </is>
      </c>
      <c r="E290" t="inlineStr">
        <is>
          <t>SOLLEFTEÅ</t>
        </is>
      </c>
      <c r="F290" t="inlineStr">
        <is>
          <t>SCA</t>
        </is>
      </c>
      <c r="G290" t="n">
        <v>5.4</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27983-2021 artfynd.xlsx", "A 27983-2021")</f>
        <v/>
      </c>
      <c r="T290">
        <f>HYPERLINK("https://klasma.github.io/Logging_2283/kartor/A 27983-2021 karta.png", "A 27983-2021")</f>
        <v/>
      </c>
      <c r="V290">
        <f>HYPERLINK("https://klasma.github.io/Logging_2283/klagomål/A 27983-2021 FSC-klagomål.docx", "A 27983-2021")</f>
        <v/>
      </c>
      <c r="W290">
        <f>HYPERLINK("https://klasma.github.io/Logging_2283/klagomålsmail/A 27983-2021 FSC-klagomål mail.docx", "A 27983-2021")</f>
        <v/>
      </c>
      <c r="X290">
        <f>HYPERLINK("https://klasma.github.io/Logging_2283/tillsyn/A 27983-2021 tillsynsbegäran.docx", "A 27983-2021")</f>
        <v/>
      </c>
      <c r="Y290">
        <f>HYPERLINK("https://klasma.github.io/Logging_2283/tillsynsmail/A 27983-2021 tillsynsbegäran mail.docx", "A 27983-2021")</f>
        <v/>
      </c>
    </row>
    <row r="291" ht="15" customHeight="1">
      <c r="A291" t="inlineStr">
        <is>
          <t>A 35071-2021</t>
        </is>
      </c>
      <c r="B291" s="1" t="n">
        <v>44383</v>
      </c>
      <c r="C291" s="1" t="n">
        <v>45723</v>
      </c>
      <c r="D291" t="inlineStr">
        <is>
          <t>VÄSTERNORRLANDS LÄN</t>
        </is>
      </c>
      <c r="E291" t="inlineStr">
        <is>
          <t>SOLLEFTEÅ</t>
        </is>
      </c>
      <c r="F291" t="inlineStr">
        <is>
          <t>SCA</t>
        </is>
      </c>
      <c r="G291" t="n">
        <v>1.8</v>
      </c>
      <c r="H291" t="n">
        <v>0</v>
      </c>
      <c r="I291" t="n">
        <v>2</v>
      </c>
      <c r="J291" t="n">
        <v>0</v>
      </c>
      <c r="K291" t="n">
        <v>0</v>
      </c>
      <c r="L291" t="n">
        <v>0</v>
      </c>
      <c r="M291" t="n">
        <v>0</v>
      </c>
      <c r="N291" t="n">
        <v>0</v>
      </c>
      <c r="O291" t="n">
        <v>0</v>
      </c>
      <c r="P291" t="n">
        <v>0</v>
      </c>
      <c r="Q291" t="n">
        <v>2</v>
      </c>
      <c r="R291" s="2" t="inlineStr">
        <is>
          <t>Norrlandslav
Vedticka</t>
        </is>
      </c>
      <c r="S291">
        <f>HYPERLINK("https://klasma.github.io/Logging_2283/artfynd/A 35071-2021 artfynd.xlsx", "A 35071-2021")</f>
        <v/>
      </c>
      <c r="T291">
        <f>HYPERLINK("https://klasma.github.io/Logging_2283/kartor/A 35071-2021 karta.png", "A 35071-2021")</f>
        <v/>
      </c>
      <c r="V291">
        <f>HYPERLINK("https://klasma.github.io/Logging_2283/klagomål/A 35071-2021 FSC-klagomål.docx", "A 35071-2021")</f>
        <v/>
      </c>
      <c r="W291">
        <f>HYPERLINK("https://klasma.github.io/Logging_2283/klagomålsmail/A 35071-2021 FSC-klagomål mail.docx", "A 35071-2021")</f>
        <v/>
      </c>
      <c r="X291">
        <f>HYPERLINK("https://klasma.github.io/Logging_2283/tillsyn/A 35071-2021 tillsynsbegäran.docx", "A 35071-2021")</f>
        <v/>
      </c>
      <c r="Y291">
        <f>HYPERLINK("https://klasma.github.io/Logging_2283/tillsynsmail/A 35071-2021 tillsynsbegäran mail.docx", "A 35071-2021")</f>
        <v/>
      </c>
    </row>
    <row r="292" ht="15" customHeight="1">
      <c r="A292" t="inlineStr">
        <is>
          <t>A 39329-2021</t>
        </is>
      </c>
      <c r="B292" s="1" t="n">
        <v>44414</v>
      </c>
      <c r="C292" s="1" t="n">
        <v>45723</v>
      </c>
      <c r="D292" t="inlineStr">
        <is>
          <t>VÄSTERNORRLANDS LÄN</t>
        </is>
      </c>
      <c r="E292" t="inlineStr">
        <is>
          <t>SOLLEFTEÅ</t>
        </is>
      </c>
      <c r="F292" t="inlineStr">
        <is>
          <t>SCA</t>
        </is>
      </c>
      <c r="G292" t="n">
        <v>2.7</v>
      </c>
      <c r="H292" t="n">
        <v>0</v>
      </c>
      <c r="I292" t="n">
        <v>1</v>
      </c>
      <c r="J292" t="n">
        <v>1</v>
      </c>
      <c r="K292" t="n">
        <v>0</v>
      </c>
      <c r="L292" t="n">
        <v>0</v>
      </c>
      <c r="M292" t="n">
        <v>0</v>
      </c>
      <c r="N292" t="n">
        <v>0</v>
      </c>
      <c r="O292" t="n">
        <v>1</v>
      </c>
      <c r="P292" t="n">
        <v>0</v>
      </c>
      <c r="Q292" t="n">
        <v>2</v>
      </c>
      <c r="R292" s="2" t="inlineStr">
        <is>
          <t>Mörk kolflarnlav
Bollvitmossa</t>
        </is>
      </c>
      <c r="S292">
        <f>HYPERLINK("https://klasma.github.io/Logging_2283/artfynd/A 39329-2021 artfynd.xlsx", "A 39329-2021")</f>
        <v/>
      </c>
      <c r="T292">
        <f>HYPERLINK("https://klasma.github.io/Logging_2283/kartor/A 39329-2021 karta.png", "A 39329-2021")</f>
        <v/>
      </c>
      <c r="V292">
        <f>HYPERLINK("https://klasma.github.io/Logging_2283/klagomål/A 39329-2021 FSC-klagomål.docx", "A 39329-2021")</f>
        <v/>
      </c>
      <c r="W292">
        <f>HYPERLINK("https://klasma.github.io/Logging_2283/klagomålsmail/A 39329-2021 FSC-klagomål mail.docx", "A 39329-2021")</f>
        <v/>
      </c>
      <c r="X292">
        <f>HYPERLINK("https://klasma.github.io/Logging_2283/tillsyn/A 39329-2021 tillsynsbegäran.docx", "A 39329-2021")</f>
        <v/>
      </c>
      <c r="Y292">
        <f>HYPERLINK("https://klasma.github.io/Logging_2283/tillsynsmail/A 39329-2021 tillsynsbegäran mail.docx", "A 39329-2021")</f>
        <v/>
      </c>
    </row>
    <row r="293" ht="15" customHeight="1">
      <c r="A293" t="inlineStr">
        <is>
          <t>A 45213-2021</t>
        </is>
      </c>
      <c r="B293" s="1" t="n">
        <v>44431</v>
      </c>
      <c r="C293" s="1" t="n">
        <v>45723</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45213-2021 artfynd.xlsx", "A 45213-2021")</f>
        <v/>
      </c>
      <c r="T293">
        <f>HYPERLINK("https://klasma.github.io/Logging_2283/kartor/A 45213-2021 karta.png", "A 45213-2021")</f>
        <v/>
      </c>
      <c r="V293">
        <f>HYPERLINK("https://klasma.github.io/Logging_2283/klagomål/A 45213-2021 FSC-klagomål.docx", "A 45213-2021")</f>
        <v/>
      </c>
      <c r="W293">
        <f>HYPERLINK("https://klasma.github.io/Logging_2283/klagomålsmail/A 45213-2021 FSC-klagomål mail.docx", "A 45213-2021")</f>
        <v/>
      </c>
      <c r="X293">
        <f>HYPERLINK("https://klasma.github.io/Logging_2283/tillsyn/A 45213-2021 tillsynsbegäran.docx", "A 45213-2021")</f>
        <v/>
      </c>
      <c r="Y293">
        <f>HYPERLINK("https://klasma.github.io/Logging_2283/tillsynsmail/A 45213-2021 tillsynsbegäran mail.docx", "A 45213-2021")</f>
        <v/>
      </c>
    </row>
    <row r="294" ht="15" customHeight="1">
      <c r="A294" t="inlineStr">
        <is>
          <t>A 47858-2021</t>
        </is>
      </c>
      <c r="B294" s="1" t="n">
        <v>44448</v>
      </c>
      <c r="C294" s="1" t="n">
        <v>45723</v>
      </c>
      <c r="D294" t="inlineStr">
        <is>
          <t>VÄSTERNORRLANDS LÄN</t>
        </is>
      </c>
      <c r="E294" t="inlineStr">
        <is>
          <t>SOLLEFTEÅ</t>
        </is>
      </c>
      <c r="G294" t="n">
        <v>7.7</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47858-2021 artfynd.xlsx", "A 47858-2021")</f>
        <v/>
      </c>
      <c r="T294">
        <f>HYPERLINK("https://klasma.github.io/Logging_2283/kartor/A 47858-2021 karta.png", "A 47858-2021")</f>
        <v/>
      </c>
      <c r="V294">
        <f>HYPERLINK("https://klasma.github.io/Logging_2283/klagomål/A 47858-2021 FSC-klagomål.docx", "A 47858-2021")</f>
        <v/>
      </c>
      <c r="W294">
        <f>HYPERLINK("https://klasma.github.io/Logging_2283/klagomålsmail/A 47858-2021 FSC-klagomål mail.docx", "A 47858-2021")</f>
        <v/>
      </c>
      <c r="X294">
        <f>HYPERLINK("https://klasma.github.io/Logging_2283/tillsyn/A 47858-2021 tillsynsbegäran.docx", "A 47858-2021")</f>
        <v/>
      </c>
      <c r="Y294">
        <f>HYPERLINK("https://klasma.github.io/Logging_2283/tillsynsmail/A 47858-2021 tillsynsbegäran mail.docx", "A 47858-2021")</f>
        <v/>
      </c>
    </row>
    <row r="295" ht="15" customHeight="1">
      <c r="A295" t="inlineStr">
        <is>
          <t>A 51024-2021</t>
        </is>
      </c>
      <c r="B295" s="1" t="n">
        <v>44461</v>
      </c>
      <c r="C295" s="1" t="n">
        <v>45723</v>
      </c>
      <c r="D295" t="inlineStr">
        <is>
          <t>VÄSTERNORRLANDS LÄN</t>
        </is>
      </c>
      <c r="E295" t="inlineStr">
        <is>
          <t>SOLLEFTEÅ</t>
        </is>
      </c>
      <c r="F295" t="inlineStr">
        <is>
          <t>SCA</t>
        </is>
      </c>
      <c r="G295" t="n">
        <v>7.1</v>
      </c>
      <c r="H295" t="n">
        <v>0</v>
      </c>
      <c r="I295" t="n">
        <v>0</v>
      </c>
      <c r="J295" t="n">
        <v>2</v>
      </c>
      <c r="K295" t="n">
        <v>0</v>
      </c>
      <c r="L295" t="n">
        <v>0</v>
      </c>
      <c r="M295" t="n">
        <v>0</v>
      </c>
      <c r="N295" t="n">
        <v>0</v>
      </c>
      <c r="O295" t="n">
        <v>2</v>
      </c>
      <c r="P295" t="n">
        <v>0</v>
      </c>
      <c r="Q295" t="n">
        <v>2</v>
      </c>
      <c r="R295" s="2" t="inlineStr">
        <is>
          <t>Tallticka
Ullticka</t>
        </is>
      </c>
      <c r="S295">
        <f>HYPERLINK("https://klasma.github.io/Logging_2283/artfynd/A 51024-2021 artfynd.xlsx", "A 51024-2021")</f>
        <v/>
      </c>
      <c r="T295">
        <f>HYPERLINK("https://klasma.github.io/Logging_2283/kartor/A 51024-2021 karta.png", "A 51024-2021")</f>
        <v/>
      </c>
      <c r="V295">
        <f>HYPERLINK("https://klasma.github.io/Logging_2283/klagomål/A 51024-2021 FSC-klagomål.docx", "A 51024-2021")</f>
        <v/>
      </c>
      <c r="W295">
        <f>HYPERLINK("https://klasma.github.io/Logging_2283/klagomålsmail/A 51024-2021 FSC-klagomål mail.docx", "A 51024-2021")</f>
        <v/>
      </c>
      <c r="X295">
        <f>HYPERLINK("https://klasma.github.io/Logging_2283/tillsyn/A 51024-2021 tillsynsbegäran.docx", "A 51024-2021")</f>
        <v/>
      </c>
      <c r="Y295">
        <f>HYPERLINK("https://klasma.github.io/Logging_2283/tillsynsmail/A 51024-2021 tillsynsbegäran mail.docx", "A 51024-2021")</f>
        <v/>
      </c>
    </row>
    <row r="296" ht="15" customHeight="1">
      <c r="A296" t="inlineStr">
        <is>
          <t>A 54153-2021</t>
        </is>
      </c>
      <c r="B296" s="1" t="n">
        <v>44469</v>
      </c>
      <c r="C296" s="1" t="n">
        <v>45723</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65419-2021</t>
        </is>
      </c>
      <c r="B297" s="1" t="n">
        <v>44515</v>
      </c>
      <c r="C297" s="1" t="n">
        <v>45723</v>
      </c>
      <c r="D297" t="inlineStr">
        <is>
          <t>VÄSTERNORRLANDS LÄN</t>
        </is>
      </c>
      <c r="E297" t="inlineStr">
        <is>
          <t>SOLLEFTEÅ</t>
        </is>
      </c>
      <c r="F297" t="inlineStr">
        <is>
          <t>SCA</t>
        </is>
      </c>
      <c r="G297" t="n">
        <v>2.3</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65419-2021 artfynd.xlsx", "A 65419-2021")</f>
        <v/>
      </c>
      <c r="T297">
        <f>HYPERLINK("https://klasma.github.io/Logging_2283/kartor/A 65419-2021 karta.png", "A 65419-2021")</f>
        <v/>
      </c>
      <c r="V297">
        <f>HYPERLINK("https://klasma.github.io/Logging_2283/klagomål/A 65419-2021 FSC-klagomål.docx", "A 65419-2021")</f>
        <v/>
      </c>
      <c r="W297">
        <f>HYPERLINK("https://klasma.github.io/Logging_2283/klagomålsmail/A 65419-2021 FSC-klagomål mail.docx", "A 65419-2021")</f>
        <v/>
      </c>
      <c r="X297">
        <f>HYPERLINK("https://klasma.github.io/Logging_2283/tillsyn/A 65419-2021 tillsynsbegäran.docx", "A 65419-2021")</f>
        <v/>
      </c>
      <c r="Y297">
        <f>HYPERLINK("https://klasma.github.io/Logging_2283/tillsynsmail/A 65419-2021 tillsynsbegäran mail.docx", "A 65419-2021")</f>
        <v/>
      </c>
    </row>
    <row r="298" ht="15" customHeight="1">
      <c r="A298" t="inlineStr">
        <is>
          <t>A 9583-2022</t>
        </is>
      </c>
      <c r="B298" s="1" t="n">
        <v>44617</v>
      </c>
      <c r="C298" s="1" t="n">
        <v>45723</v>
      </c>
      <c r="D298" t="inlineStr">
        <is>
          <t>VÄSTERNORRLANDS LÄN</t>
        </is>
      </c>
      <c r="E298" t="inlineStr">
        <is>
          <t>SOLLEFTEÅ</t>
        </is>
      </c>
      <c r="F298" t="inlineStr">
        <is>
          <t>Övriga Aktiebolag</t>
        </is>
      </c>
      <c r="G298" t="n">
        <v>2.3</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9583-2022 artfynd.xlsx", "A 9583-2022")</f>
        <v/>
      </c>
      <c r="T298">
        <f>HYPERLINK("https://klasma.github.io/Logging_2283/kartor/A 9583-2022 karta.png", "A 9583-2022")</f>
        <v/>
      </c>
      <c r="V298">
        <f>HYPERLINK("https://klasma.github.io/Logging_2283/klagomål/A 9583-2022 FSC-klagomål.docx", "A 9583-2022")</f>
        <v/>
      </c>
      <c r="W298">
        <f>HYPERLINK("https://klasma.github.io/Logging_2283/klagomålsmail/A 9583-2022 FSC-klagomål mail.docx", "A 9583-2022")</f>
        <v/>
      </c>
      <c r="X298">
        <f>HYPERLINK("https://klasma.github.io/Logging_2283/tillsyn/A 9583-2022 tillsynsbegäran.docx", "A 9583-2022")</f>
        <v/>
      </c>
      <c r="Y298">
        <f>HYPERLINK("https://klasma.github.io/Logging_2283/tillsynsmail/A 9583-2022 tillsynsbegäran mail.docx", "A 9583-2022")</f>
        <v/>
      </c>
    </row>
    <row r="299" ht="15" customHeight="1">
      <c r="A299" t="inlineStr">
        <is>
          <t>A 13059-2022</t>
        </is>
      </c>
      <c r="B299" s="1" t="n">
        <v>44643</v>
      </c>
      <c r="C299" s="1" t="n">
        <v>45723</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13658-2022</t>
        </is>
      </c>
      <c r="B300" s="1" t="n">
        <v>44648</v>
      </c>
      <c r="C300" s="1" t="n">
        <v>45723</v>
      </c>
      <c r="D300" t="inlineStr">
        <is>
          <t>VÄSTERNORRLANDS LÄN</t>
        </is>
      </c>
      <c r="E300" t="inlineStr">
        <is>
          <t>SOLLEFTEÅ</t>
        </is>
      </c>
      <c r="G300" t="n">
        <v>7.4</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HYPERLINK("https://klasma.github.io/Logging_2283/artfynd/A 13658-2022 artfynd.xlsx", "A 13658-2022")</f>
        <v/>
      </c>
      <c r="T300">
        <f>HYPERLINK("https://klasma.github.io/Logging_2283/kartor/A 13658-2022 karta.png", "A 13658-2022")</f>
        <v/>
      </c>
      <c r="V300">
        <f>HYPERLINK("https://klasma.github.io/Logging_2283/klagomål/A 13658-2022 FSC-klagomål.docx", "A 13658-2022")</f>
        <v/>
      </c>
      <c r="W300">
        <f>HYPERLINK("https://klasma.github.io/Logging_2283/klagomålsmail/A 13658-2022 FSC-klagomål mail.docx", "A 13658-2022")</f>
        <v/>
      </c>
      <c r="X300">
        <f>HYPERLINK("https://klasma.github.io/Logging_2283/tillsyn/A 13658-2022 tillsynsbegäran.docx", "A 13658-2022")</f>
        <v/>
      </c>
      <c r="Y300">
        <f>HYPERLINK("https://klasma.github.io/Logging_2283/tillsynsmail/A 13658-2022 tillsynsbegäran mail.docx", "A 13658-2022")</f>
        <v/>
      </c>
    </row>
    <row r="301" ht="15" customHeight="1">
      <c r="A301" t="inlineStr">
        <is>
          <t>A 18019-2022</t>
        </is>
      </c>
      <c r="B301" s="1" t="n">
        <v>44684</v>
      </c>
      <c r="C301" s="1" t="n">
        <v>45723</v>
      </c>
      <c r="D301" t="inlineStr">
        <is>
          <t>VÄSTERNORRLANDS LÄN</t>
        </is>
      </c>
      <c r="E301" t="inlineStr">
        <is>
          <t>SOLLEFTEÅ</t>
        </is>
      </c>
      <c r="F301" t="inlineStr">
        <is>
          <t>SCA</t>
        </is>
      </c>
      <c r="G301" t="n">
        <v>2.6</v>
      </c>
      <c r="H301" t="n">
        <v>0</v>
      </c>
      <c r="I301" t="n">
        <v>0</v>
      </c>
      <c r="J301" t="n">
        <v>2</v>
      </c>
      <c r="K301" t="n">
        <v>0</v>
      </c>
      <c r="L301" t="n">
        <v>0</v>
      </c>
      <c r="M301" t="n">
        <v>0</v>
      </c>
      <c r="N301" t="n">
        <v>0</v>
      </c>
      <c r="O301" t="n">
        <v>2</v>
      </c>
      <c r="P301" t="n">
        <v>0</v>
      </c>
      <c r="Q301" t="n">
        <v>2</v>
      </c>
      <c r="R301" s="2" t="inlineStr">
        <is>
          <t>Gammelgransskål
Ullticka</t>
        </is>
      </c>
      <c r="S301">
        <f>HYPERLINK("https://klasma.github.io/Logging_2283/artfynd/A 18019-2022 artfynd.xlsx", "A 18019-2022")</f>
        <v/>
      </c>
      <c r="T301">
        <f>HYPERLINK("https://klasma.github.io/Logging_2283/kartor/A 18019-2022 karta.png", "A 18019-2022")</f>
        <v/>
      </c>
      <c r="V301">
        <f>HYPERLINK("https://klasma.github.io/Logging_2283/klagomål/A 18019-2022 FSC-klagomål.docx", "A 18019-2022")</f>
        <v/>
      </c>
      <c r="W301">
        <f>HYPERLINK("https://klasma.github.io/Logging_2283/klagomålsmail/A 18019-2022 FSC-klagomål mail.docx", "A 18019-2022")</f>
        <v/>
      </c>
      <c r="X301">
        <f>HYPERLINK("https://klasma.github.io/Logging_2283/tillsyn/A 18019-2022 tillsynsbegäran.docx", "A 18019-2022")</f>
        <v/>
      </c>
      <c r="Y301">
        <f>HYPERLINK("https://klasma.github.io/Logging_2283/tillsynsmail/A 18019-2022 tillsynsbegäran mail.docx", "A 18019-2022")</f>
        <v/>
      </c>
    </row>
    <row r="302" ht="15" customHeight="1">
      <c r="A302" t="inlineStr">
        <is>
          <t>A 20956-2022</t>
        </is>
      </c>
      <c r="B302" s="1" t="n">
        <v>44701</v>
      </c>
      <c r="C302" s="1" t="n">
        <v>45723</v>
      </c>
      <c r="D302" t="inlineStr">
        <is>
          <t>VÄSTERNORRLANDS LÄN</t>
        </is>
      </c>
      <c r="E302" t="inlineStr">
        <is>
          <t>SOLLEFTEÅ</t>
        </is>
      </c>
      <c r="F302" t="inlineStr">
        <is>
          <t>SCA</t>
        </is>
      </c>
      <c r="G302" t="n">
        <v>2.5</v>
      </c>
      <c r="H302" t="n">
        <v>0</v>
      </c>
      <c r="I302" t="n">
        <v>0</v>
      </c>
      <c r="J302" t="n">
        <v>2</v>
      </c>
      <c r="K302" t="n">
        <v>0</v>
      </c>
      <c r="L302" t="n">
        <v>0</v>
      </c>
      <c r="M302" t="n">
        <v>0</v>
      </c>
      <c r="N302" t="n">
        <v>0</v>
      </c>
      <c r="O302" t="n">
        <v>2</v>
      </c>
      <c r="P302" t="n">
        <v>0</v>
      </c>
      <c r="Q302" t="n">
        <v>2</v>
      </c>
      <c r="R302" s="2" t="inlineStr">
        <is>
          <t>Kandelabersvamp
Stiftgelélav</t>
        </is>
      </c>
      <c r="S302">
        <f>HYPERLINK("https://klasma.github.io/Logging_2283/artfynd/A 20956-2022 artfynd.xlsx", "A 20956-2022")</f>
        <v/>
      </c>
      <c r="T302">
        <f>HYPERLINK("https://klasma.github.io/Logging_2283/kartor/A 20956-2022 karta.png", "A 20956-2022")</f>
        <v/>
      </c>
      <c r="V302">
        <f>HYPERLINK("https://klasma.github.io/Logging_2283/klagomål/A 20956-2022 FSC-klagomål.docx", "A 20956-2022")</f>
        <v/>
      </c>
      <c r="W302">
        <f>HYPERLINK("https://klasma.github.io/Logging_2283/klagomålsmail/A 20956-2022 FSC-klagomål mail.docx", "A 20956-2022")</f>
        <v/>
      </c>
      <c r="X302">
        <f>HYPERLINK("https://klasma.github.io/Logging_2283/tillsyn/A 20956-2022 tillsynsbegäran.docx", "A 20956-2022")</f>
        <v/>
      </c>
      <c r="Y302">
        <f>HYPERLINK("https://klasma.github.io/Logging_2283/tillsynsmail/A 20956-2022 tillsynsbegäran mail.docx", "A 20956-2022")</f>
        <v/>
      </c>
    </row>
    <row r="303" ht="15" customHeight="1">
      <c r="A303" t="inlineStr">
        <is>
          <t>A 24321-2022</t>
        </is>
      </c>
      <c r="B303" s="1" t="n">
        <v>44725</v>
      </c>
      <c r="C303" s="1" t="n">
        <v>45723</v>
      </c>
      <c r="D303" t="inlineStr">
        <is>
          <t>VÄSTERNORRLANDS LÄN</t>
        </is>
      </c>
      <c r="E303" t="inlineStr">
        <is>
          <t>SOLLEFTEÅ</t>
        </is>
      </c>
      <c r="F303" t="inlineStr">
        <is>
          <t>SCA</t>
        </is>
      </c>
      <c r="G303" t="n">
        <v>1.1</v>
      </c>
      <c r="H303" t="n">
        <v>1</v>
      </c>
      <c r="I303" t="n">
        <v>0</v>
      </c>
      <c r="J303" t="n">
        <v>1</v>
      </c>
      <c r="K303" t="n">
        <v>1</v>
      </c>
      <c r="L303" t="n">
        <v>0</v>
      </c>
      <c r="M303" t="n">
        <v>0</v>
      </c>
      <c r="N303" t="n">
        <v>0</v>
      </c>
      <c r="O303" t="n">
        <v>2</v>
      </c>
      <c r="P303" t="n">
        <v>1</v>
      </c>
      <c r="Q303" t="n">
        <v>2</v>
      </c>
      <c r="R303" s="2" t="inlineStr">
        <is>
          <t>Knärot
Garnlav</t>
        </is>
      </c>
      <c r="S303">
        <f>HYPERLINK("https://klasma.github.io/Logging_2283/artfynd/A 24321-2022 artfynd.xlsx", "A 24321-2022")</f>
        <v/>
      </c>
      <c r="T303">
        <f>HYPERLINK("https://klasma.github.io/Logging_2283/kartor/A 24321-2022 karta.png", "A 24321-2022")</f>
        <v/>
      </c>
      <c r="U303">
        <f>HYPERLINK("https://klasma.github.io/Logging_2283/knärot/A 24321-2022 karta knärot.png", "A 24321-2022")</f>
        <v/>
      </c>
      <c r="V303">
        <f>HYPERLINK("https://klasma.github.io/Logging_2283/klagomål/A 24321-2022 FSC-klagomål.docx", "A 24321-2022")</f>
        <v/>
      </c>
      <c r="W303">
        <f>HYPERLINK("https://klasma.github.io/Logging_2283/klagomålsmail/A 24321-2022 FSC-klagomål mail.docx", "A 24321-2022")</f>
        <v/>
      </c>
      <c r="X303">
        <f>HYPERLINK("https://klasma.github.io/Logging_2283/tillsyn/A 24321-2022 tillsynsbegäran.docx", "A 24321-2022")</f>
        <v/>
      </c>
      <c r="Y303">
        <f>HYPERLINK("https://klasma.github.io/Logging_2283/tillsynsmail/A 24321-2022 tillsynsbegäran mail.docx", "A 24321-2022")</f>
        <v/>
      </c>
    </row>
    <row r="304" ht="15" customHeight="1">
      <c r="A304" t="inlineStr">
        <is>
          <t>A 29549-2022</t>
        </is>
      </c>
      <c r="B304" s="1" t="n">
        <v>44753</v>
      </c>
      <c r="C304" s="1" t="n">
        <v>45723</v>
      </c>
      <c r="D304" t="inlineStr">
        <is>
          <t>VÄSTERNORRLANDS LÄN</t>
        </is>
      </c>
      <c r="E304" t="inlineStr">
        <is>
          <t>SOLLEFTEÅ</t>
        </is>
      </c>
      <c r="F304" t="inlineStr">
        <is>
          <t>SCA</t>
        </is>
      </c>
      <c r="G304" t="n">
        <v>36.7</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HYPERLINK("https://klasma.github.io/Logging_2283/artfynd/A 29549-2022 artfynd.xlsx", "A 29549-2022")</f>
        <v/>
      </c>
      <c r="T304">
        <f>HYPERLINK("https://klasma.github.io/Logging_2283/kartor/A 29549-2022 karta.png", "A 29549-2022")</f>
        <v/>
      </c>
      <c r="V304">
        <f>HYPERLINK("https://klasma.github.io/Logging_2283/klagomål/A 29549-2022 FSC-klagomål.docx", "A 29549-2022")</f>
        <v/>
      </c>
      <c r="W304">
        <f>HYPERLINK("https://klasma.github.io/Logging_2283/klagomålsmail/A 29549-2022 FSC-klagomål mail.docx", "A 29549-2022")</f>
        <v/>
      </c>
      <c r="X304">
        <f>HYPERLINK("https://klasma.github.io/Logging_2283/tillsyn/A 29549-2022 tillsynsbegäran.docx", "A 29549-2022")</f>
        <v/>
      </c>
      <c r="Y304">
        <f>HYPERLINK("https://klasma.github.io/Logging_2283/tillsynsmail/A 29549-2022 tillsynsbegäran mail.docx", "A 29549-2022")</f>
        <v/>
      </c>
    </row>
    <row r="305" ht="15" customHeight="1">
      <c r="A305" t="inlineStr">
        <is>
          <t>A 33087-2022</t>
        </is>
      </c>
      <c r="B305" s="1" t="n">
        <v>44785</v>
      </c>
      <c r="C305" s="1" t="n">
        <v>45723</v>
      </c>
      <c r="D305" t="inlineStr">
        <is>
          <t>VÄSTERNORRLANDS LÄN</t>
        </is>
      </c>
      <c r="E305" t="inlineStr">
        <is>
          <t>SOLLEFTEÅ</t>
        </is>
      </c>
      <c r="G305" t="n">
        <v>0.5</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33087-2022 artfynd.xlsx", "A 33087-2022")</f>
        <v/>
      </c>
      <c r="T305">
        <f>HYPERLINK("https://klasma.github.io/Logging_2283/kartor/A 33087-2022 karta.png", "A 33087-2022")</f>
        <v/>
      </c>
      <c r="V305">
        <f>HYPERLINK("https://klasma.github.io/Logging_2283/klagomål/A 33087-2022 FSC-klagomål.docx", "A 33087-2022")</f>
        <v/>
      </c>
      <c r="W305">
        <f>HYPERLINK("https://klasma.github.io/Logging_2283/klagomålsmail/A 33087-2022 FSC-klagomål mail.docx", "A 33087-2022")</f>
        <v/>
      </c>
      <c r="X305">
        <f>HYPERLINK("https://klasma.github.io/Logging_2283/tillsyn/A 33087-2022 tillsynsbegäran.docx", "A 33087-2022")</f>
        <v/>
      </c>
      <c r="Y305">
        <f>HYPERLINK("https://klasma.github.io/Logging_2283/tillsynsmail/A 33087-2022 tillsynsbegäran mail.docx", "A 33087-2022")</f>
        <v/>
      </c>
    </row>
    <row r="306" ht="15" customHeight="1">
      <c r="A306" t="inlineStr">
        <is>
          <t>A 34526-2022</t>
        </is>
      </c>
      <c r="B306" s="1" t="n">
        <v>44792</v>
      </c>
      <c r="C306" s="1" t="n">
        <v>45723</v>
      </c>
      <c r="D306" t="inlineStr">
        <is>
          <t>VÄSTERNORRLANDS LÄN</t>
        </is>
      </c>
      <c r="E306" t="inlineStr">
        <is>
          <t>SOLLEFTEÅ</t>
        </is>
      </c>
      <c r="F306" t="inlineStr">
        <is>
          <t>SCA</t>
        </is>
      </c>
      <c r="G306" t="n">
        <v>1.4</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34526-2022 artfynd.xlsx", "A 34526-2022")</f>
        <v/>
      </c>
      <c r="T306">
        <f>HYPERLINK("https://klasma.github.io/Logging_2283/kartor/A 34526-2022 karta.png", "A 34526-2022")</f>
        <v/>
      </c>
      <c r="V306">
        <f>HYPERLINK("https://klasma.github.io/Logging_2283/klagomål/A 34526-2022 FSC-klagomål.docx", "A 34526-2022")</f>
        <v/>
      </c>
      <c r="W306">
        <f>HYPERLINK("https://klasma.github.io/Logging_2283/klagomålsmail/A 34526-2022 FSC-klagomål mail.docx", "A 34526-2022")</f>
        <v/>
      </c>
      <c r="X306">
        <f>HYPERLINK("https://klasma.github.io/Logging_2283/tillsyn/A 34526-2022 tillsynsbegäran.docx", "A 34526-2022")</f>
        <v/>
      </c>
      <c r="Y306">
        <f>HYPERLINK("https://klasma.github.io/Logging_2283/tillsynsmail/A 34526-2022 tillsynsbegäran mail.docx", "A 34526-2022")</f>
        <v/>
      </c>
    </row>
    <row r="307" ht="15" customHeight="1">
      <c r="A307" t="inlineStr">
        <is>
          <t>A 37243-2022</t>
        </is>
      </c>
      <c r="B307" s="1" t="n">
        <v>44806</v>
      </c>
      <c r="C307" s="1" t="n">
        <v>45723</v>
      </c>
      <c r="D307" t="inlineStr">
        <is>
          <t>VÄSTERNORRLANDS LÄN</t>
        </is>
      </c>
      <c r="E307" t="inlineStr">
        <is>
          <t>SOLLEFTEÅ</t>
        </is>
      </c>
      <c r="F307" t="inlineStr">
        <is>
          <t>SCA</t>
        </is>
      </c>
      <c r="G307" t="n">
        <v>7.1</v>
      </c>
      <c r="H307" t="n">
        <v>0</v>
      </c>
      <c r="I307" t="n">
        <v>1</v>
      </c>
      <c r="J307" t="n">
        <v>1</v>
      </c>
      <c r="K307" t="n">
        <v>0</v>
      </c>
      <c r="L307" t="n">
        <v>0</v>
      </c>
      <c r="M307" t="n">
        <v>0</v>
      </c>
      <c r="N307" t="n">
        <v>0</v>
      </c>
      <c r="O307" t="n">
        <v>1</v>
      </c>
      <c r="P307" t="n">
        <v>0</v>
      </c>
      <c r="Q307" t="n">
        <v>2</v>
      </c>
      <c r="R307" s="2" t="inlineStr">
        <is>
          <t>Violettgrå tagellav
Dropptaggsvamp</t>
        </is>
      </c>
      <c r="S307">
        <f>HYPERLINK("https://klasma.github.io/Logging_2283/artfynd/A 37243-2022 artfynd.xlsx", "A 37243-2022")</f>
        <v/>
      </c>
      <c r="T307">
        <f>HYPERLINK("https://klasma.github.io/Logging_2283/kartor/A 37243-2022 karta.png", "A 37243-2022")</f>
        <v/>
      </c>
      <c r="V307">
        <f>HYPERLINK("https://klasma.github.io/Logging_2283/klagomål/A 37243-2022 FSC-klagomål.docx", "A 37243-2022")</f>
        <v/>
      </c>
      <c r="W307">
        <f>HYPERLINK("https://klasma.github.io/Logging_2283/klagomålsmail/A 37243-2022 FSC-klagomål mail.docx", "A 37243-2022")</f>
        <v/>
      </c>
      <c r="X307">
        <f>HYPERLINK("https://klasma.github.io/Logging_2283/tillsyn/A 37243-2022 tillsynsbegäran.docx", "A 37243-2022")</f>
        <v/>
      </c>
      <c r="Y307">
        <f>HYPERLINK("https://klasma.github.io/Logging_2283/tillsynsmail/A 37243-2022 tillsynsbegäran mail.docx", "A 37243-2022")</f>
        <v/>
      </c>
    </row>
    <row r="308" ht="15" customHeight="1">
      <c r="A308" t="inlineStr">
        <is>
          <t>A 45083-2022</t>
        </is>
      </c>
      <c r="B308" s="1" t="n">
        <v>44841</v>
      </c>
      <c r="C308" s="1" t="n">
        <v>45723</v>
      </c>
      <c r="D308" t="inlineStr">
        <is>
          <t>VÄSTERNORRLANDS LÄN</t>
        </is>
      </c>
      <c r="E308" t="inlineStr">
        <is>
          <t>SOLLEFTEÅ</t>
        </is>
      </c>
      <c r="F308" t="inlineStr">
        <is>
          <t>SCA</t>
        </is>
      </c>
      <c r="G308" t="n">
        <v>4.3</v>
      </c>
      <c r="H308" t="n">
        <v>2</v>
      </c>
      <c r="I308" t="n">
        <v>0</v>
      </c>
      <c r="J308" t="n">
        <v>1</v>
      </c>
      <c r="K308" t="n">
        <v>0</v>
      </c>
      <c r="L308" t="n">
        <v>0</v>
      </c>
      <c r="M308" t="n">
        <v>0</v>
      </c>
      <c r="N308" t="n">
        <v>0</v>
      </c>
      <c r="O308" t="n">
        <v>1</v>
      </c>
      <c r="P308" t="n">
        <v>0</v>
      </c>
      <c r="Q308" t="n">
        <v>2</v>
      </c>
      <c r="R308" s="2" t="inlineStr">
        <is>
          <t>Talltita
Blåsippa</t>
        </is>
      </c>
      <c r="S308">
        <f>HYPERLINK("https://klasma.github.io/Logging_2283/artfynd/A 45083-2022 artfynd.xlsx", "A 45083-2022")</f>
        <v/>
      </c>
      <c r="T308">
        <f>HYPERLINK("https://klasma.github.io/Logging_2283/kartor/A 45083-2022 karta.png", "A 45083-2022")</f>
        <v/>
      </c>
      <c r="V308">
        <f>HYPERLINK("https://klasma.github.io/Logging_2283/klagomål/A 45083-2022 FSC-klagomål.docx", "A 45083-2022")</f>
        <v/>
      </c>
      <c r="W308">
        <f>HYPERLINK("https://klasma.github.io/Logging_2283/klagomålsmail/A 45083-2022 FSC-klagomål mail.docx", "A 45083-2022")</f>
        <v/>
      </c>
      <c r="X308">
        <f>HYPERLINK("https://klasma.github.io/Logging_2283/tillsyn/A 45083-2022 tillsynsbegäran.docx", "A 45083-2022")</f>
        <v/>
      </c>
      <c r="Y308">
        <f>HYPERLINK("https://klasma.github.io/Logging_2283/tillsynsmail/A 45083-2022 tillsynsbegäran mail.docx", "A 45083-2022")</f>
        <v/>
      </c>
      <c r="Z308">
        <f>HYPERLINK("https://klasma.github.io/Logging_2283/fåglar/A 45083-2022 prioriterade fågelarter.docx", "A 45083-2022")</f>
        <v/>
      </c>
    </row>
    <row r="309" ht="15" customHeight="1">
      <c r="A309" t="inlineStr">
        <is>
          <t>A 46630-2022</t>
        </is>
      </c>
      <c r="B309" s="1" t="n">
        <v>44848</v>
      </c>
      <c r="C309" s="1" t="n">
        <v>45723</v>
      </c>
      <c r="D309" t="inlineStr">
        <is>
          <t>VÄSTERNORRLANDS LÄN</t>
        </is>
      </c>
      <c r="E309" t="inlineStr">
        <is>
          <t>SOLLEFTEÅ</t>
        </is>
      </c>
      <c r="F309" t="inlineStr">
        <is>
          <t>SCA</t>
        </is>
      </c>
      <c r="G309" t="n">
        <v>3.1</v>
      </c>
      <c r="H309" t="n">
        <v>2</v>
      </c>
      <c r="I309" t="n">
        <v>0</v>
      </c>
      <c r="J309" t="n">
        <v>1</v>
      </c>
      <c r="K309" t="n">
        <v>1</v>
      </c>
      <c r="L309" t="n">
        <v>0</v>
      </c>
      <c r="M309" t="n">
        <v>0</v>
      </c>
      <c r="N309" t="n">
        <v>0</v>
      </c>
      <c r="O309" t="n">
        <v>2</v>
      </c>
      <c r="P309" t="n">
        <v>1</v>
      </c>
      <c r="Q309" t="n">
        <v>2</v>
      </c>
      <c r="R309" s="2" t="inlineStr">
        <is>
          <t>Knärot
Tretåig hackspett</t>
        </is>
      </c>
      <c r="S309">
        <f>HYPERLINK("https://klasma.github.io/Logging_2283/artfynd/A 46630-2022 artfynd.xlsx", "A 46630-2022")</f>
        <v/>
      </c>
      <c r="T309">
        <f>HYPERLINK("https://klasma.github.io/Logging_2283/kartor/A 46630-2022 karta.png", "A 46630-2022")</f>
        <v/>
      </c>
      <c r="U309">
        <f>HYPERLINK("https://klasma.github.io/Logging_2283/knärot/A 46630-2022 karta knärot.png", "A 46630-2022")</f>
        <v/>
      </c>
      <c r="V309">
        <f>HYPERLINK("https://klasma.github.io/Logging_2283/klagomål/A 46630-2022 FSC-klagomål.docx", "A 46630-2022")</f>
        <v/>
      </c>
      <c r="W309">
        <f>HYPERLINK("https://klasma.github.io/Logging_2283/klagomålsmail/A 46630-2022 FSC-klagomål mail.docx", "A 46630-2022")</f>
        <v/>
      </c>
      <c r="X309">
        <f>HYPERLINK("https://klasma.github.io/Logging_2283/tillsyn/A 46630-2022 tillsynsbegäran.docx", "A 46630-2022")</f>
        <v/>
      </c>
      <c r="Y309">
        <f>HYPERLINK("https://klasma.github.io/Logging_2283/tillsynsmail/A 46630-2022 tillsynsbegäran mail.docx", "A 46630-2022")</f>
        <v/>
      </c>
      <c r="Z309">
        <f>HYPERLINK("https://klasma.github.io/Logging_2283/fåglar/A 46630-2022 prioriterade fågelarter.docx", "A 46630-2022")</f>
        <v/>
      </c>
    </row>
    <row r="310" ht="15" customHeight="1">
      <c r="A310" t="inlineStr">
        <is>
          <t>A 48073-2022</t>
        </is>
      </c>
      <c r="B310" s="1" t="n">
        <v>44855</v>
      </c>
      <c r="C310" s="1" t="n">
        <v>45723</v>
      </c>
      <c r="D310" t="inlineStr">
        <is>
          <t>VÄSTERNORRLANDS LÄN</t>
        </is>
      </c>
      <c r="E310" t="inlineStr">
        <is>
          <t>SOLLEFTEÅ</t>
        </is>
      </c>
      <c r="F310" t="inlineStr">
        <is>
          <t>SCA</t>
        </is>
      </c>
      <c r="G310" t="n">
        <v>4.3</v>
      </c>
      <c r="H310" t="n">
        <v>2</v>
      </c>
      <c r="I310" t="n">
        <v>0</v>
      </c>
      <c r="J310" t="n">
        <v>1</v>
      </c>
      <c r="K310" t="n">
        <v>0</v>
      </c>
      <c r="L310" t="n">
        <v>0</v>
      </c>
      <c r="M310" t="n">
        <v>0</v>
      </c>
      <c r="N310" t="n">
        <v>0</v>
      </c>
      <c r="O310" t="n">
        <v>1</v>
      </c>
      <c r="P310" t="n">
        <v>0</v>
      </c>
      <c r="Q310" t="n">
        <v>2</v>
      </c>
      <c r="R310" s="2" t="inlineStr">
        <is>
          <t>Talltita
Blåsippa</t>
        </is>
      </c>
      <c r="S310">
        <f>HYPERLINK("https://klasma.github.io/Logging_2283/artfynd/A 48073-2022 artfynd.xlsx", "A 48073-2022")</f>
        <v/>
      </c>
      <c r="T310">
        <f>HYPERLINK("https://klasma.github.io/Logging_2283/kartor/A 48073-2022 karta.png", "A 48073-2022")</f>
        <v/>
      </c>
      <c r="V310">
        <f>HYPERLINK("https://klasma.github.io/Logging_2283/klagomål/A 48073-2022 FSC-klagomål.docx", "A 48073-2022")</f>
        <v/>
      </c>
      <c r="W310">
        <f>HYPERLINK("https://klasma.github.io/Logging_2283/klagomålsmail/A 48073-2022 FSC-klagomål mail.docx", "A 48073-2022")</f>
        <v/>
      </c>
      <c r="X310">
        <f>HYPERLINK("https://klasma.github.io/Logging_2283/tillsyn/A 48073-2022 tillsynsbegäran.docx", "A 48073-2022")</f>
        <v/>
      </c>
      <c r="Y310">
        <f>HYPERLINK("https://klasma.github.io/Logging_2283/tillsynsmail/A 48073-2022 tillsynsbegäran mail.docx", "A 48073-2022")</f>
        <v/>
      </c>
      <c r="Z310">
        <f>HYPERLINK("https://klasma.github.io/Logging_2283/fåglar/A 48073-2022 prioriterade fågelarter.docx", "A 48073-2022")</f>
        <v/>
      </c>
    </row>
    <row r="311" ht="15" customHeight="1">
      <c r="A311" t="inlineStr">
        <is>
          <t>A 55727-2022</t>
        </is>
      </c>
      <c r="B311" s="1" t="n">
        <v>44883</v>
      </c>
      <c r="C311" s="1" t="n">
        <v>45723</v>
      </c>
      <c r="D311" t="inlineStr">
        <is>
          <t>VÄSTERNORRLANDS LÄN</t>
        </is>
      </c>
      <c r="E311" t="inlineStr">
        <is>
          <t>SOLLEFTEÅ</t>
        </is>
      </c>
      <c r="G311" t="n">
        <v>16.7</v>
      </c>
      <c r="H311" t="n">
        <v>1</v>
      </c>
      <c r="I311" t="n">
        <v>0</v>
      </c>
      <c r="J311" t="n">
        <v>2</v>
      </c>
      <c r="K311" t="n">
        <v>0</v>
      </c>
      <c r="L311" t="n">
        <v>0</v>
      </c>
      <c r="M311" t="n">
        <v>0</v>
      </c>
      <c r="N311" t="n">
        <v>0</v>
      </c>
      <c r="O311" t="n">
        <v>2</v>
      </c>
      <c r="P311" t="n">
        <v>0</v>
      </c>
      <c r="Q311" t="n">
        <v>2</v>
      </c>
      <c r="R311" s="2" t="inlineStr">
        <is>
          <t>Rosenticka
Tretåig hackspett</t>
        </is>
      </c>
      <c r="S311">
        <f>HYPERLINK("https://klasma.github.io/Logging_2283/artfynd/A 55727-2022 artfynd.xlsx", "A 55727-2022")</f>
        <v/>
      </c>
      <c r="T311">
        <f>HYPERLINK("https://klasma.github.io/Logging_2283/kartor/A 55727-2022 karta.png", "A 55727-2022")</f>
        <v/>
      </c>
      <c r="V311">
        <f>HYPERLINK("https://klasma.github.io/Logging_2283/klagomål/A 55727-2022 FSC-klagomål.docx", "A 55727-2022")</f>
        <v/>
      </c>
      <c r="W311">
        <f>HYPERLINK("https://klasma.github.io/Logging_2283/klagomålsmail/A 55727-2022 FSC-klagomål mail.docx", "A 55727-2022")</f>
        <v/>
      </c>
      <c r="X311">
        <f>HYPERLINK("https://klasma.github.io/Logging_2283/tillsyn/A 55727-2022 tillsynsbegäran.docx", "A 55727-2022")</f>
        <v/>
      </c>
      <c r="Y311">
        <f>HYPERLINK("https://klasma.github.io/Logging_2283/tillsynsmail/A 55727-2022 tillsynsbegäran mail.docx", "A 55727-2022")</f>
        <v/>
      </c>
      <c r="Z311">
        <f>HYPERLINK("https://klasma.github.io/Logging_2283/fåglar/A 55727-2022 prioriterade fågelarter.docx", "A 55727-2022")</f>
        <v/>
      </c>
    </row>
    <row r="312" ht="15" customHeight="1">
      <c r="A312" t="inlineStr">
        <is>
          <t>A 3017-2023</t>
        </is>
      </c>
      <c r="B312" s="1" t="n">
        <v>44945</v>
      </c>
      <c r="C312" s="1" t="n">
        <v>45723</v>
      </c>
      <c r="D312" t="inlineStr">
        <is>
          <t>VÄSTERNORRLANDS LÄN</t>
        </is>
      </c>
      <c r="E312" t="inlineStr">
        <is>
          <t>SOLLEFTEÅ</t>
        </is>
      </c>
      <c r="G312" t="n">
        <v>3.6</v>
      </c>
      <c r="H312" t="n">
        <v>0</v>
      </c>
      <c r="I312" t="n">
        <v>0</v>
      </c>
      <c r="J312" t="n">
        <v>2</v>
      </c>
      <c r="K312" t="n">
        <v>0</v>
      </c>
      <c r="L312" t="n">
        <v>0</v>
      </c>
      <c r="M312" t="n">
        <v>0</v>
      </c>
      <c r="N312" t="n">
        <v>0</v>
      </c>
      <c r="O312" t="n">
        <v>2</v>
      </c>
      <c r="P312" t="n">
        <v>0</v>
      </c>
      <c r="Q312" t="n">
        <v>2</v>
      </c>
      <c r="R312" s="2" t="inlineStr">
        <is>
          <t>Harticka
Ullticka</t>
        </is>
      </c>
      <c r="S312">
        <f>HYPERLINK("https://klasma.github.io/Logging_2283/artfynd/A 3017-2023 artfynd.xlsx", "A 3017-2023")</f>
        <v/>
      </c>
      <c r="T312">
        <f>HYPERLINK("https://klasma.github.io/Logging_2283/kartor/A 3017-2023 karta.png", "A 3017-2023")</f>
        <v/>
      </c>
      <c r="V312">
        <f>HYPERLINK("https://klasma.github.io/Logging_2283/klagomål/A 3017-2023 FSC-klagomål.docx", "A 3017-2023")</f>
        <v/>
      </c>
      <c r="W312">
        <f>HYPERLINK("https://klasma.github.io/Logging_2283/klagomålsmail/A 3017-2023 FSC-klagomål mail.docx", "A 3017-2023")</f>
        <v/>
      </c>
      <c r="X312">
        <f>HYPERLINK("https://klasma.github.io/Logging_2283/tillsyn/A 3017-2023 tillsynsbegäran.docx", "A 3017-2023")</f>
        <v/>
      </c>
      <c r="Y312">
        <f>HYPERLINK("https://klasma.github.io/Logging_2283/tillsynsmail/A 3017-2023 tillsynsbegäran mail.docx", "A 3017-2023")</f>
        <v/>
      </c>
    </row>
    <row r="313" ht="15" customHeight="1">
      <c r="A313" t="inlineStr">
        <is>
          <t>A 8669-2023</t>
        </is>
      </c>
      <c r="B313" s="1" t="n">
        <v>44977</v>
      </c>
      <c r="C313" s="1" t="n">
        <v>45723</v>
      </c>
      <c r="D313" t="inlineStr">
        <is>
          <t>VÄSTERNORRLANDS LÄN</t>
        </is>
      </c>
      <c r="E313" t="inlineStr">
        <is>
          <t>SOLLEFTEÅ</t>
        </is>
      </c>
      <c r="F313" t="inlineStr">
        <is>
          <t>SCA</t>
        </is>
      </c>
      <c r="G313" t="n">
        <v>2.3</v>
      </c>
      <c r="H313" t="n">
        <v>1</v>
      </c>
      <c r="I313" t="n">
        <v>1</v>
      </c>
      <c r="J313" t="n">
        <v>1</v>
      </c>
      <c r="K313" t="n">
        <v>0</v>
      </c>
      <c r="L313" t="n">
        <v>0</v>
      </c>
      <c r="M313" t="n">
        <v>0</v>
      </c>
      <c r="N313" t="n">
        <v>0</v>
      </c>
      <c r="O313" t="n">
        <v>1</v>
      </c>
      <c r="P313" t="n">
        <v>0</v>
      </c>
      <c r="Q313" t="n">
        <v>2</v>
      </c>
      <c r="R313" s="2" t="inlineStr">
        <is>
          <t>Garnlav
Lappranunkel</t>
        </is>
      </c>
      <c r="S313">
        <f>HYPERLINK("https://klasma.github.io/Logging_2283/artfynd/A 8669-2023 artfynd.xlsx", "A 8669-2023")</f>
        <v/>
      </c>
      <c r="T313">
        <f>HYPERLINK("https://klasma.github.io/Logging_2283/kartor/A 8669-2023 karta.png", "A 8669-2023")</f>
        <v/>
      </c>
      <c r="V313">
        <f>HYPERLINK("https://klasma.github.io/Logging_2283/klagomål/A 8669-2023 FSC-klagomål.docx", "A 8669-2023")</f>
        <v/>
      </c>
      <c r="W313">
        <f>HYPERLINK("https://klasma.github.io/Logging_2283/klagomålsmail/A 8669-2023 FSC-klagomål mail.docx", "A 8669-2023")</f>
        <v/>
      </c>
      <c r="X313">
        <f>HYPERLINK("https://klasma.github.io/Logging_2283/tillsyn/A 8669-2023 tillsynsbegäran.docx", "A 8669-2023")</f>
        <v/>
      </c>
      <c r="Y313">
        <f>HYPERLINK("https://klasma.github.io/Logging_2283/tillsynsmail/A 8669-2023 tillsynsbegäran mail.docx", "A 8669-2023")</f>
        <v/>
      </c>
    </row>
    <row r="314" ht="15" customHeight="1">
      <c r="A314" t="inlineStr">
        <is>
          <t>A 9363-2023</t>
        </is>
      </c>
      <c r="B314" s="1" t="n">
        <v>44980</v>
      </c>
      <c r="C314" s="1" t="n">
        <v>45723</v>
      </c>
      <c r="D314" t="inlineStr">
        <is>
          <t>VÄSTERNORRLANDS LÄN</t>
        </is>
      </c>
      <c r="E314" t="inlineStr">
        <is>
          <t>SOLLEFTEÅ</t>
        </is>
      </c>
      <c r="F314" t="inlineStr">
        <is>
          <t>SCA</t>
        </is>
      </c>
      <c r="G314" t="n">
        <v>4.7</v>
      </c>
      <c r="H314" t="n">
        <v>0</v>
      </c>
      <c r="I314" t="n">
        <v>0</v>
      </c>
      <c r="J314" t="n">
        <v>2</v>
      </c>
      <c r="K314" t="n">
        <v>0</v>
      </c>
      <c r="L314" t="n">
        <v>0</v>
      </c>
      <c r="M314" t="n">
        <v>0</v>
      </c>
      <c r="N314" t="n">
        <v>0</v>
      </c>
      <c r="O314" t="n">
        <v>2</v>
      </c>
      <c r="P314" t="n">
        <v>0</v>
      </c>
      <c r="Q314" t="n">
        <v>2</v>
      </c>
      <c r="R314" s="2" t="inlineStr">
        <is>
          <t>Garnlav
Vedskivlav</t>
        </is>
      </c>
      <c r="S314">
        <f>HYPERLINK("https://klasma.github.io/Logging_2283/artfynd/A 9363-2023 artfynd.xlsx", "A 9363-2023")</f>
        <v/>
      </c>
      <c r="T314">
        <f>HYPERLINK("https://klasma.github.io/Logging_2283/kartor/A 9363-2023 karta.png", "A 9363-2023")</f>
        <v/>
      </c>
      <c r="V314">
        <f>HYPERLINK("https://klasma.github.io/Logging_2283/klagomål/A 9363-2023 FSC-klagomål.docx", "A 9363-2023")</f>
        <v/>
      </c>
      <c r="W314">
        <f>HYPERLINK("https://klasma.github.io/Logging_2283/klagomålsmail/A 9363-2023 FSC-klagomål mail.docx", "A 9363-2023")</f>
        <v/>
      </c>
      <c r="X314">
        <f>HYPERLINK("https://klasma.github.io/Logging_2283/tillsyn/A 9363-2023 tillsynsbegäran.docx", "A 9363-2023")</f>
        <v/>
      </c>
      <c r="Y314">
        <f>HYPERLINK("https://klasma.github.io/Logging_2283/tillsynsmail/A 9363-2023 tillsynsbegäran mail.docx", "A 9363-2023")</f>
        <v/>
      </c>
    </row>
    <row r="315" ht="15" customHeight="1">
      <c r="A315" t="inlineStr">
        <is>
          <t>A 13000-2023</t>
        </is>
      </c>
      <c r="B315" s="1" t="n">
        <v>45002</v>
      </c>
      <c r="C315" s="1" t="n">
        <v>45723</v>
      </c>
      <c r="D315" t="inlineStr">
        <is>
          <t>VÄSTERNORRLANDS LÄN</t>
        </is>
      </c>
      <c r="E315" t="inlineStr">
        <is>
          <t>SOLLEFTEÅ</t>
        </is>
      </c>
      <c r="F315" t="inlineStr">
        <is>
          <t>SCA</t>
        </is>
      </c>
      <c r="G315" t="n">
        <v>93.5</v>
      </c>
      <c r="H315" t="n">
        <v>1</v>
      </c>
      <c r="I315" t="n">
        <v>0</v>
      </c>
      <c r="J315" t="n">
        <v>1</v>
      </c>
      <c r="K315" t="n">
        <v>0</v>
      </c>
      <c r="L315" t="n">
        <v>0</v>
      </c>
      <c r="M315" t="n">
        <v>0</v>
      </c>
      <c r="N315" t="n">
        <v>0</v>
      </c>
      <c r="O315" t="n">
        <v>1</v>
      </c>
      <c r="P315" t="n">
        <v>0</v>
      </c>
      <c r="Q315" t="n">
        <v>2</v>
      </c>
      <c r="R315" s="2" t="inlineStr">
        <is>
          <t>Månlåsbräken
Fläcknycklar</t>
        </is>
      </c>
      <c r="S315">
        <f>HYPERLINK("https://klasma.github.io/Logging_2283/artfynd/A 13000-2023 artfynd.xlsx", "A 13000-2023")</f>
        <v/>
      </c>
      <c r="T315">
        <f>HYPERLINK("https://klasma.github.io/Logging_2283/kartor/A 13000-2023 karta.png", "A 13000-2023")</f>
        <v/>
      </c>
      <c r="U315">
        <f>HYPERLINK("https://klasma.github.io/Logging_2283/knärot/A 13000-2023 karta knärot.png", "A 13000-2023")</f>
        <v/>
      </c>
      <c r="V315">
        <f>HYPERLINK("https://klasma.github.io/Logging_2283/klagomål/A 13000-2023 FSC-klagomål.docx", "A 13000-2023")</f>
        <v/>
      </c>
      <c r="W315">
        <f>HYPERLINK("https://klasma.github.io/Logging_2283/klagomålsmail/A 13000-2023 FSC-klagomål mail.docx", "A 13000-2023")</f>
        <v/>
      </c>
      <c r="X315">
        <f>HYPERLINK("https://klasma.github.io/Logging_2283/tillsyn/A 13000-2023 tillsynsbegäran.docx", "A 13000-2023")</f>
        <v/>
      </c>
      <c r="Y315">
        <f>HYPERLINK("https://klasma.github.io/Logging_2283/tillsynsmail/A 13000-2023 tillsynsbegäran mail.docx", "A 13000-2023")</f>
        <v/>
      </c>
    </row>
    <row r="316" ht="15" customHeight="1">
      <c r="A316" t="inlineStr">
        <is>
          <t>A 33036-2023</t>
        </is>
      </c>
      <c r="B316" s="1" t="n">
        <v>45125</v>
      </c>
      <c r="C316" s="1" t="n">
        <v>45723</v>
      </c>
      <c r="D316" t="inlineStr">
        <is>
          <t>VÄSTERNORRLANDS LÄN</t>
        </is>
      </c>
      <c r="E316" t="inlineStr">
        <is>
          <t>SOLLEFTEÅ</t>
        </is>
      </c>
      <c r="F316" t="inlineStr">
        <is>
          <t>SCA</t>
        </is>
      </c>
      <c r="G316" t="n">
        <v>12</v>
      </c>
      <c r="H316" t="n">
        <v>0</v>
      </c>
      <c r="I316" t="n">
        <v>1</v>
      </c>
      <c r="J316" t="n">
        <v>1</v>
      </c>
      <c r="K316" t="n">
        <v>0</v>
      </c>
      <c r="L316" t="n">
        <v>0</v>
      </c>
      <c r="M316" t="n">
        <v>0</v>
      </c>
      <c r="N316" t="n">
        <v>0</v>
      </c>
      <c r="O316" t="n">
        <v>1</v>
      </c>
      <c r="P316" t="n">
        <v>0</v>
      </c>
      <c r="Q316" t="n">
        <v>2</v>
      </c>
      <c r="R316" s="2" t="inlineStr">
        <is>
          <t>Småflikig brosklav
Stuplav</t>
        </is>
      </c>
      <c r="S316">
        <f>HYPERLINK("https://klasma.github.io/Logging_2283/artfynd/A 33036-2023 artfynd.xlsx", "A 33036-2023")</f>
        <v/>
      </c>
      <c r="T316">
        <f>HYPERLINK("https://klasma.github.io/Logging_2283/kartor/A 33036-2023 karta.png", "A 33036-2023")</f>
        <v/>
      </c>
      <c r="V316">
        <f>HYPERLINK("https://klasma.github.io/Logging_2283/klagomål/A 33036-2023 FSC-klagomål.docx", "A 33036-2023")</f>
        <v/>
      </c>
      <c r="W316">
        <f>HYPERLINK("https://klasma.github.io/Logging_2283/klagomålsmail/A 33036-2023 FSC-klagomål mail.docx", "A 33036-2023")</f>
        <v/>
      </c>
      <c r="X316">
        <f>HYPERLINK("https://klasma.github.io/Logging_2283/tillsyn/A 33036-2023 tillsynsbegäran.docx", "A 33036-2023")</f>
        <v/>
      </c>
      <c r="Y316">
        <f>HYPERLINK("https://klasma.github.io/Logging_2283/tillsynsmail/A 33036-2023 tillsynsbegäran mail.docx", "A 33036-2023")</f>
        <v/>
      </c>
    </row>
    <row r="317" ht="15" customHeight="1">
      <c r="A317" t="inlineStr">
        <is>
          <t>A 35587-2023</t>
        </is>
      </c>
      <c r="B317" s="1" t="n">
        <v>45147</v>
      </c>
      <c r="C317" s="1" t="n">
        <v>45723</v>
      </c>
      <c r="D317" t="inlineStr">
        <is>
          <t>VÄSTERNORRLANDS LÄN</t>
        </is>
      </c>
      <c r="E317" t="inlineStr">
        <is>
          <t>SOLLEFTEÅ</t>
        </is>
      </c>
      <c r="F317" t="inlineStr">
        <is>
          <t>Holmen skog AB</t>
        </is>
      </c>
      <c r="G317" t="n">
        <v>5.1</v>
      </c>
      <c r="H317" t="n">
        <v>0</v>
      </c>
      <c r="I317" t="n">
        <v>1</v>
      </c>
      <c r="J317" t="n">
        <v>0</v>
      </c>
      <c r="K317" t="n">
        <v>1</v>
      </c>
      <c r="L317" t="n">
        <v>0</v>
      </c>
      <c r="M317" t="n">
        <v>0</v>
      </c>
      <c r="N317" t="n">
        <v>0</v>
      </c>
      <c r="O317" t="n">
        <v>1</v>
      </c>
      <c r="P317" t="n">
        <v>1</v>
      </c>
      <c r="Q317" t="n">
        <v>2</v>
      </c>
      <c r="R317" s="2" t="inlineStr">
        <is>
          <t>Fläckporing
Dropptaggsvamp</t>
        </is>
      </c>
      <c r="S317">
        <f>HYPERLINK("https://klasma.github.io/Logging_2283/artfynd/A 35587-2023 artfynd.xlsx", "A 35587-2023")</f>
        <v/>
      </c>
      <c r="T317">
        <f>HYPERLINK("https://klasma.github.io/Logging_2283/kartor/A 35587-2023 karta.png", "A 35587-2023")</f>
        <v/>
      </c>
      <c r="V317">
        <f>HYPERLINK("https://klasma.github.io/Logging_2283/klagomål/A 35587-2023 FSC-klagomål.docx", "A 35587-2023")</f>
        <v/>
      </c>
      <c r="W317">
        <f>HYPERLINK("https://klasma.github.io/Logging_2283/klagomålsmail/A 35587-2023 FSC-klagomål mail.docx", "A 35587-2023")</f>
        <v/>
      </c>
      <c r="X317">
        <f>HYPERLINK("https://klasma.github.io/Logging_2283/tillsyn/A 35587-2023 tillsynsbegäran.docx", "A 35587-2023")</f>
        <v/>
      </c>
      <c r="Y317">
        <f>HYPERLINK("https://klasma.github.io/Logging_2283/tillsynsmail/A 35587-2023 tillsynsbegäran mail.docx", "A 35587-2023")</f>
        <v/>
      </c>
    </row>
    <row r="318" ht="15" customHeight="1">
      <c r="A318" t="inlineStr">
        <is>
          <t>A 40419-2023</t>
        </is>
      </c>
      <c r="B318" s="1" t="n">
        <v>45169</v>
      </c>
      <c r="C318" s="1" t="n">
        <v>45723</v>
      </c>
      <c r="D318" t="inlineStr">
        <is>
          <t>VÄSTERNORRLANDS LÄN</t>
        </is>
      </c>
      <c r="E318" t="inlineStr">
        <is>
          <t>SOLLEFTEÅ</t>
        </is>
      </c>
      <c r="F318" t="inlineStr">
        <is>
          <t>SCA</t>
        </is>
      </c>
      <c r="G318" t="n">
        <v>7.9</v>
      </c>
      <c r="H318" t="n">
        <v>1</v>
      </c>
      <c r="I318" t="n">
        <v>0</v>
      </c>
      <c r="J318" t="n">
        <v>1</v>
      </c>
      <c r="K318" t="n">
        <v>1</v>
      </c>
      <c r="L318" t="n">
        <v>0</v>
      </c>
      <c r="M318" t="n">
        <v>0</v>
      </c>
      <c r="N318" t="n">
        <v>0</v>
      </c>
      <c r="O318" t="n">
        <v>2</v>
      </c>
      <c r="P318" t="n">
        <v>1</v>
      </c>
      <c r="Q318" t="n">
        <v>2</v>
      </c>
      <c r="R318" s="2" t="inlineStr">
        <is>
          <t>Knärot
Lunglav</t>
        </is>
      </c>
      <c r="S318">
        <f>HYPERLINK("https://klasma.github.io/Logging_2283/artfynd/A 40419-2023 artfynd.xlsx", "A 40419-2023")</f>
        <v/>
      </c>
      <c r="T318">
        <f>HYPERLINK("https://klasma.github.io/Logging_2283/kartor/A 40419-2023 karta.png", "A 40419-2023")</f>
        <v/>
      </c>
      <c r="U318">
        <f>HYPERLINK("https://klasma.github.io/Logging_2283/knärot/A 40419-2023 karta knärot.png", "A 40419-2023")</f>
        <v/>
      </c>
      <c r="V318">
        <f>HYPERLINK("https://klasma.github.io/Logging_2283/klagomål/A 40419-2023 FSC-klagomål.docx", "A 40419-2023")</f>
        <v/>
      </c>
      <c r="W318">
        <f>HYPERLINK("https://klasma.github.io/Logging_2283/klagomålsmail/A 40419-2023 FSC-klagomål mail.docx", "A 40419-2023")</f>
        <v/>
      </c>
      <c r="X318">
        <f>HYPERLINK("https://klasma.github.io/Logging_2283/tillsyn/A 40419-2023 tillsynsbegäran.docx", "A 40419-2023")</f>
        <v/>
      </c>
      <c r="Y318">
        <f>HYPERLINK("https://klasma.github.io/Logging_2283/tillsynsmail/A 40419-2023 tillsynsbegäran mail.docx", "A 40419-2023")</f>
        <v/>
      </c>
    </row>
    <row r="319" ht="15" customHeight="1">
      <c r="A319" t="inlineStr">
        <is>
          <t>A 40866-2023</t>
        </is>
      </c>
      <c r="B319" s="1" t="n">
        <v>45173</v>
      </c>
      <c r="C319" s="1" t="n">
        <v>45723</v>
      </c>
      <c r="D319" t="inlineStr">
        <is>
          <t>VÄSTERNORRLANDS LÄN</t>
        </is>
      </c>
      <c r="E319" t="inlineStr">
        <is>
          <t>SOLLEFTEÅ</t>
        </is>
      </c>
      <c r="G319" t="n">
        <v>1.7</v>
      </c>
      <c r="H319" t="n">
        <v>1</v>
      </c>
      <c r="I319" t="n">
        <v>1</v>
      </c>
      <c r="J319" t="n">
        <v>0</v>
      </c>
      <c r="K319" t="n">
        <v>0</v>
      </c>
      <c r="L319" t="n">
        <v>0</v>
      </c>
      <c r="M319" t="n">
        <v>0</v>
      </c>
      <c r="N319" t="n">
        <v>0</v>
      </c>
      <c r="O319" t="n">
        <v>0</v>
      </c>
      <c r="P319" t="n">
        <v>0</v>
      </c>
      <c r="Q319" t="n">
        <v>2</v>
      </c>
      <c r="R319" s="2" t="inlineStr">
        <is>
          <t>Tibast
Skogsödla</t>
        </is>
      </c>
      <c r="S319">
        <f>HYPERLINK("https://klasma.github.io/Logging_2283/artfynd/A 40866-2023 artfynd.xlsx", "A 40866-2023")</f>
        <v/>
      </c>
      <c r="T319">
        <f>HYPERLINK("https://klasma.github.io/Logging_2283/kartor/A 40866-2023 karta.png", "A 40866-2023")</f>
        <v/>
      </c>
      <c r="V319">
        <f>HYPERLINK("https://klasma.github.io/Logging_2283/klagomål/A 40866-2023 FSC-klagomål.docx", "A 40866-2023")</f>
        <v/>
      </c>
      <c r="W319">
        <f>HYPERLINK("https://klasma.github.io/Logging_2283/klagomålsmail/A 40866-2023 FSC-klagomål mail.docx", "A 40866-2023")</f>
        <v/>
      </c>
      <c r="X319">
        <f>HYPERLINK("https://klasma.github.io/Logging_2283/tillsyn/A 40866-2023 tillsynsbegäran.docx", "A 40866-2023")</f>
        <v/>
      </c>
      <c r="Y319">
        <f>HYPERLINK("https://klasma.github.io/Logging_2283/tillsynsmail/A 40866-2023 tillsynsbegäran mail.docx", "A 40866-2023")</f>
        <v/>
      </c>
    </row>
    <row r="320" ht="15" customHeight="1">
      <c r="A320" t="inlineStr">
        <is>
          <t>A 45007-2023</t>
        </is>
      </c>
      <c r="B320" s="1" t="n">
        <v>45190</v>
      </c>
      <c r="C320" s="1" t="n">
        <v>45723</v>
      </c>
      <c r="D320" t="inlineStr">
        <is>
          <t>VÄSTERNORRLANDS LÄN</t>
        </is>
      </c>
      <c r="E320" t="inlineStr">
        <is>
          <t>SOLLEFTEÅ</t>
        </is>
      </c>
      <c r="F320" t="inlineStr">
        <is>
          <t>SCA</t>
        </is>
      </c>
      <c r="G320" t="n">
        <v>2.1</v>
      </c>
      <c r="H320" t="n">
        <v>2</v>
      </c>
      <c r="I320" t="n">
        <v>0</v>
      </c>
      <c r="J320" t="n">
        <v>2</v>
      </c>
      <c r="K320" t="n">
        <v>0</v>
      </c>
      <c r="L320" t="n">
        <v>0</v>
      </c>
      <c r="M320" t="n">
        <v>0</v>
      </c>
      <c r="N320" t="n">
        <v>0</v>
      </c>
      <c r="O320" t="n">
        <v>2</v>
      </c>
      <c r="P320" t="n">
        <v>0</v>
      </c>
      <c r="Q320" t="n">
        <v>2</v>
      </c>
      <c r="R320" s="2" t="inlineStr">
        <is>
          <t>Spillkråka
Tretåig hackspett</t>
        </is>
      </c>
      <c r="S320">
        <f>HYPERLINK("https://klasma.github.io/Logging_2283/artfynd/A 45007-2023 artfynd.xlsx", "A 45007-2023")</f>
        <v/>
      </c>
      <c r="T320">
        <f>HYPERLINK("https://klasma.github.io/Logging_2283/kartor/A 45007-2023 karta.png", "A 45007-2023")</f>
        <v/>
      </c>
      <c r="V320">
        <f>HYPERLINK("https://klasma.github.io/Logging_2283/klagomål/A 45007-2023 FSC-klagomål.docx", "A 45007-2023")</f>
        <v/>
      </c>
      <c r="W320">
        <f>HYPERLINK("https://klasma.github.io/Logging_2283/klagomålsmail/A 45007-2023 FSC-klagomål mail.docx", "A 45007-2023")</f>
        <v/>
      </c>
      <c r="X320">
        <f>HYPERLINK("https://klasma.github.io/Logging_2283/tillsyn/A 45007-2023 tillsynsbegäran.docx", "A 45007-2023")</f>
        <v/>
      </c>
      <c r="Y320">
        <f>HYPERLINK("https://klasma.github.io/Logging_2283/tillsynsmail/A 45007-2023 tillsynsbegäran mail.docx", "A 45007-2023")</f>
        <v/>
      </c>
      <c r="Z320">
        <f>HYPERLINK("https://klasma.github.io/Logging_2283/fåglar/A 45007-2023 prioriterade fågelarter.docx", "A 45007-2023")</f>
        <v/>
      </c>
    </row>
    <row r="321" ht="15" customHeight="1">
      <c r="A321" t="inlineStr">
        <is>
          <t>A 45016-2023</t>
        </is>
      </c>
      <c r="B321" s="1" t="n">
        <v>45191</v>
      </c>
      <c r="C321" s="1" t="n">
        <v>45723</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45723</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45723</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45723</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45723</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45723</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45723</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45723</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45723</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45723</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45723</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45723</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45723</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45723</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45723</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45723</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45723</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45723</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45723</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45723</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45723</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45723</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45723</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45723</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45723</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45723</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45723</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45723</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45723</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45723</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45723</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45723</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45723</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45723</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45723</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45723</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45723</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45723</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45723</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45723</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45723</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45723</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45723</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45723</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45723</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45723</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45723</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45723</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45723</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45723</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45723</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45723</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45723</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45723</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45723</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45723</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45723</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45723</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45723</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45723</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45723</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45723</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45723</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45723</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45723</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45723</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45723</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45723</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45723</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45723</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45723</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45723</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45723</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45723</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45723</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45723</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45723</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45723</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45723</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45723</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45723</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45723</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45723</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45723</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45723</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45723</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45723</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45723</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45723</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45723</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45723</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45723</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45723</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45723</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45723</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45723</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45723</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45723</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45723</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45723</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45723</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45723</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45723</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45723</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45723</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45723</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45723</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45723</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45723</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45723</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45723</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45723</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45723</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45723</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45723</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45723</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45723</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45723</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45723</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45723</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45723</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45723</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45723</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45723</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45723</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45723</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45723</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45723</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45723</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45723</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45723</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45723</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45723</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45723</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45723</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45723</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45723</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45723</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45723</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45723</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45723</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45723</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45723</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45723</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45723</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45723</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45723</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45723</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45723</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45723</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45723</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45723</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45723</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45723</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45723</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45723</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45723</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45723</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45723</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45723</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45723</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45723</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45723</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45723</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45723</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45723</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45723</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45723</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45723</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45723</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45723</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45723</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45723</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45723</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45723</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45723</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45723</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45723</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45723</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45723</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45723</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45723</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45723</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45723</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45723</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45723</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45723</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45723</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45723</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45723</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45723</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45723</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45723</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45723</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45723</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45723</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45723</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45723</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45723</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45723</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45723</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45723</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45723</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45723</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45723</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45723</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45723</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45723</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45723</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45723</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45723</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45723</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45723</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45723</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45723</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45723</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45723</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45723</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45723</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45723</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45723</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45723</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45723</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45723</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45723</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45723</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45723</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45723</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45723</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45723</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45723</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45723</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45723</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45723</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45723</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45723</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45723</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45723</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45723</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45723</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45723</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45723</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45723</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45723</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45723</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45723</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45723</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45723</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45723</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45723</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45723</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45723</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45723</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45723</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45723</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45723</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45723</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45723</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45723</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45723</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45723</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45723</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45723</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45723</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45723</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45723</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45723</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45723</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45723</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45723</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45723</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45723</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45723</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45723</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45723</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45723</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45723</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45723</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45723</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45723</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45723</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45723</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45723</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45723</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45723</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45723</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45723</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45723</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45723</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45723</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45723</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45723</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45723</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45723</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45723</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45723</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45723</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45723</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45723</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45723</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45723</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45723</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45723</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45723</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45723</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45723</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45723</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45723</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45723</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45723</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45723</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45723</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45723</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45723</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45723</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45723</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45723</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45723</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45723</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45723</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45723</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45723</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45723</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45723</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45723</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45723</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45723</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45723</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45723</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45723</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45723</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45723</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45723</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45723</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45723</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45723</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45723</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45723</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45723</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45723</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45723</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45723</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45723</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45723</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45723</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45723</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45723</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45723</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45723</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45723</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45723</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45723</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45723</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45723</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45723</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45723</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45723</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45723</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45723</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45723</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45723</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45723</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45723</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45723</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45723</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45723</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45723</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45723</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45723</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45723</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45723</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45723</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45723</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45723</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45723</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45723</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45723</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45723</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45723</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45723</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45723</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45723</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45723</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45723</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45723</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45723</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45723</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45723</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45723</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45723</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45723</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45723</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45723</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45723</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45723</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45723</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45723</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45723</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45723</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45723</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45723</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45723</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45723</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45723</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45723</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45723</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45723</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45723</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45723</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45723</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45723</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45723</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45723</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45723</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45723</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45723</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45723</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45723</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45723</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45723</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45723</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45723</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45723</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45723</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45723</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45723</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45723</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45723</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45723</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45723</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45723</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45723</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45723</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45723</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45723</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45723</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45723</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45723</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45723</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45723</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45723</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45723</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45723</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45723</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45723</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45723</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45723</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45723</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45723</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45723</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45723</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45723</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45723</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45723</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45723</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45723</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45723</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45723</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45723</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45723</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45723</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45723</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45723</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45723</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45723</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45723</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45723</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45723</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45723</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45723</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45723</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45723</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45723</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45723</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45723</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45723</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45723</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45723</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45723</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45723</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45723</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45723</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45723</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45723</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45723</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45723</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45723</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45723</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45723</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45723</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45723</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45723</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45723</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45723</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45723</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45723</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45723</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45723</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45723</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45723</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45723</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45723</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45723</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45723</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45723</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45723</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45723</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45723</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45723</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45723</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45723</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45723</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45723</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45723</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45723</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45723</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45723</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45723</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45723</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45723</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45723</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45723</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45723</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45723</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45723</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45723</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45723</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45723</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45723</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45723</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45723</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45723</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45723</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45723</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45723</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45723</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45723</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45723</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45723</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45723</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45723</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45723</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45723</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45723</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45723</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45723</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45723</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45723</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45723</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45723</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45723</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45723</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45723</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45723</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45723</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45723</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45723</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45723</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45723</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45723</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45723</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45723</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45723</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45723</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45723</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45723</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45723</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45723</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45723</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45723</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45723</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45723</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45723</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45723</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45723</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45723</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45723</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45723</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45723</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45723</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45723</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45723</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45723</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45723</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45723</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45723</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45723</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45723</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45723</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45723</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45723</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45723</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45723</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45723</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45723</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45723</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45723</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45723</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45723</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45723</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45723</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45723</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45723</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45723</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45723</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45723</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45723</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45723</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45723</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45723</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45723</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45723</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45723</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45723</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45723</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45723</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45723</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45723</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45723</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45723</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45723</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45723</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45723</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45723</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45723</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45723</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45723</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45723</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45723</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45723</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45723</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45723</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45723</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45723</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45723</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45723</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45723</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45723</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45723</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45723</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45723</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45723</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45723</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45723</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45723</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45723</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45723</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45723</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45723</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45723</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45723</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45723</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45723</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45723</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45723</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45723</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45723</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45723</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45723</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45723</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45723</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45723</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45723</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45723</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45723</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45723</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45723</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45723</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45723</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45723</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45723</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45723</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45723</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45723</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45723</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45723</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45723</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45723</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45723</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45723</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45723</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45723</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45723</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45723</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45723</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45723</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45723</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45723</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45723</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45723</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45723</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45723</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45723</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45723</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45723</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45723</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45723</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45723</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45723</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45723</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45723</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45723</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45723</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45723</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45723</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45723</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45723</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45723</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45723</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45723</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45723</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45723</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45723</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45723</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45723</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45723</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45723</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45723</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45723</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45723</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45723</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45723</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45723</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45723</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45723</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45723</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45723</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45723</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45723</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45723</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45723</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45723</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45723</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45723</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45723</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45723</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45723</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45723</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45723</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45723</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45723</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45723</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45723</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45723</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45723</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45723</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45723</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45723</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45723</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45723</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45723</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45723</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45723</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45723</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45723</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45723</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45723</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45723</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45723</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45723</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45723</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45723</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45723</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45723</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45723</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45723</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45723</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45723</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45723</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45723</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45723</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45723</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45723</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45723</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45723</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45723</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45723</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45723</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45723</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45723</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45723</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45723</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45723</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45723</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45723</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45723</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45723</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45723</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45723</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45723</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45723</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45723</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45723</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45723</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45723</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45723</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45723</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45723</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45723</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45723</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45723</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45723</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45723</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45723</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45723</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45723</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45723</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45723</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45723</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45723</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45723</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45723</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45723</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45723</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45723</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45723</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45723</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45723</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45723</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45723</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45723</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45723</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45723</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45723</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45723</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45723</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45723</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45723</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45723</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45723</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45723</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45723</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45723</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45723</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45723</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45723</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45723</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45723</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45723</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45723</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45723</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45723</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45723</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45723</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45723</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45723</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45723</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45723</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45723</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45723</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45723</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45723</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45723</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45723</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45723</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45723</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45723</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45723</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45723</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45723</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45723</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45723</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45723</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45723</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45723</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45723</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45723</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45723</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45723</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45723</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45723</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45723</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45723</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45723</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45723</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45723</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45723</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45723</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45723</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45723</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45723</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45723</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45723</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45723</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45723</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45723</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45723</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45723</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45723</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45723</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45723</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45723</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45723</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45723</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45723</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45723</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45723</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45723</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45723</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45723</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45723</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45723</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45723</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45723</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45723</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45723</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45723</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45723</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45723</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45723</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45723</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45723</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45723</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45723</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45723</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45723</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45723</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45723</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45723</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45723</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45723</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45723</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45723</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45723</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45723</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45723</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45723</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45723</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45723</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45723</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45723</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45723</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45723</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45723</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45723</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45723</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45723</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45723</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45723</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45723</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45723</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45723</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45723</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45723</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45723</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45723</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45723</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45723</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45723</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45723</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45723</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45723</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45723</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45723</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45723</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45723</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45723</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45723</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45723</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45723</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45723</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45723</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45723</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45723</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45723</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45723</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45723</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45723</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45723</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45723</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45723</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45723</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45723</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45723</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45723</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45723</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45723</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45723</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45723</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45723</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45723</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45723</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45723</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45723</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45723</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45723</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45723</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45723</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45723</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45723</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45723</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45723</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45723</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45723</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45723</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45723</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45723</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45723</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45723</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45723</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45723</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45723</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45723</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45723</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45723</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45723</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45723</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45723</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45723</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45723</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45723</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45723</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45723</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45723</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45723</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45723</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45723</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45723</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45723</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45723</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45723</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45723</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45723</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45723</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45723</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45723</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45723</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45723</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45723</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45723</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45723</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45723</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45723</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45723</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45723</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45723</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45723</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45723</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45723</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45723</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45723</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45723</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45723</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45723</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45723</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45723</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45723</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45723</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45723</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45723</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45723</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45723</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45723</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45723</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45723</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45723</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45723</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45723</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45723</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45723</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45723</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45723</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45723</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45723</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45723</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45723</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45723</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45723</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45723</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45723</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45723</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45723</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45723</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45723</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45723</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45723</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45723</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45723</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45723</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45723</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45723</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45723</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45723</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45723</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45723</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45723</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45723</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45723</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45723</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45723</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45723</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45723</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45723</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45723</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45723</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45723</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45723</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45723</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45723</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45723</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45723</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45723</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45723</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45723</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45723</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45723</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45723</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45723</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45723</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45723</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45723</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45723</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45723</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45723</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45723</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45723</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45723</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45723</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45723</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45723</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45723</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45723</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45723</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45723</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45723</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45723</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45723</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45723</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45723</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45723</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45723</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45723</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45723</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45723</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45723</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45723</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45723</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45723</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45723</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45723</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45723</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45723</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45723</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45723</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45723</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45723</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45723</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45723</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45723</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45723</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45723</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45723</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45723</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45723</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45723</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45723</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45723</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45723</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45723</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45723</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45723</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45723</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45723</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45723</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45723</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45723</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45723</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45723</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45723</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45723</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45723</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45723</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45723</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45723</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45723</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45723</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45723</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45723</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45723</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45723</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45723</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45723</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45723</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45723</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45723</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45723</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45723</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45723</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45723</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45723</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45723</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45723</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45723</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45723</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45723</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45723</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45723</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45723</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45723</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45723</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45723</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45723</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45723</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45723</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45723</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45723</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45723</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45723</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45723</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45723</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45723</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45723</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45723</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45723</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45723</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45723</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45723</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45723</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45723</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45723</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45723</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45723</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45723</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45723</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45723</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45723</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45723</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45723</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45723</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45723</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45723</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45723</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45723</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45723</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45723</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45723</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45723</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45723</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45723</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45723</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45723</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45723</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45723</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45723</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45723</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45723</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45723</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45723</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45723</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45723</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45723</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45723</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45723</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45723</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45723</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45723</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45723</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45723</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45723</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45723</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45723</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45723</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45723</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45723</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45723</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45723</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45723</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45723</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45723</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45723</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45723</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45723</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45723</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45723</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45723</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45723</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45723</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45723</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45723</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45723</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45723</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45723</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45723</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45723</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45723</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45723</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45723</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45723</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45723</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45723</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45723</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45723</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45723</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45723</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45723</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45723</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45723</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45723</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45723</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45723</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45723</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45723</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45723</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45723</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45723</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45723</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45723</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45723</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45723</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45723</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45723</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45723</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45723</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45723</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45723</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45723</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45723</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45723</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45723</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45723</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45723</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45723</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45723</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45723</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45723</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45723</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45723</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45723</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45723</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45723</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45723</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45723</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45723</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45723</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45723</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45723</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45723</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45723</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45723</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45723</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45723</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45723</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45723</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45723</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45723</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45723</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45723</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45723</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45723</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45723</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45723</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45723</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45723</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45723</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45723</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45723</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45723</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45723</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45723</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45723</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45723</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45723</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45723</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45723</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45723</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45723</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45723</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45723</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45723</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45723</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45723</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45723</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45723</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45723</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45723</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45723</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45723</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45723</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45723</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45723</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45723</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45723</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45723</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45723</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45723</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45723</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45723</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45723</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45723</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45723</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45723</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45723</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45723</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45723</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45723</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45723</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45723</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45723</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45723</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45723</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45723</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45723</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45723</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45723</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45723</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45723</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45723</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45723</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45723</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45723</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45723</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45723</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45723</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45723</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45723</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45723</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45723</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45723</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45723</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45723</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45723</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45723</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45723</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45723</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45723</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45723</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45723</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45723</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45723</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45723</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45723</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45723</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45723</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45723</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45723</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45723</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45723</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45723</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45723</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45723</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45723</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45723</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45723</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45723</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45723</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45723</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45723</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45723</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45723</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45723</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45723</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45723</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45723</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45723</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45723</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45723</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45723</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45723</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45723</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45723</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45723</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45723</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45723</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45723</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45723</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45723</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45723</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45723</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45723</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45723</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45723</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45723</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45723</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45723</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45723</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45723</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45723</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45723</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45723</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45723</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45723</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45723</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45723</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45723</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45723</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45723</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45723</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45723</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45723</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45723</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45723</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45723</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45723</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45723</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45723</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45723</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45723</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45723</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45723</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45723</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45723</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45723</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45723</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45723</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45723</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45723</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45723</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45723</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45723</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45723</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45723</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45723</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45723</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45723</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45723</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45723</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45723</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45723</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45723</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45723</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45723</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45723</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45723</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45723</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45723</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45723</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45723</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45723</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45723</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45723</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45723</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45723</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45723</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45723</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45723</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45723</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45723</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45723</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45723</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45723</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45723</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45723</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45723</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45723</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45723</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45723</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45723</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45723</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45723</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45723</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45723</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45723</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45723</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45723</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45723</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45723</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45723</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45723</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45723</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45723</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45723</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45723</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45723</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45723</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45723</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45723</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45723</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45723</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45723</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45723</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45723</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45723</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45723</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45723</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45723</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45723</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45723</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45723</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45723</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45723</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45723</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45723</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45723</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45723</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45723</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45723</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45723</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45723</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45723</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45723</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45723</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45723</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45723</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45723</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45723</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45723</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45723</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45723</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45723</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45723</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45723</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45723</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45723</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45723</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45723</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45723</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45723</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45723</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45723</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45723</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45723</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45723</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45723</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45723</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45723</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45723</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45723</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45723</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45723</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45723</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45723</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45723</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45723</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45723</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45723</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45723</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45723</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45723</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45723</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45723</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45723</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45723</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45723</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45723</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45723</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45723</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45723</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45723</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45723</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45723</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45723</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45723</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45723</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45723</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45723</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45723</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45723</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45723</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45723</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45723</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45723</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45723</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45723</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45723</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45723</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45723</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45723</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45723</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45723</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45723</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45723</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45723</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45723</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45723</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45723</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45723</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45723</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45723</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45723</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45723</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45723</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45723</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45723</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45723</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45723</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45723</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45723</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45723</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45723</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45723</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45723</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45723</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45723</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45723</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45723</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45723</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45723</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45723</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45723</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45723</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45723</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45723</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45723</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45723</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45723</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45723</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45723</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45723</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45723</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45723</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45723</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45723</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45723</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45723</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45723</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45723</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45723</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45723</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45723</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45723</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45723</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45723</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45723</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45723</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45723</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45723</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45723</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45723</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45723</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45723</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45723</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45723</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45723</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45723</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45723</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45723</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45723</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45723</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45723</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45723</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45723</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45723</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45723</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45723</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45723</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45723</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45723</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45723</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45723</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45723</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45723</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45723</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45723</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45723</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45723</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45723</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45723</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45723</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45723</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45723</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45723</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45723</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45723</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45723</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45723</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45723</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45723</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45723</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45723</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45723</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45723</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45723</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45723</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45723</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45723</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45723</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45723</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45723</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45723</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45723</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45723</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45723</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45723</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45723</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45723</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45723</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45723</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45723</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45723</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45723</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45723</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45723</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45723</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45723</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45723</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45723</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45723</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45723</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45723</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45723</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45723</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45723</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45723</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45723</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45723</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45723</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45723</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45723</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45723</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45723</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45723</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45723</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45723</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45723</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45723</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45723</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45723</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45723</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45723</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45723</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45723</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45723</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45723</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45723</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45723</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45723</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45723</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45723</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45723</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45723</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45723</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45723</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45723</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45723</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45723</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45723</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45723</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45723</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45723</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45723</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45723</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45723</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45723</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45723</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45723</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45723</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45723</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45723</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45723</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45723</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45723</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45723</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45723</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45723</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45723</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45723</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45723</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45723</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45723</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45723</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45723</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45723</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45723</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45723</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45723</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45723</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45723</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45723</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45723</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45723</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45723</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45723</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45723</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45723</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45723</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45723</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45723</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45723</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45723</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45723</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45723</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45723</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45723</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45723</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45723</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45723</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45723</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45723</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45723</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45723</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45723</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45723</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45723</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45723</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45723</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45723</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45723</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45723</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45723</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45723</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45723</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45723</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45723</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45723</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45723</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45723</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45723</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45723</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45723</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45723</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45723</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45723</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45723</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45723</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45723</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45723</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45723</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45723</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45723</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45723</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45723</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45723</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45723</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45723</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45723</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45723</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45723</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45723</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45723</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45723</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45723</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45723</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45723</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45723</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45723</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45723</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45723</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45723</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45723</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45723</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45723</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45723</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45723</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45723</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45723</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45723</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45723</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45723</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45723</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45723</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45723</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45723</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45723</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45723</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45723</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45723</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45723</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45723</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45723</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45723</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45723</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45723</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45723</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45723</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45723</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45723</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45723</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45723</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45723</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45723</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45723</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45723</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45723</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45723</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45723</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45723</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45723</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45723</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45723</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45723</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45723</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45723</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45723</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45723</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45723</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45723</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45723</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45723</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45723</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45723</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45723</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45723</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45723</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45723</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45723</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45723</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45723</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45723</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45723</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45723</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45723</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45723</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45723</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45723</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45723</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45723</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45723</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45723</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45723</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45723</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45723</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45723</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45723</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45723</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45723</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45723</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45723</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45723</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45723</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45723</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45723</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45723</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45723</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45723</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45723</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45723</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45723</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45723</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45723</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45723</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45723</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45723</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45723</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45723</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45723</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45723</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45723</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45723</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45723</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45723</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45723</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45723</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45723</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45723</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45723</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45723</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45723</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45723</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45723</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45723</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45723</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45723</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45723</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45723</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45723</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45723</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45723</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45723</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45723</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45723</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45723</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45723</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45723</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45723</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45723</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45723</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45723</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45723</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45723</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45723</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45723</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45723</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45723</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45723</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45723</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45723</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45723</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45723</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45723</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45723</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45723</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45723</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45723</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45723</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45723</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45723</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45723</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45723</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45723</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45723</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45723</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45723</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45723</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45723</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45723</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45723</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45723</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45723</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45723</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45723</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45723</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45723</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45723</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45723</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45723</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45723</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45723</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45723</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45723</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45723</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45723</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45723</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45723</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45723</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45723</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45723</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45723</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45723</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45723</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45723</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45723</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45723</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45723</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45723</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45723</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45723</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45723</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45723</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45723</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45723</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45723</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45723</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45723</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45723</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45723</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45723</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45723</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45723</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45723</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45723</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45723</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45723</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45723</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45723</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45723</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45723</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45723</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45723</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45723</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45723</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45723</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45723</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45723</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45723</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45723</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45723</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45723</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45723</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45723</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45723</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45723</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45723</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45723</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45723</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45723</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45723</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45723</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45723</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45723</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45723</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45723</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45723</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45723</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45723</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45723</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45723</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45723</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45723</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45723</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45723</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45723</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45723</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45723</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45723</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45723</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45723</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45723</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45723</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45723</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45723</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45723</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45723</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45723</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45723</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45723</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45723</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45723</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45723</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45723</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45723</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45723</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45723</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45723</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45723</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45723</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45723</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45723</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45723</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45723</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45723</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45723</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45723</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45723</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45723</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45723</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45723</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45723</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45723</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45723</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45723</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45723</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45723</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45723</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45723</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45723</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45723</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45723</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45723</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45723</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45723</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45723</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45723</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45723</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45723</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45723</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45723</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45723</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45723</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45723</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45723</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45723</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45723</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45723</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45723</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45723</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45723</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45723</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45723</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45723</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45723</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45723</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45723</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45723</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45723</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45723</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45723</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45723</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45723</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45723</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45723</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45723</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45723</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45723</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45723</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45723</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45723</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45723</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45723</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45723</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45723</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45723</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45723</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45723</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45723</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45723</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45723</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45723</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45723</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45723</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45723</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45723</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45723</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45723</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45723</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45723</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45723</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45723</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45723</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45723</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45723</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45723</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45723</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45723</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45723</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45723</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45723</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45723</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45723</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45723</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45723</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45723</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45723</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45723</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45723</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45723</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45723</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45723</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45723</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45723</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45723</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45723</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45723</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45723</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45723</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45723</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45723</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45723</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45723</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45723</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45723</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45723</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45723</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45723</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45723</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45723</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45723</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45723</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45723</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45723</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45723</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45723</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45723</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45723</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45723</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45723</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45723</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45723</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45723</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45723</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45723</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45723</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45723</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45723</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45723</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45723</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45723</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45723</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45723</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45723</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45723</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45723</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45723</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45723</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45723</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45723</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45723</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45723</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45723</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45723</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45723</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45723</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45723</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45723</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45723</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45723</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45723</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45723</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45723</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45723</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45723</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45723</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45723</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45723</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45723</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45723</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45723</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45723</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45723</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45723</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45723</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45723</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45723</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45723</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45723</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45723</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45723</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45723</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45723</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45723</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45723</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45723</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45723</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45723</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45723</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45723</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45723</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45723</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45723</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45723</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45723</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45723</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45723</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45723</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45723</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45723</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45723</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45723</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45723</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45723</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45723</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45723</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45723</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45723</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45723</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45723</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45723</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45723</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45723</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45723</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45723</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45723</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45723</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45723</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45723</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45723</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45723</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45723</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45723</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45723</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45723</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45723</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45723</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45723</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45723</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45723</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45723</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45723</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45723</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45723</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45723</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45723</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45723</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45723</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45723</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45723</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45723</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45723</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45723</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45723</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45723</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45723</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45723</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45723</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45723</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45723</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45723</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45723</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45723</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45723</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45723</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45723</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45723</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45723</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45723</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45723</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45723</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45723</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45723</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45723</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45723</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45723</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45723</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45723</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45723</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45723</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45723</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45723</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45723</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45723</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45723</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45723</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45723</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45723</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45723</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45723</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45723</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45723</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45723</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45723</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45723</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45723</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45723</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45723</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45723</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45723</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45723</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45723</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45723</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45723</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45723</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45723</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45723</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45723</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45723</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45723</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45723</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45723</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45723</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45723</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45723</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45723</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45723</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45723</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45723</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45723</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45723</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45723</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45723</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45723</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45723</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45723</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45723</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45723</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45723</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45723</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45723</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45723</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45723</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45723</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45723</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45723</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45723</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45723</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45723</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45723</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45723</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45723</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45723</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45723</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45723</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45723</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45723</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45723</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45723</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45723</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45723</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45723</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45723</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45723</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45723</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45723</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45723</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45723</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45723</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45723</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45723</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45723</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45723</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45723</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45723</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45723</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45723</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45723</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45723</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45723</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45723</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45723</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45723</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45723</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45723</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45723</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45723</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45723</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45723</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45723</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45723</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45723</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45723</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45723</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45723</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45723</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45723</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45723</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45723</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45723</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45723</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45723</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45723</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45723</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45723</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45723</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45723</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45723</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45723</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45723</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45723</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45723</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45723</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45723</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45723</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45723</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45723</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45723</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45723</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45723</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45723</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45723</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45723</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45723</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45723</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45723</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45723</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45723</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45723</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45723</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45723</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45723</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45723</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45723</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45723</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45723</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45723</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45723</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45723</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45723</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45723</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45723</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45723</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45723</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45723</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45723</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45723</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45723</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45723</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45723</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45723</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45723</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45723</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45723</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45723</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45723</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45723</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45723</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45723</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45723</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45723</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45723</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45723</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45723</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45723</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45723</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45723</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45723</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45723</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45723</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45723</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45723</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45723</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45723</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45723</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45723</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45723</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45723</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45723</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45723</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45723</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45723</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45723</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45723</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45723</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45723</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45723</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45723</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45723</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45723</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45723</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45723</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45723</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45723</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45723</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45723</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45723</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45723</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45723</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45723</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45723</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45723</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45723</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45723</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45723</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45723</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45723</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45723</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45723</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45723</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45723</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45723</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45723</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45723</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45723</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45723</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45723</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45723</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45723</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45723</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45723</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45723</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45723</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45723</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45723</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45723</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45723</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45723</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45723</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45723</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45723</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45723</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45723</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45723</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45723</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45723</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45723</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45723</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45723</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45723</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45723</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45723</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45723</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45723</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45723</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45723</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45723</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45723</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45723</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45723</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45723</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45723</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45723</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45723</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45723</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45723</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45723</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45723</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45723</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45723</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45723</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45723</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45723</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45723</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45723</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45723</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45723</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45723</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45723</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45723</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45723</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45723</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45723</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45723</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45723</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45723</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45723</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45723</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45723</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45723</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45723</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45723</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45723</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45723</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45723</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45723</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45723</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45723</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45723</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45723</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45723</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45723</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45723</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45723</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45723</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45723</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45723</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45723</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45723</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45723</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45723</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45723</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45723</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45723</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45723</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45723</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45723</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45723</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45723</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45723</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45723</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45723</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45723</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45723</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45723</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45723</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45723</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45723</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45723</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45723</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45723</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45723</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45723</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45723</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45723</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45723</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45723</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45723</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45723</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45723</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45723</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45723</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45723</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45723</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45723</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45723</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45723</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45723</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45723</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45723</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45723</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45723</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45723</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45723</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45723</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45723</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45723</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45723</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45723</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45723</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45723</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45723</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45723</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45723</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45723</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45723</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45723</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45723</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45723</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45723</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45723</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45723</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45723</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45723</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45723</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45723</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45723</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45723</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45723</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45723</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45723</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45723</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45723</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45723</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45723</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45723</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45723</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45723</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45723</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45723</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45723</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45723</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45723</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45723</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45723</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45723</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45723</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45723</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45723</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45723</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45723</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45723</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45723</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45723</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45723</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45723</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45723</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45723</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45723</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45723</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45723</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45723</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45723</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45723</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45723</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45723</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45723</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45723</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45723</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45723</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45723</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45723</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45723</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45723</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45723</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45723</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45723</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45723</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45723</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45723</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45723</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45723</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45723</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45723</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45723</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45723</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45723</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45723</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45723</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45723</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45723</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45723</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45723</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45723</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45723</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45723</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45723</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45723</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45723</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45723</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45723</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45723</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45723</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45723</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45723</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45723</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45723</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45723</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45723</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45723</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45723</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45723</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45723</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45723</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45723</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45723</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45723</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45723</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45723</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45723</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45723</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45723</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45723</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45723</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45723</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45723</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45723</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45723</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45723</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45723</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45723</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45723</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45723</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45723</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45723</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45723</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45723</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45723</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45723</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45723</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45723</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45723</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45723</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45723</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45723</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45723</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45723</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45723</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45723</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45723</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45723</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45723</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45723</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45723</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45723</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45723</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45723</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45723</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45723</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45723</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45723</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45723</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45723</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45723</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45723</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45723</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45723</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45723</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45723</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45723</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45723</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45723</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45723</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45723</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45723</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45723</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45723</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45723</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45723</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45723</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45723</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45723</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45723</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45723</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45723</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45723</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45723</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45723</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45723</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45723</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45723</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45723</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45723</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45723</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45723</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45723</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45723</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45723</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45723</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45723</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45723</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45723</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45723</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45723</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45723</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45723</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45723</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45723</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45723</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45723</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45723</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45723</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45723</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45723</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45723</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45723</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45723</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45723</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45723</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45723</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45723</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45723</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45723</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45723</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45723</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45723</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45723</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45723</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45723</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45723</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45723</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45723</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45723</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45723</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45723</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45723</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45723</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45723</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45723</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45723</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45723</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45723</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45723</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45723</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45723</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45723</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45723</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45723</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45723</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45723</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45723</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45723</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45723</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45723</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45723</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45723</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45723</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45723</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45723</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45723</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45723</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45723</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45723</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45723</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45723</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45723</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45723</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45723</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45723</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45723</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45723</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45723</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45723</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45723</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45723</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45723</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45723</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45723</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45723</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45723</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45723</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45723</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45723</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45723</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45723</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45723</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45723</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45723</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45723</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45723</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45723</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45723</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45723</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45723</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45723</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45723</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45723</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45723</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45723</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45723</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45723</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45723</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45723</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45723</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45723</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45723</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45723</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45723</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45723</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45723</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45723</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45723</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45723</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45723</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45723</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45723</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45723</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45723</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45723</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45723</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45723</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45723</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45723</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45723</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45723</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45723</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45723</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45723</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45723</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45723</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45723</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45723</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45723</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45723</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45723</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45723</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45723</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45723</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45723</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45723</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45723</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45723</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45723</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45723</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45723</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45723</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45723</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45723</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45723</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45723</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45723</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45723</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45723</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45723</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45723</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45723</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45723</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45723</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45723</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45723</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45723</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45723</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45723</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45723</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45723</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45723</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45723</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45723</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45723</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45723</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45723</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45723</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45723</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45723</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45723</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45723</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45723</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45723</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45723</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45723</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45723</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45723</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45723</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45723</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45723</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45723</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45723</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45723</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45723</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45723</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45723</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45723</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45723</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45723</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45723</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45723</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45723</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45723</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45723</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45723</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45723</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45723</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45723</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45723</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45723</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45723</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45723</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45723</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45723</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45723</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45723</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45723</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45723</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45723</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45723</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45723</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45723</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45723</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45723</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45723</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45723</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45723</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45723</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45723</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45723</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45723</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45723</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45723</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45723</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45723</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45723</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45723</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45723</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45723</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45723</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45723</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45723</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45723</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45723</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45723</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45723</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45723</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45723</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45723</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45723</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45723</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45723</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45723</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45723</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45723</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45723</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45723</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45723</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45723</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45723</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45723</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45723</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45723</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45723</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45723</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45723</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45723</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45723</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45723</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45723</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45723</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45723</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45723</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45723</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45723</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45723</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45723</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45723</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45723</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45723</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45723</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45723</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45723</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45723</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45723</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45723</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45723</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45723</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45723</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45723</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45723</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45723</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45723</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45723</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45723</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45723</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45723</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45723</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45723</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45723</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45723</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45723</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45723</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45723</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45723</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45723</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45723</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45723</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45723</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45723</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45723</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45723</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45723</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45723</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45723</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45723</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45723</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45723</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45723</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45723</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45723</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45723</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45723</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45723</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45723</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45723</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45723</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45723</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45723</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45723</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45723</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45723</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45723</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45723</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45723</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45723</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45723</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45723</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45723</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45723</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45723</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45723</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45723</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45723</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45723</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45723</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45723</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45723</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45723</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45723</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45723</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45723</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45723</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45723</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45723</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45723</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45723</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45723</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45723</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45723</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45723</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45723</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45723</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45723</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45723</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45723</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45723</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45723</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45723</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45723</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45723</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45723</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45723</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45723</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45723</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45723</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45723</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45723</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45723</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45723</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45723</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45723</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45723</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45723</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45723</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45723</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45723</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45723</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45723</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45723</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45723</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45723</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45723</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45723</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45723</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45723</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45723</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45723</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5447-2025</t>
        </is>
      </c>
      <c r="B3732" s="1" t="n">
        <v>45692</v>
      </c>
      <c r="C3732" s="1" t="n">
        <v>45723</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45723</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5293-2025</t>
        </is>
      </c>
      <c r="B3734" s="1" t="n">
        <v>45692</v>
      </c>
      <c r="C3734" s="1" t="n">
        <v>45723</v>
      </c>
      <c r="D3734" t="inlineStr">
        <is>
          <t>VÄSTERNORRLANDS LÄN</t>
        </is>
      </c>
      <c r="E3734" t="inlineStr">
        <is>
          <t>SOLLEFTEÅ</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45723</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45723</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45723</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45723</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45723</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45723</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45723</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45723</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45723</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45723</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6346-2025</t>
        </is>
      </c>
      <c r="B3745" s="1" t="n">
        <v>45699</v>
      </c>
      <c r="C3745" s="1" t="n">
        <v>45723</v>
      </c>
      <c r="D3745" t="inlineStr">
        <is>
          <t>VÄSTERNORRLANDS LÄN</t>
        </is>
      </c>
      <c r="E3745" t="inlineStr">
        <is>
          <t>SOLLEFTEÅ</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6440-2025</t>
        </is>
      </c>
      <c r="B3746" s="1" t="n">
        <v>45699</v>
      </c>
      <c r="C3746" s="1" t="n">
        <v>45723</v>
      </c>
      <c r="D3746" t="inlineStr">
        <is>
          <t>VÄSTERNORRLANDS LÄN</t>
        </is>
      </c>
      <c r="E3746" t="inlineStr">
        <is>
          <t>SOLLEFTEÅ</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6444-2025</t>
        </is>
      </c>
      <c r="B3747" s="1" t="n">
        <v>45699</v>
      </c>
      <c r="C3747" s="1" t="n">
        <v>45723</v>
      </c>
      <c r="D3747" t="inlineStr">
        <is>
          <t>VÄSTERNORRLANDS LÄN</t>
        </is>
      </c>
      <c r="E3747" t="inlineStr">
        <is>
          <t>SOLLEFTEÅ</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6467-2025</t>
        </is>
      </c>
      <c r="B3748" s="1" t="n">
        <v>45699</v>
      </c>
      <c r="C3748" s="1" t="n">
        <v>45723</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45723</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45723</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45723</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6736-2025</t>
        </is>
      </c>
      <c r="B3752" s="1" t="n">
        <v>45700</v>
      </c>
      <c r="C3752" s="1" t="n">
        <v>45723</v>
      </c>
      <c r="D3752" t="inlineStr">
        <is>
          <t>VÄSTERNORRLANDS LÄN</t>
        </is>
      </c>
      <c r="E3752" t="inlineStr">
        <is>
          <t>SOLLEFTEÅ</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6735-2025</t>
        </is>
      </c>
      <c r="B3753" s="1" t="n">
        <v>45700</v>
      </c>
      <c r="C3753" s="1" t="n">
        <v>45723</v>
      </c>
      <c r="D3753" t="inlineStr">
        <is>
          <t>VÄSTERNORRLANDS LÄN</t>
        </is>
      </c>
      <c r="E3753" t="inlineStr">
        <is>
          <t>SOLLEFTEÅ</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45723</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45723</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6621-2025</t>
        </is>
      </c>
      <c r="B3756" s="1" t="n">
        <v>45700</v>
      </c>
      <c r="C3756" s="1" t="n">
        <v>45723</v>
      </c>
      <c r="D3756" t="inlineStr">
        <is>
          <t>VÄSTERNORRLANDS LÄN</t>
        </is>
      </c>
      <c r="E3756" t="inlineStr">
        <is>
          <t>SOLLEFTEÅ</t>
        </is>
      </c>
      <c r="F3756" t="inlineStr">
        <is>
          <t>SCA</t>
        </is>
      </c>
      <c r="G3756" t="n">
        <v>14.8</v>
      </c>
      <c r="H3756" t="n">
        <v>0</v>
      </c>
      <c r="I3756" t="n">
        <v>0</v>
      </c>
      <c r="J3756" t="n">
        <v>0</v>
      </c>
      <c r="K3756" t="n">
        <v>0</v>
      </c>
      <c r="L3756" t="n">
        <v>0</v>
      </c>
      <c r="M3756" t="n">
        <v>0</v>
      </c>
      <c r="N3756" t="n">
        <v>0</v>
      </c>
      <c r="O3756" t="n">
        <v>0</v>
      </c>
      <c r="P3756" t="n">
        <v>0</v>
      </c>
      <c r="Q3756" t="n">
        <v>0</v>
      </c>
      <c r="R3756" s="2" t="inlineStr"/>
    </row>
    <row r="3757" ht="15" customHeight="1">
      <c r="A3757" t="inlineStr">
        <is>
          <t>A 6876-2025</t>
        </is>
      </c>
      <c r="B3757" s="1" t="n">
        <v>45701</v>
      </c>
      <c r="C3757" s="1" t="n">
        <v>45723</v>
      </c>
      <c r="D3757" t="inlineStr">
        <is>
          <t>VÄSTERNORRLANDS LÄN</t>
        </is>
      </c>
      <c r="E3757" t="inlineStr">
        <is>
          <t>SOLLEFTEÅ</t>
        </is>
      </c>
      <c r="F3757" t="inlineStr">
        <is>
          <t>SCA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6884-2025</t>
        </is>
      </c>
      <c r="B3758" s="1" t="n">
        <v>45701</v>
      </c>
      <c r="C3758" s="1" t="n">
        <v>45723</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6896-2025</t>
        </is>
      </c>
      <c r="B3759" s="1" t="n">
        <v>45701</v>
      </c>
      <c r="C3759" s="1" t="n">
        <v>45723</v>
      </c>
      <c r="D3759" t="inlineStr">
        <is>
          <t>VÄSTERNORRLANDS LÄN</t>
        </is>
      </c>
      <c r="E3759" t="inlineStr">
        <is>
          <t>SOLLEFTEÅ</t>
        </is>
      </c>
      <c r="F3759" t="inlineStr">
        <is>
          <t>SCA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6875-2025</t>
        </is>
      </c>
      <c r="B3760" s="1" t="n">
        <v>45701</v>
      </c>
      <c r="C3760" s="1" t="n">
        <v>45723</v>
      </c>
      <c r="D3760" t="inlineStr">
        <is>
          <t>VÄSTERNORRLANDS LÄN</t>
        </is>
      </c>
      <c r="E3760" t="inlineStr">
        <is>
          <t>SOLLEFTEÅ</t>
        </is>
      </c>
      <c r="F3760" t="inlineStr">
        <is>
          <t>SCA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6877-2025</t>
        </is>
      </c>
      <c r="B3761" s="1" t="n">
        <v>45701</v>
      </c>
      <c r="C3761" s="1" t="n">
        <v>45723</v>
      </c>
      <c r="D3761" t="inlineStr">
        <is>
          <t>VÄSTERNORRLANDS LÄN</t>
        </is>
      </c>
      <c r="E3761" t="inlineStr">
        <is>
          <t>SOLLEFTEÅ</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7003-2025</t>
        </is>
      </c>
      <c r="B3762" s="1" t="n">
        <v>45701</v>
      </c>
      <c r="C3762" s="1" t="n">
        <v>45723</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7007-2025</t>
        </is>
      </c>
      <c r="B3763" s="1" t="n">
        <v>45701</v>
      </c>
      <c r="C3763" s="1" t="n">
        <v>45723</v>
      </c>
      <c r="D3763" t="inlineStr">
        <is>
          <t>VÄSTERNORRLANDS LÄN</t>
        </is>
      </c>
      <c r="E3763" t="inlineStr">
        <is>
          <t>SOLLEFTEÅ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7036-2025</t>
        </is>
      </c>
      <c r="B3764" s="1" t="n">
        <v>45701</v>
      </c>
      <c r="C3764" s="1" t="n">
        <v>45723</v>
      </c>
      <c r="D3764" t="inlineStr">
        <is>
          <t>VÄSTERNORRLANDS LÄN</t>
        </is>
      </c>
      <c r="E3764" t="inlineStr">
        <is>
          <t>SOLLEFTEÅ</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7014-2025</t>
        </is>
      </c>
      <c r="B3765" s="1" t="n">
        <v>45701</v>
      </c>
      <c r="C3765" s="1" t="n">
        <v>45723</v>
      </c>
      <c r="D3765" t="inlineStr">
        <is>
          <t>VÄSTERNORRLANDS LÄN</t>
        </is>
      </c>
      <c r="E3765" t="inlineStr">
        <is>
          <t>SOLLEFTEÅ</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7184-2025</t>
        </is>
      </c>
      <c r="B3766" s="1" t="n">
        <v>45702</v>
      </c>
      <c r="C3766" s="1" t="n">
        <v>45723</v>
      </c>
      <c r="D3766" t="inlineStr">
        <is>
          <t>VÄSTERNORRLANDS LÄN</t>
        </is>
      </c>
      <c r="E3766" t="inlineStr">
        <is>
          <t>SOLLEFTEÅ</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45723</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7182-2025</t>
        </is>
      </c>
      <c r="B3768" s="1" t="n">
        <v>45702</v>
      </c>
      <c r="C3768" s="1" t="n">
        <v>45723</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45723</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45723</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45723</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7569-2025</t>
        </is>
      </c>
      <c r="B3772" s="1" t="n">
        <v>45705</v>
      </c>
      <c r="C3772" s="1" t="n">
        <v>45723</v>
      </c>
      <c r="D3772" t="inlineStr">
        <is>
          <t>VÄSTERNORRLANDS LÄN</t>
        </is>
      </c>
      <c r="E3772" t="inlineStr">
        <is>
          <t>SOLLEFTEÅ</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7589-2025</t>
        </is>
      </c>
      <c r="B3773" s="1" t="n">
        <v>45705</v>
      </c>
      <c r="C3773" s="1" t="n">
        <v>45723</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7570-2025</t>
        </is>
      </c>
      <c r="B3774" s="1" t="n">
        <v>45705</v>
      </c>
      <c r="C3774" s="1" t="n">
        <v>45723</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45723</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45723</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45723</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45723</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45723</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8100-2025</t>
        </is>
      </c>
      <c r="B3780" s="1" t="n">
        <v>45707</v>
      </c>
      <c r="C3780" s="1" t="n">
        <v>45723</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8104-2025</t>
        </is>
      </c>
      <c r="B3781" s="1" t="n">
        <v>45707</v>
      </c>
      <c r="C3781" s="1" t="n">
        <v>45723</v>
      </c>
      <c r="D3781" t="inlineStr">
        <is>
          <t>VÄSTERNORRLANDS LÄN</t>
        </is>
      </c>
      <c r="E3781" t="inlineStr">
        <is>
          <t>SOLLEFTEÅ</t>
        </is>
      </c>
      <c r="F3781" t="inlineStr">
        <is>
          <t>SCA</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8077-2025</t>
        </is>
      </c>
      <c r="B3782" s="1" t="n">
        <v>45707</v>
      </c>
      <c r="C3782" s="1" t="n">
        <v>45723</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8084-2025</t>
        </is>
      </c>
      <c r="B3783" s="1" t="n">
        <v>45707</v>
      </c>
      <c r="C3783" s="1" t="n">
        <v>45723</v>
      </c>
      <c r="D3783" t="inlineStr">
        <is>
          <t>VÄSTERNORRLANDS LÄN</t>
        </is>
      </c>
      <c r="E3783" t="inlineStr">
        <is>
          <t>SOLLEFTEÅ</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8105-2025</t>
        </is>
      </c>
      <c r="B3784" s="1" t="n">
        <v>45707</v>
      </c>
      <c r="C3784" s="1" t="n">
        <v>45723</v>
      </c>
      <c r="D3784" t="inlineStr">
        <is>
          <t>VÄSTERNORRLANDS LÄN</t>
        </is>
      </c>
      <c r="E3784" t="inlineStr">
        <is>
          <t>SOLLEFTEÅ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8099-2025</t>
        </is>
      </c>
      <c r="B3785" s="1" t="n">
        <v>45707</v>
      </c>
      <c r="C3785" s="1" t="n">
        <v>45723</v>
      </c>
      <c r="D3785" t="inlineStr">
        <is>
          <t>VÄSTERNORRLANDS LÄN</t>
        </is>
      </c>
      <c r="E3785" t="inlineStr">
        <is>
          <t>SOLLEFTEÅ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8124-2025</t>
        </is>
      </c>
      <c r="B3786" s="1" t="n">
        <v>45707</v>
      </c>
      <c r="C3786" s="1" t="n">
        <v>45723</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45723</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45723</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45723</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45723</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8657-2025</t>
        </is>
      </c>
      <c r="B3791" s="1" t="n">
        <v>45712</v>
      </c>
      <c r="C3791" s="1" t="n">
        <v>45723</v>
      </c>
      <c r="D3791" t="inlineStr">
        <is>
          <t>VÄSTERNORRLANDS LÄN</t>
        </is>
      </c>
      <c r="E3791" t="inlineStr">
        <is>
          <t>SOLLEFTEÅ</t>
        </is>
      </c>
      <c r="F3791" t="inlineStr">
        <is>
          <t>SCA</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8653-2025</t>
        </is>
      </c>
      <c r="B3792" s="1" t="n">
        <v>45712</v>
      </c>
      <c r="C3792" s="1" t="n">
        <v>45723</v>
      </c>
      <c r="D3792" t="inlineStr">
        <is>
          <t>VÄSTERNORRLANDS LÄN</t>
        </is>
      </c>
      <c r="E3792" t="inlineStr">
        <is>
          <t>SOLLEFTEÅ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8703-2025</t>
        </is>
      </c>
      <c r="B3793" s="1" t="n">
        <v>45712</v>
      </c>
      <c r="C3793" s="1" t="n">
        <v>45723</v>
      </c>
      <c r="D3793" t="inlineStr">
        <is>
          <t>VÄSTERNORRLANDS LÄN</t>
        </is>
      </c>
      <c r="E3793" t="inlineStr">
        <is>
          <t>SOLLEFTEÅ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8712-2025</t>
        </is>
      </c>
      <c r="B3794" s="1" t="n">
        <v>45712</v>
      </c>
      <c r="C3794" s="1" t="n">
        <v>45723</v>
      </c>
      <c r="D3794" t="inlineStr">
        <is>
          <t>VÄSTERNORRLANDS LÄN</t>
        </is>
      </c>
      <c r="E3794" t="inlineStr">
        <is>
          <t>SOLLEFTEÅ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45723</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8851-2025</t>
        </is>
      </c>
      <c r="B3796" s="1" t="n">
        <v>45713</v>
      </c>
      <c r="C3796" s="1" t="n">
        <v>45723</v>
      </c>
      <c r="D3796" t="inlineStr">
        <is>
          <t>VÄSTERNORRLANDS LÄN</t>
        </is>
      </c>
      <c r="E3796" t="inlineStr">
        <is>
          <t>SOLLEFTEÅ</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8895-2025</t>
        </is>
      </c>
      <c r="B3797" s="1" t="n">
        <v>45713</v>
      </c>
      <c r="C3797" s="1" t="n">
        <v>45723</v>
      </c>
      <c r="D3797" t="inlineStr">
        <is>
          <t>VÄSTERNORRLANDS LÄN</t>
        </is>
      </c>
      <c r="E3797" t="inlineStr">
        <is>
          <t>SOLLEFTEÅ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8854-2025</t>
        </is>
      </c>
      <c r="B3798" s="1" t="n">
        <v>45713</v>
      </c>
      <c r="C3798" s="1" t="n">
        <v>45723</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8852-2025</t>
        </is>
      </c>
      <c r="B3799" s="1" t="n">
        <v>45713</v>
      </c>
      <c r="C3799" s="1" t="n">
        <v>45723</v>
      </c>
      <c r="D3799" t="inlineStr">
        <is>
          <t>VÄSTERNORRLANDS LÄN</t>
        </is>
      </c>
      <c r="E3799" t="inlineStr">
        <is>
          <t>SOLLEFTEÅ</t>
        </is>
      </c>
      <c r="F3799" t="inlineStr">
        <is>
          <t>SCA</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8894-2025</t>
        </is>
      </c>
      <c r="B3800" s="1" t="n">
        <v>45713</v>
      </c>
      <c r="C3800" s="1" t="n">
        <v>45723</v>
      </c>
      <c r="D3800" t="inlineStr">
        <is>
          <t>VÄSTERNORRLANDS LÄN</t>
        </is>
      </c>
      <c r="E3800" t="inlineStr">
        <is>
          <t>SOLLEFTEÅ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8914-2025</t>
        </is>
      </c>
      <c r="B3801" s="1" t="n">
        <v>45713</v>
      </c>
      <c r="C3801" s="1" t="n">
        <v>45723</v>
      </c>
      <c r="D3801" t="inlineStr">
        <is>
          <t>VÄSTERNORRLANDS LÄN</t>
        </is>
      </c>
      <c r="E3801" t="inlineStr">
        <is>
          <t>SOLLEFTEÅ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9070-2025</t>
        </is>
      </c>
      <c r="B3802" s="1" t="n">
        <v>45713</v>
      </c>
      <c r="C3802" s="1" t="n">
        <v>45723</v>
      </c>
      <c r="D3802" t="inlineStr">
        <is>
          <t>VÄSTERNORRLANDS LÄN</t>
        </is>
      </c>
      <c r="E3802" t="inlineStr">
        <is>
          <t>SOLLEFTEÅ</t>
        </is>
      </c>
      <c r="F3802" t="inlineStr">
        <is>
          <t>SCA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8893-2025</t>
        </is>
      </c>
      <c r="B3803" s="1" t="n">
        <v>45713</v>
      </c>
      <c r="C3803" s="1" t="n">
        <v>45723</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9072-2025</t>
        </is>
      </c>
      <c r="B3804" s="1" t="n">
        <v>45713</v>
      </c>
      <c r="C3804" s="1" t="n">
        <v>45723</v>
      </c>
      <c r="D3804" t="inlineStr">
        <is>
          <t>VÄSTERNORRLANDS LÄN</t>
        </is>
      </c>
      <c r="E3804" t="inlineStr">
        <is>
          <t>SOLLEFTEÅ</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9089-2025</t>
        </is>
      </c>
      <c r="B3805" s="1" t="n">
        <v>45713</v>
      </c>
      <c r="C3805" s="1" t="n">
        <v>45723</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45723</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9163-2025</t>
        </is>
      </c>
      <c r="B3807" s="1" t="n">
        <v>45714</v>
      </c>
      <c r="C3807" s="1" t="n">
        <v>45723</v>
      </c>
      <c r="D3807" t="inlineStr">
        <is>
          <t>VÄSTERNORRLANDS LÄN</t>
        </is>
      </c>
      <c r="E3807" t="inlineStr">
        <is>
          <t>SOLLEFTEÅ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9254-2025</t>
        </is>
      </c>
      <c r="B3808" s="1" t="n">
        <v>45714</v>
      </c>
      <c r="C3808" s="1" t="n">
        <v>45723</v>
      </c>
      <c r="D3808" t="inlineStr">
        <is>
          <t>VÄSTERNORRLANDS LÄN</t>
        </is>
      </c>
      <c r="E3808" t="inlineStr">
        <is>
          <t>SOLLEFTEÅ</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45723</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45723</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9253-2025</t>
        </is>
      </c>
      <c r="B3811" s="1" t="n">
        <v>45714</v>
      </c>
      <c r="C3811" s="1" t="n">
        <v>45723</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45723</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9608-2025</t>
        </is>
      </c>
      <c r="B3813" s="1" t="n">
        <v>45715</v>
      </c>
      <c r="C3813" s="1" t="n">
        <v>45723</v>
      </c>
      <c r="D3813" t="inlineStr">
        <is>
          <t>VÄSTERNORRLANDS LÄN</t>
        </is>
      </c>
      <c r="E3813" t="inlineStr">
        <is>
          <t>SOLLEFTEÅ</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9607-2025</t>
        </is>
      </c>
      <c r="B3814" s="1" t="n">
        <v>45715</v>
      </c>
      <c r="C3814" s="1" t="n">
        <v>45723</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9632-2025</t>
        </is>
      </c>
      <c r="B3815" s="1" t="n">
        <v>45715</v>
      </c>
      <c r="C3815" s="1" t="n">
        <v>45723</v>
      </c>
      <c r="D3815" t="inlineStr">
        <is>
          <t>VÄSTERNORRLANDS LÄN</t>
        </is>
      </c>
      <c r="E3815" t="inlineStr">
        <is>
          <t>SOLLEFTEÅ</t>
        </is>
      </c>
      <c r="F3815" t="inlineStr">
        <is>
          <t>SCA</t>
        </is>
      </c>
      <c r="G3815" t="n">
        <v>21.6</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45723</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9708-2025</t>
        </is>
      </c>
      <c r="B3817" s="1" t="n">
        <v>45716</v>
      </c>
      <c r="C3817" s="1" t="n">
        <v>45723</v>
      </c>
      <c r="D3817" t="inlineStr">
        <is>
          <t>VÄSTERNORRLANDS LÄN</t>
        </is>
      </c>
      <c r="E3817" t="inlineStr">
        <is>
          <t>SOLLEFTEÅ</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9834-2025</t>
        </is>
      </c>
      <c r="B3818" s="1" t="n">
        <v>45716</v>
      </c>
      <c r="C3818" s="1" t="n">
        <v>45723</v>
      </c>
      <c r="D3818" t="inlineStr">
        <is>
          <t>VÄSTERNORRLANDS LÄN</t>
        </is>
      </c>
      <c r="E3818" t="inlineStr">
        <is>
          <t>SOLLEFTEÅ</t>
        </is>
      </c>
      <c r="G3818" t="n">
        <v>17.3</v>
      </c>
      <c r="H3818" t="n">
        <v>0</v>
      </c>
      <c r="I3818" t="n">
        <v>0</v>
      </c>
      <c r="J3818" t="n">
        <v>0</v>
      </c>
      <c r="K3818" t="n">
        <v>0</v>
      </c>
      <c r="L3818" t="n">
        <v>0</v>
      </c>
      <c r="M3818" t="n">
        <v>0</v>
      </c>
      <c r="N3818" t="n">
        <v>0</v>
      </c>
      <c r="O3818" t="n">
        <v>0</v>
      </c>
      <c r="P3818" t="n">
        <v>0</v>
      </c>
      <c r="Q3818" t="n">
        <v>0</v>
      </c>
      <c r="R3818" s="2" t="inlineStr"/>
    </row>
    <row r="3819" ht="15" customHeight="1">
      <c r="A3819" t="inlineStr">
        <is>
          <t>A 9720-2025</t>
        </is>
      </c>
      <c r="B3819" s="1" t="n">
        <v>45716</v>
      </c>
      <c r="C3819" s="1" t="n">
        <v>45723</v>
      </c>
      <c r="D3819" t="inlineStr">
        <is>
          <t>VÄSTERNORRLANDS LÄN</t>
        </is>
      </c>
      <c r="E3819" t="inlineStr">
        <is>
          <t>SOLLEFTEÅ</t>
        </is>
      </c>
      <c r="F3819" t="inlineStr">
        <is>
          <t>SCA</t>
        </is>
      </c>
      <c r="G3819" t="n">
        <v>21.9</v>
      </c>
      <c r="H3819" t="n">
        <v>0</v>
      </c>
      <c r="I3819" t="n">
        <v>0</v>
      </c>
      <c r="J3819" t="n">
        <v>0</v>
      </c>
      <c r="K3819" t="n">
        <v>0</v>
      </c>
      <c r="L3819" t="n">
        <v>0</v>
      </c>
      <c r="M3819" t="n">
        <v>0</v>
      </c>
      <c r="N3819" t="n">
        <v>0</v>
      </c>
      <c r="O3819" t="n">
        <v>0</v>
      </c>
      <c r="P3819" t="n">
        <v>0</v>
      </c>
      <c r="Q3819" t="n">
        <v>0</v>
      </c>
      <c r="R3819" s="2" t="inlineStr"/>
    </row>
    <row r="3820" ht="15" customHeight="1">
      <c r="A3820" t="inlineStr">
        <is>
          <t>A 9754-2025</t>
        </is>
      </c>
      <c r="B3820" s="1" t="n">
        <v>45716</v>
      </c>
      <c r="C3820" s="1" t="n">
        <v>45723</v>
      </c>
      <c r="D3820" t="inlineStr">
        <is>
          <t>VÄSTERNORRLANDS LÄN</t>
        </is>
      </c>
      <c r="E3820" t="inlineStr">
        <is>
          <t>SOLLEFTEÅ</t>
        </is>
      </c>
      <c r="F3820" t="inlineStr">
        <is>
          <t>SCA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9950-2025</t>
        </is>
      </c>
      <c r="B3821" s="1" t="n">
        <v>45719</v>
      </c>
      <c r="C3821" s="1" t="n">
        <v>45723</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9966-2025</t>
        </is>
      </c>
      <c r="B3822" s="1" t="n">
        <v>45719</v>
      </c>
      <c r="C3822" s="1" t="n">
        <v>45723</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9967-2025</t>
        </is>
      </c>
      <c r="B3823" s="1" t="n">
        <v>45719</v>
      </c>
      <c r="C3823" s="1" t="n">
        <v>45723</v>
      </c>
      <c r="D3823" t="inlineStr">
        <is>
          <t>VÄSTERNORRLANDS LÄN</t>
        </is>
      </c>
      <c r="E3823" t="inlineStr">
        <is>
          <t>SOLLEFTEÅ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10237-2025</t>
        </is>
      </c>
      <c r="B3824" s="1" t="n">
        <v>45720</v>
      </c>
      <c r="C3824" s="1" t="n">
        <v>45723</v>
      </c>
      <c r="D3824" t="inlineStr">
        <is>
          <t>VÄSTERNORRLANDS LÄN</t>
        </is>
      </c>
      <c r="E3824" t="inlineStr">
        <is>
          <t>SOLLEFTEÅ</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10403-2025</t>
        </is>
      </c>
      <c r="B3825" s="1" t="n">
        <v>45720</v>
      </c>
      <c r="C3825" s="1" t="n">
        <v>45723</v>
      </c>
      <c r="D3825" t="inlineStr">
        <is>
          <t>VÄSTERNORRLANDS LÄN</t>
        </is>
      </c>
      <c r="E3825" t="inlineStr">
        <is>
          <t>SOLLEFTEÅ</t>
        </is>
      </c>
      <c r="F3825" t="inlineStr">
        <is>
          <t>SCA</t>
        </is>
      </c>
      <c r="G3825" t="n">
        <v>25.8</v>
      </c>
      <c r="H3825" t="n">
        <v>0</v>
      </c>
      <c r="I3825" t="n">
        <v>0</v>
      </c>
      <c r="J3825" t="n">
        <v>0</v>
      </c>
      <c r="K3825" t="n">
        <v>0</v>
      </c>
      <c r="L3825" t="n">
        <v>0</v>
      </c>
      <c r="M3825" t="n">
        <v>0</v>
      </c>
      <c r="N3825" t="n">
        <v>0</v>
      </c>
      <c r="O3825" t="n">
        <v>0</v>
      </c>
      <c r="P3825" t="n">
        <v>0</v>
      </c>
      <c r="Q3825" t="n">
        <v>0</v>
      </c>
      <c r="R3825" s="2" t="inlineStr"/>
    </row>
    <row r="3826" ht="15" customHeight="1">
      <c r="A3826" t="inlineStr">
        <is>
          <t>A 10438-2025</t>
        </is>
      </c>
      <c r="B3826" s="1" t="n">
        <v>45720</v>
      </c>
      <c r="C3826" s="1" t="n">
        <v>45723</v>
      </c>
      <c r="D3826" t="inlineStr">
        <is>
          <t>VÄSTERNORRLANDS LÄN</t>
        </is>
      </c>
      <c r="E3826" t="inlineStr">
        <is>
          <t>SOLLEFTEÅ</t>
        </is>
      </c>
      <c r="F3826" t="inlineStr">
        <is>
          <t>SCA</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10240-2025</t>
        </is>
      </c>
      <c r="B3827" s="1" t="n">
        <v>45720</v>
      </c>
      <c r="C3827" s="1" t="n">
        <v>45723</v>
      </c>
      <c r="D3827" t="inlineStr">
        <is>
          <t>VÄSTERNORRLANDS LÄN</t>
        </is>
      </c>
      <c r="E3827" t="inlineStr">
        <is>
          <t>SOLLEFTEÅ</t>
        </is>
      </c>
      <c r="F3827" t="inlineStr">
        <is>
          <t>SCA</t>
        </is>
      </c>
      <c r="G3827" t="n">
        <v>18.8</v>
      </c>
      <c r="H3827" t="n">
        <v>0</v>
      </c>
      <c r="I3827" t="n">
        <v>0</v>
      </c>
      <c r="J3827" t="n">
        <v>0</v>
      </c>
      <c r="K3827" t="n">
        <v>0</v>
      </c>
      <c r="L3827" t="n">
        <v>0</v>
      </c>
      <c r="M3827" t="n">
        <v>0</v>
      </c>
      <c r="N3827" t="n">
        <v>0</v>
      </c>
      <c r="O3827" t="n">
        <v>0</v>
      </c>
      <c r="P3827" t="n">
        <v>0</v>
      </c>
      <c r="Q3827" t="n">
        <v>0</v>
      </c>
      <c r="R3827" s="2" t="inlineStr"/>
    </row>
    <row r="3828" ht="15" customHeight="1">
      <c r="A3828" t="inlineStr">
        <is>
          <t>A 10437-2025</t>
        </is>
      </c>
      <c r="B3828" s="1" t="n">
        <v>45720</v>
      </c>
      <c r="C3828" s="1" t="n">
        <v>45723</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10725-2025</t>
        </is>
      </c>
      <c r="B3829" s="1" t="n">
        <v>45722</v>
      </c>
      <c r="C3829" s="1" t="n">
        <v>45723</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10737-2025</t>
        </is>
      </c>
      <c r="B3830" s="1" t="n">
        <v>45722</v>
      </c>
      <c r="C3830" s="1" t="n">
        <v>45723</v>
      </c>
      <c r="D3830" t="inlineStr">
        <is>
          <t>VÄSTERNORRLANDS LÄN</t>
        </is>
      </c>
      <c r="E3830" t="inlineStr">
        <is>
          <t>SOLLEFTEÅ</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10726-2025</t>
        </is>
      </c>
      <c r="B3831" s="1" t="n">
        <v>45722</v>
      </c>
      <c r="C3831" s="1" t="n">
        <v>45723</v>
      </c>
      <c r="D3831" t="inlineStr">
        <is>
          <t>VÄSTERNORRLANDS LÄN</t>
        </is>
      </c>
      <c r="E3831" t="inlineStr">
        <is>
          <t>SOLLEFTEÅ</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10738-2025</t>
        </is>
      </c>
      <c r="B3832" s="1" t="n">
        <v>45722</v>
      </c>
      <c r="C3832" s="1" t="n">
        <v>45723</v>
      </c>
      <c r="D3832" t="inlineStr">
        <is>
          <t>VÄSTERNORRLANDS LÄN</t>
        </is>
      </c>
      <c r="E3832" t="inlineStr">
        <is>
          <t>SOLLEFTEÅ</t>
        </is>
      </c>
      <c r="F3832" t="inlineStr">
        <is>
          <t>SCA</t>
        </is>
      </c>
      <c r="G3832" t="n">
        <v>10</v>
      </c>
      <c r="H3832" t="n">
        <v>0</v>
      </c>
      <c r="I3832" t="n">
        <v>0</v>
      </c>
      <c r="J3832" t="n">
        <v>0</v>
      </c>
      <c r="K3832" t="n">
        <v>0</v>
      </c>
      <c r="L3832" t="n">
        <v>0</v>
      </c>
      <c r="M3832" t="n">
        <v>0</v>
      </c>
      <c r="N3832" t="n">
        <v>0</v>
      </c>
      <c r="O3832" t="n">
        <v>0</v>
      </c>
      <c r="P3832" t="n">
        <v>0</v>
      </c>
      <c r="Q3832" t="n">
        <v>0</v>
      </c>
      <c r="R3832" s="2" t="inlineStr"/>
    </row>
    <row r="3833">
      <c r="A3833" t="inlineStr">
        <is>
          <t>A 10865-2025</t>
        </is>
      </c>
      <c r="B3833" s="1" t="n">
        <v>45722</v>
      </c>
      <c r="C3833" s="1" t="n">
        <v>45723</v>
      </c>
      <c r="D3833" t="inlineStr">
        <is>
          <t>VÄSTERNORRLANDS LÄN</t>
        </is>
      </c>
      <c r="E3833" t="inlineStr">
        <is>
          <t>SOLLEFTEÅ</t>
        </is>
      </c>
      <c r="F3833" t="inlineStr">
        <is>
          <t>SCA</t>
        </is>
      </c>
      <c r="G3833" t="n">
        <v>2.8</v>
      </c>
      <c r="H3833" t="n">
        <v>0</v>
      </c>
      <c r="I3833" t="n">
        <v>0</v>
      </c>
      <c r="J3833" t="n">
        <v>0</v>
      </c>
      <c r="K3833" t="n">
        <v>0</v>
      </c>
      <c r="L3833" t="n">
        <v>0</v>
      </c>
      <c r="M3833" t="n">
        <v>0</v>
      </c>
      <c r="N3833" t="n">
        <v>0</v>
      </c>
      <c r="O3833" t="n">
        <v>0</v>
      </c>
      <c r="P3833" t="n">
        <v>0</v>
      </c>
      <c r="Q3833" t="n">
        <v>0</v>
      </c>
      <c r="R3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2025-03-07T16:43:54Z</dcterms:created>
  <dcterms:modified xmlns:dcterms="http://purl.org/dc/terms/" xmlns:xsi="http://www.w3.org/2001/XMLSchema-instance" xsi:type="dcterms:W3CDTF">2025-03-07T16:43:57Z</dcterms:modified>
</cp:coreProperties>
</file>