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45998</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41372-2025</t>
        </is>
      </c>
      <c r="B13" s="1" t="n">
        <v>45900.67743055556</v>
      </c>
      <c r="C13" s="1" t="n">
        <v>45998</v>
      </c>
      <c r="D13" t="inlineStr">
        <is>
          <t>VÄSTERNORRLANDS LÄN</t>
        </is>
      </c>
      <c r="E13" t="inlineStr">
        <is>
          <t>SOLLEFTEÅ</t>
        </is>
      </c>
      <c r="G13" t="n">
        <v>15.3</v>
      </c>
      <c r="H13" t="n">
        <v>7</v>
      </c>
      <c r="I13" t="n">
        <v>4</v>
      </c>
      <c r="J13" t="n">
        <v>10</v>
      </c>
      <c r="K13" t="n">
        <v>2</v>
      </c>
      <c r="L13" t="n">
        <v>0</v>
      </c>
      <c r="M13" t="n">
        <v>0</v>
      </c>
      <c r="N13" t="n">
        <v>0</v>
      </c>
      <c r="O13" t="n">
        <v>12</v>
      </c>
      <c r="P13" t="n">
        <v>2</v>
      </c>
      <c r="Q13" t="n">
        <v>19</v>
      </c>
      <c r="R13" s="2" t="inlineStr">
        <is>
          <t>Knärot
Rynkskinn
Garnlav
Kolflarnlav
Kådvaxskinn
Lunglav
Rosenticka
Skrovellav
Spillkråka
Talltita
Tretåig hackspett
Ullticka
Dropptaggsvamp
Norrlandslav
Stuplav
Vedticka
Kungsfågel
Lavskrika
Revlummer</t>
        </is>
      </c>
      <c r="S13">
        <f>HYPERLINK("https://klasma.github.io/Logging_2283/artfynd/A 41372-2025 artfynd.xlsx", "A 41372-2025")</f>
        <v/>
      </c>
      <c r="T13">
        <f>HYPERLINK("https://klasma.github.io/Logging_2283/kartor/A 41372-2025 karta.png", "A 41372-2025")</f>
        <v/>
      </c>
      <c r="U13">
        <f>HYPERLINK("https://klasma.github.io/Logging_2283/knärot/A 41372-2025 karta knärot.png", "A 41372-2025")</f>
        <v/>
      </c>
      <c r="V13">
        <f>HYPERLINK("https://klasma.github.io/Logging_2283/klagomål/A 41372-2025 FSC-klagomål.docx", "A 41372-2025")</f>
        <v/>
      </c>
      <c r="W13">
        <f>HYPERLINK("https://klasma.github.io/Logging_2283/klagomålsmail/A 41372-2025 FSC-klagomål mail.docx", "A 41372-2025")</f>
        <v/>
      </c>
      <c r="X13">
        <f>HYPERLINK("https://klasma.github.io/Logging_2283/tillsyn/A 41372-2025 tillsynsbegäran.docx", "A 41372-2025")</f>
        <v/>
      </c>
      <c r="Y13">
        <f>HYPERLINK("https://klasma.github.io/Logging_2283/tillsynsmail/A 41372-2025 tillsynsbegäran mail.docx", "A 41372-2025")</f>
        <v/>
      </c>
      <c r="Z13">
        <f>HYPERLINK("https://klasma.github.io/Logging_2283/fåglar/A 41372-2025 prioriterade fågelarter.docx", "A 41372-2025")</f>
        <v/>
      </c>
    </row>
    <row r="14" ht="15" customHeight="1">
      <c r="A14" t="inlineStr">
        <is>
          <t>A 13896-2023</t>
        </is>
      </c>
      <c r="B14" s="1" t="n">
        <v>45008</v>
      </c>
      <c r="C14" s="1" t="n">
        <v>45998</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57942-2021</t>
        </is>
      </c>
      <c r="B15" s="1" t="n">
        <v>44487</v>
      </c>
      <c r="C15" s="1" t="n">
        <v>45998</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45998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45998</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45998</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48369-2025</t>
        </is>
      </c>
      <c r="B20" s="1" t="n">
        <v>45933.67747685185</v>
      </c>
      <c r="C20" s="1" t="n">
        <v>45998</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45998</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45998</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44491-2024</t>
        </is>
      </c>
      <c r="B23" s="1" t="n">
        <v>45574</v>
      </c>
      <c r="C23" s="1" t="n">
        <v>45998</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20312-2022</t>
        </is>
      </c>
      <c r="B24" s="1" t="n">
        <v>44698</v>
      </c>
      <c r="C24" s="1" t="n">
        <v>45998</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23629-2025</t>
        </is>
      </c>
      <c r="B25" s="1" t="n">
        <v>45792.67752314815</v>
      </c>
      <c r="C25" s="1" t="n">
        <v>45998</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6059-2024</t>
        </is>
      </c>
      <c r="B26" s="1" t="n">
        <v>45336</v>
      </c>
      <c r="C26" s="1" t="n">
        <v>45998</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26657-2022</t>
        </is>
      </c>
      <c r="B27" s="1" t="n">
        <v>44739</v>
      </c>
      <c r="C27" s="1" t="n">
        <v>45998</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8658-2024</t>
        </is>
      </c>
      <c r="B28" s="1" t="n">
        <v>45356</v>
      </c>
      <c r="C28" s="1" t="n">
        <v>45998</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45998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45998</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33964-2023</t>
        </is>
      </c>
      <c r="B31" s="1" t="n">
        <v>45124</v>
      </c>
      <c r="C31" s="1" t="n">
        <v>45998</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29232-2025</t>
        </is>
      </c>
      <c r="B32" s="1" t="n">
        <v>45824.34453703704</v>
      </c>
      <c r="C32" s="1" t="n">
        <v>45998</v>
      </c>
      <c r="D32" t="inlineStr">
        <is>
          <t>VÄSTERNORRLANDS LÄN</t>
        </is>
      </c>
      <c r="E32" t="inlineStr">
        <is>
          <t>SOLLEFTEÅ</t>
        </is>
      </c>
      <c r="F32" t="inlineStr">
        <is>
          <t>SCA</t>
        </is>
      </c>
      <c r="G32" t="n">
        <v>6.5</v>
      </c>
      <c r="H32" t="n">
        <v>3</v>
      </c>
      <c r="I32" t="n">
        <v>4</v>
      </c>
      <c r="J32" t="n">
        <v>10</v>
      </c>
      <c r="K32" t="n">
        <v>0</v>
      </c>
      <c r="L32" t="n">
        <v>0</v>
      </c>
      <c r="M32" t="n">
        <v>0</v>
      </c>
      <c r="N32" t="n">
        <v>0</v>
      </c>
      <c r="O32" t="n">
        <v>10</v>
      </c>
      <c r="P32" t="n">
        <v>0</v>
      </c>
      <c r="Q32" t="n">
        <v>14</v>
      </c>
      <c r="R32" s="2" t="inlineStr">
        <is>
          <t>Gammelgransskål
Garnlav
Järpe
Luddfingersvamp
Lunglav
Talltita
Tretåig hackspett
Ullticka
Vedskivlav
Vitgrynig nållav
Bårdlav
Luddlav
Stuplav
Vedticka</t>
        </is>
      </c>
      <c r="S32">
        <f>HYPERLINK("https://klasma.github.io/Logging_2283/artfynd/A 29232-2025 artfynd.xlsx", "A 29232-2025")</f>
        <v/>
      </c>
      <c r="T32">
        <f>HYPERLINK("https://klasma.github.io/Logging_2283/kartor/A 29232-2025 karta.png", "A 29232-2025")</f>
        <v/>
      </c>
      <c r="V32">
        <f>HYPERLINK("https://klasma.github.io/Logging_2283/klagomål/A 29232-2025 FSC-klagomål.docx", "A 29232-2025")</f>
        <v/>
      </c>
      <c r="W32">
        <f>HYPERLINK("https://klasma.github.io/Logging_2283/klagomålsmail/A 29232-2025 FSC-klagomål mail.docx", "A 29232-2025")</f>
        <v/>
      </c>
      <c r="X32">
        <f>HYPERLINK("https://klasma.github.io/Logging_2283/tillsyn/A 29232-2025 tillsynsbegäran.docx", "A 29232-2025")</f>
        <v/>
      </c>
      <c r="Y32">
        <f>HYPERLINK("https://klasma.github.io/Logging_2283/tillsynsmail/A 29232-2025 tillsynsbegäran mail.docx", "A 29232-2025")</f>
        <v/>
      </c>
      <c r="Z32">
        <f>HYPERLINK("https://klasma.github.io/Logging_2283/fåglar/A 29232-2025 prioriterade fågelarter.docx", "A 29232-2025")</f>
        <v/>
      </c>
    </row>
    <row r="33" ht="15" customHeight="1">
      <c r="A33" t="inlineStr">
        <is>
          <t>A 40262-2024</t>
        </is>
      </c>
      <c r="B33" s="1" t="n">
        <v>45554</v>
      </c>
      <c r="C33" s="1" t="n">
        <v>45998</v>
      </c>
      <c r="D33" t="inlineStr">
        <is>
          <t>VÄSTERNORRLANDS LÄN</t>
        </is>
      </c>
      <c r="E33" t="inlineStr">
        <is>
          <t>SOLLEFTEÅ</t>
        </is>
      </c>
      <c r="F33" t="inlineStr">
        <is>
          <t>SCA</t>
        </is>
      </c>
      <c r="G33" t="n">
        <v>17.9</v>
      </c>
      <c r="H33" t="n">
        <v>4</v>
      </c>
      <c r="I33" t="n">
        <v>2</v>
      </c>
      <c r="J33" t="n">
        <v>11</v>
      </c>
      <c r="K33" t="n">
        <v>1</v>
      </c>
      <c r="L33" t="n">
        <v>0</v>
      </c>
      <c r="M33" t="n">
        <v>0</v>
      </c>
      <c r="N33" t="n">
        <v>0</v>
      </c>
      <c r="O33" t="n">
        <v>12</v>
      </c>
      <c r="P33" t="n">
        <v>1</v>
      </c>
      <c r="Q33" t="n">
        <v>14</v>
      </c>
      <c r="R33" s="2" t="inlineStr">
        <is>
          <t>Knärot
Garnlav
Järpe
Kolflarnlav
Leptoporus mollis
Motaggsvamp
Rosenticka
Spillkråka
Stjärntagging
Tallticka
Tretåig hackspett
Ullticka
Bollvitmossa
Vedticka</t>
        </is>
      </c>
      <c r="S33">
        <f>HYPERLINK("https://klasma.github.io/Logging_2283/artfynd/A 40262-2024 artfynd.xlsx", "A 40262-2024")</f>
        <v/>
      </c>
      <c r="T33">
        <f>HYPERLINK("https://klasma.github.io/Logging_2283/kartor/A 40262-2024 karta.png", "A 40262-2024")</f>
        <v/>
      </c>
      <c r="U33">
        <f>HYPERLINK("https://klasma.github.io/Logging_2283/knärot/A 40262-2024 karta knärot.png", "A 40262-2024")</f>
        <v/>
      </c>
      <c r="V33">
        <f>HYPERLINK("https://klasma.github.io/Logging_2283/klagomål/A 40262-2024 FSC-klagomål.docx", "A 40262-2024")</f>
        <v/>
      </c>
      <c r="W33">
        <f>HYPERLINK("https://klasma.github.io/Logging_2283/klagomålsmail/A 40262-2024 FSC-klagomål mail.docx", "A 40262-2024")</f>
        <v/>
      </c>
      <c r="X33">
        <f>HYPERLINK("https://klasma.github.io/Logging_2283/tillsyn/A 40262-2024 tillsynsbegäran.docx", "A 40262-2024")</f>
        <v/>
      </c>
      <c r="Y33">
        <f>HYPERLINK("https://klasma.github.io/Logging_2283/tillsynsmail/A 40262-2024 tillsynsbegäran mail.docx", "A 40262-2024")</f>
        <v/>
      </c>
      <c r="Z33">
        <f>HYPERLINK("https://klasma.github.io/Logging_2283/fåglar/A 40262-2024 prioriterade fågelarter.docx", "A 40262-2024")</f>
        <v/>
      </c>
    </row>
    <row r="34" ht="15" customHeight="1">
      <c r="A34" t="inlineStr">
        <is>
          <t>A 10626-2024</t>
        </is>
      </c>
      <c r="B34" s="1" t="n">
        <v>45367</v>
      </c>
      <c r="C34" s="1" t="n">
        <v>45998</v>
      </c>
      <c r="D34" t="inlineStr">
        <is>
          <t>VÄSTERNORRLANDS LÄN</t>
        </is>
      </c>
      <c r="E34" t="inlineStr">
        <is>
          <t>SOLLEFTEÅ</t>
        </is>
      </c>
      <c r="G34" t="n">
        <v>7.4</v>
      </c>
      <c r="H34" t="n">
        <v>6</v>
      </c>
      <c r="I34" t="n">
        <v>2</v>
      </c>
      <c r="J34" t="n">
        <v>6</v>
      </c>
      <c r="K34" t="n">
        <v>4</v>
      </c>
      <c r="L34" t="n">
        <v>0</v>
      </c>
      <c r="M34" t="n">
        <v>0</v>
      </c>
      <c r="N34" t="n">
        <v>0</v>
      </c>
      <c r="O34" t="n">
        <v>10</v>
      </c>
      <c r="P34" t="n">
        <v>4</v>
      </c>
      <c r="Q34" t="n">
        <v>14</v>
      </c>
      <c r="R34" s="2" t="inlineStr">
        <is>
          <t>Blackticka
Knärot
Lappticka
Rynkskinn
Garnlav
Hornvaxskinn
Rosenticka
Spillkråka
Tretåig hackspett
Ullticka
Plattlummer
Vedticka
Tjäder
Revlummer</t>
        </is>
      </c>
      <c r="S34">
        <f>HYPERLINK("https://klasma.github.io/Logging_2283/artfynd/A 10626-2024 artfynd.xlsx", "A 10626-2024")</f>
        <v/>
      </c>
      <c r="T34">
        <f>HYPERLINK("https://klasma.github.io/Logging_2283/kartor/A 10626-2024 karta.png", "A 10626-2024")</f>
        <v/>
      </c>
      <c r="U34">
        <f>HYPERLINK("https://klasma.github.io/Logging_2283/knärot/A 10626-2024 karta knärot.png", "A 10626-2024")</f>
        <v/>
      </c>
      <c r="V34">
        <f>HYPERLINK("https://klasma.github.io/Logging_2283/klagomål/A 10626-2024 FSC-klagomål.docx", "A 10626-2024")</f>
        <v/>
      </c>
      <c r="W34">
        <f>HYPERLINK("https://klasma.github.io/Logging_2283/klagomålsmail/A 10626-2024 FSC-klagomål mail.docx", "A 10626-2024")</f>
        <v/>
      </c>
      <c r="X34">
        <f>HYPERLINK("https://klasma.github.io/Logging_2283/tillsyn/A 10626-2024 tillsynsbegäran.docx", "A 10626-2024")</f>
        <v/>
      </c>
      <c r="Y34">
        <f>HYPERLINK("https://klasma.github.io/Logging_2283/tillsynsmail/A 10626-2024 tillsynsbegäran mail.docx", "A 10626-2024")</f>
        <v/>
      </c>
      <c r="Z34">
        <f>HYPERLINK("https://klasma.github.io/Logging_2283/fåglar/A 10626-2024 prioriterade fågelarter.docx", "A 10626-2024")</f>
        <v/>
      </c>
    </row>
    <row r="35" ht="15" customHeight="1">
      <c r="A35" t="inlineStr">
        <is>
          <t>A 12277-2021</t>
        </is>
      </c>
      <c r="B35" s="1" t="n">
        <v>44266</v>
      </c>
      <c r="C35" s="1" t="n">
        <v>45998</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45998</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29918-2024</t>
        </is>
      </c>
      <c r="B37" s="1" t="n">
        <v>45487.92841435185</v>
      </c>
      <c r="C37" s="1" t="n">
        <v>45998</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32199-2023</t>
        </is>
      </c>
      <c r="B38" s="1" t="n">
        <v>45119</v>
      </c>
      <c r="C38" s="1" t="n">
        <v>45998</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29309-2022</t>
        </is>
      </c>
      <c r="B39" s="1" t="n">
        <v>44750</v>
      </c>
      <c r="C39" s="1" t="n">
        <v>45998</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3639-2025</t>
        </is>
      </c>
      <c r="B40" s="1" t="n">
        <v>45681</v>
      </c>
      <c r="C40" s="1" t="n">
        <v>45998</v>
      </c>
      <c r="D40" t="inlineStr">
        <is>
          <t>VÄSTERNORRLANDS LÄN</t>
        </is>
      </c>
      <c r="E40" t="inlineStr">
        <is>
          <t>SOLLEFTEÅ</t>
        </is>
      </c>
      <c r="F40" t="inlineStr">
        <is>
          <t>SCA</t>
        </is>
      </c>
      <c r="G40" t="n">
        <v>6.5</v>
      </c>
      <c r="H40" t="n">
        <v>4</v>
      </c>
      <c r="I40" t="n">
        <v>0</v>
      </c>
      <c r="J40" t="n">
        <v>10</v>
      </c>
      <c r="K40" t="n">
        <v>1</v>
      </c>
      <c r="L40" t="n">
        <v>0</v>
      </c>
      <c r="M40" t="n">
        <v>0</v>
      </c>
      <c r="N40" t="n">
        <v>0</v>
      </c>
      <c r="O40" t="n">
        <v>11</v>
      </c>
      <c r="P40" t="n">
        <v>1</v>
      </c>
      <c r="Q40" t="n">
        <v>13</v>
      </c>
      <c r="R40" s="2" t="inlineStr">
        <is>
          <t>Rynkskinn
Dvärgbägarlav
Garnlav
Kolflarnlav
Lunglav
Mörk kolflarnlav
Rosenticka
Skrovellav
Spillkråka
Tretåig hackspett
Ullticka
Orre
Tjäder</t>
        </is>
      </c>
      <c r="S40">
        <f>HYPERLINK("https://klasma.github.io/Logging_2283/artfynd/A 3639-2025 artfynd.xlsx", "A 3639-2025")</f>
        <v/>
      </c>
      <c r="T40">
        <f>HYPERLINK("https://klasma.github.io/Logging_2283/kartor/A 3639-2025 karta.png", "A 3639-2025")</f>
        <v/>
      </c>
      <c r="V40">
        <f>HYPERLINK("https://klasma.github.io/Logging_2283/klagomål/A 3639-2025 FSC-klagomål.docx", "A 3639-2025")</f>
        <v/>
      </c>
      <c r="W40">
        <f>HYPERLINK("https://klasma.github.io/Logging_2283/klagomålsmail/A 3639-2025 FSC-klagomål mail.docx", "A 3639-2025")</f>
        <v/>
      </c>
      <c r="X40">
        <f>HYPERLINK("https://klasma.github.io/Logging_2283/tillsyn/A 3639-2025 tillsynsbegäran.docx", "A 3639-2025")</f>
        <v/>
      </c>
      <c r="Y40">
        <f>HYPERLINK("https://klasma.github.io/Logging_2283/tillsynsmail/A 3639-2025 tillsynsbegäran mail.docx", "A 3639-2025")</f>
        <v/>
      </c>
      <c r="Z40">
        <f>HYPERLINK("https://klasma.github.io/Logging_2283/fåglar/A 3639-2025 prioriterade fågelarter.docx", "A 3639-2025")</f>
        <v/>
      </c>
    </row>
    <row r="41" ht="15" customHeight="1">
      <c r="A41" t="inlineStr">
        <is>
          <t>A 39172-2022</t>
        </is>
      </c>
      <c r="B41" s="1" t="n">
        <v>44817</v>
      </c>
      <c r="C41" s="1" t="n">
        <v>45998</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45998</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22209-2025</t>
        </is>
      </c>
      <c r="B43" s="1" t="n">
        <v>45785.65732638889</v>
      </c>
      <c r="C43" s="1" t="n">
        <v>45998</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27590-2025</t>
        </is>
      </c>
      <c r="B44" s="1" t="n">
        <v>45813</v>
      </c>
      <c r="C44" s="1" t="n">
        <v>45998</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45998</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1963-2025</t>
        </is>
      </c>
      <c r="B46" s="1" t="n">
        <v>45672</v>
      </c>
      <c r="C46" s="1" t="n">
        <v>45998</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25521-2025</t>
        </is>
      </c>
      <c r="B47" s="1" t="n">
        <v>45803</v>
      </c>
      <c r="C47" s="1" t="n">
        <v>45998</v>
      </c>
      <c r="D47" t="inlineStr">
        <is>
          <t>VÄSTERNORRLANDS LÄN</t>
        </is>
      </c>
      <c r="E47" t="inlineStr">
        <is>
          <t>SOLLEFTEÅ</t>
        </is>
      </c>
      <c r="F47" t="inlineStr">
        <is>
          <t>SCA</t>
        </is>
      </c>
      <c r="G47" t="n">
        <v>7.8</v>
      </c>
      <c r="H47" t="n">
        <v>3</v>
      </c>
      <c r="I47" t="n">
        <v>3</v>
      </c>
      <c r="J47" t="n">
        <v>9</v>
      </c>
      <c r="K47" t="n">
        <v>0</v>
      </c>
      <c r="L47" t="n">
        <v>0</v>
      </c>
      <c r="M47" t="n">
        <v>0</v>
      </c>
      <c r="N47" t="n">
        <v>0</v>
      </c>
      <c r="O47" t="n">
        <v>9</v>
      </c>
      <c r="P47" t="n">
        <v>0</v>
      </c>
      <c r="Q47" t="n">
        <v>13</v>
      </c>
      <c r="R47" s="2" t="inlineStr">
        <is>
          <t>Brunpudrad nållav
Gammelgransskål
Garnlav
Granticka
Harticka
Rödbrun blekspik
Tretåig hackspett
Ullticka
Vitgrynig nållav
Gulnål
Korallrot
Trådticka
Revlummer</t>
        </is>
      </c>
      <c r="S47">
        <f>HYPERLINK("https://klasma.github.io/Logging_2283/artfynd/A 25521-2025 artfynd.xlsx", "A 25521-2025")</f>
        <v/>
      </c>
      <c r="T47">
        <f>HYPERLINK("https://klasma.github.io/Logging_2283/kartor/A 25521-2025 karta.png", "A 25521-2025")</f>
        <v/>
      </c>
      <c r="V47">
        <f>HYPERLINK("https://klasma.github.io/Logging_2283/klagomål/A 25521-2025 FSC-klagomål.docx", "A 25521-2025")</f>
        <v/>
      </c>
      <c r="W47">
        <f>HYPERLINK("https://klasma.github.io/Logging_2283/klagomålsmail/A 25521-2025 FSC-klagomål mail.docx", "A 25521-2025")</f>
        <v/>
      </c>
      <c r="X47">
        <f>HYPERLINK("https://klasma.github.io/Logging_2283/tillsyn/A 25521-2025 tillsynsbegäran.docx", "A 25521-2025")</f>
        <v/>
      </c>
      <c r="Y47">
        <f>HYPERLINK("https://klasma.github.io/Logging_2283/tillsynsmail/A 25521-2025 tillsynsbegäran mail.docx", "A 25521-2025")</f>
        <v/>
      </c>
      <c r="Z47">
        <f>HYPERLINK("https://klasma.github.io/Logging_2283/fåglar/A 25521-2025 prioriterade fågelarter.docx", "A 25521-2025")</f>
        <v/>
      </c>
    </row>
    <row r="48" ht="15" customHeight="1">
      <c r="A48" t="inlineStr">
        <is>
          <t>A 44372-2024</t>
        </is>
      </c>
      <c r="B48" s="1" t="n">
        <v>45573</v>
      </c>
      <c r="C48" s="1" t="n">
        <v>45998</v>
      </c>
      <c r="D48" t="inlineStr">
        <is>
          <t>VÄSTERNORRLANDS LÄN</t>
        </is>
      </c>
      <c r="E48" t="inlineStr">
        <is>
          <t>SOLLEFTEÅ</t>
        </is>
      </c>
      <c r="F48" t="inlineStr">
        <is>
          <t>SCA</t>
        </is>
      </c>
      <c r="G48" t="n">
        <v>3.3</v>
      </c>
      <c r="H48" t="n">
        <v>4</v>
      </c>
      <c r="I48" t="n">
        <v>3</v>
      </c>
      <c r="J48" t="n">
        <v>7</v>
      </c>
      <c r="K48" t="n">
        <v>3</v>
      </c>
      <c r="L48" t="n">
        <v>0</v>
      </c>
      <c r="M48" t="n">
        <v>0</v>
      </c>
      <c r="N48" t="n">
        <v>0</v>
      </c>
      <c r="O48" t="n">
        <v>10</v>
      </c>
      <c r="P48" t="n">
        <v>3</v>
      </c>
      <c r="Q48" t="n">
        <v>13</v>
      </c>
      <c r="R48" s="2" t="inlineStr">
        <is>
          <t>Knärot
Lappticka
Ulltickeporing
Gammelgransskål
Garnlav
Granticka
Rosenticka
Talltita
Tretåig hackspett
Ullticka
Bollvitmossa
Fjällig taggsvamp s.str.
Spindelblomster</t>
        </is>
      </c>
      <c r="S48">
        <f>HYPERLINK("https://klasma.github.io/Logging_2283/artfynd/A 44372-2024 artfynd.xlsx", "A 44372-2024")</f>
        <v/>
      </c>
      <c r="T48">
        <f>HYPERLINK("https://klasma.github.io/Logging_2283/kartor/A 44372-2024 karta.png", "A 44372-2024")</f>
        <v/>
      </c>
      <c r="U48">
        <f>HYPERLINK("https://klasma.github.io/Logging_2283/knärot/A 44372-2024 karta knärot.png", "A 44372-2024")</f>
        <v/>
      </c>
      <c r="V48">
        <f>HYPERLINK("https://klasma.github.io/Logging_2283/klagomål/A 44372-2024 FSC-klagomål.docx", "A 44372-2024")</f>
        <v/>
      </c>
      <c r="W48">
        <f>HYPERLINK("https://klasma.github.io/Logging_2283/klagomålsmail/A 44372-2024 FSC-klagomål mail.docx", "A 44372-2024")</f>
        <v/>
      </c>
      <c r="X48">
        <f>HYPERLINK("https://klasma.github.io/Logging_2283/tillsyn/A 44372-2024 tillsynsbegäran.docx", "A 44372-2024")</f>
        <v/>
      </c>
      <c r="Y48">
        <f>HYPERLINK("https://klasma.github.io/Logging_2283/tillsynsmail/A 44372-2024 tillsynsbegäran mail.docx", "A 44372-2024")</f>
        <v/>
      </c>
      <c r="Z48">
        <f>HYPERLINK("https://klasma.github.io/Logging_2283/fåglar/A 44372-2024 prioriterade fågelarter.docx", "A 44372-2024")</f>
        <v/>
      </c>
    </row>
    <row r="49" ht="15" customHeight="1">
      <c r="A49" t="inlineStr">
        <is>
          <t>A 28663-2023</t>
        </is>
      </c>
      <c r="B49" s="1" t="n">
        <v>45096</v>
      </c>
      <c r="C49" s="1" t="n">
        <v>45998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44369-2024</t>
        </is>
      </c>
      <c r="B50" s="1" t="n">
        <v>45573</v>
      </c>
      <c r="C50" s="1" t="n">
        <v>45998</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3325-2025</t>
        </is>
      </c>
      <c r="B51" s="1" t="n">
        <v>45679</v>
      </c>
      <c r="C51" s="1" t="n">
        <v>45998</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45998</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30571-2024</t>
        </is>
      </c>
      <c r="B53" s="1" t="n">
        <v>45492</v>
      </c>
      <c r="C53" s="1" t="n">
        <v>45998</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48181-2025</t>
        </is>
      </c>
      <c r="B54" s="1" t="n">
        <v>45933.45269675926</v>
      </c>
      <c r="C54" s="1" t="n">
        <v>45998</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45998</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4839-2025</t>
        </is>
      </c>
      <c r="B56" s="1" t="n">
        <v>45688</v>
      </c>
      <c r="C56" s="1" t="n">
        <v>45998</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49704-2025</t>
        </is>
      </c>
      <c r="B57" s="1" t="n">
        <v>45939</v>
      </c>
      <c r="C57" s="1" t="n">
        <v>45998</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26948-2024</t>
        </is>
      </c>
      <c r="B58" s="1" t="n">
        <v>45470</v>
      </c>
      <c r="C58" s="1" t="n">
        <v>45998</v>
      </c>
      <c r="D58" t="inlineStr">
        <is>
          <t>VÄSTERNORRLANDS LÄN</t>
        </is>
      </c>
      <c r="E58" t="inlineStr">
        <is>
          <t>SOLLEFTEÅ</t>
        </is>
      </c>
      <c r="F58" t="inlineStr">
        <is>
          <t>SCA</t>
        </is>
      </c>
      <c r="G58" t="n">
        <v>8.1</v>
      </c>
      <c r="H58" t="n">
        <v>3</v>
      </c>
      <c r="I58" t="n">
        <v>2</v>
      </c>
      <c r="J58" t="n">
        <v>7</v>
      </c>
      <c r="K58" t="n">
        <v>2</v>
      </c>
      <c r="L58" t="n">
        <v>0</v>
      </c>
      <c r="M58" t="n">
        <v>0</v>
      </c>
      <c r="N58" t="n">
        <v>0</v>
      </c>
      <c r="O58" t="n">
        <v>9</v>
      </c>
      <c r="P58" t="n">
        <v>2</v>
      </c>
      <c r="Q58" t="n">
        <v>12</v>
      </c>
      <c r="R58" s="2" t="inlineStr">
        <is>
          <t>Goliatmusseron
Smalfotad taggsvamp
Garnlav
Kolflarnlav
Mörk kolflarnlav
Spillkråka
Tretåig hackspett
Vedskivlav
Violettgrå tagellav
Dropptaggsvamp
Luddlav
Vanlig groda</t>
        </is>
      </c>
      <c r="S58">
        <f>HYPERLINK("https://klasma.github.io/Logging_2283/artfynd/A 26948-2024 artfynd.xlsx", "A 26948-2024")</f>
        <v/>
      </c>
      <c r="T58">
        <f>HYPERLINK("https://klasma.github.io/Logging_2283/kartor/A 26948-2024 karta.png", "A 26948-2024")</f>
        <v/>
      </c>
      <c r="V58">
        <f>HYPERLINK("https://klasma.github.io/Logging_2283/klagomål/A 26948-2024 FSC-klagomål.docx", "A 26948-2024")</f>
        <v/>
      </c>
      <c r="W58">
        <f>HYPERLINK("https://klasma.github.io/Logging_2283/klagomålsmail/A 26948-2024 FSC-klagomål mail.docx", "A 26948-2024")</f>
        <v/>
      </c>
      <c r="X58">
        <f>HYPERLINK("https://klasma.github.io/Logging_2283/tillsyn/A 26948-2024 tillsynsbegäran.docx", "A 26948-2024")</f>
        <v/>
      </c>
      <c r="Y58">
        <f>HYPERLINK("https://klasma.github.io/Logging_2283/tillsynsmail/A 26948-2024 tillsynsbegäran mail.docx", "A 26948-2024")</f>
        <v/>
      </c>
      <c r="Z58">
        <f>HYPERLINK("https://klasma.github.io/Logging_2283/fåglar/A 26948-2024 prioriterade fågelarter.docx", "A 26948-2024")</f>
        <v/>
      </c>
    </row>
    <row r="59" ht="15" customHeight="1">
      <c r="A59" t="inlineStr">
        <is>
          <t>A 32460-2024</t>
        </is>
      </c>
      <c r="B59" s="1" t="n">
        <v>45512</v>
      </c>
      <c r="C59" s="1" t="n">
        <v>45998</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11491-2022</t>
        </is>
      </c>
      <c r="B60" s="1" t="n">
        <v>44630</v>
      </c>
      <c r="C60" s="1" t="n">
        <v>45998</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22449-2024</t>
        </is>
      </c>
      <c r="B61" s="1" t="n">
        <v>45446</v>
      </c>
      <c r="C61" s="1" t="n">
        <v>45998</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42124-2025</t>
        </is>
      </c>
      <c r="B62" s="1" t="n">
        <v>45904.34450231482</v>
      </c>
      <c r="C62" s="1" t="n">
        <v>45998</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50472-2025</t>
        </is>
      </c>
      <c r="B63" s="1" t="n">
        <v>45945.3650462963</v>
      </c>
      <c r="C63" s="1" t="n">
        <v>45998</v>
      </c>
      <c r="D63" t="inlineStr">
        <is>
          <t>VÄSTERNORRLANDS LÄN</t>
        </is>
      </c>
      <c r="E63" t="inlineStr">
        <is>
          <t>SOLLEFTEÅ</t>
        </is>
      </c>
      <c r="F63" t="inlineStr">
        <is>
          <t>SCA</t>
        </is>
      </c>
      <c r="G63" t="n">
        <v>9.199999999999999</v>
      </c>
      <c r="H63" t="n">
        <v>4</v>
      </c>
      <c r="I63" t="n">
        <v>4</v>
      </c>
      <c r="J63" t="n">
        <v>4</v>
      </c>
      <c r="K63" t="n">
        <v>1</v>
      </c>
      <c r="L63" t="n">
        <v>0</v>
      </c>
      <c r="M63" t="n">
        <v>0</v>
      </c>
      <c r="N63" t="n">
        <v>0</v>
      </c>
      <c r="O63" t="n">
        <v>5</v>
      </c>
      <c r="P63" t="n">
        <v>1</v>
      </c>
      <c r="Q63" t="n">
        <v>11</v>
      </c>
      <c r="R63" s="2" t="inlineStr">
        <is>
          <t>Knärot
Garnlav
Lunglav
Skrovellav
Spillkråka
Bårdlav
Gytterlav
Luddlav
Stuplav
Fläcknycklar
Revlummer</t>
        </is>
      </c>
      <c r="S63">
        <f>HYPERLINK("https://klasma.github.io/Logging_2283/artfynd/A 50472-2025 artfynd.xlsx", "A 50472-2025")</f>
        <v/>
      </c>
      <c r="T63">
        <f>HYPERLINK("https://klasma.github.io/Logging_2283/kartor/A 50472-2025 karta.png", "A 50472-2025")</f>
        <v/>
      </c>
      <c r="U63">
        <f>HYPERLINK("https://klasma.github.io/Logging_2283/knärot/A 50472-2025 karta knärot.png", "A 50472-2025")</f>
        <v/>
      </c>
      <c r="V63">
        <f>HYPERLINK("https://klasma.github.io/Logging_2283/klagomål/A 50472-2025 FSC-klagomål.docx", "A 50472-2025")</f>
        <v/>
      </c>
      <c r="W63">
        <f>HYPERLINK("https://klasma.github.io/Logging_2283/klagomålsmail/A 50472-2025 FSC-klagomål mail.docx", "A 50472-2025")</f>
        <v/>
      </c>
      <c r="X63">
        <f>HYPERLINK("https://klasma.github.io/Logging_2283/tillsyn/A 50472-2025 tillsynsbegäran.docx", "A 50472-2025")</f>
        <v/>
      </c>
      <c r="Y63">
        <f>HYPERLINK("https://klasma.github.io/Logging_2283/tillsynsmail/A 50472-2025 tillsynsbegäran mail.docx", "A 50472-2025")</f>
        <v/>
      </c>
      <c r="Z63">
        <f>HYPERLINK("https://klasma.github.io/Logging_2283/fåglar/A 50472-2025 prioriterade fågelarter.docx", "A 50472-2025")</f>
        <v/>
      </c>
    </row>
    <row r="64" ht="15" customHeight="1">
      <c r="A64" t="inlineStr">
        <is>
          <t>A 61326-2024</t>
        </is>
      </c>
      <c r="B64" s="1" t="n">
        <v>45646</v>
      </c>
      <c r="C64" s="1" t="n">
        <v>45998</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46041-2022</t>
        </is>
      </c>
      <c r="B65" s="1" t="n">
        <v>44846</v>
      </c>
      <c r="C65" s="1" t="n">
        <v>45998</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747-2022</t>
        </is>
      </c>
      <c r="B66" s="1" t="n">
        <v>44568</v>
      </c>
      <c r="C66" s="1" t="n">
        <v>45998</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37488-2023</t>
        </is>
      </c>
      <c r="B67" s="1" t="n">
        <v>45156</v>
      </c>
      <c r="C67" s="1" t="n">
        <v>45998</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45998</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14301-2022</t>
        </is>
      </c>
      <c r="B69" s="1" t="n">
        <v>44651</v>
      </c>
      <c r="C69" s="1" t="n">
        <v>45998</v>
      </c>
      <c r="D69" t="inlineStr">
        <is>
          <t>VÄSTERNORRLANDS LÄN</t>
        </is>
      </c>
      <c r="E69" t="inlineStr">
        <is>
          <t>SOLLEFTEÅ</t>
        </is>
      </c>
      <c r="F69" t="inlineStr">
        <is>
          <t>SCA</t>
        </is>
      </c>
      <c r="G69" t="n">
        <v>2.4</v>
      </c>
      <c r="H69" t="n">
        <v>3</v>
      </c>
      <c r="I69" t="n">
        <v>3</v>
      </c>
      <c r="J69" t="n">
        <v>6</v>
      </c>
      <c r="K69" t="n">
        <v>1</v>
      </c>
      <c r="L69" t="n">
        <v>0</v>
      </c>
      <c r="M69" t="n">
        <v>0</v>
      </c>
      <c r="N69" t="n">
        <v>0</v>
      </c>
      <c r="O69" t="n">
        <v>7</v>
      </c>
      <c r="P69" t="n">
        <v>1</v>
      </c>
      <c r="Q69" t="n">
        <v>10</v>
      </c>
      <c r="R69" s="2" t="inlineStr">
        <is>
          <t>Knärot
Dvärgbägarlav
Lunglav
Spillkråka
Tretåig hackspett
Vedskivlav
Vedtrappmossa
Bollvitmossa
Luddlav
Stuplav</t>
        </is>
      </c>
      <c r="S69">
        <f>HYPERLINK("https://klasma.github.io/Logging_2283/artfynd/A 14301-2022 artfynd.xlsx", "A 14301-2022")</f>
        <v/>
      </c>
      <c r="T69">
        <f>HYPERLINK("https://klasma.github.io/Logging_2283/kartor/A 14301-2022 karta.png", "A 14301-2022")</f>
        <v/>
      </c>
      <c r="U69">
        <f>HYPERLINK("https://klasma.github.io/Logging_2283/knärot/A 14301-2022 karta knärot.png", "A 14301-2022")</f>
        <v/>
      </c>
      <c r="V69">
        <f>HYPERLINK("https://klasma.github.io/Logging_2283/klagomål/A 14301-2022 FSC-klagomål.docx", "A 14301-2022")</f>
        <v/>
      </c>
      <c r="W69">
        <f>HYPERLINK("https://klasma.github.io/Logging_2283/klagomålsmail/A 14301-2022 FSC-klagomål mail.docx", "A 14301-2022")</f>
        <v/>
      </c>
      <c r="X69">
        <f>HYPERLINK("https://klasma.github.io/Logging_2283/tillsyn/A 14301-2022 tillsynsbegäran.docx", "A 14301-2022")</f>
        <v/>
      </c>
      <c r="Y69">
        <f>HYPERLINK("https://klasma.github.io/Logging_2283/tillsynsmail/A 14301-2022 tillsynsbegäran mail.docx", "A 14301-2022")</f>
        <v/>
      </c>
      <c r="Z69">
        <f>HYPERLINK("https://klasma.github.io/Logging_2283/fåglar/A 14301-2022 prioriterade fågelarter.docx", "A 14301-2022")</f>
        <v/>
      </c>
    </row>
    <row r="70" ht="15" customHeight="1">
      <c r="A70" t="inlineStr">
        <is>
          <t>A 18009-2022</t>
        </is>
      </c>
      <c r="B70" s="1" t="n">
        <v>44683</v>
      </c>
      <c r="C70" s="1" t="n">
        <v>45998</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19825-2023</t>
        </is>
      </c>
      <c r="B71" s="1" t="n">
        <v>45051</v>
      </c>
      <c r="C71" s="1" t="n">
        <v>45998</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38665-2025</t>
        </is>
      </c>
      <c r="B72" s="1" t="n">
        <v>45884.61528935185</v>
      </c>
      <c r="C72" s="1" t="n">
        <v>45998</v>
      </c>
      <c r="D72" t="inlineStr">
        <is>
          <t>VÄSTERNORRLANDS LÄN</t>
        </is>
      </c>
      <c r="E72" t="inlineStr">
        <is>
          <t>SOLLEFTEÅ</t>
        </is>
      </c>
      <c r="F72" t="inlineStr">
        <is>
          <t>SCA</t>
        </is>
      </c>
      <c r="G72" t="n">
        <v>3.9</v>
      </c>
      <c r="H72" t="n">
        <v>0</v>
      </c>
      <c r="I72" t="n">
        <v>1</v>
      </c>
      <c r="J72" t="n">
        <v>9</v>
      </c>
      <c r="K72" t="n">
        <v>0</v>
      </c>
      <c r="L72" t="n">
        <v>0</v>
      </c>
      <c r="M72" t="n">
        <v>0</v>
      </c>
      <c r="N72" t="n">
        <v>0</v>
      </c>
      <c r="O72" t="n">
        <v>9</v>
      </c>
      <c r="P72" t="n">
        <v>0</v>
      </c>
      <c r="Q72" t="n">
        <v>10</v>
      </c>
      <c r="R72" s="2" t="inlineStr">
        <is>
          <t>Blå taggsvamp
Gammelgransskål
Kolflarnlav
Lunglav
Nordtagging
Rosenticka
Ullticka
Vaddporing
Vitgrynig nållav
Luddlav</t>
        </is>
      </c>
      <c r="S72">
        <f>HYPERLINK("https://klasma.github.io/Logging_2283/artfynd/A 38665-2025 artfynd.xlsx", "A 38665-2025")</f>
        <v/>
      </c>
      <c r="T72">
        <f>HYPERLINK("https://klasma.github.io/Logging_2283/kartor/A 38665-2025 karta.png", "A 38665-2025")</f>
        <v/>
      </c>
      <c r="V72">
        <f>HYPERLINK("https://klasma.github.io/Logging_2283/klagomål/A 38665-2025 FSC-klagomål.docx", "A 38665-2025")</f>
        <v/>
      </c>
      <c r="W72">
        <f>HYPERLINK("https://klasma.github.io/Logging_2283/klagomålsmail/A 38665-2025 FSC-klagomål mail.docx", "A 38665-2025")</f>
        <v/>
      </c>
      <c r="X72">
        <f>HYPERLINK("https://klasma.github.io/Logging_2283/tillsyn/A 38665-2025 tillsynsbegäran.docx", "A 38665-2025")</f>
        <v/>
      </c>
      <c r="Y72">
        <f>HYPERLINK("https://klasma.github.io/Logging_2283/tillsynsmail/A 38665-2025 tillsynsbegäran mail.docx", "A 38665-2025")</f>
        <v/>
      </c>
    </row>
    <row r="73" ht="15" customHeight="1">
      <c r="A73" t="inlineStr">
        <is>
          <t>A 43329-2025</t>
        </is>
      </c>
      <c r="B73" s="1" t="n">
        <v>45910.6775</v>
      </c>
      <c r="C73" s="1" t="n">
        <v>45998</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51693-2024</t>
        </is>
      </c>
      <c r="B74" s="1" t="n">
        <v>45607.34570601852</v>
      </c>
      <c r="C74" s="1" t="n">
        <v>45998</v>
      </c>
      <c r="D74" t="inlineStr">
        <is>
          <t>VÄSTERNORRLANDS LÄN</t>
        </is>
      </c>
      <c r="E74" t="inlineStr">
        <is>
          <t>SOLLEFTEÅ</t>
        </is>
      </c>
      <c r="F74" t="inlineStr">
        <is>
          <t>SCA</t>
        </is>
      </c>
      <c r="G74" t="n">
        <v>5.2</v>
      </c>
      <c r="H74" t="n">
        <v>3</v>
      </c>
      <c r="I74" t="n">
        <v>2</v>
      </c>
      <c r="J74" t="n">
        <v>7</v>
      </c>
      <c r="K74" t="n">
        <v>1</v>
      </c>
      <c r="L74" t="n">
        <v>0</v>
      </c>
      <c r="M74" t="n">
        <v>0</v>
      </c>
      <c r="N74" t="n">
        <v>0</v>
      </c>
      <c r="O74" t="n">
        <v>8</v>
      </c>
      <c r="P74" t="n">
        <v>1</v>
      </c>
      <c r="Q74" t="n">
        <v>10</v>
      </c>
      <c r="R74" s="2" t="inlineStr">
        <is>
          <t>Knärot
Garnlav
Granticka
Kolflarnlav
Lunglav
Spillkråka
Tretåig hackspett
Ullticka
Dropptaggsvamp
Skuggblåslav</t>
        </is>
      </c>
      <c r="S74">
        <f>HYPERLINK("https://klasma.github.io/Logging_2283/artfynd/A 51693-2024 artfynd.xlsx", "A 51693-2024")</f>
        <v/>
      </c>
      <c r="T74">
        <f>HYPERLINK("https://klasma.github.io/Logging_2283/kartor/A 51693-2024 karta.png", "A 51693-2024")</f>
        <v/>
      </c>
      <c r="U74">
        <f>HYPERLINK("https://klasma.github.io/Logging_2283/knärot/A 51693-2024 karta knärot.png", "A 51693-2024")</f>
        <v/>
      </c>
      <c r="V74">
        <f>HYPERLINK("https://klasma.github.io/Logging_2283/klagomål/A 51693-2024 FSC-klagomål.docx", "A 51693-2024")</f>
        <v/>
      </c>
      <c r="W74">
        <f>HYPERLINK("https://klasma.github.io/Logging_2283/klagomålsmail/A 51693-2024 FSC-klagomål mail.docx", "A 51693-2024")</f>
        <v/>
      </c>
      <c r="X74">
        <f>HYPERLINK("https://klasma.github.io/Logging_2283/tillsyn/A 51693-2024 tillsynsbegäran.docx", "A 51693-2024")</f>
        <v/>
      </c>
      <c r="Y74">
        <f>HYPERLINK("https://klasma.github.io/Logging_2283/tillsynsmail/A 51693-2024 tillsynsbegäran mail.docx", "A 51693-2024")</f>
        <v/>
      </c>
      <c r="Z74">
        <f>HYPERLINK("https://klasma.github.io/Logging_2283/fåglar/A 51693-2024 prioriterade fågelarter.docx", "A 51693-2024")</f>
        <v/>
      </c>
    </row>
    <row r="75" ht="15" customHeight="1">
      <c r="A75" t="inlineStr">
        <is>
          <t>A 43131-2022</t>
        </is>
      </c>
      <c r="B75" s="1" t="n">
        <v>44833</v>
      </c>
      <c r="C75" s="1" t="n">
        <v>45998</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12865-2024</t>
        </is>
      </c>
      <c r="B76" s="1" t="n">
        <v>45384</v>
      </c>
      <c r="C76" s="1" t="n">
        <v>45998</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12146-2025</t>
        </is>
      </c>
      <c r="B77" s="1" t="n">
        <v>45729</v>
      </c>
      <c r="C77" s="1" t="n">
        <v>45998</v>
      </c>
      <c r="D77" t="inlineStr">
        <is>
          <t>VÄSTERNORRLANDS LÄN</t>
        </is>
      </c>
      <c r="E77" t="inlineStr">
        <is>
          <t>SOLLEFTEÅ</t>
        </is>
      </c>
      <c r="F77" t="inlineStr">
        <is>
          <t>SCA</t>
        </is>
      </c>
      <c r="G77" t="n">
        <v>7.4</v>
      </c>
      <c r="H77" t="n">
        <v>4</v>
      </c>
      <c r="I77" t="n">
        <v>1</v>
      </c>
      <c r="J77" t="n">
        <v>7</v>
      </c>
      <c r="K77" t="n">
        <v>0</v>
      </c>
      <c r="L77" t="n">
        <v>0</v>
      </c>
      <c r="M77" t="n">
        <v>0</v>
      </c>
      <c r="N77" t="n">
        <v>0</v>
      </c>
      <c r="O77" t="n">
        <v>7</v>
      </c>
      <c r="P77" t="n">
        <v>0</v>
      </c>
      <c r="Q77" t="n">
        <v>9</v>
      </c>
      <c r="R77" s="2" t="inlineStr">
        <is>
          <t>Gammelgransskål
Garnlav
Granticka
Harticka
Lunglav
Talltita
Tretåig hackspett
Lappranunkel
Tjäder</t>
        </is>
      </c>
      <c r="S77">
        <f>HYPERLINK("https://klasma.github.io/Logging_2283/artfynd/A 12146-2025 artfynd.xlsx", "A 12146-2025")</f>
        <v/>
      </c>
      <c r="T77">
        <f>HYPERLINK("https://klasma.github.io/Logging_2283/kartor/A 12146-2025 karta.png", "A 12146-2025")</f>
        <v/>
      </c>
      <c r="V77">
        <f>HYPERLINK("https://klasma.github.io/Logging_2283/klagomål/A 12146-2025 FSC-klagomål.docx", "A 12146-2025")</f>
        <v/>
      </c>
      <c r="W77">
        <f>HYPERLINK("https://klasma.github.io/Logging_2283/klagomålsmail/A 12146-2025 FSC-klagomål mail.docx", "A 12146-2025")</f>
        <v/>
      </c>
      <c r="X77">
        <f>HYPERLINK("https://klasma.github.io/Logging_2283/tillsyn/A 12146-2025 tillsynsbegäran.docx", "A 12146-2025")</f>
        <v/>
      </c>
      <c r="Y77">
        <f>HYPERLINK("https://klasma.github.io/Logging_2283/tillsynsmail/A 12146-2025 tillsynsbegäran mail.docx", "A 12146-2025")</f>
        <v/>
      </c>
      <c r="Z77">
        <f>HYPERLINK("https://klasma.github.io/Logging_2283/fåglar/A 12146-2025 prioriterade fågelarter.docx", "A 12146-2025")</f>
        <v/>
      </c>
    </row>
    <row r="78" ht="15" customHeight="1">
      <c r="A78" t="inlineStr">
        <is>
          <t>A 24755-2024</t>
        </is>
      </c>
      <c r="B78" s="1" t="n">
        <v>45460</v>
      </c>
      <c r="C78" s="1" t="n">
        <v>45998</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39197-2025</t>
        </is>
      </c>
      <c r="B79" s="1" t="n">
        <v>45888.69832175926</v>
      </c>
      <c r="C79" s="1" t="n">
        <v>45998</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45998</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40274-2022</t>
        </is>
      </c>
      <c r="B81" s="1" t="n">
        <v>44820</v>
      </c>
      <c r="C81" s="1" t="n">
        <v>45998</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5310-2024</t>
        </is>
      </c>
      <c r="B82" s="1" t="n">
        <v>45331</v>
      </c>
      <c r="C82" s="1" t="n">
        <v>45998</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29620-2023</t>
        </is>
      </c>
      <c r="B83" s="1" t="n">
        <v>45106</v>
      </c>
      <c r="C83" s="1" t="n">
        <v>45998</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24459-2024</t>
        </is>
      </c>
      <c r="B84" s="1" t="n">
        <v>45457.9678125</v>
      </c>
      <c r="C84" s="1" t="n">
        <v>45998</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32200-2023</t>
        </is>
      </c>
      <c r="B85" s="1" t="n">
        <v>45119</v>
      </c>
      <c r="C85" s="1" t="n">
        <v>45998</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64131-2023</t>
        </is>
      </c>
      <c r="B86" s="1" t="n">
        <v>45279</v>
      </c>
      <c r="C86" s="1" t="n">
        <v>45998</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57317-2024</t>
        </is>
      </c>
      <c r="B87" s="1" t="n">
        <v>45629</v>
      </c>
      <c r="C87" s="1" t="n">
        <v>45998</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11132-2025</t>
        </is>
      </c>
      <c r="B88" s="1" t="n">
        <v>45723.64934027778</v>
      </c>
      <c r="C88" s="1" t="n">
        <v>45998</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39071-2023</t>
        </is>
      </c>
      <c r="B89" s="1" t="n">
        <v>45163</v>
      </c>
      <c r="C89" s="1" t="n">
        <v>45998</v>
      </c>
      <c r="D89" t="inlineStr">
        <is>
          <t>VÄSTERNORRLANDS LÄN</t>
        </is>
      </c>
      <c r="E89" t="inlineStr">
        <is>
          <t>SOLLEFTEÅ</t>
        </is>
      </c>
      <c r="F89" t="inlineStr">
        <is>
          <t>SCA</t>
        </is>
      </c>
      <c r="G89" t="n">
        <v>16.5</v>
      </c>
      <c r="H89" t="n">
        <v>1</v>
      </c>
      <c r="I89" t="n">
        <v>1</v>
      </c>
      <c r="J89" t="n">
        <v>6</v>
      </c>
      <c r="K89" t="n">
        <v>1</v>
      </c>
      <c r="L89" t="n">
        <v>0</v>
      </c>
      <c r="M89" t="n">
        <v>0</v>
      </c>
      <c r="N89" t="n">
        <v>0</v>
      </c>
      <c r="O89" t="n">
        <v>7</v>
      </c>
      <c r="P89" t="n">
        <v>1</v>
      </c>
      <c r="Q89" t="n">
        <v>8</v>
      </c>
      <c r="R89" s="2" t="inlineStr">
        <is>
          <t>Rynkskinn
Gammelgransskål
Granticka
Leptoporus mollis
Rosenticka
Spillkråka
Ullticka
Vedticka</t>
        </is>
      </c>
      <c r="S89">
        <f>HYPERLINK("https://klasma.github.io/Logging_2283/artfynd/A 39071-2023 artfynd.xlsx", "A 39071-2023")</f>
        <v/>
      </c>
      <c r="T89">
        <f>HYPERLINK("https://klasma.github.io/Logging_2283/kartor/A 39071-2023 karta.png", "A 39071-2023")</f>
        <v/>
      </c>
      <c r="V89">
        <f>HYPERLINK("https://klasma.github.io/Logging_2283/klagomål/A 39071-2023 FSC-klagomål.docx", "A 39071-2023")</f>
        <v/>
      </c>
      <c r="W89">
        <f>HYPERLINK("https://klasma.github.io/Logging_2283/klagomålsmail/A 39071-2023 FSC-klagomål mail.docx", "A 39071-2023")</f>
        <v/>
      </c>
      <c r="X89">
        <f>HYPERLINK("https://klasma.github.io/Logging_2283/tillsyn/A 39071-2023 tillsynsbegäran.docx", "A 39071-2023")</f>
        <v/>
      </c>
      <c r="Y89">
        <f>HYPERLINK("https://klasma.github.io/Logging_2283/tillsynsmail/A 39071-2023 tillsynsbegäran mail.docx", "A 39071-2023")</f>
        <v/>
      </c>
      <c r="Z89">
        <f>HYPERLINK("https://klasma.github.io/Logging_2283/fåglar/A 39071-2023 prioriterade fågelarter.docx", "A 39071-2023")</f>
        <v/>
      </c>
    </row>
    <row r="90" ht="15" customHeight="1">
      <c r="A90" t="inlineStr">
        <is>
          <t>A 22215-2025</t>
        </is>
      </c>
      <c r="B90" s="1" t="n">
        <v>45785.65803240741</v>
      </c>
      <c r="C90" s="1" t="n">
        <v>45998</v>
      </c>
      <c r="D90" t="inlineStr">
        <is>
          <t>VÄSTERNORRLANDS LÄN</t>
        </is>
      </c>
      <c r="E90" t="inlineStr">
        <is>
          <t>SOLLEFTEÅ</t>
        </is>
      </c>
      <c r="F90" t="inlineStr">
        <is>
          <t>SCA</t>
        </is>
      </c>
      <c r="G90" t="n">
        <v>3.8</v>
      </c>
      <c r="H90" t="n">
        <v>1</v>
      </c>
      <c r="I90" t="n">
        <v>1</v>
      </c>
      <c r="J90" t="n">
        <v>4</v>
      </c>
      <c r="K90" t="n">
        <v>2</v>
      </c>
      <c r="L90" t="n">
        <v>0</v>
      </c>
      <c r="M90" t="n">
        <v>0</v>
      </c>
      <c r="N90" t="n">
        <v>0</v>
      </c>
      <c r="O90" t="n">
        <v>6</v>
      </c>
      <c r="P90" t="n">
        <v>2</v>
      </c>
      <c r="Q90" t="n">
        <v>8</v>
      </c>
      <c r="R90" s="2" t="inlineStr">
        <is>
          <t>Lappticka
Ulltickeporing
Garnlav
Lunglav
Rosenticka
Ullticka
Korallblylav
Blåsippa</t>
        </is>
      </c>
      <c r="S90">
        <f>HYPERLINK("https://klasma.github.io/Logging_2283/artfynd/A 22215-2025 artfynd.xlsx", "A 22215-2025")</f>
        <v/>
      </c>
      <c r="T90">
        <f>HYPERLINK("https://klasma.github.io/Logging_2283/kartor/A 22215-2025 karta.png", "A 22215-2025")</f>
        <v/>
      </c>
      <c r="V90">
        <f>HYPERLINK("https://klasma.github.io/Logging_2283/klagomål/A 22215-2025 FSC-klagomål.docx", "A 22215-2025")</f>
        <v/>
      </c>
      <c r="W90">
        <f>HYPERLINK("https://klasma.github.io/Logging_2283/klagomålsmail/A 22215-2025 FSC-klagomål mail.docx", "A 22215-2025")</f>
        <v/>
      </c>
      <c r="X90">
        <f>HYPERLINK("https://klasma.github.io/Logging_2283/tillsyn/A 22215-2025 tillsynsbegäran.docx", "A 22215-2025")</f>
        <v/>
      </c>
      <c r="Y90">
        <f>HYPERLINK("https://klasma.github.io/Logging_2283/tillsynsmail/A 22215-2025 tillsynsbegäran mail.docx", "A 22215-2025")</f>
        <v/>
      </c>
    </row>
    <row r="91" ht="15" customHeight="1">
      <c r="A91" t="inlineStr">
        <is>
          <t>A 29250-2024</t>
        </is>
      </c>
      <c r="B91" s="1" t="n">
        <v>45482</v>
      </c>
      <c r="C91" s="1" t="n">
        <v>45998</v>
      </c>
      <c r="D91" t="inlineStr">
        <is>
          <t>VÄSTERNORRLANDS LÄN</t>
        </is>
      </c>
      <c r="E91" t="inlineStr">
        <is>
          <t>SOLLEFTEÅ</t>
        </is>
      </c>
      <c r="F91" t="inlineStr">
        <is>
          <t>SCA</t>
        </is>
      </c>
      <c r="G91" t="n">
        <v>14.4</v>
      </c>
      <c r="H91" t="n">
        <v>5</v>
      </c>
      <c r="I91" t="n">
        <v>2</v>
      </c>
      <c r="J91" t="n">
        <v>5</v>
      </c>
      <c r="K91" t="n">
        <v>1</v>
      </c>
      <c r="L91" t="n">
        <v>0</v>
      </c>
      <c r="M91" t="n">
        <v>0</v>
      </c>
      <c r="N91" t="n">
        <v>0</v>
      </c>
      <c r="O91" t="n">
        <v>6</v>
      </c>
      <c r="P91" t="n">
        <v>1</v>
      </c>
      <c r="Q91" t="n">
        <v>8</v>
      </c>
      <c r="R91" s="2" t="inlineStr">
        <is>
          <t>Knärot
Granticka
Harticka
Järpe
Rödvingetrast
Tretåig hackspett
Bollvitmossa
Lappranunkel</t>
        </is>
      </c>
      <c r="S91">
        <f>HYPERLINK("https://klasma.github.io/Logging_2283/artfynd/A 29250-2024 artfynd.xlsx", "A 29250-2024")</f>
        <v/>
      </c>
      <c r="T91">
        <f>HYPERLINK("https://klasma.github.io/Logging_2283/kartor/A 29250-2024 karta.png", "A 29250-2024")</f>
        <v/>
      </c>
      <c r="U91">
        <f>HYPERLINK("https://klasma.github.io/Logging_2283/knärot/A 29250-2024 karta knärot.png", "A 29250-2024")</f>
        <v/>
      </c>
      <c r="V91">
        <f>HYPERLINK("https://klasma.github.io/Logging_2283/klagomål/A 29250-2024 FSC-klagomål.docx", "A 29250-2024")</f>
        <v/>
      </c>
      <c r="W91">
        <f>HYPERLINK("https://klasma.github.io/Logging_2283/klagomålsmail/A 29250-2024 FSC-klagomål mail.docx", "A 29250-2024")</f>
        <v/>
      </c>
      <c r="X91">
        <f>HYPERLINK("https://klasma.github.io/Logging_2283/tillsyn/A 29250-2024 tillsynsbegäran.docx", "A 29250-2024")</f>
        <v/>
      </c>
      <c r="Y91">
        <f>HYPERLINK("https://klasma.github.io/Logging_2283/tillsynsmail/A 29250-2024 tillsynsbegäran mail.docx", "A 29250-2024")</f>
        <v/>
      </c>
      <c r="Z91">
        <f>HYPERLINK("https://klasma.github.io/Logging_2283/fåglar/A 29250-2024 prioriterade fågelarter.docx", "A 29250-2024")</f>
        <v/>
      </c>
    </row>
    <row r="92" ht="15" customHeight="1">
      <c r="A92" t="inlineStr">
        <is>
          <t>A 38294-2024</t>
        </is>
      </c>
      <c r="B92" s="1" t="n">
        <v>45545</v>
      </c>
      <c r="C92" s="1" t="n">
        <v>45998</v>
      </c>
      <c r="D92" t="inlineStr">
        <is>
          <t>VÄSTERNORRLANDS LÄN</t>
        </is>
      </c>
      <c r="E92" t="inlineStr">
        <is>
          <t>SOLLEFTEÅ</t>
        </is>
      </c>
      <c r="F92" t="inlineStr">
        <is>
          <t>Kommuner</t>
        </is>
      </c>
      <c r="G92" t="n">
        <v>18.8</v>
      </c>
      <c r="H92" t="n">
        <v>5</v>
      </c>
      <c r="I92" t="n">
        <v>0</v>
      </c>
      <c r="J92" t="n">
        <v>6</v>
      </c>
      <c r="K92" t="n">
        <v>1</v>
      </c>
      <c r="L92" t="n">
        <v>0</v>
      </c>
      <c r="M92" t="n">
        <v>0</v>
      </c>
      <c r="N92" t="n">
        <v>0</v>
      </c>
      <c r="O92" t="n">
        <v>7</v>
      </c>
      <c r="P92" t="n">
        <v>1</v>
      </c>
      <c r="Q92" t="n">
        <v>8</v>
      </c>
      <c r="R92" s="2" t="inlineStr">
        <is>
          <t>Knärot
Garnlav
Granticka
Spillkråka
Talltita
Tretåig hackspett
Ullticka
Revlummer</t>
        </is>
      </c>
      <c r="S92">
        <f>HYPERLINK("https://klasma.github.io/Logging_2283/artfynd/A 38294-2024 artfynd.xlsx", "A 38294-2024")</f>
        <v/>
      </c>
      <c r="T92">
        <f>HYPERLINK("https://klasma.github.io/Logging_2283/kartor/A 38294-2024 karta.png", "A 38294-2024")</f>
        <v/>
      </c>
      <c r="U92">
        <f>HYPERLINK("https://klasma.github.io/Logging_2283/knärot/A 38294-2024 karta knärot.png", "A 38294-2024")</f>
        <v/>
      </c>
      <c r="V92">
        <f>HYPERLINK("https://klasma.github.io/Logging_2283/klagomål/A 38294-2024 FSC-klagomål.docx", "A 38294-2024")</f>
        <v/>
      </c>
      <c r="W92">
        <f>HYPERLINK("https://klasma.github.io/Logging_2283/klagomålsmail/A 38294-2024 FSC-klagomål mail.docx", "A 38294-2024")</f>
        <v/>
      </c>
      <c r="X92">
        <f>HYPERLINK("https://klasma.github.io/Logging_2283/tillsyn/A 38294-2024 tillsynsbegäran.docx", "A 38294-2024")</f>
        <v/>
      </c>
      <c r="Y92">
        <f>HYPERLINK("https://klasma.github.io/Logging_2283/tillsynsmail/A 38294-2024 tillsynsbegäran mail.docx", "A 38294-2024")</f>
        <v/>
      </c>
      <c r="Z92">
        <f>HYPERLINK("https://klasma.github.io/Logging_2283/fåglar/A 38294-2024 prioriterade fågelarter.docx", "A 38294-2024")</f>
        <v/>
      </c>
    </row>
    <row r="93" ht="15" customHeight="1">
      <c r="A93" t="inlineStr">
        <is>
          <t>A 47548-2025</t>
        </is>
      </c>
      <c r="B93" s="1" t="n">
        <v>45931.3653125</v>
      </c>
      <c r="C93" s="1" t="n">
        <v>45998</v>
      </c>
      <c r="D93" t="inlineStr">
        <is>
          <t>VÄSTERNORRLANDS LÄN</t>
        </is>
      </c>
      <c r="E93" t="inlineStr">
        <is>
          <t>SOLLEFTEÅ</t>
        </is>
      </c>
      <c r="G93" t="n">
        <v>6.6</v>
      </c>
      <c r="H93" t="n">
        <v>4</v>
      </c>
      <c r="I93" t="n">
        <v>0</v>
      </c>
      <c r="J93" t="n">
        <v>6</v>
      </c>
      <c r="K93" t="n">
        <v>1</v>
      </c>
      <c r="L93" t="n">
        <v>0</v>
      </c>
      <c r="M93" t="n">
        <v>0</v>
      </c>
      <c r="N93" t="n">
        <v>0</v>
      </c>
      <c r="O93" t="n">
        <v>7</v>
      </c>
      <c r="P93" t="n">
        <v>1</v>
      </c>
      <c r="Q93" t="n">
        <v>8</v>
      </c>
      <c r="R93" s="2" t="inlineStr">
        <is>
          <t>Knärot
Gammelgransskål
Garnlav
Rosenticka
Spillkråka
Talltita
Ullticka
Revlummer</t>
        </is>
      </c>
      <c r="S93">
        <f>HYPERLINK("https://klasma.github.io/Logging_2283/artfynd/A 47548-2025 artfynd.xlsx", "A 47548-2025")</f>
        <v/>
      </c>
      <c r="T93">
        <f>HYPERLINK("https://klasma.github.io/Logging_2283/kartor/A 47548-2025 karta.png", "A 47548-2025")</f>
        <v/>
      </c>
      <c r="U93">
        <f>HYPERLINK("https://klasma.github.io/Logging_2283/knärot/A 47548-2025 karta knärot.png", "A 47548-2025")</f>
        <v/>
      </c>
      <c r="V93">
        <f>HYPERLINK("https://klasma.github.io/Logging_2283/klagomål/A 47548-2025 FSC-klagomål.docx", "A 47548-2025")</f>
        <v/>
      </c>
      <c r="W93">
        <f>HYPERLINK("https://klasma.github.io/Logging_2283/klagomålsmail/A 47548-2025 FSC-klagomål mail.docx", "A 47548-2025")</f>
        <v/>
      </c>
      <c r="X93">
        <f>HYPERLINK("https://klasma.github.io/Logging_2283/tillsyn/A 47548-2025 tillsynsbegäran.docx", "A 47548-2025")</f>
        <v/>
      </c>
      <c r="Y93">
        <f>HYPERLINK("https://klasma.github.io/Logging_2283/tillsynsmail/A 47548-2025 tillsynsbegäran mail.docx", "A 47548-2025")</f>
        <v/>
      </c>
      <c r="Z93">
        <f>HYPERLINK("https://klasma.github.io/Logging_2283/fåglar/A 47548-2025 prioriterade fågelarter.docx", "A 47548-2025")</f>
        <v/>
      </c>
    </row>
    <row r="94" ht="15" customHeight="1">
      <c r="A94" t="inlineStr">
        <is>
          <t>A 44424-2025</t>
        </is>
      </c>
      <c r="B94" s="1" t="n">
        <v>45916</v>
      </c>
      <c r="C94" s="1" t="n">
        <v>45998</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45078-2025</t>
        </is>
      </c>
      <c r="B95" s="1" t="n">
        <v>45919</v>
      </c>
      <c r="C95" s="1" t="n">
        <v>45998</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44441-2025</t>
        </is>
      </c>
      <c r="B96" s="1" t="n">
        <v>45916</v>
      </c>
      <c r="C96" s="1" t="n">
        <v>45998</v>
      </c>
      <c r="D96" t="inlineStr">
        <is>
          <t>VÄSTERNORRLANDS LÄN</t>
        </is>
      </c>
      <c r="E96" t="inlineStr">
        <is>
          <t>SOLLEFTEÅ</t>
        </is>
      </c>
      <c r="G96" t="n">
        <v>0.9</v>
      </c>
      <c r="H96" t="n">
        <v>3</v>
      </c>
      <c r="I96" t="n">
        <v>2</v>
      </c>
      <c r="J96" t="n">
        <v>4</v>
      </c>
      <c r="K96" t="n">
        <v>1</v>
      </c>
      <c r="L96" t="n">
        <v>1</v>
      </c>
      <c r="M96" t="n">
        <v>0</v>
      </c>
      <c r="N96" t="n">
        <v>0</v>
      </c>
      <c r="O96" t="n">
        <v>6</v>
      </c>
      <c r="P96" t="n">
        <v>2</v>
      </c>
      <c r="Q96" t="n">
        <v>8</v>
      </c>
      <c r="R96" s="2" t="inlineStr">
        <is>
          <t>Reliktslända
Knärot
Rosenticka
Talltita
Tretåig hackspett
Ullticka
Trådticka
Vedticka</t>
        </is>
      </c>
      <c r="S96">
        <f>HYPERLINK("https://klasma.github.io/Logging_2283/artfynd/A 44441-2025 artfynd.xlsx", "A 44441-2025")</f>
        <v/>
      </c>
      <c r="T96">
        <f>HYPERLINK("https://klasma.github.io/Logging_2283/kartor/A 44441-2025 karta.png", "A 44441-2025")</f>
        <v/>
      </c>
      <c r="U96">
        <f>HYPERLINK("https://klasma.github.io/Logging_2283/knärot/A 44441-2025 karta knärot.png", "A 44441-2025")</f>
        <v/>
      </c>
      <c r="V96">
        <f>HYPERLINK("https://klasma.github.io/Logging_2283/klagomål/A 44441-2025 FSC-klagomål.docx", "A 44441-2025")</f>
        <v/>
      </c>
      <c r="W96">
        <f>HYPERLINK("https://klasma.github.io/Logging_2283/klagomålsmail/A 44441-2025 FSC-klagomål mail.docx", "A 44441-2025")</f>
        <v/>
      </c>
      <c r="X96">
        <f>HYPERLINK("https://klasma.github.io/Logging_2283/tillsyn/A 44441-2025 tillsynsbegäran.docx", "A 44441-2025")</f>
        <v/>
      </c>
      <c r="Y96">
        <f>HYPERLINK("https://klasma.github.io/Logging_2283/tillsynsmail/A 44441-2025 tillsynsbegäran mail.docx", "A 44441-2025")</f>
        <v/>
      </c>
      <c r="Z96">
        <f>HYPERLINK("https://klasma.github.io/Logging_2283/fåglar/A 44441-2025 prioriterade fågelarter.docx", "A 44441-2025")</f>
        <v/>
      </c>
    </row>
    <row r="97" ht="15" customHeight="1">
      <c r="A97" t="inlineStr">
        <is>
          <t>A 11540-2024</t>
        </is>
      </c>
      <c r="B97" s="1" t="n">
        <v>45372</v>
      </c>
      <c r="C97" s="1" t="n">
        <v>45998</v>
      </c>
      <c r="D97" t="inlineStr">
        <is>
          <t>VÄSTERNORRLANDS LÄN</t>
        </is>
      </c>
      <c r="E97" t="inlineStr">
        <is>
          <t>SOLLEFTEÅ</t>
        </is>
      </c>
      <c r="F97" t="inlineStr">
        <is>
          <t>SCA</t>
        </is>
      </c>
      <c r="G97" t="n">
        <v>2.2</v>
      </c>
      <c r="H97" t="n">
        <v>8</v>
      </c>
      <c r="I97" t="n">
        <v>1</v>
      </c>
      <c r="J97" t="n">
        <v>2</v>
      </c>
      <c r="K97" t="n">
        <v>1</v>
      </c>
      <c r="L97" t="n">
        <v>0</v>
      </c>
      <c r="M97" t="n">
        <v>0</v>
      </c>
      <c r="N97" t="n">
        <v>0</v>
      </c>
      <c r="O97" t="n">
        <v>3</v>
      </c>
      <c r="P97" t="n">
        <v>1</v>
      </c>
      <c r="Q97" t="n">
        <v>8</v>
      </c>
      <c r="R97" s="2" t="inlineStr">
        <is>
          <t>Knärot
Björktrast
Tretåig hackspett
Plattlummer
Grönsiska
Kungsfågel
Tjäder
Revlummer</t>
        </is>
      </c>
      <c r="S97">
        <f>HYPERLINK("https://klasma.github.io/Logging_2283/artfynd/A 11540-2024 artfynd.xlsx", "A 11540-2024")</f>
        <v/>
      </c>
      <c r="T97">
        <f>HYPERLINK("https://klasma.github.io/Logging_2283/kartor/A 11540-2024 karta.png", "A 11540-2024")</f>
        <v/>
      </c>
      <c r="U97">
        <f>HYPERLINK("https://klasma.github.io/Logging_2283/knärot/A 11540-2024 karta knärot.png", "A 11540-2024")</f>
        <v/>
      </c>
      <c r="V97">
        <f>HYPERLINK("https://klasma.github.io/Logging_2283/klagomål/A 11540-2024 FSC-klagomål.docx", "A 11540-2024")</f>
        <v/>
      </c>
      <c r="W97">
        <f>HYPERLINK("https://klasma.github.io/Logging_2283/klagomålsmail/A 11540-2024 FSC-klagomål mail.docx", "A 11540-2024")</f>
        <v/>
      </c>
      <c r="X97">
        <f>HYPERLINK("https://klasma.github.io/Logging_2283/tillsyn/A 11540-2024 tillsynsbegäran.docx", "A 11540-2024")</f>
        <v/>
      </c>
      <c r="Y97">
        <f>HYPERLINK("https://klasma.github.io/Logging_2283/tillsynsmail/A 11540-2024 tillsynsbegäran mail.docx", "A 11540-2024")</f>
        <v/>
      </c>
      <c r="Z97">
        <f>HYPERLINK("https://klasma.github.io/Logging_2283/fåglar/A 11540-2024 prioriterade fågelarter.docx", "A 11540-2024")</f>
        <v/>
      </c>
    </row>
    <row r="98" ht="15" customHeight="1">
      <c r="A98" t="inlineStr">
        <is>
          <t>A 31504-2025</t>
        </is>
      </c>
      <c r="B98" s="1" t="n">
        <v>45833.59438657408</v>
      </c>
      <c r="C98" s="1" t="n">
        <v>45998</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60499-2025</t>
        </is>
      </c>
      <c r="B99" s="1" t="n">
        <v>45995.61760416667</v>
      </c>
      <c r="C99" s="1" t="n">
        <v>45998</v>
      </c>
      <c r="D99" t="inlineStr">
        <is>
          <t>VÄSTERNORRLANDS LÄN</t>
        </is>
      </c>
      <c r="E99" t="inlineStr">
        <is>
          <t>SOLLEFTEÅ</t>
        </is>
      </c>
      <c r="G99" t="n">
        <v>9.5</v>
      </c>
      <c r="H99" t="n">
        <v>1</v>
      </c>
      <c r="I99" t="n">
        <v>2</v>
      </c>
      <c r="J99" t="n">
        <v>5</v>
      </c>
      <c r="K99" t="n">
        <v>1</v>
      </c>
      <c r="L99" t="n">
        <v>0</v>
      </c>
      <c r="M99" t="n">
        <v>0</v>
      </c>
      <c r="N99" t="n">
        <v>0</v>
      </c>
      <c r="O99" t="n">
        <v>6</v>
      </c>
      <c r="P99" t="n">
        <v>1</v>
      </c>
      <c r="Q99" t="n">
        <v>8</v>
      </c>
      <c r="R99" s="2" t="inlineStr">
        <is>
          <t>Rynkskinn
Garnlav
Lunglav
Rosenticka
Talltita
Ullticka
Stuplav
Vedticka</t>
        </is>
      </c>
      <c r="S99">
        <f>HYPERLINK("https://klasma.github.io/Logging_2283/artfynd/A 60499-2025 artfynd.xlsx", "A 60499-2025")</f>
        <v/>
      </c>
      <c r="T99">
        <f>HYPERLINK("https://klasma.github.io/Logging_2283/kartor/A 60499-2025 karta.png", "A 60499-2025")</f>
        <v/>
      </c>
      <c r="V99">
        <f>HYPERLINK("https://klasma.github.io/Logging_2283/klagomål/A 60499-2025 FSC-klagomål.docx", "A 60499-2025")</f>
        <v/>
      </c>
      <c r="W99">
        <f>HYPERLINK("https://klasma.github.io/Logging_2283/klagomålsmail/A 60499-2025 FSC-klagomål mail.docx", "A 60499-2025")</f>
        <v/>
      </c>
      <c r="X99">
        <f>HYPERLINK("https://klasma.github.io/Logging_2283/tillsyn/A 60499-2025 tillsynsbegäran.docx", "A 60499-2025")</f>
        <v/>
      </c>
      <c r="Y99">
        <f>HYPERLINK("https://klasma.github.io/Logging_2283/tillsynsmail/A 60499-2025 tillsynsbegäran mail.docx", "A 60499-2025")</f>
        <v/>
      </c>
      <c r="Z99">
        <f>HYPERLINK("https://klasma.github.io/Logging_2283/fåglar/A 60499-2025 prioriterade fågelarter.docx", "A 60499-2025")</f>
        <v/>
      </c>
    </row>
    <row r="100" ht="15" customHeight="1">
      <c r="A100" t="inlineStr">
        <is>
          <t>A 25941-2025</t>
        </is>
      </c>
      <c r="B100" s="1" t="n">
        <v>45804</v>
      </c>
      <c r="C100" s="1" t="n">
        <v>45998</v>
      </c>
      <c r="D100" t="inlineStr">
        <is>
          <t>VÄSTERNORRLANDS LÄN</t>
        </is>
      </c>
      <c r="E100" t="inlineStr">
        <is>
          <t>SOLLEFTEÅ</t>
        </is>
      </c>
      <c r="G100" t="n">
        <v>4.4</v>
      </c>
      <c r="H100" t="n">
        <v>1</v>
      </c>
      <c r="I100" t="n">
        <v>3</v>
      </c>
      <c r="J100" t="n">
        <v>3</v>
      </c>
      <c r="K100" t="n">
        <v>1</v>
      </c>
      <c r="L100" t="n">
        <v>1</v>
      </c>
      <c r="M100" t="n">
        <v>0</v>
      </c>
      <c r="N100" t="n">
        <v>0</v>
      </c>
      <c r="O100" t="n">
        <v>5</v>
      </c>
      <c r="P100" t="n">
        <v>2</v>
      </c>
      <c r="Q100" t="n">
        <v>8</v>
      </c>
      <c r="R100" s="2" t="inlineStr">
        <is>
          <t>Trolldruvemätare
Rynkskinn
Rosenticka
Talltita
Vedtrappmossa
Dvärghäxört
Strutbräken
Svart trolldruva</t>
        </is>
      </c>
      <c r="S100">
        <f>HYPERLINK("https://klasma.github.io/Logging_2283/artfynd/A 25941-2025 artfynd.xlsx", "A 25941-2025")</f>
        <v/>
      </c>
      <c r="T100">
        <f>HYPERLINK("https://klasma.github.io/Logging_2283/kartor/A 25941-2025 karta.png", "A 25941-2025")</f>
        <v/>
      </c>
      <c r="V100">
        <f>HYPERLINK("https://klasma.github.io/Logging_2283/klagomål/A 25941-2025 FSC-klagomål.docx", "A 25941-2025")</f>
        <v/>
      </c>
      <c r="W100">
        <f>HYPERLINK("https://klasma.github.io/Logging_2283/klagomålsmail/A 25941-2025 FSC-klagomål mail.docx", "A 25941-2025")</f>
        <v/>
      </c>
      <c r="X100">
        <f>HYPERLINK("https://klasma.github.io/Logging_2283/tillsyn/A 25941-2025 tillsynsbegäran.docx", "A 25941-2025")</f>
        <v/>
      </c>
      <c r="Y100">
        <f>HYPERLINK("https://klasma.github.io/Logging_2283/tillsynsmail/A 25941-2025 tillsynsbegäran mail.docx", "A 25941-2025")</f>
        <v/>
      </c>
      <c r="Z100">
        <f>HYPERLINK("https://klasma.github.io/Logging_2283/fåglar/A 25941-2025 prioriterade fågelarter.docx", "A 25941-2025")</f>
        <v/>
      </c>
    </row>
    <row r="101" ht="15" customHeight="1">
      <c r="A101" t="inlineStr">
        <is>
          <t>A 21345-2023</t>
        </is>
      </c>
      <c r="B101" s="1" t="n">
        <v>45062</v>
      </c>
      <c r="C101" s="1" t="n">
        <v>45998</v>
      </c>
      <c r="D101" t="inlineStr">
        <is>
          <t>VÄSTERNORRLANDS LÄN</t>
        </is>
      </c>
      <c r="E101" t="inlineStr">
        <is>
          <t>SOLLEFTEÅ</t>
        </is>
      </c>
      <c r="F101" t="inlineStr">
        <is>
          <t>SCA</t>
        </is>
      </c>
      <c r="G101" t="n">
        <v>3.3</v>
      </c>
      <c r="H101" t="n">
        <v>2</v>
      </c>
      <c r="I101" t="n">
        <v>2</v>
      </c>
      <c r="J101" t="n">
        <v>6</v>
      </c>
      <c r="K101" t="n">
        <v>0</v>
      </c>
      <c r="L101" t="n">
        <v>0</v>
      </c>
      <c r="M101" t="n">
        <v>0</v>
      </c>
      <c r="N101" t="n">
        <v>0</v>
      </c>
      <c r="O101" t="n">
        <v>6</v>
      </c>
      <c r="P101" t="n">
        <v>0</v>
      </c>
      <c r="Q101" t="n">
        <v>8</v>
      </c>
      <c r="R101" s="2" t="inlineStr">
        <is>
          <t>Gammelgransskål
Kolflarnlav
Lunglav
Mörk kolflarnlav
Talltita
Ullticka
Korallrot
Stuplav</t>
        </is>
      </c>
      <c r="S101">
        <f>HYPERLINK("https://klasma.github.io/Logging_2283/artfynd/A 21345-2023 artfynd.xlsx", "A 21345-2023")</f>
        <v/>
      </c>
      <c r="T101">
        <f>HYPERLINK("https://klasma.github.io/Logging_2283/kartor/A 21345-2023 karta.png", "A 21345-2023")</f>
        <v/>
      </c>
      <c r="V101">
        <f>HYPERLINK("https://klasma.github.io/Logging_2283/klagomål/A 21345-2023 FSC-klagomål.docx", "A 21345-2023")</f>
        <v/>
      </c>
      <c r="W101">
        <f>HYPERLINK("https://klasma.github.io/Logging_2283/klagomålsmail/A 21345-2023 FSC-klagomål mail.docx", "A 21345-2023")</f>
        <v/>
      </c>
      <c r="X101">
        <f>HYPERLINK("https://klasma.github.io/Logging_2283/tillsyn/A 21345-2023 tillsynsbegäran.docx", "A 21345-2023")</f>
        <v/>
      </c>
      <c r="Y101">
        <f>HYPERLINK("https://klasma.github.io/Logging_2283/tillsynsmail/A 21345-2023 tillsynsbegäran mail.docx", "A 21345-2023")</f>
        <v/>
      </c>
      <c r="Z101">
        <f>HYPERLINK("https://klasma.github.io/Logging_2283/fåglar/A 21345-2023 prioriterade fågelarter.docx", "A 21345-2023")</f>
        <v/>
      </c>
    </row>
    <row r="102" ht="15" customHeight="1">
      <c r="A102" t="inlineStr">
        <is>
          <t>A 4930-2025</t>
        </is>
      </c>
      <c r="B102" s="1" t="n">
        <v>45688</v>
      </c>
      <c r="C102" s="1" t="n">
        <v>45998</v>
      </c>
      <c r="D102" t="inlineStr">
        <is>
          <t>VÄSTERNORRLANDS LÄN</t>
        </is>
      </c>
      <c r="E102" t="inlineStr">
        <is>
          <t>SOLLEFTEÅ</t>
        </is>
      </c>
      <c r="F102" t="inlineStr">
        <is>
          <t>Övriga statliga verk och myndigheter</t>
        </is>
      </c>
      <c r="G102" t="n">
        <v>15.3</v>
      </c>
      <c r="H102" t="n">
        <v>4</v>
      </c>
      <c r="I102" t="n">
        <v>1</v>
      </c>
      <c r="J102" t="n">
        <v>5</v>
      </c>
      <c r="K102" t="n">
        <v>2</v>
      </c>
      <c r="L102" t="n">
        <v>0</v>
      </c>
      <c r="M102" t="n">
        <v>0</v>
      </c>
      <c r="N102" t="n">
        <v>0</v>
      </c>
      <c r="O102" t="n">
        <v>7</v>
      </c>
      <c r="P102" t="n">
        <v>2</v>
      </c>
      <c r="Q102" t="n">
        <v>8</v>
      </c>
      <c r="R102" s="2" t="inlineStr">
        <is>
          <t>Doftticka
Rynkskinn
Björktrast
Rosenticka
Spillkråka
Tretåig hackspett
Ullticka
Underviol</t>
        </is>
      </c>
      <c r="S102">
        <f>HYPERLINK("https://klasma.github.io/Logging_2283/artfynd/A 4930-2025 artfynd.xlsx", "A 4930-2025")</f>
        <v/>
      </c>
      <c r="T102">
        <f>HYPERLINK("https://klasma.github.io/Logging_2283/kartor/A 4930-2025 karta.png", "A 4930-2025")</f>
        <v/>
      </c>
      <c r="V102">
        <f>HYPERLINK("https://klasma.github.io/Logging_2283/klagomål/A 4930-2025 FSC-klagomål.docx", "A 4930-2025")</f>
        <v/>
      </c>
      <c r="W102">
        <f>HYPERLINK("https://klasma.github.io/Logging_2283/klagomålsmail/A 4930-2025 FSC-klagomål mail.docx", "A 4930-2025")</f>
        <v/>
      </c>
      <c r="X102">
        <f>HYPERLINK("https://klasma.github.io/Logging_2283/tillsyn/A 4930-2025 tillsynsbegäran.docx", "A 4930-2025")</f>
        <v/>
      </c>
      <c r="Y102">
        <f>HYPERLINK("https://klasma.github.io/Logging_2283/tillsynsmail/A 4930-2025 tillsynsbegäran mail.docx", "A 4930-2025")</f>
        <v/>
      </c>
      <c r="Z102">
        <f>HYPERLINK("https://klasma.github.io/Logging_2283/fåglar/A 4930-2025 prioriterade fågelarter.docx", "A 4930-2025")</f>
        <v/>
      </c>
    </row>
    <row r="103" ht="15" customHeight="1">
      <c r="A103" t="inlineStr">
        <is>
          <t>A 26655-2022</t>
        </is>
      </c>
      <c r="B103" s="1" t="n">
        <v>44739</v>
      </c>
      <c r="C103" s="1" t="n">
        <v>45998</v>
      </c>
      <c r="D103" t="inlineStr">
        <is>
          <t>VÄSTERNORRLANDS LÄN</t>
        </is>
      </c>
      <c r="E103" t="inlineStr">
        <is>
          <t>SOLLEFTEÅ</t>
        </is>
      </c>
      <c r="F103" t="inlineStr">
        <is>
          <t>Holmen skog AB</t>
        </is>
      </c>
      <c r="G103" t="n">
        <v>5.8</v>
      </c>
      <c r="H103" t="n">
        <v>2</v>
      </c>
      <c r="I103" t="n">
        <v>1</v>
      </c>
      <c r="J103" t="n">
        <v>5</v>
      </c>
      <c r="K103" t="n">
        <v>2</v>
      </c>
      <c r="L103" t="n">
        <v>0</v>
      </c>
      <c r="M103" t="n">
        <v>0</v>
      </c>
      <c r="N103" t="n">
        <v>0</v>
      </c>
      <c r="O103" t="n">
        <v>7</v>
      </c>
      <c r="P103" t="n">
        <v>2</v>
      </c>
      <c r="Q103" t="n">
        <v>8</v>
      </c>
      <c r="R103" s="2" t="inlineStr">
        <is>
          <t>Knärot
Ulltickeporing
Garnlav
Lunglav
Rosenticka
Talltita
Ullticka
Vedticka</t>
        </is>
      </c>
      <c r="S103">
        <f>HYPERLINK("https://klasma.github.io/Logging_2283/artfynd/A 26655-2022 artfynd.xlsx", "A 26655-2022")</f>
        <v/>
      </c>
      <c r="T103">
        <f>HYPERLINK("https://klasma.github.io/Logging_2283/kartor/A 26655-2022 karta.png", "A 26655-2022")</f>
        <v/>
      </c>
      <c r="U103">
        <f>HYPERLINK("https://klasma.github.io/Logging_2283/knärot/A 26655-2022 karta knärot.png", "A 26655-2022")</f>
        <v/>
      </c>
      <c r="V103">
        <f>HYPERLINK("https://klasma.github.io/Logging_2283/klagomål/A 26655-2022 FSC-klagomål.docx", "A 26655-2022")</f>
        <v/>
      </c>
      <c r="W103">
        <f>HYPERLINK("https://klasma.github.io/Logging_2283/klagomålsmail/A 26655-2022 FSC-klagomål mail.docx", "A 26655-2022")</f>
        <v/>
      </c>
      <c r="X103">
        <f>HYPERLINK("https://klasma.github.io/Logging_2283/tillsyn/A 26655-2022 tillsynsbegäran.docx", "A 26655-2022")</f>
        <v/>
      </c>
      <c r="Y103">
        <f>HYPERLINK("https://klasma.github.io/Logging_2283/tillsynsmail/A 26655-2022 tillsynsbegäran mail.docx", "A 26655-2022")</f>
        <v/>
      </c>
      <c r="Z103">
        <f>HYPERLINK("https://klasma.github.io/Logging_2283/fåglar/A 26655-2022 prioriterade fågelarter.docx", "A 26655-2022")</f>
        <v/>
      </c>
    </row>
    <row r="104" ht="15" customHeight="1">
      <c r="A104" t="inlineStr">
        <is>
          <t>A 66843-2020</t>
        </is>
      </c>
      <c r="B104" s="1" t="n">
        <v>44179</v>
      </c>
      <c r="C104" s="1" t="n">
        <v>45998</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45998</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45998</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45998</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715-2023</t>
        </is>
      </c>
      <c r="B108" s="1" t="n">
        <v>44930</v>
      </c>
      <c r="C108" s="1" t="n">
        <v>45998</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47647-2022</t>
        </is>
      </c>
      <c r="B109" s="1" t="n">
        <v>44852</v>
      </c>
      <c r="C109" s="1" t="n">
        <v>45998</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14580-2024</t>
        </is>
      </c>
      <c r="B110" s="1" t="n">
        <v>45394</v>
      </c>
      <c r="C110" s="1" t="n">
        <v>45998</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55422-2024</t>
        </is>
      </c>
      <c r="B111" s="1" t="n">
        <v>45622.38619212963</v>
      </c>
      <c r="C111" s="1" t="n">
        <v>45998</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18014-2022</t>
        </is>
      </c>
      <c r="B112" s="1" t="n">
        <v>44683</v>
      </c>
      <c r="C112" s="1" t="n">
        <v>45998</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62992-2023</t>
        </is>
      </c>
      <c r="B113" s="1" t="n">
        <v>45272</v>
      </c>
      <c r="C113" s="1" t="n">
        <v>45998</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59045-2022</t>
        </is>
      </c>
      <c r="B114" s="1" t="n">
        <v>44903</v>
      </c>
      <c r="C114" s="1" t="n">
        <v>45998</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22783-2025</t>
        </is>
      </c>
      <c r="B115" s="1" t="n">
        <v>45789</v>
      </c>
      <c r="C115" s="1" t="n">
        <v>45998</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38157-2025</t>
        </is>
      </c>
      <c r="B116" s="1" t="n">
        <v>45882.61505787037</v>
      </c>
      <c r="C116" s="1" t="n">
        <v>45998</v>
      </c>
      <c r="D116" t="inlineStr">
        <is>
          <t>VÄSTERNORRLANDS LÄN</t>
        </is>
      </c>
      <c r="E116" t="inlineStr">
        <is>
          <t>SOLLEFTEÅ</t>
        </is>
      </c>
      <c r="F116" t="inlineStr">
        <is>
          <t>SCA</t>
        </is>
      </c>
      <c r="G116" t="n">
        <v>14.9</v>
      </c>
      <c r="H116" t="n">
        <v>0</v>
      </c>
      <c r="I116" t="n">
        <v>0</v>
      </c>
      <c r="J116" t="n">
        <v>4</v>
      </c>
      <c r="K116" t="n">
        <v>3</v>
      </c>
      <c r="L116" t="n">
        <v>0</v>
      </c>
      <c r="M116" t="n">
        <v>0</v>
      </c>
      <c r="N116" t="n">
        <v>0</v>
      </c>
      <c r="O116" t="n">
        <v>7</v>
      </c>
      <c r="P116" t="n">
        <v>3</v>
      </c>
      <c r="Q116" t="n">
        <v>7</v>
      </c>
      <c r="R116" s="2" t="inlineStr">
        <is>
          <t>Fläckporing
Smalfotad taggsvamp
Tajgataggsvamp
Blå taggsvamp
Dvärgbägarlav
Lunglav
Vedskivlav</t>
        </is>
      </c>
      <c r="S116">
        <f>HYPERLINK("https://klasma.github.io/Logging_2283/artfynd/A 38157-2025 artfynd.xlsx", "A 38157-2025")</f>
        <v/>
      </c>
      <c r="T116">
        <f>HYPERLINK("https://klasma.github.io/Logging_2283/kartor/A 38157-2025 karta.png", "A 38157-2025")</f>
        <v/>
      </c>
      <c r="V116">
        <f>HYPERLINK("https://klasma.github.io/Logging_2283/klagomål/A 38157-2025 FSC-klagomål.docx", "A 38157-2025")</f>
        <v/>
      </c>
      <c r="W116">
        <f>HYPERLINK("https://klasma.github.io/Logging_2283/klagomålsmail/A 38157-2025 FSC-klagomål mail.docx", "A 38157-2025")</f>
        <v/>
      </c>
      <c r="X116">
        <f>HYPERLINK("https://klasma.github.io/Logging_2283/tillsyn/A 38157-2025 tillsynsbegäran.docx", "A 38157-2025")</f>
        <v/>
      </c>
      <c r="Y116">
        <f>HYPERLINK("https://klasma.github.io/Logging_2283/tillsynsmail/A 38157-2025 tillsynsbegäran mail.docx", "A 38157-2025")</f>
        <v/>
      </c>
    </row>
    <row r="117" ht="15" customHeight="1">
      <c r="A117" t="inlineStr">
        <is>
          <t>A 55334-2025</t>
        </is>
      </c>
      <c r="B117" s="1" t="n">
        <v>45971.34430555555</v>
      </c>
      <c r="C117" s="1" t="n">
        <v>45998</v>
      </c>
      <c r="D117" t="inlineStr">
        <is>
          <t>VÄSTERNORRLANDS LÄN</t>
        </is>
      </c>
      <c r="E117" t="inlineStr">
        <is>
          <t>SOLLEFTEÅ</t>
        </is>
      </c>
      <c r="F117" t="inlineStr">
        <is>
          <t>SCA</t>
        </is>
      </c>
      <c r="G117" t="n">
        <v>3.7</v>
      </c>
      <c r="H117" t="n">
        <v>4</v>
      </c>
      <c r="I117" t="n">
        <v>1</v>
      </c>
      <c r="J117" t="n">
        <v>4</v>
      </c>
      <c r="K117" t="n">
        <v>0</v>
      </c>
      <c r="L117" t="n">
        <v>0</v>
      </c>
      <c r="M117" t="n">
        <v>0</v>
      </c>
      <c r="N117" t="n">
        <v>0</v>
      </c>
      <c r="O117" t="n">
        <v>4</v>
      </c>
      <c r="P117" t="n">
        <v>0</v>
      </c>
      <c r="Q117" t="n">
        <v>7</v>
      </c>
      <c r="R117" s="2" t="inlineStr">
        <is>
          <t>Gammelgransskål
Granticka
Tretåig hackspett
Ullticka
Korallrot
Vanlig padda
Fläcknycklar</t>
        </is>
      </c>
      <c r="S117">
        <f>HYPERLINK("https://klasma.github.io/Logging_2283/artfynd/A 55334-2025 artfynd.xlsx", "A 55334-2025")</f>
        <v/>
      </c>
      <c r="T117">
        <f>HYPERLINK("https://klasma.github.io/Logging_2283/kartor/A 55334-2025 karta.png", "A 55334-2025")</f>
        <v/>
      </c>
      <c r="V117">
        <f>HYPERLINK("https://klasma.github.io/Logging_2283/klagomål/A 55334-2025 FSC-klagomål.docx", "A 55334-2025")</f>
        <v/>
      </c>
      <c r="W117">
        <f>HYPERLINK("https://klasma.github.io/Logging_2283/klagomålsmail/A 55334-2025 FSC-klagomål mail.docx", "A 55334-2025")</f>
        <v/>
      </c>
      <c r="X117">
        <f>HYPERLINK("https://klasma.github.io/Logging_2283/tillsyn/A 55334-2025 tillsynsbegäran.docx", "A 55334-2025")</f>
        <v/>
      </c>
      <c r="Y117">
        <f>HYPERLINK("https://klasma.github.io/Logging_2283/tillsynsmail/A 55334-2025 tillsynsbegäran mail.docx", "A 55334-2025")</f>
        <v/>
      </c>
      <c r="Z117">
        <f>HYPERLINK("https://klasma.github.io/Logging_2283/fåglar/A 55334-2025 prioriterade fågelarter.docx", "A 55334-2025")</f>
        <v/>
      </c>
    </row>
    <row r="118" ht="15" customHeight="1">
      <c r="A118" t="inlineStr">
        <is>
          <t>A 41666-2024</t>
        </is>
      </c>
      <c r="B118" s="1" t="n">
        <v>45560.65010416666</v>
      </c>
      <c r="C118" s="1" t="n">
        <v>45998</v>
      </c>
      <c r="D118" t="inlineStr">
        <is>
          <t>VÄSTERNORRLANDS LÄN</t>
        </is>
      </c>
      <c r="E118" t="inlineStr">
        <is>
          <t>SOLLEFTEÅ</t>
        </is>
      </c>
      <c r="G118" t="n">
        <v>1</v>
      </c>
      <c r="H118" t="n">
        <v>1</v>
      </c>
      <c r="I118" t="n">
        <v>1</v>
      </c>
      <c r="J118" t="n">
        <v>4</v>
      </c>
      <c r="K118" t="n">
        <v>1</v>
      </c>
      <c r="L118" t="n">
        <v>0</v>
      </c>
      <c r="M118" t="n">
        <v>0</v>
      </c>
      <c r="N118" t="n">
        <v>0</v>
      </c>
      <c r="O118" t="n">
        <v>5</v>
      </c>
      <c r="P118" t="n">
        <v>1</v>
      </c>
      <c r="Q118" t="n">
        <v>7</v>
      </c>
      <c r="R118" s="2" t="inlineStr">
        <is>
          <t>Rynkskinn
Granticka
Lunglav
Rosenticka
Vedtrappmossa
Stor aspticka
Revlummer</t>
        </is>
      </c>
      <c r="S118">
        <f>HYPERLINK("https://klasma.github.io/Logging_2283/artfynd/A 41666-2024 artfynd.xlsx", "A 41666-2024")</f>
        <v/>
      </c>
      <c r="T118">
        <f>HYPERLINK("https://klasma.github.io/Logging_2283/kartor/A 41666-2024 karta.png", "A 41666-2024")</f>
        <v/>
      </c>
      <c r="V118">
        <f>HYPERLINK("https://klasma.github.io/Logging_2283/klagomål/A 41666-2024 FSC-klagomål.docx", "A 41666-2024")</f>
        <v/>
      </c>
      <c r="W118">
        <f>HYPERLINK("https://klasma.github.io/Logging_2283/klagomålsmail/A 41666-2024 FSC-klagomål mail.docx", "A 41666-2024")</f>
        <v/>
      </c>
      <c r="X118">
        <f>HYPERLINK("https://klasma.github.io/Logging_2283/tillsyn/A 41666-2024 tillsynsbegäran.docx", "A 41666-2024")</f>
        <v/>
      </c>
      <c r="Y118">
        <f>HYPERLINK("https://klasma.github.io/Logging_2283/tillsynsmail/A 41666-2024 tillsynsbegäran mail.docx", "A 41666-2024")</f>
        <v/>
      </c>
    </row>
    <row r="119" ht="15" customHeight="1">
      <c r="A119" t="inlineStr">
        <is>
          <t>A 21253-2025</t>
        </is>
      </c>
      <c r="B119" s="1" t="n">
        <v>45779</v>
      </c>
      <c r="C119" s="1" t="n">
        <v>45998</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28997-2025</t>
        </is>
      </c>
      <c r="B120" s="1" t="n">
        <v>45821.38616898148</v>
      </c>
      <c r="C120" s="1" t="n">
        <v>45998</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26654-2024</t>
        </is>
      </c>
      <c r="B121" s="1" t="n">
        <v>45469</v>
      </c>
      <c r="C121" s="1" t="n">
        <v>45998</v>
      </c>
      <c r="D121" t="inlineStr">
        <is>
          <t>VÄSTERNORRLANDS LÄN</t>
        </is>
      </c>
      <c r="E121" t="inlineStr">
        <is>
          <t>SOLLEFTEÅ</t>
        </is>
      </c>
      <c r="F121" t="inlineStr">
        <is>
          <t>SCA</t>
        </is>
      </c>
      <c r="G121" t="n">
        <v>7</v>
      </c>
      <c r="H121" t="n">
        <v>1</v>
      </c>
      <c r="I121" t="n">
        <v>2</v>
      </c>
      <c r="J121" t="n">
        <v>3</v>
      </c>
      <c r="K121" t="n">
        <v>2</v>
      </c>
      <c r="L121" t="n">
        <v>0</v>
      </c>
      <c r="M121" t="n">
        <v>0</v>
      </c>
      <c r="N121" t="n">
        <v>0</v>
      </c>
      <c r="O121" t="n">
        <v>5</v>
      </c>
      <c r="P121" t="n">
        <v>2</v>
      </c>
      <c r="Q121" t="n">
        <v>7</v>
      </c>
      <c r="R121" s="2" t="inlineStr">
        <is>
          <t>Knärot
Ulltickeporing
Garnlav
Harticka
Ullticka
Bårdlav
Skinnlav</t>
        </is>
      </c>
      <c r="S121">
        <f>HYPERLINK("https://klasma.github.io/Logging_2283/artfynd/A 26654-2024 artfynd.xlsx", "A 26654-2024")</f>
        <v/>
      </c>
      <c r="T121">
        <f>HYPERLINK("https://klasma.github.io/Logging_2283/kartor/A 26654-2024 karta.png", "A 26654-2024")</f>
        <v/>
      </c>
      <c r="U121">
        <f>HYPERLINK("https://klasma.github.io/Logging_2283/knärot/A 26654-2024 karta knärot.png", "A 26654-2024")</f>
        <v/>
      </c>
      <c r="V121">
        <f>HYPERLINK("https://klasma.github.io/Logging_2283/klagomål/A 26654-2024 FSC-klagomål.docx", "A 26654-2024")</f>
        <v/>
      </c>
      <c r="W121">
        <f>HYPERLINK("https://klasma.github.io/Logging_2283/klagomålsmail/A 26654-2024 FSC-klagomål mail.docx", "A 26654-2024")</f>
        <v/>
      </c>
      <c r="X121">
        <f>HYPERLINK("https://klasma.github.io/Logging_2283/tillsyn/A 26654-2024 tillsynsbegäran.docx", "A 26654-2024")</f>
        <v/>
      </c>
      <c r="Y121">
        <f>HYPERLINK("https://klasma.github.io/Logging_2283/tillsynsmail/A 26654-2024 tillsynsbegäran mail.docx", "A 26654-2024")</f>
        <v/>
      </c>
    </row>
    <row r="122" ht="15" customHeight="1">
      <c r="A122" t="inlineStr">
        <is>
          <t>A 16087-2022</t>
        </is>
      </c>
      <c r="B122" s="1" t="n">
        <v>44665</v>
      </c>
      <c r="C122" s="1" t="n">
        <v>45998</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45998</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45998</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11552-2024</t>
        </is>
      </c>
      <c r="B125" s="1" t="n">
        <v>45372</v>
      </c>
      <c r="C125" s="1" t="n">
        <v>45998</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29871-2024</t>
        </is>
      </c>
      <c r="B126" s="1" t="n">
        <v>45485.94521990741</v>
      </c>
      <c r="C126" s="1" t="n">
        <v>45998</v>
      </c>
      <c r="D126" t="inlineStr">
        <is>
          <t>VÄSTERNORRLANDS LÄN</t>
        </is>
      </c>
      <c r="E126" t="inlineStr">
        <is>
          <t>SOLLEFTEÅ</t>
        </is>
      </c>
      <c r="F126" t="inlineStr">
        <is>
          <t>SCA</t>
        </is>
      </c>
      <c r="G126" t="n">
        <v>6</v>
      </c>
      <c r="H126" t="n">
        <v>0</v>
      </c>
      <c r="I126" t="n">
        <v>1</v>
      </c>
      <c r="J126" t="n">
        <v>5</v>
      </c>
      <c r="K126" t="n">
        <v>0</v>
      </c>
      <c r="L126" t="n">
        <v>0</v>
      </c>
      <c r="M126" t="n">
        <v>0</v>
      </c>
      <c r="N126" t="n">
        <v>0</v>
      </c>
      <c r="O126" t="n">
        <v>5</v>
      </c>
      <c r="P126" t="n">
        <v>0</v>
      </c>
      <c r="Q126" t="n">
        <v>6</v>
      </c>
      <c r="R126" s="2" t="inlineStr">
        <is>
          <t>Dvärgbägarlav
Garnlav
Lunglav
Nordtagging
Tallticka
Dropptaggsvamp</t>
        </is>
      </c>
      <c r="S126">
        <f>HYPERLINK("https://klasma.github.io/Logging_2283/artfynd/A 29871-2024 artfynd.xlsx", "A 29871-2024")</f>
        <v/>
      </c>
      <c r="T126">
        <f>HYPERLINK("https://klasma.github.io/Logging_2283/kartor/A 29871-2024 karta.png", "A 29871-2024")</f>
        <v/>
      </c>
      <c r="V126">
        <f>HYPERLINK("https://klasma.github.io/Logging_2283/klagomål/A 29871-2024 FSC-klagomål.docx", "A 29871-2024")</f>
        <v/>
      </c>
      <c r="W126">
        <f>HYPERLINK("https://klasma.github.io/Logging_2283/klagomålsmail/A 29871-2024 FSC-klagomål mail.docx", "A 29871-2024")</f>
        <v/>
      </c>
      <c r="X126">
        <f>HYPERLINK("https://klasma.github.io/Logging_2283/tillsyn/A 29871-2024 tillsynsbegäran.docx", "A 29871-2024")</f>
        <v/>
      </c>
      <c r="Y126">
        <f>HYPERLINK("https://klasma.github.io/Logging_2283/tillsynsmail/A 29871-2024 tillsynsbegäran mail.docx", "A 29871-2024")</f>
        <v/>
      </c>
    </row>
    <row r="127" ht="15" customHeight="1">
      <c r="A127" t="inlineStr">
        <is>
          <t>A 14860-2023</t>
        </is>
      </c>
      <c r="B127" s="1" t="n">
        <v>45015.07157407407</v>
      </c>
      <c r="C127" s="1" t="n">
        <v>45998</v>
      </c>
      <c r="D127" t="inlineStr">
        <is>
          <t>VÄSTERNORRLANDS LÄN</t>
        </is>
      </c>
      <c r="E127" t="inlineStr">
        <is>
          <t>SOLLEFTEÅ</t>
        </is>
      </c>
      <c r="F127" t="inlineStr">
        <is>
          <t>SCA</t>
        </is>
      </c>
      <c r="G127" t="n">
        <v>5.8</v>
      </c>
      <c r="H127" t="n">
        <v>1</v>
      </c>
      <c r="I127" t="n">
        <v>2</v>
      </c>
      <c r="J127" t="n">
        <v>3</v>
      </c>
      <c r="K127" t="n">
        <v>1</v>
      </c>
      <c r="L127" t="n">
        <v>0</v>
      </c>
      <c r="M127" t="n">
        <v>0</v>
      </c>
      <c r="N127" t="n">
        <v>0</v>
      </c>
      <c r="O127" t="n">
        <v>4</v>
      </c>
      <c r="P127" t="n">
        <v>1</v>
      </c>
      <c r="Q127" t="n">
        <v>6</v>
      </c>
      <c r="R127" s="2" t="inlineStr">
        <is>
          <t>Knärot
Granticka
Lunglav
Ullticka
Skinnlav
Stuplav</t>
        </is>
      </c>
      <c r="S127">
        <f>HYPERLINK("https://klasma.github.io/Logging_2283/artfynd/A 14860-2023 artfynd.xlsx", "A 14860-2023")</f>
        <v/>
      </c>
      <c r="T127">
        <f>HYPERLINK("https://klasma.github.io/Logging_2283/kartor/A 14860-2023 karta.png", "A 14860-2023")</f>
        <v/>
      </c>
      <c r="U127">
        <f>HYPERLINK("https://klasma.github.io/Logging_2283/knärot/A 14860-2023 karta knärot.png", "A 14860-2023")</f>
        <v/>
      </c>
      <c r="V127">
        <f>HYPERLINK("https://klasma.github.io/Logging_2283/klagomål/A 14860-2023 FSC-klagomål.docx", "A 14860-2023")</f>
        <v/>
      </c>
      <c r="W127">
        <f>HYPERLINK("https://klasma.github.io/Logging_2283/klagomålsmail/A 14860-2023 FSC-klagomål mail.docx", "A 14860-2023")</f>
        <v/>
      </c>
      <c r="X127">
        <f>HYPERLINK("https://klasma.github.io/Logging_2283/tillsyn/A 14860-2023 tillsynsbegäran.docx", "A 14860-2023")</f>
        <v/>
      </c>
      <c r="Y127">
        <f>HYPERLINK("https://klasma.github.io/Logging_2283/tillsynsmail/A 14860-2023 tillsynsbegäran mail.docx", "A 14860-2023")</f>
        <v/>
      </c>
    </row>
    <row r="128" ht="15" customHeight="1">
      <c r="A128" t="inlineStr">
        <is>
          <t>A 18100-2025</t>
        </is>
      </c>
      <c r="B128" s="1" t="n">
        <v>45761.55240740741</v>
      </c>
      <c r="C128" s="1" t="n">
        <v>45998</v>
      </c>
      <c r="D128" t="inlineStr">
        <is>
          <t>VÄSTERNORRLANDS LÄN</t>
        </is>
      </c>
      <c r="E128" t="inlineStr">
        <is>
          <t>SOLLEFTEÅ</t>
        </is>
      </c>
      <c r="F128" t="inlineStr">
        <is>
          <t>SCA</t>
        </is>
      </c>
      <c r="G128" t="n">
        <v>3.6</v>
      </c>
      <c r="H128" t="n">
        <v>1</v>
      </c>
      <c r="I128" t="n">
        <v>0</v>
      </c>
      <c r="J128" t="n">
        <v>3</v>
      </c>
      <c r="K128" t="n">
        <v>3</v>
      </c>
      <c r="L128" t="n">
        <v>0</v>
      </c>
      <c r="M128" t="n">
        <v>0</v>
      </c>
      <c r="N128" t="n">
        <v>0</v>
      </c>
      <c r="O128" t="n">
        <v>6</v>
      </c>
      <c r="P128" t="n">
        <v>3</v>
      </c>
      <c r="Q128" t="n">
        <v>6</v>
      </c>
      <c r="R128" s="2" t="inlineStr">
        <is>
          <t>Knärot
Lappticka
Rynkskinn
Granticka
Lunglav
Ullticka</t>
        </is>
      </c>
      <c r="S128">
        <f>HYPERLINK("https://klasma.github.io/Logging_2283/artfynd/A 18100-2025 artfynd.xlsx", "A 18100-2025")</f>
        <v/>
      </c>
      <c r="T128">
        <f>HYPERLINK("https://klasma.github.io/Logging_2283/kartor/A 18100-2025 karta.png", "A 18100-2025")</f>
        <v/>
      </c>
      <c r="U128">
        <f>HYPERLINK("https://klasma.github.io/Logging_2283/knärot/A 18100-2025 karta knärot.png", "A 18100-2025")</f>
        <v/>
      </c>
      <c r="V128">
        <f>HYPERLINK("https://klasma.github.io/Logging_2283/klagomål/A 18100-2025 FSC-klagomål.docx", "A 18100-2025")</f>
        <v/>
      </c>
      <c r="W128">
        <f>HYPERLINK("https://klasma.github.io/Logging_2283/klagomålsmail/A 18100-2025 FSC-klagomål mail.docx", "A 18100-2025")</f>
        <v/>
      </c>
      <c r="X128">
        <f>HYPERLINK("https://klasma.github.io/Logging_2283/tillsyn/A 18100-2025 tillsynsbegäran.docx", "A 18100-2025")</f>
        <v/>
      </c>
      <c r="Y128">
        <f>HYPERLINK("https://klasma.github.io/Logging_2283/tillsynsmail/A 18100-2025 tillsynsbegäran mail.docx", "A 18100-2025")</f>
        <v/>
      </c>
    </row>
    <row r="129" ht="15" customHeight="1">
      <c r="A129" t="inlineStr">
        <is>
          <t>A 36470-2024</t>
        </is>
      </c>
      <c r="B129" s="1" t="n">
        <v>45537</v>
      </c>
      <c r="C129" s="1" t="n">
        <v>45998</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13250-2025</t>
        </is>
      </c>
      <c r="B130" s="1" t="n">
        <v>45735.49013888889</v>
      </c>
      <c r="C130" s="1" t="n">
        <v>45998</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4827-2025</t>
        </is>
      </c>
      <c r="B131" s="1" t="n">
        <v>45688</v>
      </c>
      <c r="C131" s="1" t="n">
        <v>45998</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20205-2025</t>
        </is>
      </c>
      <c r="B132" s="1" t="n">
        <v>45772.61548611111</v>
      </c>
      <c r="C132" s="1" t="n">
        <v>45998</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61541-2024</t>
        </is>
      </c>
      <c r="B133" s="1" t="n">
        <v>45646</v>
      </c>
      <c r="C133" s="1" t="n">
        <v>45998</v>
      </c>
      <c r="D133" t="inlineStr">
        <is>
          <t>VÄSTERNORRLANDS LÄN</t>
        </is>
      </c>
      <c r="E133" t="inlineStr">
        <is>
          <t>SOLLEFTEÅ</t>
        </is>
      </c>
      <c r="F133" t="inlineStr">
        <is>
          <t>SCA</t>
        </is>
      </c>
      <c r="G133" t="n">
        <v>6.8</v>
      </c>
      <c r="H133" t="n">
        <v>1</v>
      </c>
      <c r="I133" t="n">
        <v>0</v>
      </c>
      <c r="J133" t="n">
        <v>6</v>
      </c>
      <c r="K133" t="n">
        <v>0</v>
      </c>
      <c r="L133" t="n">
        <v>0</v>
      </c>
      <c r="M133" t="n">
        <v>0</v>
      </c>
      <c r="N133" t="n">
        <v>0</v>
      </c>
      <c r="O133" t="n">
        <v>6</v>
      </c>
      <c r="P133" t="n">
        <v>0</v>
      </c>
      <c r="Q133" t="n">
        <v>6</v>
      </c>
      <c r="R133" s="2" t="inlineStr">
        <is>
          <t>Gammelgransskål
Garnlav
Skogshare
Tretåig hackspett
Ullticka
Vitgrynig nållav</t>
        </is>
      </c>
      <c r="S133">
        <f>HYPERLINK("https://klasma.github.io/Logging_2283/artfynd/A 61541-2024 artfynd.xlsx", "A 61541-2024")</f>
        <v/>
      </c>
      <c r="T133">
        <f>HYPERLINK("https://klasma.github.io/Logging_2283/kartor/A 61541-2024 karta.png", "A 61541-2024")</f>
        <v/>
      </c>
      <c r="V133">
        <f>HYPERLINK("https://klasma.github.io/Logging_2283/klagomål/A 61541-2024 FSC-klagomål.docx", "A 61541-2024")</f>
        <v/>
      </c>
      <c r="W133">
        <f>HYPERLINK("https://klasma.github.io/Logging_2283/klagomålsmail/A 61541-2024 FSC-klagomål mail.docx", "A 61541-2024")</f>
        <v/>
      </c>
      <c r="X133">
        <f>HYPERLINK("https://klasma.github.io/Logging_2283/tillsyn/A 61541-2024 tillsynsbegäran.docx", "A 61541-2024")</f>
        <v/>
      </c>
      <c r="Y133">
        <f>HYPERLINK("https://klasma.github.io/Logging_2283/tillsynsmail/A 61541-2024 tillsynsbegäran mail.docx", "A 61541-2024")</f>
        <v/>
      </c>
      <c r="Z133">
        <f>HYPERLINK("https://klasma.github.io/Logging_2283/fåglar/A 61541-2024 prioriterade fågelarter.docx", "A 61541-2024")</f>
        <v/>
      </c>
    </row>
    <row r="134" ht="15" customHeight="1">
      <c r="A134" t="inlineStr">
        <is>
          <t>A 35632-2025</t>
        </is>
      </c>
      <c r="B134" s="1" t="n">
        <v>45859.44893518519</v>
      </c>
      <c r="C134" s="1" t="n">
        <v>45998</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45692-2025</t>
        </is>
      </c>
      <c r="B135" s="1" t="n">
        <v>45923</v>
      </c>
      <c r="C135" s="1" t="n">
        <v>45998</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7334-2025</t>
        </is>
      </c>
      <c r="B136" s="1" t="n">
        <v>45703.35998842592</v>
      </c>
      <c r="C136" s="1" t="n">
        <v>45998</v>
      </c>
      <c r="D136" t="inlineStr">
        <is>
          <t>VÄSTERNORRLANDS LÄN</t>
        </is>
      </c>
      <c r="E136" t="inlineStr">
        <is>
          <t>SOLLEFTEÅ</t>
        </is>
      </c>
      <c r="G136" t="n">
        <v>2.2</v>
      </c>
      <c r="H136" t="n">
        <v>4</v>
      </c>
      <c r="I136" t="n">
        <v>2</v>
      </c>
      <c r="J136" t="n">
        <v>3</v>
      </c>
      <c r="K136" t="n">
        <v>0</v>
      </c>
      <c r="L136" t="n">
        <v>0</v>
      </c>
      <c r="M136" t="n">
        <v>0</v>
      </c>
      <c r="N136" t="n">
        <v>0</v>
      </c>
      <c r="O136" t="n">
        <v>3</v>
      </c>
      <c r="P136" t="n">
        <v>0</v>
      </c>
      <c r="Q136" t="n">
        <v>6</v>
      </c>
      <c r="R136" s="2" t="inlineStr">
        <is>
          <t>Björktrast
Gulsparv
Rödvingetrast
Skinnlav
Stor aspticka
Revlummer</t>
        </is>
      </c>
      <c r="S136">
        <f>HYPERLINK("https://klasma.github.io/Logging_2283/artfynd/A 7334-2025 artfynd.xlsx", "A 7334-2025")</f>
        <v/>
      </c>
      <c r="T136">
        <f>HYPERLINK("https://klasma.github.io/Logging_2283/kartor/A 7334-2025 karta.png", "A 7334-2025")</f>
        <v/>
      </c>
      <c r="V136">
        <f>HYPERLINK("https://klasma.github.io/Logging_2283/klagomål/A 7334-2025 FSC-klagomål.docx", "A 7334-2025")</f>
        <v/>
      </c>
      <c r="W136">
        <f>HYPERLINK("https://klasma.github.io/Logging_2283/klagomålsmail/A 7334-2025 FSC-klagomål mail.docx", "A 7334-2025")</f>
        <v/>
      </c>
      <c r="X136">
        <f>HYPERLINK("https://klasma.github.io/Logging_2283/tillsyn/A 7334-2025 tillsynsbegäran.docx", "A 7334-2025")</f>
        <v/>
      </c>
      <c r="Y136">
        <f>HYPERLINK("https://klasma.github.io/Logging_2283/tillsynsmail/A 7334-2025 tillsynsbegäran mail.docx", "A 7334-2025")</f>
        <v/>
      </c>
      <c r="Z136">
        <f>HYPERLINK("https://klasma.github.io/Logging_2283/fåglar/A 7334-2025 prioriterade fågelarter.docx", "A 7334-2025")</f>
        <v/>
      </c>
    </row>
    <row r="137" ht="15" customHeight="1">
      <c r="A137" t="inlineStr">
        <is>
          <t>A 40967-2025</t>
        </is>
      </c>
      <c r="B137" s="1" t="n">
        <v>45897.77547453704</v>
      </c>
      <c r="C137" s="1" t="n">
        <v>45998</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49747-2025</t>
        </is>
      </c>
      <c r="B138" s="1" t="n">
        <v>45940.34461805555</v>
      </c>
      <c r="C138" s="1" t="n">
        <v>45998</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35406-2024</t>
        </is>
      </c>
      <c r="B139" s="1" t="n">
        <v>45531.40607638889</v>
      </c>
      <c r="C139" s="1" t="n">
        <v>45998</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56141-2025</t>
        </is>
      </c>
      <c r="B140" s="1" t="n">
        <v>45974.34427083333</v>
      </c>
      <c r="C140" s="1" t="n">
        <v>45998</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26594-2022</t>
        </is>
      </c>
      <c r="B141" s="1" t="n">
        <v>44739</v>
      </c>
      <c r="C141" s="1" t="n">
        <v>45998</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33321-2025</t>
        </is>
      </c>
      <c r="B142" s="1" t="n">
        <v>45841.34490740741</v>
      </c>
      <c r="C142" s="1" t="n">
        <v>45998</v>
      </c>
      <c r="D142" t="inlineStr">
        <is>
          <t>VÄSTERNORRLANDS LÄN</t>
        </is>
      </c>
      <c r="E142" t="inlineStr">
        <is>
          <t>SOLLEFTEÅ</t>
        </is>
      </c>
      <c r="F142" t="inlineStr">
        <is>
          <t>SCA</t>
        </is>
      </c>
      <c r="G142" t="n">
        <v>3</v>
      </c>
      <c r="H142" t="n">
        <v>3</v>
      </c>
      <c r="I142" t="n">
        <v>2</v>
      </c>
      <c r="J142" t="n">
        <v>0</v>
      </c>
      <c r="K142" t="n">
        <v>3</v>
      </c>
      <c r="L142" t="n">
        <v>0</v>
      </c>
      <c r="M142" t="n">
        <v>0</v>
      </c>
      <c r="N142" t="n">
        <v>0</v>
      </c>
      <c r="O142" t="n">
        <v>3</v>
      </c>
      <c r="P142" t="n">
        <v>3</v>
      </c>
      <c r="Q142" t="n">
        <v>6</v>
      </c>
      <c r="R142" s="2" t="inlineStr">
        <is>
          <t>Gräddporing
Knärot
Laxporing
Grönpyrola
Plattlummer
Revlummer</t>
        </is>
      </c>
      <c r="S142">
        <f>HYPERLINK("https://klasma.github.io/Logging_2283/artfynd/A 33321-2025 artfynd.xlsx", "A 33321-2025")</f>
        <v/>
      </c>
      <c r="T142">
        <f>HYPERLINK("https://klasma.github.io/Logging_2283/kartor/A 33321-2025 karta.png", "A 33321-2025")</f>
        <v/>
      </c>
      <c r="U142">
        <f>HYPERLINK("https://klasma.github.io/Logging_2283/knärot/A 33321-2025 karta knärot.png", "A 33321-2025")</f>
        <v/>
      </c>
      <c r="V142">
        <f>HYPERLINK("https://klasma.github.io/Logging_2283/klagomål/A 33321-2025 FSC-klagomål.docx", "A 33321-2025")</f>
        <v/>
      </c>
      <c r="W142">
        <f>HYPERLINK("https://klasma.github.io/Logging_2283/klagomålsmail/A 33321-2025 FSC-klagomål mail.docx", "A 33321-2025")</f>
        <v/>
      </c>
      <c r="X142">
        <f>HYPERLINK("https://klasma.github.io/Logging_2283/tillsyn/A 33321-2025 tillsynsbegäran.docx", "A 33321-2025")</f>
        <v/>
      </c>
      <c r="Y142">
        <f>HYPERLINK("https://klasma.github.io/Logging_2283/tillsynsmail/A 33321-2025 tillsynsbegäran mail.docx", "A 33321-2025")</f>
        <v/>
      </c>
    </row>
    <row r="143" ht="15" customHeight="1">
      <c r="A143" t="inlineStr">
        <is>
          <t>A 53829-2024</t>
        </is>
      </c>
      <c r="B143" s="1" t="n">
        <v>45615.6153125</v>
      </c>
      <c r="C143" s="1" t="n">
        <v>45998</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15666-2025</t>
        </is>
      </c>
      <c r="B144" s="1" t="n">
        <v>45748.4315625</v>
      </c>
      <c r="C144" s="1" t="n">
        <v>45998</v>
      </c>
      <c r="D144" t="inlineStr">
        <is>
          <t>VÄSTERNORRLANDS LÄN</t>
        </is>
      </c>
      <c r="E144" t="inlineStr">
        <is>
          <t>SOLLEFTEÅ</t>
        </is>
      </c>
      <c r="G144" t="n">
        <v>3.9</v>
      </c>
      <c r="H144" t="n">
        <v>1</v>
      </c>
      <c r="I144" t="n">
        <v>2</v>
      </c>
      <c r="J144" t="n">
        <v>3</v>
      </c>
      <c r="K144" t="n">
        <v>1</v>
      </c>
      <c r="L144" t="n">
        <v>0</v>
      </c>
      <c r="M144" t="n">
        <v>0</v>
      </c>
      <c r="N144" t="n">
        <v>0</v>
      </c>
      <c r="O144" t="n">
        <v>4</v>
      </c>
      <c r="P144" t="n">
        <v>1</v>
      </c>
      <c r="Q144" t="n">
        <v>6</v>
      </c>
      <c r="R144" s="2" t="inlineStr">
        <is>
          <t>Knärot
Garnlav
Rosenticka
Vedskivlav
Bårdlav
Norrlandslav</t>
        </is>
      </c>
      <c r="S144">
        <f>HYPERLINK("https://klasma.github.io/Logging_2283/artfynd/A 15666-2025 artfynd.xlsx", "A 15666-2025")</f>
        <v/>
      </c>
      <c r="T144">
        <f>HYPERLINK("https://klasma.github.io/Logging_2283/kartor/A 15666-2025 karta.png", "A 15666-2025")</f>
        <v/>
      </c>
      <c r="U144">
        <f>HYPERLINK("https://klasma.github.io/Logging_2283/knärot/A 15666-2025 karta knärot.png", "A 15666-2025")</f>
        <v/>
      </c>
      <c r="V144">
        <f>HYPERLINK("https://klasma.github.io/Logging_2283/klagomål/A 15666-2025 FSC-klagomål.docx", "A 15666-2025")</f>
        <v/>
      </c>
      <c r="W144">
        <f>HYPERLINK("https://klasma.github.io/Logging_2283/klagomålsmail/A 15666-2025 FSC-klagomål mail.docx", "A 15666-2025")</f>
        <v/>
      </c>
      <c r="X144">
        <f>HYPERLINK("https://klasma.github.io/Logging_2283/tillsyn/A 15666-2025 tillsynsbegäran.docx", "A 15666-2025")</f>
        <v/>
      </c>
      <c r="Y144">
        <f>HYPERLINK("https://klasma.github.io/Logging_2283/tillsynsmail/A 15666-2025 tillsynsbegäran mail.docx", "A 15666-2025")</f>
        <v/>
      </c>
    </row>
    <row r="145" ht="15" customHeight="1">
      <c r="A145" t="inlineStr">
        <is>
          <t>A 40420-2023</t>
        </is>
      </c>
      <c r="B145" s="1" t="n">
        <v>45169</v>
      </c>
      <c r="C145" s="1" t="n">
        <v>45998</v>
      </c>
      <c r="D145" t="inlineStr">
        <is>
          <t>VÄSTERNORRLANDS LÄN</t>
        </is>
      </c>
      <c r="E145" t="inlineStr">
        <is>
          <t>SOLLEFTEÅ</t>
        </is>
      </c>
      <c r="F145" t="inlineStr">
        <is>
          <t>SCA</t>
        </is>
      </c>
      <c r="G145" t="n">
        <v>10</v>
      </c>
      <c r="H145" t="n">
        <v>2</v>
      </c>
      <c r="I145" t="n">
        <v>0</v>
      </c>
      <c r="J145" t="n">
        <v>3</v>
      </c>
      <c r="K145" t="n">
        <v>2</v>
      </c>
      <c r="L145" t="n">
        <v>0</v>
      </c>
      <c r="M145" t="n">
        <v>0</v>
      </c>
      <c r="N145" t="n">
        <v>0</v>
      </c>
      <c r="O145" t="n">
        <v>5</v>
      </c>
      <c r="P145" t="n">
        <v>2</v>
      </c>
      <c r="Q145" t="n">
        <v>6</v>
      </c>
      <c r="R145" s="2" t="inlineStr">
        <is>
          <t>Knärot
Rynkskinn
Lunglav
Rosenticka
Ullticka
Tjäder</t>
        </is>
      </c>
      <c r="S145">
        <f>HYPERLINK("https://klasma.github.io/Logging_2283/artfynd/A 40420-2023 artfynd.xlsx", "A 40420-2023")</f>
        <v/>
      </c>
      <c r="T145">
        <f>HYPERLINK("https://klasma.github.io/Logging_2283/kartor/A 40420-2023 karta.png", "A 40420-2023")</f>
        <v/>
      </c>
      <c r="U145">
        <f>HYPERLINK("https://klasma.github.io/Logging_2283/knärot/A 40420-2023 karta knärot.png", "A 40420-2023")</f>
        <v/>
      </c>
      <c r="V145">
        <f>HYPERLINK("https://klasma.github.io/Logging_2283/klagomål/A 40420-2023 FSC-klagomål.docx", "A 40420-2023")</f>
        <v/>
      </c>
      <c r="W145">
        <f>HYPERLINK("https://klasma.github.io/Logging_2283/klagomålsmail/A 40420-2023 FSC-klagomål mail.docx", "A 40420-2023")</f>
        <v/>
      </c>
      <c r="X145">
        <f>HYPERLINK("https://klasma.github.io/Logging_2283/tillsyn/A 40420-2023 tillsynsbegäran.docx", "A 40420-2023")</f>
        <v/>
      </c>
      <c r="Y145">
        <f>HYPERLINK("https://klasma.github.io/Logging_2283/tillsynsmail/A 40420-2023 tillsynsbegäran mail.docx", "A 40420-2023")</f>
        <v/>
      </c>
      <c r="Z145">
        <f>HYPERLINK("https://klasma.github.io/Logging_2283/fåglar/A 40420-2023 prioriterade fågelarter.docx", "A 40420-2023")</f>
        <v/>
      </c>
    </row>
    <row r="146" ht="15" customHeight="1">
      <c r="A146" t="inlineStr">
        <is>
          <t>A 24887-2022</t>
        </is>
      </c>
      <c r="B146" s="1" t="n">
        <v>44728</v>
      </c>
      <c r="C146" s="1" t="n">
        <v>45998</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61323-2024</t>
        </is>
      </c>
      <c r="B147" s="1" t="n">
        <v>45646</v>
      </c>
      <c r="C147" s="1" t="n">
        <v>45998</v>
      </c>
      <c r="D147" t="inlineStr">
        <is>
          <t>VÄSTERNORRLANDS LÄN</t>
        </is>
      </c>
      <c r="E147" t="inlineStr">
        <is>
          <t>SOLLEFTEÅ</t>
        </is>
      </c>
      <c r="F147" t="inlineStr">
        <is>
          <t>SCA</t>
        </is>
      </c>
      <c r="G147" t="n">
        <v>5.2</v>
      </c>
      <c r="H147" t="n">
        <v>0</v>
      </c>
      <c r="I147" t="n">
        <v>0</v>
      </c>
      <c r="J147" t="n">
        <v>5</v>
      </c>
      <c r="K147" t="n">
        <v>1</v>
      </c>
      <c r="L147" t="n">
        <v>0</v>
      </c>
      <c r="M147" t="n">
        <v>0</v>
      </c>
      <c r="N147" t="n">
        <v>0</v>
      </c>
      <c r="O147" t="n">
        <v>6</v>
      </c>
      <c r="P147" t="n">
        <v>1</v>
      </c>
      <c r="Q147" t="n">
        <v>6</v>
      </c>
      <c r="R147" s="2" t="inlineStr">
        <is>
          <t>Ulltickeporing
Garnlav
Harticka
Rosenticka
Ullticka
Vitgrynig nållav</t>
        </is>
      </c>
      <c r="S147">
        <f>HYPERLINK("https://klasma.github.io/Logging_2283/artfynd/A 61323-2024 artfynd.xlsx", "A 61323-2024")</f>
        <v/>
      </c>
      <c r="T147">
        <f>HYPERLINK("https://klasma.github.io/Logging_2283/kartor/A 61323-2024 karta.png", "A 61323-2024")</f>
        <v/>
      </c>
      <c r="V147">
        <f>HYPERLINK("https://klasma.github.io/Logging_2283/klagomål/A 61323-2024 FSC-klagomål.docx", "A 61323-2024")</f>
        <v/>
      </c>
      <c r="W147">
        <f>HYPERLINK("https://klasma.github.io/Logging_2283/klagomålsmail/A 61323-2024 FSC-klagomål mail.docx", "A 61323-2024")</f>
        <v/>
      </c>
      <c r="X147">
        <f>HYPERLINK("https://klasma.github.io/Logging_2283/tillsyn/A 61323-2024 tillsynsbegäran.docx", "A 61323-2024")</f>
        <v/>
      </c>
      <c r="Y147">
        <f>HYPERLINK("https://klasma.github.io/Logging_2283/tillsynsmail/A 61323-2024 tillsynsbegäran mail.docx", "A 61323-2024")</f>
        <v/>
      </c>
    </row>
    <row r="148" ht="15" customHeight="1">
      <c r="A148" t="inlineStr">
        <is>
          <t>A 3056-2025</t>
        </is>
      </c>
      <c r="B148" s="1" t="n">
        <v>45678.61554398148</v>
      </c>
      <c r="C148" s="1" t="n">
        <v>45998</v>
      </c>
      <c r="D148" t="inlineStr">
        <is>
          <t>VÄSTERNORRLANDS LÄN</t>
        </is>
      </c>
      <c r="E148" t="inlineStr">
        <is>
          <t>SOLLEFTEÅ</t>
        </is>
      </c>
      <c r="F148" t="inlineStr">
        <is>
          <t>SCA</t>
        </is>
      </c>
      <c r="G148" t="n">
        <v>9.800000000000001</v>
      </c>
      <c r="H148" t="n">
        <v>3</v>
      </c>
      <c r="I148" t="n">
        <v>0</v>
      </c>
      <c r="J148" t="n">
        <v>5</v>
      </c>
      <c r="K148" t="n">
        <v>0</v>
      </c>
      <c r="L148" t="n">
        <v>0</v>
      </c>
      <c r="M148" t="n">
        <v>0</v>
      </c>
      <c r="N148" t="n">
        <v>0</v>
      </c>
      <c r="O148" t="n">
        <v>5</v>
      </c>
      <c r="P148" t="n">
        <v>0</v>
      </c>
      <c r="Q148" t="n">
        <v>6</v>
      </c>
      <c r="R148" s="2" t="inlineStr">
        <is>
          <t>Garnlav
Granticka
Lunglav
Talltita
Tretåig hackspett
Tjäder</t>
        </is>
      </c>
      <c r="S148">
        <f>HYPERLINK("https://klasma.github.io/Logging_2283/artfynd/A 3056-2025 artfynd.xlsx", "A 3056-2025")</f>
        <v/>
      </c>
      <c r="T148">
        <f>HYPERLINK("https://klasma.github.io/Logging_2283/kartor/A 3056-2025 karta.png", "A 3056-2025")</f>
        <v/>
      </c>
      <c r="V148">
        <f>HYPERLINK("https://klasma.github.io/Logging_2283/klagomål/A 3056-2025 FSC-klagomål.docx", "A 3056-2025")</f>
        <v/>
      </c>
      <c r="W148">
        <f>HYPERLINK("https://klasma.github.io/Logging_2283/klagomålsmail/A 3056-2025 FSC-klagomål mail.docx", "A 3056-2025")</f>
        <v/>
      </c>
      <c r="X148">
        <f>HYPERLINK("https://klasma.github.io/Logging_2283/tillsyn/A 3056-2025 tillsynsbegäran.docx", "A 3056-2025")</f>
        <v/>
      </c>
      <c r="Y148">
        <f>HYPERLINK("https://klasma.github.io/Logging_2283/tillsynsmail/A 3056-2025 tillsynsbegäran mail.docx", "A 3056-2025")</f>
        <v/>
      </c>
      <c r="Z148">
        <f>HYPERLINK("https://klasma.github.io/Logging_2283/fåglar/A 3056-2025 prioriterade fågelarter.docx", "A 3056-2025")</f>
        <v/>
      </c>
    </row>
    <row r="149" ht="15" customHeight="1">
      <c r="A149" t="inlineStr">
        <is>
          <t>A 20949-2022</t>
        </is>
      </c>
      <c r="B149" s="1" t="n">
        <v>44701.93967592593</v>
      </c>
      <c r="C149" s="1" t="n">
        <v>45998</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45998</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41169-2022</t>
        </is>
      </c>
      <c r="B151" s="1" t="n">
        <v>44825</v>
      </c>
      <c r="C151" s="1" t="n">
        <v>45998</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57655-2023</t>
        </is>
      </c>
      <c r="B152" s="1" t="n">
        <v>45246</v>
      </c>
      <c r="C152" s="1" t="n">
        <v>45998</v>
      </c>
      <c r="D152" t="inlineStr">
        <is>
          <t>VÄSTERNORRLANDS LÄN</t>
        </is>
      </c>
      <c r="E152" t="inlineStr">
        <is>
          <t>SOLLEFTEÅ</t>
        </is>
      </c>
      <c r="G152" t="n">
        <v>5.1</v>
      </c>
      <c r="H152" t="n">
        <v>0</v>
      </c>
      <c r="I152" t="n">
        <v>4</v>
      </c>
      <c r="J152" t="n">
        <v>1</v>
      </c>
      <c r="K152" t="n">
        <v>0</v>
      </c>
      <c r="L152" t="n">
        <v>0</v>
      </c>
      <c r="M152" t="n">
        <v>0</v>
      </c>
      <c r="N152" t="n">
        <v>0</v>
      </c>
      <c r="O152" t="n">
        <v>1</v>
      </c>
      <c r="P152" t="n">
        <v>0</v>
      </c>
      <c r="Q152" t="n">
        <v>5</v>
      </c>
      <c r="R152" s="2" t="inlineStr">
        <is>
          <t>Lunglav
Bårdlav
Luddlav
Norrlandslav
Stuplav</t>
        </is>
      </c>
      <c r="S152">
        <f>HYPERLINK("https://klasma.github.io/Logging_2283/artfynd/A 57655-2023 artfynd.xlsx", "A 57655-2023")</f>
        <v/>
      </c>
      <c r="T152">
        <f>HYPERLINK("https://klasma.github.io/Logging_2283/kartor/A 57655-2023 karta.png", "A 57655-2023")</f>
        <v/>
      </c>
      <c r="V152">
        <f>HYPERLINK("https://klasma.github.io/Logging_2283/klagomål/A 57655-2023 FSC-klagomål.docx", "A 57655-2023")</f>
        <v/>
      </c>
      <c r="W152">
        <f>HYPERLINK("https://klasma.github.io/Logging_2283/klagomålsmail/A 57655-2023 FSC-klagomål mail.docx", "A 57655-2023")</f>
        <v/>
      </c>
      <c r="X152">
        <f>HYPERLINK("https://klasma.github.io/Logging_2283/tillsyn/A 57655-2023 tillsynsbegäran.docx", "A 57655-2023")</f>
        <v/>
      </c>
      <c r="Y152">
        <f>HYPERLINK("https://klasma.github.io/Logging_2283/tillsynsmail/A 57655-2023 tillsynsbegäran mail.docx", "A 57655-2023")</f>
        <v/>
      </c>
    </row>
    <row r="153" ht="15" customHeight="1">
      <c r="A153" t="inlineStr">
        <is>
          <t>A 59662-2023</t>
        </is>
      </c>
      <c r="B153" s="1" t="n">
        <v>45254.96438657407</v>
      </c>
      <c r="C153" s="1" t="n">
        <v>45998</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11547-2025</t>
        </is>
      </c>
      <c r="B154" s="1" t="n">
        <v>45727.34447916667</v>
      </c>
      <c r="C154" s="1" t="n">
        <v>45998</v>
      </c>
      <c r="D154" t="inlineStr">
        <is>
          <t>VÄSTERNORRLANDS LÄN</t>
        </is>
      </c>
      <c r="E154" t="inlineStr">
        <is>
          <t>SOLLEFTEÅ</t>
        </is>
      </c>
      <c r="F154" t="inlineStr">
        <is>
          <t>SCA</t>
        </is>
      </c>
      <c r="G154" t="n">
        <v>2.9</v>
      </c>
      <c r="H154" t="n">
        <v>2</v>
      </c>
      <c r="I154" t="n">
        <v>0</v>
      </c>
      <c r="J154" t="n">
        <v>5</v>
      </c>
      <c r="K154" t="n">
        <v>0</v>
      </c>
      <c r="L154" t="n">
        <v>0</v>
      </c>
      <c r="M154" t="n">
        <v>0</v>
      </c>
      <c r="N154" t="n">
        <v>0</v>
      </c>
      <c r="O154" t="n">
        <v>5</v>
      </c>
      <c r="P154" t="n">
        <v>0</v>
      </c>
      <c r="Q154" t="n">
        <v>5</v>
      </c>
      <c r="R154" s="2" t="inlineStr">
        <is>
          <t>Garnlav
Järpe
Lunglav
Tretåig hackspett
Ullticka</t>
        </is>
      </c>
      <c r="S154">
        <f>HYPERLINK("https://klasma.github.io/Logging_2283/artfynd/A 11547-2025 artfynd.xlsx", "A 11547-2025")</f>
        <v/>
      </c>
      <c r="T154">
        <f>HYPERLINK("https://klasma.github.io/Logging_2283/kartor/A 11547-2025 karta.png", "A 11547-2025")</f>
        <v/>
      </c>
      <c r="V154">
        <f>HYPERLINK("https://klasma.github.io/Logging_2283/klagomål/A 11547-2025 FSC-klagomål.docx", "A 11547-2025")</f>
        <v/>
      </c>
      <c r="W154">
        <f>HYPERLINK("https://klasma.github.io/Logging_2283/klagomålsmail/A 11547-2025 FSC-klagomål mail.docx", "A 11547-2025")</f>
        <v/>
      </c>
      <c r="X154">
        <f>HYPERLINK("https://klasma.github.io/Logging_2283/tillsyn/A 11547-2025 tillsynsbegäran.docx", "A 11547-2025")</f>
        <v/>
      </c>
      <c r="Y154">
        <f>HYPERLINK("https://klasma.github.io/Logging_2283/tillsynsmail/A 11547-2025 tillsynsbegäran mail.docx", "A 11547-2025")</f>
        <v/>
      </c>
      <c r="Z154">
        <f>HYPERLINK("https://klasma.github.io/Logging_2283/fåglar/A 11547-2025 prioriterade fågelarter.docx", "A 11547-2025")</f>
        <v/>
      </c>
    </row>
    <row r="155" ht="15" customHeight="1">
      <c r="A155" t="inlineStr">
        <is>
          <t>A 32217-2023</t>
        </is>
      </c>
      <c r="B155" s="1" t="n">
        <v>45119</v>
      </c>
      <c r="C155" s="1" t="n">
        <v>45998</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45998</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45998</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27910-2024</t>
        </is>
      </c>
      <c r="B158" s="1" t="n">
        <v>45475</v>
      </c>
      <c r="C158" s="1" t="n">
        <v>45998</v>
      </c>
      <c r="D158" t="inlineStr">
        <is>
          <t>VÄSTERNORRLANDS LÄN</t>
        </is>
      </c>
      <c r="E158" t="inlineStr">
        <is>
          <t>SOLLEFTEÅ</t>
        </is>
      </c>
      <c r="F158" t="inlineStr">
        <is>
          <t>SCA</t>
        </is>
      </c>
      <c r="G158" t="n">
        <v>3.2</v>
      </c>
      <c r="H158" t="n">
        <v>0</v>
      </c>
      <c r="I158" t="n">
        <v>1</v>
      </c>
      <c r="J158" t="n">
        <v>3</v>
      </c>
      <c r="K158" t="n">
        <v>1</v>
      </c>
      <c r="L158" t="n">
        <v>0</v>
      </c>
      <c r="M158" t="n">
        <v>0</v>
      </c>
      <c r="N158" t="n">
        <v>0</v>
      </c>
      <c r="O158" t="n">
        <v>4</v>
      </c>
      <c r="P158" t="n">
        <v>1</v>
      </c>
      <c r="Q158" t="n">
        <v>5</v>
      </c>
      <c r="R158" s="2" t="inlineStr">
        <is>
          <t>Rynkskinn
Gammelgransskål
Rosenticka
Ullticka
Vedticka</t>
        </is>
      </c>
      <c r="S158">
        <f>HYPERLINK("https://klasma.github.io/Logging_2283/artfynd/A 27910-2024 artfynd.xlsx", "A 27910-2024")</f>
        <v/>
      </c>
      <c r="T158">
        <f>HYPERLINK("https://klasma.github.io/Logging_2283/kartor/A 27910-2024 karta.png", "A 27910-2024")</f>
        <v/>
      </c>
      <c r="V158">
        <f>HYPERLINK("https://klasma.github.io/Logging_2283/klagomål/A 27910-2024 FSC-klagomål.docx", "A 27910-2024")</f>
        <v/>
      </c>
      <c r="W158">
        <f>HYPERLINK("https://klasma.github.io/Logging_2283/klagomålsmail/A 27910-2024 FSC-klagomål mail.docx", "A 27910-2024")</f>
        <v/>
      </c>
      <c r="X158">
        <f>HYPERLINK("https://klasma.github.io/Logging_2283/tillsyn/A 27910-2024 tillsynsbegäran.docx", "A 27910-2024")</f>
        <v/>
      </c>
      <c r="Y158">
        <f>HYPERLINK("https://klasma.github.io/Logging_2283/tillsynsmail/A 27910-2024 tillsynsbegäran mail.docx", "A 27910-2024")</f>
        <v/>
      </c>
    </row>
    <row r="159" ht="15" customHeight="1">
      <c r="A159" t="inlineStr">
        <is>
          <t>A 30235-2022</t>
        </is>
      </c>
      <c r="B159" s="1" t="n">
        <v>44757</v>
      </c>
      <c r="C159" s="1" t="n">
        <v>45998</v>
      </c>
      <c r="D159" t="inlineStr">
        <is>
          <t>VÄSTERNORRLANDS LÄN</t>
        </is>
      </c>
      <c r="E159" t="inlineStr">
        <is>
          <t>SOLLEFTEÅ</t>
        </is>
      </c>
      <c r="F159" t="inlineStr">
        <is>
          <t>SCA</t>
        </is>
      </c>
      <c r="G159" t="n">
        <v>4.7</v>
      </c>
      <c r="H159" t="n">
        <v>3</v>
      </c>
      <c r="I159" t="n">
        <v>0</v>
      </c>
      <c r="J159" t="n">
        <v>3</v>
      </c>
      <c r="K159" t="n">
        <v>2</v>
      </c>
      <c r="L159" t="n">
        <v>0</v>
      </c>
      <c r="M159" t="n">
        <v>0</v>
      </c>
      <c r="N159" t="n">
        <v>0</v>
      </c>
      <c r="O159" t="n">
        <v>5</v>
      </c>
      <c r="P159" t="n">
        <v>2</v>
      </c>
      <c r="Q159" t="n">
        <v>5</v>
      </c>
      <c r="R159" s="2" t="inlineStr">
        <is>
          <t>Doftticka
Knärot
Lunglav
Skrovellav
Tretåig hackspett</t>
        </is>
      </c>
      <c r="S159">
        <f>HYPERLINK("https://klasma.github.io/Logging_2283/artfynd/A 30235-2022 artfynd.xlsx", "A 30235-2022")</f>
        <v/>
      </c>
      <c r="T159">
        <f>HYPERLINK("https://klasma.github.io/Logging_2283/kartor/A 30235-2022 karta.png", "A 30235-2022")</f>
        <v/>
      </c>
      <c r="U159">
        <f>HYPERLINK("https://klasma.github.io/Logging_2283/knärot/A 30235-2022 karta knärot.png", "A 30235-2022")</f>
        <v/>
      </c>
      <c r="V159">
        <f>HYPERLINK("https://klasma.github.io/Logging_2283/klagomål/A 30235-2022 FSC-klagomål.docx", "A 30235-2022")</f>
        <v/>
      </c>
      <c r="W159">
        <f>HYPERLINK("https://klasma.github.io/Logging_2283/klagomålsmail/A 30235-2022 FSC-klagomål mail.docx", "A 30235-2022")</f>
        <v/>
      </c>
      <c r="X159">
        <f>HYPERLINK("https://klasma.github.io/Logging_2283/tillsyn/A 30235-2022 tillsynsbegäran.docx", "A 30235-2022")</f>
        <v/>
      </c>
      <c r="Y159">
        <f>HYPERLINK("https://klasma.github.io/Logging_2283/tillsynsmail/A 30235-2022 tillsynsbegäran mail.docx", "A 30235-2022")</f>
        <v/>
      </c>
      <c r="Z159">
        <f>HYPERLINK("https://klasma.github.io/Logging_2283/fåglar/A 30235-2022 prioriterade fågelarter.docx", "A 30235-2022")</f>
        <v/>
      </c>
    </row>
    <row r="160" ht="15" customHeight="1">
      <c r="A160" t="inlineStr">
        <is>
          <t>A 21002-2025</t>
        </is>
      </c>
      <c r="B160" s="1" t="n">
        <v>45777.48998842593</v>
      </c>
      <c r="C160" s="1" t="n">
        <v>45998</v>
      </c>
      <c r="D160" t="inlineStr">
        <is>
          <t>VÄSTERNORRLANDS LÄN</t>
        </is>
      </c>
      <c r="E160" t="inlineStr">
        <is>
          <t>SOLLEFTEÅ</t>
        </is>
      </c>
      <c r="F160" t="inlineStr">
        <is>
          <t>SCA</t>
        </is>
      </c>
      <c r="G160" t="n">
        <v>3.1</v>
      </c>
      <c r="H160" t="n">
        <v>1</v>
      </c>
      <c r="I160" t="n">
        <v>2</v>
      </c>
      <c r="J160" t="n">
        <v>3</v>
      </c>
      <c r="K160" t="n">
        <v>0</v>
      </c>
      <c r="L160" t="n">
        <v>0</v>
      </c>
      <c r="M160" t="n">
        <v>0</v>
      </c>
      <c r="N160" t="n">
        <v>0</v>
      </c>
      <c r="O160" t="n">
        <v>3</v>
      </c>
      <c r="P160" t="n">
        <v>0</v>
      </c>
      <c r="Q160" t="n">
        <v>5</v>
      </c>
      <c r="R160" s="2" t="inlineStr">
        <is>
          <t>Granticka
Tretåig hackspett
Ullticka
Norrlandslav
Vedticka</t>
        </is>
      </c>
      <c r="S160">
        <f>HYPERLINK("https://klasma.github.io/Logging_2283/artfynd/A 21002-2025 artfynd.xlsx", "A 21002-2025")</f>
        <v/>
      </c>
      <c r="T160">
        <f>HYPERLINK("https://klasma.github.io/Logging_2283/kartor/A 21002-2025 karta.png", "A 21002-2025")</f>
        <v/>
      </c>
      <c r="V160">
        <f>HYPERLINK("https://klasma.github.io/Logging_2283/klagomål/A 21002-2025 FSC-klagomål.docx", "A 21002-2025")</f>
        <v/>
      </c>
      <c r="W160">
        <f>HYPERLINK("https://klasma.github.io/Logging_2283/klagomålsmail/A 21002-2025 FSC-klagomål mail.docx", "A 21002-2025")</f>
        <v/>
      </c>
      <c r="X160">
        <f>HYPERLINK("https://klasma.github.io/Logging_2283/tillsyn/A 21002-2025 tillsynsbegäran.docx", "A 21002-2025")</f>
        <v/>
      </c>
      <c r="Y160">
        <f>HYPERLINK("https://klasma.github.io/Logging_2283/tillsynsmail/A 21002-2025 tillsynsbegäran mail.docx", "A 21002-2025")</f>
        <v/>
      </c>
      <c r="Z160">
        <f>HYPERLINK("https://klasma.github.io/Logging_2283/fåglar/A 21002-2025 prioriterade fågelarter.docx", "A 21002-2025")</f>
        <v/>
      </c>
    </row>
    <row r="161" ht="15" customHeight="1">
      <c r="A161" t="inlineStr">
        <is>
          <t>A 27675-2023</t>
        </is>
      </c>
      <c r="B161" s="1" t="n">
        <v>45097</v>
      </c>
      <c r="C161" s="1" t="n">
        <v>45998</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2438-2025</t>
        </is>
      </c>
      <c r="B162" s="1" t="n">
        <v>45674.41815972222</v>
      </c>
      <c r="C162" s="1" t="n">
        <v>45998</v>
      </c>
      <c r="D162" t="inlineStr">
        <is>
          <t>VÄSTERNORRLANDS LÄN</t>
        </is>
      </c>
      <c r="E162" t="inlineStr">
        <is>
          <t>SOLLEFTEÅ</t>
        </is>
      </c>
      <c r="G162" t="n">
        <v>6.4</v>
      </c>
      <c r="H162" t="n">
        <v>3</v>
      </c>
      <c r="I162" t="n">
        <v>0</v>
      </c>
      <c r="J162" t="n">
        <v>4</v>
      </c>
      <c r="K162" t="n">
        <v>1</v>
      </c>
      <c r="L162" t="n">
        <v>0</v>
      </c>
      <c r="M162" t="n">
        <v>0</v>
      </c>
      <c r="N162" t="n">
        <v>0</v>
      </c>
      <c r="O162" t="n">
        <v>5</v>
      </c>
      <c r="P162" t="n">
        <v>1</v>
      </c>
      <c r="Q162" t="n">
        <v>5</v>
      </c>
      <c r="R162" s="2" t="inlineStr">
        <is>
          <t>Knärot
Garnlav
Kolflarnlav
Talltita
Tretåig hackspett</t>
        </is>
      </c>
      <c r="S162">
        <f>HYPERLINK("https://klasma.github.io/Logging_2283/artfynd/A 2438-2025 artfynd.xlsx", "A 2438-2025")</f>
        <v/>
      </c>
      <c r="T162">
        <f>HYPERLINK("https://klasma.github.io/Logging_2283/kartor/A 2438-2025 karta.png", "A 2438-2025")</f>
        <v/>
      </c>
      <c r="U162">
        <f>HYPERLINK("https://klasma.github.io/Logging_2283/knärot/A 2438-2025 karta knärot.png", "A 2438-2025")</f>
        <v/>
      </c>
      <c r="V162">
        <f>HYPERLINK("https://klasma.github.io/Logging_2283/klagomål/A 2438-2025 FSC-klagomål.docx", "A 2438-2025")</f>
        <v/>
      </c>
      <c r="W162">
        <f>HYPERLINK("https://klasma.github.io/Logging_2283/klagomålsmail/A 2438-2025 FSC-klagomål mail.docx", "A 2438-2025")</f>
        <v/>
      </c>
      <c r="X162">
        <f>HYPERLINK("https://klasma.github.io/Logging_2283/tillsyn/A 2438-2025 tillsynsbegäran.docx", "A 2438-2025")</f>
        <v/>
      </c>
      <c r="Y162">
        <f>HYPERLINK("https://klasma.github.io/Logging_2283/tillsynsmail/A 2438-2025 tillsynsbegäran mail.docx", "A 2438-2025")</f>
        <v/>
      </c>
      <c r="Z162">
        <f>HYPERLINK("https://klasma.github.io/Logging_2283/fåglar/A 2438-2025 prioriterade fågelarter.docx", "A 2438-2025")</f>
        <v/>
      </c>
    </row>
    <row r="163" ht="15" customHeight="1">
      <c r="A163" t="inlineStr">
        <is>
          <t>A 16314-2025</t>
        </is>
      </c>
      <c r="B163" s="1" t="n">
        <v>45751.34763888889</v>
      </c>
      <c r="C163" s="1" t="n">
        <v>45998</v>
      </c>
      <c r="D163" t="inlineStr">
        <is>
          <t>VÄSTERNORRLANDS LÄN</t>
        </is>
      </c>
      <c r="E163" t="inlineStr">
        <is>
          <t>SOLLEFTEÅ</t>
        </is>
      </c>
      <c r="F163" t="inlineStr">
        <is>
          <t>SCA</t>
        </is>
      </c>
      <c r="G163" t="n">
        <v>2.7</v>
      </c>
      <c r="H163" t="n">
        <v>0</v>
      </c>
      <c r="I163" t="n">
        <v>0</v>
      </c>
      <c r="J163" t="n">
        <v>5</v>
      </c>
      <c r="K163" t="n">
        <v>0</v>
      </c>
      <c r="L163" t="n">
        <v>0</v>
      </c>
      <c r="M163" t="n">
        <v>0</v>
      </c>
      <c r="N163" t="n">
        <v>0</v>
      </c>
      <c r="O163" t="n">
        <v>5</v>
      </c>
      <c r="P163" t="n">
        <v>0</v>
      </c>
      <c r="Q163" t="n">
        <v>5</v>
      </c>
      <c r="R163" s="2" t="inlineStr">
        <is>
          <t>Gammelgransskål
Garnlav
Lunglav
Rosenticka
Ullticka</t>
        </is>
      </c>
      <c r="S163">
        <f>HYPERLINK("https://klasma.github.io/Logging_2283/artfynd/A 16314-2025 artfynd.xlsx", "A 16314-2025")</f>
        <v/>
      </c>
      <c r="T163">
        <f>HYPERLINK("https://klasma.github.io/Logging_2283/kartor/A 16314-2025 karta.png", "A 16314-2025")</f>
        <v/>
      </c>
      <c r="V163">
        <f>HYPERLINK("https://klasma.github.io/Logging_2283/klagomål/A 16314-2025 FSC-klagomål.docx", "A 16314-2025")</f>
        <v/>
      </c>
      <c r="W163">
        <f>HYPERLINK("https://klasma.github.io/Logging_2283/klagomålsmail/A 16314-2025 FSC-klagomål mail.docx", "A 16314-2025")</f>
        <v/>
      </c>
      <c r="X163">
        <f>HYPERLINK("https://klasma.github.io/Logging_2283/tillsyn/A 16314-2025 tillsynsbegäran.docx", "A 16314-2025")</f>
        <v/>
      </c>
      <c r="Y163">
        <f>HYPERLINK("https://klasma.github.io/Logging_2283/tillsynsmail/A 16314-2025 tillsynsbegäran mail.docx", "A 16314-2025")</f>
        <v/>
      </c>
    </row>
    <row r="164" ht="15" customHeight="1">
      <c r="A164" t="inlineStr">
        <is>
          <t>A 46629-2022</t>
        </is>
      </c>
      <c r="B164" s="1" t="n">
        <v>44848</v>
      </c>
      <c r="C164" s="1" t="n">
        <v>45998</v>
      </c>
      <c r="D164" t="inlineStr">
        <is>
          <t>VÄSTERNORRLANDS LÄN</t>
        </is>
      </c>
      <c r="E164" t="inlineStr">
        <is>
          <t>SOLLEFTEÅ</t>
        </is>
      </c>
      <c r="F164" t="inlineStr">
        <is>
          <t>SCA</t>
        </is>
      </c>
      <c r="G164" t="n">
        <v>4.5</v>
      </c>
      <c r="H164" t="n">
        <v>2</v>
      </c>
      <c r="I164" t="n">
        <v>0</v>
      </c>
      <c r="J164" t="n">
        <v>4</v>
      </c>
      <c r="K164" t="n">
        <v>1</v>
      </c>
      <c r="L164" t="n">
        <v>0</v>
      </c>
      <c r="M164" t="n">
        <v>0</v>
      </c>
      <c r="N164" t="n">
        <v>0</v>
      </c>
      <c r="O164" t="n">
        <v>5</v>
      </c>
      <c r="P164" t="n">
        <v>1</v>
      </c>
      <c r="Q164" t="n">
        <v>5</v>
      </c>
      <c r="R164" s="2" t="inlineStr">
        <is>
          <t>Knärot
Garnlav
Lunglav
Skogshare
Tretåig hackspett</t>
        </is>
      </c>
      <c r="S164">
        <f>HYPERLINK("https://klasma.github.io/Logging_2283/artfynd/A 46629-2022 artfynd.xlsx", "A 46629-2022")</f>
        <v/>
      </c>
      <c r="T164">
        <f>HYPERLINK("https://klasma.github.io/Logging_2283/kartor/A 46629-2022 karta.png", "A 46629-2022")</f>
        <v/>
      </c>
      <c r="U164">
        <f>HYPERLINK("https://klasma.github.io/Logging_2283/knärot/A 46629-2022 karta knärot.png", "A 46629-2022")</f>
        <v/>
      </c>
      <c r="V164">
        <f>HYPERLINK("https://klasma.github.io/Logging_2283/klagomål/A 46629-2022 FSC-klagomål.docx", "A 46629-2022")</f>
        <v/>
      </c>
      <c r="W164">
        <f>HYPERLINK("https://klasma.github.io/Logging_2283/klagomålsmail/A 46629-2022 FSC-klagomål mail.docx", "A 46629-2022")</f>
        <v/>
      </c>
      <c r="X164">
        <f>HYPERLINK("https://klasma.github.io/Logging_2283/tillsyn/A 46629-2022 tillsynsbegäran.docx", "A 46629-2022")</f>
        <v/>
      </c>
      <c r="Y164">
        <f>HYPERLINK("https://klasma.github.io/Logging_2283/tillsynsmail/A 46629-2022 tillsynsbegäran mail.docx", "A 46629-2022")</f>
        <v/>
      </c>
      <c r="Z164">
        <f>HYPERLINK("https://klasma.github.io/Logging_2283/fåglar/A 46629-2022 prioriterade fågelarter.docx", "A 46629-2022")</f>
        <v/>
      </c>
    </row>
    <row r="165" ht="15" customHeight="1">
      <c r="A165" t="inlineStr">
        <is>
          <t>A 22797-2025</t>
        </is>
      </c>
      <c r="B165" s="1" t="n">
        <v>45789</v>
      </c>
      <c r="C165" s="1" t="n">
        <v>45998</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50418-2024</t>
        </is>
      </c>
      <c r="B166" s="1" t="n">
        <v>45601.38575231482</v>
      </c>
      <c r="C166" s="1" t="n">
        <v>45998</v>
      </c>
      <c r="D166" t="inlineStr">
        <is>
          <t>VÄSTERNORRLANDS LÄN</t>
        </is>
      </c>
      <c r="E166" t="inlineStr">
        <is>
          <t>SOLLEFTEÅ</t>
        </is>
      </c>
      <c r="F166" t="inlineStr">
        <is>
          <t>SCA</t>
        </is>
      </c>
      <c r="G166" t="n">
        <v>3.4</v>
      </c>
      <c r="H166" t="n">
        <v>0</v>
      </c>
      <c r="I166" t="n">
        <v>0</v>
      </c>
      <c r="J166" t="n">
        <v>4</v>
      </c>
      <c r="K166" t="n">
        <v>1</v>
      </c>
      <c r="L166" t="n">
        <v>0</v>
      </c>
      <c r="M166" t="n">
        <v>0</v>
      </c>
      <c r="N166" t="n">
        <v>0</v>
      </c>
      <c r="O166" t="n">
        <v>5</v>
      </c>
      <c r="P166" t="n">
        <v>1</v>
      </c>
      <c r="Q166" t="n">
        <v>5</v>
      </c>
      <c r="R166" s="2" t="inlineStr">
        <is>
          <t>Rynkskinn
Garnlav
Granticka
Harticka
Lunglav</t>
        </is>
      </c>
      <c r="S166">
        <f>HYPERLINK("https://klasma.github.io/Logging_2283/artfynd/A 50418-2024 artfynd.xlsx", "A 50418-2024")</f>
        <v/>
      </c>
      <c r="T166">
        <f>HYPERLINK("https://klasma.github.io/Logging_2283/kartor/A 50418-2024 karta.png", "A 50418-2024")</f>
        <v/>
      </c>
      <c r="V166">
        <f>HYPERLINK("https://klasma.github.io/Logging_2283/klagomål/A 50418-2024 FSC-klagomål.docx", "A 50418-2024")</f>
        <v/>
      </c>
      <c r="W166">
        <f>HYPERLINK("https://klasma.github.io/Logging_2283/klagomålsmail/A 50418-2024 FSC-klagomål mail.docx", "A 50418-2024")</f>
        <v/>
      </c>
      <c r="X166">
        <f>HYPERLINK("https://klasma.github.io/Logging_2283/tillsyn/A 50418-2024 tillsynsbegäran.docx", "A 50418-2024")</f>
        <v/>
      </c>
      <c r="Y166">
        <f>HYPERLINK("https://klasma.github.io/Logging_2283/tillsynsmail/A 50418-2024 tillsynsbegäran mail.docx", "A 50418-2024")</f>
        <v/>
      </c>
    </row>
    <row r="167" ht="15" customHeight="1">
      <c r="A167" t="inlineStr">
        <is>
          <t>A 44407-2025</t>
        </is>
      </c>
      <c r="B167" s="1" t="n">
        <v>45916.52679398148</v>
      </c>
      <c r="C167" s="1" t="n">
        <v>45998</v>
      </c>
      <c r="D167" t="inlineStr">
        <is>
          <t>VÄSTERNORRLANDS LÄN</t>
        </is>
      </c>
      <c r="E167" t="inlineStr">
        <is>
          <t>SOLLEFTEÅ</t>
        </is>
      </c>
      <c r="G167" t="n">
        <v>4.1</v>
      </c>
      <c r="H167" t="n">
        <v>1</v>
      </c>
      <c r="I167" t="n">
        <v>3</v>
      </c>
      <c r="J167" t="n">
        <v>1</v>
      </c>
      <c r="K167" t="n">
        <v>0</v>
      </c>
      <c r="L167" t="n">
        <v>0</v>
      </c>
      <c r="M167" t="n">
        <v>0</v>
      </c>
      <c r="N167" t="n">
        <v>0</v>
      </c>
      <c r="O167" t="n">
        <v>1</v>
      </c>
      <c r="P167" t="n">
        <v>0</v>
      </c>
      <c r="Q167" t="n">
        <v>5</v>
      </c>
      <c r="R167" s="2" t="inlineStr">
        <is>
          <t>Granticka
Dvärghäxört
Luddlav
Stuplav
Revlummer</t>
        </is>
      </c>
      <c r="S167">
        <f>HYPERLINK("https://klasma.github.io/Logging_2283/artfynd/A 44407-2025 artfynd.xlsx", "A 44407-2025")</f>
        <v/>
      </c>
      <c r="T167">
        <f>HYPERLINK("https://klasma.github.io/Logging_2283/kartor/A 44407-2025 karta.png", "A 44407-2025")</f>
        <v/>
      </c>
      <c r="V167">
        <f>HYPERLINK("https://klasma.github.io/Logging_2283/klagomål/A 44407-2025 FSC-klagomål.docx", "A 44407-2025")</f>
        <v/>
      </c>
      <c r="W167">
        <f>HYPERLINK("https://klasma.github.io/Logging_2283/klagomålsmail/A 44407-2025 FSC-klagomål mail.docx", "A 44407-2025")</f>
        <v/>
      </c>
      <c r="X167">
        <f>HYPERLINK("https://klasma.github.io/Logging_2283/tillsyn/A 44407-2025 tillsynsbegäran.docx", "A 44407-2025")</f>
        <v/>
      </c>
      <c r="Y167">
        <f>HYPERLINK("https://klasma.github.io/Logging_2283/tillsynsmail/A 44407-2025 tillsynsbegäran mail.docx", "A 44407-2025")</f>
        <v/>
      </c>
    </row>
    <row r="168" ht="15" customHeight="1">
      <c r="A168" t="inlineStr">
        <is>
          <t>A 23319-2025</t>
        </is>
      </c>
      <c r="B168" s="1" t="n">
        <v>45791.61511574074</v>
      </c>
      <c r="C168" s="1" t="n">
        <v>45998</v>
      </c>
      <c r="D168" t="inlineStr">
        <is>
          <t>VÄSTERNORRLANDS LÄN</t>
        </is>
      </c>
      <c r="E168" t="inlineStr">
        <is>
          <t>SOLLEFTEÅ</t>
        </is>
      </c>
      <c r="F168" t="inlineStr">
        <is>
          <t>SCA</t>
        </is>
      </c>
      <c r="G168" t="n">
        <v>5.3</v>
      </c>
      <c r="H168" t="n">
        <v>2</v>
      </c>
      <c r="I168" t="n">
        <v>3</v>
      </c>
      <c r="J168" t="n">
        <v>1</v>
      </c>
      <c r="K168" t="n">
        <v>0</v>
      </c>
      <c r="L168" t="n">
        <v>0</v>
      </c>
      <c r="M168" t="n">
        <v>0</v>
      </c>
      <c r="N168" t="n">
        <v>0</v>
      </c>
      <c r="O168" t="n">
        <v>1</v>
      </c>
      <c r="P168" t="n">
        <v>0</v>
      </c>
      <c r="Q168" t="n">
        <v>5</v>
      </c>
      <c r="R168" s="2" t="inlineStr">
        <is>
          <t>Lunglav
Plattlummer
Skinnlav
Stor aspticka
Revlummer</t>
        </is>
      </c>
      <c r="S168">
        <f>HYPERLINK("https://klasma.github.io/Logging_2283/artfynd/A 23319-2025 artfynd.xlsx", "A 23319-2025")</f>
        <v/>
      </c>
      <c r="T168">
        <f>HYPERLINK("https://klasma.github.io/Logging_2283/kartor/A 23319-2025 karta.png", "A 23319-2025")</f>
        <v/>
      </c>
      <c r="V168">
        <f>HYPERLINK("https://klasma.github.io/Logging_2283/klagomål/A 23319-2025 FSC-klagomål.docx", "A 23319-2025")</f>
        <v/>
      </c>
      <c r="W168">
        <f>HYPERLINK("https://klasma.github.io/Logging_2283/klagomålsmail/A 23319-2025 FSC-klagomål mail.docx", "A 23319-2025")</f>
        <v/>
      </c>
      <c r="X168">
        <f>HYPERLINK("https://klasma.github.io/Logging_2283/tillsyn/A 23319-2025 tillsynsbegäran.docx", "A 23319-2025")</f>
        <v/>
      </c>
      <c r="Y168">
        <f>HYPERLINK("https://klasma.github.io/Logging_2283/tillsynsmail/A 23319-2025 tillsynsbegäran mail.docx", "A 23319-2025")</f>
        <v/>
      </c>
    </row>
    <row r="169" ht="15" customHeight="1">
      <c r="A169" t="inlineStr">
        <is>
          <t>A 44797-2025</t>
        </is>
      </c>
      <c r="B169" s="1" t="n">
        <v>45918.34486111111</v>
      </c>
      <c r="C169" s="1" t="n">
        <v>45998</v>
      </c>
      <c r="D169" t="inlineStr">
        <is>
          <t>VÄSTERNORRLANDS LÄN</t>
        </is>
      </c>
      <c r="E169" t="inlineStr">
        <is>
          <t>SOLLEFTEÅ</t>
        </is>
      </c>
      <c r="F169" t="inlineStr">
        <is>
          <t>SCA</t>
        </is>
      </c>
      <c r="G169" t="n">
        <v>2.4</v>
      </c>
      <c r="H169" t="n">
        <v>0</v>
      </c>
      <c r="I169" t="n">
        <v>1</v>
      </c>
      <c r="J169" t="n">
        <v>3</v>
      </c>
      <c r="K169" t="n">
        <v>1</v>
      </c>
      <c r="L169" t="n">
        <v>0</v>
      </c>
      <c r="M169" t="n">
        <v>0</v>
      </c>
      <c r="N169" t="n">
        <v>0</v>
      </c>
      <c r="O169" t="n">
        <v>4</v>
      </c>
      <c r="P169" t="n">
        <v>1</v>
      </c>
      <c r="Q169" t="n">
        <v>5</v>
      </c>
      <c r="R169" s="2" t="inlineStr">
        <is>
          <t>Goliatmusseron
Dvärgbägarlav
Orange taggsvamp
Skrovlig taggsvamp
Skarp dropptaggsvamp</t>
        </is>
      </c>
      <c r="S169">
        <f>HYPERLINK("https://klasma.github.io/Logging_2283/artfynd/A 44797-2025 artfynd.xlsx", "A 44797-2025")</f>
        <v/>
      </c>
      <c r="T169">
        <f>HYPERLINK("https://klasma.github.io/Logging_2283/kartor/A 44797-2025 karta.png", "A 44797-2025")</f>
        <v/>
      </c>
      <c r="V169">
        <f>HYPERLINK("https://klasma.github.io/Logging_2283/klagomål/A 44797-2025 FSC-klagomål.docx", "A 44797-2025")</f>
        <v/>
      </c>
      <c r="W169">
        <f>HYPERLINK("https://klasma.github.io/Logging_2283/klagomålsmail/A 44797-2025 FSC-klagomål mail.docx", "A 44797-2025")</f>
        <v/>
      </c>
      <c r="X169">
        <f>HYPERLINK("https://klasma.github.io/Logging_2283/tillsyn/A 44797-2025 tillsynsbegäran.docx", "A 44797-2025")</f>
        <v/>
      </c>
      <c r="Y169">
        <f>HYPERLINK("https://klasma.github.io/Logging_2283/tillsynsmail/A 44797-2025 tillsynsbegäran mail.docx", "A 44797-2025")</f>
        <v/>
      </c>
    </row>
    <row r="170" ht="15" customHeight="1">
      <c r="A170" t="inlineStr">
        <is>
          <t>A 58362-2025</t>
        </is>
      </c>
      <c r="B170" s="1" t="n">
        <v>45982</v>
      </c>
      <c r="C170" s="1" t="n">
        <v>45998</v>
      </c>
      <c r="D170" t="inlineStr">
        <is>
          <t>VÄSTERNORRLANDS LÄN</t>
        </is>
      </c>
      <c r="E170" t="inlineStr">
        <is>
          <t>SOLLEFTEÅ</t>
        </is>
      </c>
      <c r="G170" t="n">
        <v>11.3</v>
      </c>
      <c r="H170" t="n">
        <v>2</v>
      </c>
      <c r="I170" t="n">
        <v>3</v>
      </c>
      <c r="J170" t="n">
        <v>1</v>
      </c>
      <c r="K170" t="n">
        <v>0</v>
      </c>
      <c r="L170" t="n">
        <v>0</v>
      </c>
      <c r="M170" t="n">
        <v>0</v>
      </c>
      <c r="N170" t="n">
        <v>0</v>
      </c>
      <c r="O170" t="n">
        <v>1</v>
      </c>
      <c r="P170" t="n">
        <v>0</v>
      </c>
      <c r="Q170" t="n">
        <v>5</v>
      </c>
      <c r="R170" s="2" t="inlineStr">
        <is>
          <t>Lunglav
Bårdlav
Spindelblomster
Stuplav
Fläcknycklar</t>
        </is>
      </c>
      <c r="S170">
        <f>HYPERLINK("https://klasma.github.io/Logging_2283/artfynd/A 58362-2025 artfynd.xlsx", "A 58362-2025")</f>
        <v/>
      </c>
      <c r="T170">
        <f>HYPERLINK("https://klasma.github.io/Logging_2283/kartor/A 58362-2025 karta.png", "A 58362-2025")</f>
        <v/>
      </c>
      <c r="V170">
        <f>HYPERLINK("https://klasma.github.io/Logging_2283/klagomål/A 58362-2025 FSC-klagomål.docx", "A 58362-2025")</f>
        <v/>
      </c>
      <c r="W170">
        <f>HYPERLINK("https://klasma.github.io/Logging_2283/klagomålsmail/A 58362-2025 FSC-klagomål mail.docx", "A 58362-2025")</f>
        <v/>
      </c>
      <c r="X170">
        <f>HYPERLINK("https://klasma.github.io/Logging_2283/tillsyn/A 58362-2025 tillsynsbegäran.docx", "A 58362-2025")</f>
        <v/>
      </c>
      <c r="Y170">
        <f>HYPERLINK("https://klasma.github.io/Logging_2283/tillsynsmail/A 58362-2025 tillsynsbegäran mail.docx", "A 58362-2025")</f>
        <v/>
      </c>
    </row>
    <row r="171" ht="15" customHeight="1">
      <c r="A171" t="inlineStr">
        <is>
          <t>A 29249-2024</t>
        </is>
      </c>
      <c r="B171" s="1" t="n">
        <v>45482</v>
      </c>
      <c r="C171" s="1" t="n">
        <v>45998</v>
      </c>
      <c r="D171" t="inlineStr">
        <is>
          <t>VÄSTERNORRLANDS LÄN</t>
        </is>
      </c>
      <c r="E171" t="inlineStr">
        <is>
          <t>SOLLEFTEÅ</t>
        </is>
      </c>
      <c r="F171" t="inlineStr">
        <is>
          <t>SCA</t>
        </is>
      </c>
      <c r="G171" t="n">
        <v>7.3</v>
      </c>
      <c r="H171" t="n">
        <v>3</v>
      </c>
      <c r="I171" t="n">
        <v>1</v>
      </c>
      <c r="J171" t="n">
        <v>3</v>
      </c>
      <c r="K171" t="n">
        <v>1</v>
      </c>
      <c r="L171" t="n">
        <v>0</v>
      </c>
      <c r="M171" t="n">
        <v>0</v>
      </c>
      <c r="N171" t="n">
        <v>0</v>
      </c>
      <c r="O171" t="n">
        <v>4</v>
      </c>
      <c r="P171" t="n">
        <v>1</v>
      </c>
      <c r="Q171" t="n">
        <v>5</v>
      </c>
      <c r="R171" s="2" t="inlineStr">
        <is>
          <t>Knärot
Harticka
Talltita
Tretåig hackspett
Stuplav</t>
        </is>
      </c>
      <c r="S171">
        <f>HYPERLINK("https://klasma.github.io/Logging_2283/artfynd/A 29249-2024 artfynd.xlsx", "A 29249-2024")</f>
        <v/>
      </c>
      <c r="T171">
        <f>HYPERLINK("https://klasma.github.io/Logging_2283/kartor/A 29249-2024 karta.png", "A 29249-2024")</f>
        <v/>
      </c>
      <c r="U171">
        <f>HYPERLINK("https://klasma.github.io/Logging_2283/knärot/A 29249-2024 karta knärot.png", "A 29249-2024")</f>
        <v/>
      </c>
      <c r="V171">
        <f>HYPERLINK("https://klasma.github.io/Logging_2283/klagomål/A 29249-2024 FSC-klagomål.docx", "A 29249-2024")</f>
        <v/>
      </c>
      <c r="W171">
        <f>HYPERLINK("https://klasma.github.io/Logging_2283/klagomålsmail/A 29249-2024 FSC-klagomål mail.docx", "A 29249-2024")</f>
        <v/>
      </c>
      <c r="X171">
        <f>HYPERLINK("https://klasma.github.io/Logging_2283/tillsyn/A 29249-2024 tillsynsbegäran.docx", "A 29249-2024")</f>
        <v/>
      </c>
      <c r="Y171">
        <f>HYPERLINK("https://klasma.github.io/Logging_2283/tillsynsmail/A 29249-2024 tillsynsbegäran mail.docx", "A 29249-2024")</f>
        <v/>
      </c>
      <c r="Z171">
        <f>HYPERLINK("https://klasma.github.io/Logging_2283/fåglar/A 29249-2024 prioriterade fågelarter.docx", "A 29249-2024")</f>
        <v/>
      </c>
    </row>
    <row r="172" ht="15" customHeight="1">
      <c r="A172" t="inlineStr">
        <is>
          <t>A 56420-2025</t>
        </is>
      </c>
      <c r="B172" s="1" t="n">
        <v>45975.34476851852</v>
      </c>
      <c r="C172" s="1" t="n">
        <v>45998</v>
      </c>
      <c r="D172" t="inlineStr">
        <is>
          <t>VÄSTERNORRLANDS LÄN</t>
        </is>
      </c>
      <c r="E172" t="inlineStr">
        <is>
          <t>SOLLEFTEÅ</t>
        </is>
      </c>
      <c r="F172" t="inlineStr">
        <is>
          <t>SCA</t>
        </is>
      </c>
      <c r="G172" t="n">
        <v>3.7</v>
      </c>
      <c r="H172" t="n">
        <v>1</v>
      </c>
      <c r="I172" t="n">
        <v>1</v>
      </c>
      <c r="J172" t="n">
        <v>4</v>
      </c>
      <c r="K172" t="n">
        <v>0</v>
      </c>
      <c r="L172" t="n">
        <v>0</v>
      </c>
      <c r="M172" t="n">
        <v>0</v>
      </c>
      <c r="N172" t="n">
        <v>0</v>
      </c>
      <c r="O172" t="n">
        <v>4</v>
      </c>
      <c r="P172" t="n">
        <v>0</v>
      </c>
      <c r="Q172" t="n">
        <v>5</v>
      </c>
      <c r="R172" s="2" t="inlineStr">
        <is>
          <t>Garnlav
Kolflarnlav
Tretåig hackspett
Vedskivlav
Dropptaggsvamp</t>
        </is>
      </c>
      <c r="S172">
        <f>HYPERLINK("https://klasma.github.io/Logging_2283/artfynd/A 56420-2025 artfynd.xlsx", "A 56420-2025")</f>
        <v/>
      </c>
      <c r="T172">
        <f>HYPERLINK("https://klasma.github.io/Logging_2283/kartor/A 56420-2025 karta.png", "A 56420-2025")</f>
        <v/>
      </c>
      <c r="V172">
        <f>HYPERLINK("https://klasma.github.io/Logging_2283/klagomål/A 56420-2025 FSC-klagomål.docx", "A 56420-2025")</f>
        <v/>
      </c>
      <c r="W172">
        <f>HYPERLINK("https://klasma.github.io/Logging_2283/klagomålsmail/A 56420-2025 FSC-klagomål mail.docx", "A 56420-2025")</f>
        <v/>
      </c>
      <c r="X172">
        <f>HYPERLINK("https://klasma.github.io/Logging_2283/tillsyn/A 56420-2025 tillsynsbegäran.docx", "A 56420-2025")</f>
        <v/>
      </c>
      <c r="Y172">
        <f>HYPERLINK("https://klasma.github.io/Logging_2283/tillsynsmail/A 56420-2025 tillsynsbegäran mail.docx", "A 56420-2025")</f>
        <v/>
      </c>
      <c r="Z172">
        <f>HYPERLINK("https://klasma.github.io/Logging_2283/fåglar/A 56420-2025 prioriterade fågelarter.docx", "A 56420-2025")</f>
        <v/>
      </c>
    </row>
    <row r="173" ht="15" customHeight="1">
      <c r="A173" t="inlineStr">
        <is>
          <t>A 51341-2025</t>
        </is>
      </c>
      <c r="B173" s="1" t="n">
        <v>45950.42761574074</v>
      </c>
      <c r="C173" s="1" t="n">
        <v>45998</v>
      </c>
      <c r="D173" t="inlineStr">
        <is>
          <t>VÄSTERNORRLANDS LÄN</t>
        </is>
      </c>
      <c r="E173" t="inlineStr">
        <is>
          <t>SOLLEFTEÅ</t>
        </is>
      </c>
      <c r="F173" t="inlineStr">
        <is>
          <t>SCA</t>
        </is>
      </c>
      <c r="G173" t="n">
        <v>5.3</v>
      </c>
      <c r="H173" t="n">
        <v>0</v>
      </c>
      <c r="I173" t="n">
        <v>2</v>
      </c>
      <c r="J173" t="n">
        <v>3</v>
      </c>
      <c r="K173" t="n">
        <v>0</v>
      </c>
      <c r="L173" t="n">
        <v>0</v>
      </c>
      <c r="M173" t="n">
        <v>0</v>
      </c>
      <c r="N173" t="n">
        <v>0</v>
      </c>
      <c r="O173" t="n">
        <v>3</v>
      </c>
      <c r="P173" t="n">
        <v>0</v>
      </c>
      <c r="Q173" t="n">
        <v>5</v>
      </c>
      <c r="R173" s="2" t="inlineStr">
        <is>
          <t>Garnlav
Mörk kolflarnlav
Rosenticka
Dropptaggsvamp
Vedticka</t>
        </is>
      </c>
      <c r="S173">
        <f>HYPERLINK("https://klasma.github.io/Logging_2283/artfynd/A 51341-2025 artfynd.xlsx", "A 51341-2025")</f>
        <v/>
      </c>
      <c r="T173">
        <f>HYPERLINK("https://klasma.github.io/Logging_2283/kartor/A 51341-2025 karta.png", "A 51341-2025")</f>
        <v/>
      </c>
      <c r="V173">
        <f>HYPERLINK("https://klasma.github.io/Logging_2283/klagomål/A 51341-2025 FSC-klagomål.docx", "A 51341-2025")</f>
        <v/>
      </c>
      <c r="W173">
        <f>HYPERLINK("https://klasma.github.io/Logging_2283/klagomålsmail/A 51341-2025 FSC-klagomål mail.docx", "A 51341-2025")</f>
        <v/>
      </c>
      <c r="X173">
        <f>HYPERLINK("https://klasma.github.io/Logging_2283/tillsyn/A 51341-2025 tillsynsbegäran.docx", "A 51341-2025")</f>
        <v/>
      </c>
      <c r="Y173">
        <f>HYPERLINK("https://klasma.github.io/Logging_2283/tillsynsmail/A 51341-2025 tillsynsbegäran mail.docx", "A 51341-2025")</f>
        <v/>
      </c>
    </row>
    <row r="174" ht="15" customHeight="1">
      <c r="A174" t="inlineStr">
        <is>
          <t>A 33519-2024</t>
        </is>
      </c>
      <c r="B174" s="1" t="n">
        <v>45519</v>
      </c>
      <c r="C174" s="1" t="n">
        <v>45998</v>
      </c>
      <c r="D174" t="inlineStr">
        <is>
          <t>VÄSTERNORRLANDS LÄN</t>
        </is>
      </c>
      <c r="E174" t="inlineStr">
        <is>
          <t>SOLLEFTEÅ</t>
        </is>
      </c>
      <c r="G174" t="n">
        <v>3.6</v>
      </c>
      <c r="H174" t="n">
        <v>0</v>
      </c>
      <c r="I174" t="n">
        <v>1</v>
      </c>
      <c r="J174" t="n">
        <v>4</v>
      </c>
      <c r="K174" t="n">
        <v>0</v>
      </c>
      <c r="L174" t="n">
        <v>0</v>
      </c>
      <c r="M174" t="n">
        <v>0</v>
      </c>
      <c r="N174" t="n">
        <v>0</v>
      </c>
      <c r="O174" t="n">
        <v>4</v>
      </c>
      <c r="P174" t="n">
        <v>0</v>
      </c>
      <c r="Q174" t="n">
        <v>5</v>
      </c>
      <c r="R174" s="2" t="inlineStr">
        <is>
          <t>Garnlav
Kolflarnlav
Skrovlig taggsvamp
Vaddporing
Dropptaggsvamp</t>
        </is>
      </c>
      <c r="S174">
        <f>HYPERLINK("https://klasma.github.io/Logging_2283/artfynd/A 33519-2024 artfynd.xlsx", "A 33519-2024")</f>
        <v/>
      </c>
      <c r="T174">
        <f>HYPERLINK("https://klasma.github.io/Logging_2283/kartor/A 33519-2024 karta.png", "A 33519-2024")</f>
        <v/>
      </c>
      <c r="U174">
        <f>HYPERLINK("https://klasma.github.io/Logging_2283/knärot/A 33519-2024 karta knärot.png", "A 33519-2024")</f>
        <v/>
      </c>
      <c r="V174">
        <f>HYPERLINK("https://klasma.github.io/Logging_2283/klagomål/A 33519-2024 FSC-klagomål.docx", "A 33519-2024")</f>
        <v/>
      </c>
      <c r="W174">
        <f>HYPERLINK("https://klasma.github.io/Logging_2283/klagomålsmail/A 33519-2024 FSC-klagomål mail.docx", "A 33519-2024")</f>
        <v/>
      </c>
      <c r="X174">
        <f>HYPERLINK("https://klasma.github.io/Logging_2283/tillsyn/A 33519-2024 tillsynsbegäran.docx", "A 33519-2024")</f>
        <v/>
      </c>
      <c r="Y174">
        <f>HYPERLINK("https://klasma.github.io/Logging_2283/tillsynsmail/A 33519-2024 tillsynsbegäran mail.docx", "A 33519-2024")</f>
        <v/>
      </c>
    </row>
    <row r="175" ht="15" customHeight="1">
      <c r="A175" t="inlineStr">
        <is>
          <t>A 4552-2022</t>
        </is>
      </c>
      <c r="B175" s="1" t="n">
        <v>44590</v>
      </c>
      <c r="C175" s="1" t="n">
        <v>45998</v>
      </c>
      <c r="D175" t="inlineStr">
        <is>
          <t>VÄSTERNORRLANDS LÄN</t>
        </is>
      </c>
      <c r="E175" t="inlineStr">
        <is>
          <t>SOLLEFTEÅ</t>
        </is>
      </c>
      <c r="F175" t="inlineStr">
        <is>
          <t>SCA</t>
        </is>
      </c>
      <c r="G175" t="n">
        <v>4.4</v>
      </c>
      <c r="H175" t="n">
        <v>0</v>
      </c>
      <c r="I175" t="n">
        <v>1</v>
      </c>
      <c r="J175" t="n">
        <v>4</v>
      </c>
      <c r="K175" t="n">
        <v>0</v>
      </c>
      <c r="L175" t="n">
        <v>0</v>
      </c>
      <c r="M175" t="n">
        <v>0</v>
      </c>
      <c r="N175" t="n">
        <v>0</v>
      </c>
      <c r="O175" t="n">
        <v>4</v>
      </c>
      <c r="P175" t="n">
        <v>0</v>
      </c>
      <c r="Q175" t="n">
        <v>5</v>
      </c>
      <c r="R175" s="2" t="inlineStr">
        <is>
          <t>Gammelgransskål
Garnlav
Skrovlig taggsvamp
Vedskivlav
Skarp dropptaggsvamp</t>
        </is>
      </c>
      <c r="S175">
        <f>HYPERLINK("https://klasma.github.io/Logging_2283/artfynd/A 4552-2022 artfynd.xlsx", "A 4552-2022")</f>
        <v/>
      </c>
      <c r="T175">
        <f>HYPERLINK("https://klasma.github.io/Logging_2283/kartor/A 4552-2022 karta.png", "A 4552-2022")</f>
        <v/>
      </c>
      <c r="V175">
        <f>HYPERLINK("https://klasma.github.io/Logging_2283/klagomål/A 4552-2022 FSC-klagomål.docx", "A 4552-2022")</f>
        <v/>
      </c>
      <c r="W175">
        <f>HYPERLINK("https://klasma.github.io/Logging_2283/klagomålsmail/A 4552-2022 FSC-klagomål mail.docx", "A 4552-2022")</f>
        <v/>
      </c>
      <c r="X175">
        <f>HYPERLINK("https://klasma.github.io/Logging_2283/tillsyn/A 4552-2022 tillsynsbegäran.docx", "A 4552-2022")</f>
        <v/>
      </c>
      <c r="Y175">
        <f>HYPERLINK("https://klasma.github.io/Logging_2283/tillsynsmail/A 4552-2022 tillsynsbegäran mail.docx", "A 4552-2022")</f>
        <v/>
      </c>
    </row>
    <row r="176" ht="15" customHeight="1">
      <c r="A176" t="inlineStr">
        <is>
          <t>A 32216-2023</t>
        </is>
      </c>
      <c r="B176" s="1" t="n">
        <v>45119</v>
      </c>
      <c r="C176" s="1" t="n">
        <v>45998</v>
      </c>
      <c r="D176" t="inlineStr">
        <is>
          <t>VÄSTERNORRLANDS LÄN</t>
        </is>
      </c>
      <c r="E176" t="inlineStr">
        <is>
          <t>SOLLEFTEÅ</t>
        </is>
      </c>
      <c r="F176" t="inlineStr">
        <is>
          <t>SCA</t>
        </is>
      </c>
      <c r="G176" t="n">
        <v>2.2</v>
      </c>
      <c r="H176" t="n">
        <v>1</v>
      </c>
      <c r="I176" t="n">
        <v>0</v>
      </c>
      <c r="J176" t="n">
        <v>4</v>
      </c>
      <c r="K176" t="n">
        <v>1</v>
      </c>
      <c r="L176" t="n">
        <v>0</v>
      </c>
      <c r="M176" t="n">
        <v>0</v>
      </c>
      <c r="N176" t="n">
        <v>0</v>
      </c>
      <c r="O176" t="n">
        <v>5</v>
      </c>
      <c r="P176" t="n">
        <v>1</v>
      </c>
      <c r="Q176" t="n">
        <v>5</v>
      </c>
      <c r="R176" s="2" t="inlineStr">
        <is>
          <t>Rynkskinn
Lunglav
Rosenticka
Tretåig hackspett
Ullticka</t>
        </is>
      </c>
      <c r="S176">
        <f>HYPERLINK("https://klasma.github.io/Logging_2283/artfynd/A 32216-2023 artfynd.xlsx", "A 32216-2023")</f>
        <v/>
      </c>
      <c r="T176">
        <f>HYPERLINK("https://klasma.github.io/Logging_2283/kartor/A 32216-2023 karta.png", "A 32216-2023")</f>
        <v/>
      </c>
      <c r="V176">
        <f>HYPERLINK("https://klasma.github.io/Logging_2283/klagomål/A 32216-2023 FSC-klagomål.docx", "A 32216-2023")</f>
        <v/>
      </c>
      <c r="W176">
        <f>HYPERLINK("https://klasma.github.io/Logging_2283/klagomålsmail/A 32216-2023 FSC-klagomål mail.docx", "A 32216-2023")</f>
        <v/>
      </c>
      <c r="X176">
        <f>HYPERLINK("https://klasma.github.io/Logging_2283/tillsyn/A 32216-2023 tillsynsbegäran.docx", "A 32216-2023")</f>
        <v/>
      </c>
      <c r="Y176">
        <f>HYPERLINK("https://klasma.github.io/Logging_2283/tillsynsmail/A 32216-2023 tillsynsbegäran mail.docx", "A 32216-2023")</f>
        <v/>
      </c>
      <c r="Z176">
        <f>HYPERLINK("https://klasma.github.io/Logging_2283/fåglar/A 32216-2023 prioriterade fågelarter.docx", "A 32216-2023")</f>
        <v/>
      </c>
    </row>
    <row r="177" ht="15" customHeight="1">
      <c r="A177" t="inlineStr">
        <is>
          <t>A 3795-2022</t>
        </is>
      </c>
      <c r="B177" s="1" t="n">
        <v>44586</v>
      </c>
      <c r="C177" s="1" t="n">
        <v>45998</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45998</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19898-2025</t>
        </is>
      </c>
      <c r="B179" s="1" t="n">
        <v>45771.58626157408</v>
      </c>
      <c r="C179" s="1" t="n">
        <v>45998</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50839-2023</t>
        </is>
      </c>
      <c r="B180" s="1" t="n">
        <v>45217</v>
      </c>
      <c r="C180" s="1" t="n">
        <v>45998</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53130-2022</t>
        </is>
      </c>
      <c r="B181" s="1" t="n">
        <v>44873</v>
      </c>
      <c r="C181" s="1" t="n">
        <v>45998</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45998</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45998</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62632-2022</t>
        </is>
      </c>
      <c r="B184" s="1" t="n">
        <v>44925</v>
      </c>
      <c r="C184" s="1" t="n">
        <v>45998</v>
      </c>
      <c r="D184" t="inlineStr">
        <is>
          <t>VÄSTERNORRLANDS LÄN</t>
        </is>
      </c>
      <c r="E184" t="inlineStr">
        <is>
          <t>SOLLEFTEÅ</t>
        </is>
      </c>
      <c r="F184" t="inlineStr">
        <is>
          <t>Holmen skog AB</t>
        </is>
      </c>
      <c r="G184" t="n">
        <v>4.4</v>
      </c>
      <c r="H184" t="n">
        <v>1</v>
      </c>
      <c r="I184" t="n">
        <v>1</v>
      </c>
      <c r="J184" t="n">
        <v>2</v>
      </c>
      <c r="K184" t="n">
        <v>1</v>
      </c>
      <c r="L184" t="n">
        <v>0</v>
      </c>
      <c r="M184" t="n">
        <v>0</v>
      </c>
      <c r="N184" t="n">
        <v>0</v>
      </c>
      <c r="O184" t="n">
        <v>3</v>
      </c>
      <c r="P184" t="n">
        <v>1</v>
      </c>
      <c r="Q184" t="n">
        <v>4</v>
      </c>
      <c r="R184" s="2" t="inlineStr">
        <is>
          <t>Bitter taggsvamp
Blå taggsvamp
Orange taggsvamp
Plattlummer</t>
        </is>
      </c>
      <c r="S184">
        <f>HYPERLINK("https://klasma.github.io/Logging_2283/artfynd/A 62632-2022 artfynd.xlsx", "A 62632-2022")</f>
        <v/>
      </c>
      <c r="T184">
        <f>HYPERLINK("https://klasma.github.io/Logging_2283/kartor/A 62632-2022 karta.png", "A 62632-2022")</f>
        <v/>
      </c>
      <c r="V184">
        <f>HYPERLINK("https://klasma.github.io/Logging_2283/klagomål/A 62632-2022 FSC-klagomål.docx", "A 62632-2022")</f>
        <v/>
      </c>
      <c r="W184">
        <f>HYPERLINK("https://klasma.github.io/Logging_2283/klagomålsmail/A 62632-2022 FSC-klagomål mail.docx", "A 62632-2022")</f>
        <v/>
      </c>
      <c r="X184">
        <f>HYPERLINK("https://klasma.github.io/Logging_2283/tillsyn/A 62632-2022 tillsynsbegäran.docx", "A 62632-2022")</f>
        <v/>
      </c>
      <c r="Y184">
        <f>HYPERLINK("https://klasma.github.io/Logging_2283/tillsynsmail/A 62632-2022 tillsynsbegäran mail.docx", "A 62632-2022")</f>
        <v/>
      </c>
    </row>
    <row r="185" ht="15" customHeight="1">
      <c r="A185" t="inlineStr">
        <is>
          <t>A 26467-2024</t>
        </is>
      </c>
      <c r="B185" s="1" t="n">
        <v>45469</v>
      </c>
      <c r="C185" s="1" t="n">
        <v>45998</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32218-2023</t>
        </is>
      </c>
      <c r="B186" s="1" t="n">
        <v>45119</v>
      </c>
      <c r="C186" s="1" t="n">
        <v>45998</v>
      </c>
      <c r="D186" t="inlineStr">
        <is>
          <t>VÄSTERNORRLANDS LÄN</t>
        </is>
      </c>
      <c r="E186" t="inlineStr">
        <is>
          <t>SOLLEFTEÅ</t>
        </is>
      </c>
      <c r="F186" t="inlineStr">
        <is>
          <t>SCA</t>
        </is>
      </c>
      <c r="G186" t="n">
        <v>2.1</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32218-2023 artfynd.xlsx", "A 32218-2023")</f>
        <v/>
      </c>
      <c r="T186">
        <f>HYPERLINK("https://klasma.github.io/Logging_2283/kartor/A 32218-2023 karta.png", "A 32218-2023")</f>
        <v/>
      </c>
      <c r="V186">
        <f>HYPERLINK("https://klasma.github.io/Logging_2283/klagomål/A 32218-2023 FSC-klagomål.docx", "A 32218-2023")</f>
        <v/>
      </c>
      <c r="W186">
        <f>HYPERLINK("https://klasma.github.io/Logging_2283/klagomålsmail/A 32218-2023 FSC-klagomål mail.docx", "A 32218-2023")</f>
        <v/>
      </c>
      <c r="X186">
        <f>HYPERLINK("https://klasma.github.io/Logging_2283/tillsyn/A 32218-2023 tillsynsbegäran.docx", "A 32218-2023")</f>
        <v/>
      </c>
      <c r="Y186">
        <f>HYPERLINK("https://klasma.github.io/Logging_2283/tillsynsmail/A 32218-2023 tillsynsbegäran mail.docx", "A 32218-2023")</f>
        <v/>
      </c>
      <c r="Z186">
        <f>HYPERLINK("https://klasma.github.io/Logging_2283/fåglar/A 32218-2023 prioriterade fågelarter.docx", "A 32218-2023")</f>
        <v/>
      </c>
    </row>
    <row r="187" ht="15" customHeight="1">
      <c r="A187" t="inlineStr">
        <is>
          <t>A 2349-2025</t>
        </is>
      </c>
      <c r="B187" s="1" t="n">
        <v>45673.67807870371</v>
      </c>
      <c r="C187" s="1" t="n">
        <v>45998</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53898-2024</t>
        </is>
      </c>
      <c r="B188" s="1" t="n">
        <v>45615.69824074074</v>
      </c>
      <c r="C188" s="1" t="n">
        <v>45998</v>
      </c>
      <c r="D188" t="inlineStr">
        <is>
          <t>VÄSTERNORRLANDS LÄN</t>
        </is>
      </c>
      <c r="E188" t="inlineStr">
        <is>
          <t>SOLLEFTEÅ</t>
        </is>
      </c>
      <c r="F188" t="inlineStr">
        <is>
          <t>SCA</t>
        </is>
      </c>
      <c r="G188" t="n">
        <v>2</v>
      </c>
      <c r="H188" t="n">
        <v>0</v>
      </c>
      <c r="I188" t="n">
        <v>2</v>
      </c>
      <c r="J188" t="n">
        <v>2</v>
      </c>
      <c r="K188" t="n">
        <v>0</v>
      </c>
      <c r="L188" t="n">
        <v>0</v>
      </c>
      <c r="M188" t="n">
        <v>0</v>
      </c>
      <c r="N188" t="n">
        <v>0</v>
      </c>
      <c r="O188" t="n">
        <v>2</v>
      </c>
      <c r="P188" t="n">
        <v>0</v>
      </c>
      <c r="Q188" t="n">
        <v>4</v>
      </c>
      <c r="R188" s="2" t="inlineStr">
        <is>
          <t>Garnlav
Lunglav
Norrlandslav
Stuplav</t>
        </is>
      </c>
      <c r="S188">
        <f>HYPERLINK("https://klasma.github.io/Logging_2283/artfynd/A 53898-2024 artfynd.xlsx", "A 53898-2024")</f>
        <v/>
      </c>
      <c r="T188">
        <f>HYPERLINK("https://klasma.github.io/Logging_2283/kartor/A 53898-2024 karta.png", "A 53898-2024")</f>
        <v/>
      </c>
      <c r="V188">
        <f>HYPERLINK("https://klasma.github.io/Logging_2283/klagomål/A 53898-2024 FSC-klagomål.docx", "A 53898-2024")</f>
        <v/>
      </c>
      <c r="W188">
        <f>HYPERLINK("https://klasma.github.io/Logging_2283/klagomålsmail/A 53898-2024 FSC-klagomål mail.docx", "A 53898-2024")</f>
        <v/>
      </c>
      <c r="X188">
        <f>HYPERLINK("https://klasma.github.io/Logging_2283/tillsyn/A 53898-2024 tillsynsbegäran.docx", "A 53898-2024")</f>
        <v/>
      </c>
      <c r="Y188">
        <f>HYPERLINK("https://klasma.github.io/Logging_2283/tillsynsmail/A 53898-2024 tillsynsbegäran mail.docx", "A 53898-2024")</f>
        <v/>
      </c>
    </row>
    <row r="189" ht="15" customHeight="1">
      <c r="A189" t="inlineStr">
        <is>
          <t>A 20933-2025</t>
        </is>
      </c>
      <c r="B189" s="1" t="n">
        <v>45777.42752314815</v>
      </c>
      <c r="C189" s="1" t="n">
        <v>45998</v>
      </c>
      <c r="D189" t="inlineStr">
        <is>
          <t>VÄSTERNORRLANDS LÄN</t>
        </is>
      </c>
      <c r="E189" t="inlineStr">
        <is>
          <t>SOLLEFTEÅ</t>
        </is>
      </c>
      <c r="F189" t="inlineStr">
        <is>
          <t>SCA</t>
        </is>
      </c>
      <c r="G189" t="n">
        <v>5.9</v>
      </c>
      <c r="H189" t="n">
        <v>0</v>
      </c>
      <c r="I189" t="n">
        <v>1</v>
      </c>
      <c r="J189" t="n">
        <v>3</v>
      </c>
      <c r="K189" t="n">
        <v>0</v>
      </c>
      <c r="L189" t="n">
        <v>0</v>
      </c>
      <c r="M189" t="n">
        <v>0</v>
      </c>
      <c r="N189" t="n">
        <v>0</v>
      </c>
      <c r="O189" t="n">
        <v>3</v>
      </c>
      <c r="P189" t="n">
        <v>0</v>
      </c>
      <c r="Q189" t="n">
        <v>4</v>
      </c>
      <c r="R189" s="2" t="inlineStr">
        <is>
          <t>Orange taggsvamp
Skrovlig taggsvamp
Vitgrynig nållav
Dropptaggsvamp</t>
        </is>
      </c>
      <c r="S189">
        <f>HYPERLINK("https://klasma.github.io/Logging_2283/artfynd/A 20933-2025 artfynd.xlsx", "A 20933-2025")</f>
        <v/>
      </c>
      <c r="T189">
        <f>HYPERLINK("https://klasma.github.io/Logging_2283/kartor/A 20933-2025 karta.png", "A 20933-2025")</f>
        <v/>
      </c>
      <c r="V189">
        <f>HYPERLINK("https://klasma.github.io/Logging_2283/klagomål/A 20933-2025 FSC-klagomål.docx", "A 20933-2025")</f>
        <v/>
      </c>
      <c r="W189">
        <f>HYPERLINK("https://klasma.github.io/Logging_2283/klagomålsmail/A 20933-2025 FSC-klagomål mail.docx", "A 20933-2025")</f>
        <v/>
      </c>
      <c r="X189">
        <f>HYPERLINK("https://klasma.github.io/Logging_2283/tillsyn/A 20933-2025 tillsynsbegäran.docx", "A 20933-2025")</f>
        <v/>
      </c>
      <c r="Y189">
        <f>HYPERLINK("https://klasma.github.io/Logging_2283/tillsynsmail/A 20933-2025 tillsynsbegäran mail.docx", "A 20933-2025")</f>
        <v/>
      </c>
    </row>
    <row r="190" ht="15" customHeight="1">
      <c r="A190" t="inlineStr">
        <is>
          <t>A 56248-2023</t>
        </is>
      </c>
      <c r="B190" s="1" t="n">
        <v>45240</v>
      </c>
      <c r="C190" s="1" t="n">
        <v>45998</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8885-2024</t>
        </is>
      </c>
      <c r="B191" s="1" t="n">
        <v>45357</v>
      </c>
      <c r="C191" s="1" t="n">
        <v>45998</v>
      </c>
      <c r="D191" t="inlineStr">
        <is>
          <t>VÄSTERNORRLANDS LÄN</t>
        </is>
      </c>
      <c r="E191" t="inlineStr">
        <is>
          <t>SOLLEFTEÅ</t>
        </is>
      </c>
      <c r="F191" t="inlineStr">
        <is>
          <t>SCA</t>
        </is>
      </c>
      <c r="G191" t="n">
        <v>4.5</v>
      </c>
      <c r="H191" t="n">
        <v>1</v>
      </c>
      <c r="I191" t="n">
        <v>1</v>
      </c>
      <c r="J191" t="n">
        <v>3</v>
      </c>
      <c r="K191" t="n">
        <v>0</v>
      </c>
      <c r="L191" t="n">
        <v>0</v>
      </c>
      <c r="M191" t="n">
        <v>0</v>
      </c>
      <c r="N191" t="n">
        <v>0</v>
      </c>
      <c r="O191" t="n">
        <v>3</v>
      </c>
      <c r="P191" t="n">
        <v>0</v>
      </c>
      <c r="Q191" t="n">
        <v>4</v>
      </c>
      <c r="R191" s="2" t="inlineStr">
        <is>
          <t>Gammelgransskål
Granticka
Tretåig hackspett
Vedticka</t>
        </is>
      </c>
      <c r="S191">
        <f>HYPERLINK("https://klasma.github.io/Logging_2283/artfynd/A 8885-2024 artfynd.xlsx", "A 8885-2024")</f>
        <v/>
      </c>
      <c r="T191">
        <f>HYPERLINK("https://klasma.github.io/Logging_2283/kartor/A 8885-2024 karta.png", "A 8885-2024")</f>
        <v/>
      </c>
      <c r="V191">
        <f>HYPERLINK("https://klasma.github.io/Logging_2283/klagomål/A 8885-2024 FSC-klagomål.docx", "A 8885-2024")</f>
        <v/>
      </c>
      <c r="W191">
        <f>HYPERLINK("https://klasma.github.io/Logging_2283/klagomålsmail/A 8885-2024 FSC-klagomål mail.docx", "A 8885-2024")</f>
        <v/>
      </c>
      <c r="X191">
        <f>HYPERLINK("https://klasma.github.io/Logging_2283/tillsyn/A 8885-2024 tillsynsbegäran.docx", "A 8885-2024")</f>
        <v/>
      </c>
      <c r="Y191">
        <f>HYPERLINK("https://klasma.github.io/Logging_2283/tillsynsmail/A 8885-2024 tillsynsbegäran mail.docx", "A 8885-2024")</f>
        <v/>
      </c>
      <c r="Z191">
        <f>HYPERLINK("https://klasma.github.io/Logging_2283/fåglar/A 8885-2024 prioriterade fågelarter.docx", "A 8885-2024")</f>
        <v/>
      </c>
    </row>
    <row r="192" ht="15" customHeight="1">
      <c r="A192" t="inlineStr">
        <is>
          <t>A 47527-2024</t>
        </is>
      </c>
      <c r="B192" s="1" t="n">
        <v>45587.63574074074</v>
      </c>
      <c r="C192" s="1" t="n">
        <v>45998</v>
      </c>
      <c r="D192" t="inlineStr">
        <is>
          <t>VÄSTERNORRLANDS LÄN</t>
        </is>
      </c>
      <c r="E192" t="inlineStr">
        <is>
          <t>SOLLEFTEÅ</t>
        </is>
      </c>
      <c r="F192" t="inlineStr">
        <is>
          <t>SCA</t>
        </is>
      </c>
      <c r="G192" t="n">
        <v>3.6</v>
      </c>
      <c r="H192" t="n">
        <v>1</v>
      </c>
      <c r="I192" t="n">
        <v>1</v>
      </c>
      <c r="J192" t="n">
        <v>3</v>
      </c>
      <c r="K192" t="n">
        <v>0</v>
      </c>
      <c r="L192" t="n">
        <v>0</v>
      </c>
      <c r="M192" t="n">
        <v>0</v>
      </c>
      <c r="N192" t="n">
        <v>0</v>
      </c>
      <c r="O192" t="n">
        <v>3</v>
      </c>
      <c r="P192" t="n">
        <v>0</v>
      </c>
      <c r="Q192" t="n">
        <v>4</v>
      </c>
      <c r="R192" s="2" t="inlineStr">
        <is>
          <t>Garnlav
Lunglav
Ullticka
Lappranunkel</t>
        </is>
      </c>
      <c r="S192">
        <f>HYPERLINK("https://klasma.github.io/Logging_2283/artfynd/A 47527-2024 artfynd.xlsx", "A 47527-2024")</f>
        <v/>
      </c>
      <c r="T192">
        <f>HYPERLINK("https://klasma.github.io/Logging_2283/kartor/A 47527-2024 karta.png", "A 47527-2024")</f>
        <v/>
      </c>
      <c r="V192">
        <f>HYPERLINK("https://klasma.github.io/Logging_2283/klagomål/A 47527-2024 FSC-klagomål.docx", "A 47527-2024")</f>
        <v/>
      </c>
      <c r="W192">
        <f>HYPERLINK("https://klasma.github.io/Logging_2283/klagomålsmail/A 47527-2024 FSC-klagomål mail.docx", "A 47527-2024")</f>
        <v/>
      </c>
      <c r="X192">
        <f>HYPERLINK("https://klasma.github.io/Logging_2283/tillsyn/A 47527-2024 tillsynsbegäran.docx", "A 47527-2024")</f>
        <v/>
      </c>
      <c r="Y192">
        <f>HYPERLINK("https://klasma.github.io/Logging_2283/tillsynsmail/A 47527-2024 tillsynsbegäran mail.docx", "A 47527-2024")</f>
        <v/>
      </c>
    </row>
    <row r="193" ht="15" customHeight="1">
      <c r="A193" t="inlineStr">
        <is>
          <t>A 37270-2023</t>
        </is>
      </c>
      <c r="B193" s="1" t="n">
        <v>45155</v>
      </c>
      <c r="C193" s="1" t="n">
        <v>45998</v>
      </c>
      <c r="D193" t="inlineStr">
        <is>
          <t>VÄSTERNORRLANDS LÄN</t>
        </is>
      </c>
      <c r="E193" t="inlineStr">
        <is>
          <t>SOLLEFTEÅ</t>
        </is>
      </c>
      <c r="F193" t="inlineStr">
        <is>
          <t>SCA</t>
        </is>
      </c>
      <c r="G193" t="n">
        <v>2.3</v>
      </c>
      <c r="H193" t="n">
        <v>1</v>
      </c>
      <c r="I193" t="n">
        <v>1</v>
      </c>
      <c r="J193" t="n">
        <v>3</v>
      </c>
      <c r="K193" t="n">
        <v>0</v>
      </c>
      <c r="L193" t="n">
        <v>0</v>
      </c>
      <c r="M193" t="n">
        <v>0</v>
      </c>
      <c r="N193" t="n">
        <v>0</v>
      </c>
      <c r="O193" t="n">
        <v>3</v>
      </c>
      <c r="P193" t="n">
        <v>0</v>
      </c>
      <c r="Q193" t="n">
        <v>4</v>
      </c>
      <c r="R193" s="2" t="inlineStr">
        <is>
          <t>Orange taggsvamp
Tallticka
Tretåig hackspett
Dropptaggsvamp</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51192-2024</t>
        </is>
      </c>
      <c r="B194" s="1" t="n">
        <v>45603.61493055556</v>
      </c>
      <c r="C194" s="1" t="n">
        <v>45998</v>
      </c>
      <c r="D194" t="inlineStr">
        <is>
          <t>VÄSTERNORRLANDS LÄN</t>
        </is>
      </c>
      <c r="E194" t="inlineStr">
        <is>
          <t>SOLLEFTEÅ</t>
        </is>
      </c>
      <c r="F194" t="inlineStr">
        <is>
          <t>SCA</t>
        </is>
      </c>
      <c r="G194" t="n">
        <v>3.9</v>
      </c>
      <c r="H194" t="n">
        <v>1</v>
      </c>
      <c r="I194" t="n">
        <v>0</v>
      </c>
      <c r="J194" t="n">
        <v>3</v>
      </c>
      <c r="K194" t="n">
        <v>1</v>
      </c>
      <c r="L194" t="n">
        <v>0</v>
      </c>
      <c r="M194" t="n">
        <v>0</v>
      </c>
      <c r="N194" t="n">
        <v>0</v>
      </c>
      <c r="O194" t="n">
        <v>4</v>
      </c>
      <c r="P194" t="n">
        <v>1</v>
      </c>
      <c r="Q194" t="n">
        <v>4</v>
      </c>
      <c r="R194" s="2" t="inlineStr">
        <is>
          <t>Rynkskinn
Garnlav
Lunglav
Talltita</t>
        </is>
      </c>
      <c r="S194">
        <f>HYPERLINK("https://klasma.github.io/Logging_2283/artfynd/A 51192-2024 artfynd.xlsx", "A 51192-2024")</f>
        <v/>
      </c>
      <c r="T194">
        <f>HYPERLINK("https://klasma.github.io/Logging_2283/kartor/A 51192-2024 karta.png", "A 51192-2024")</f>
        <v/>
      </c>
      <c r="V194">
        <f>HYPERLINK("https://klasma.github.io/Logging_2283/klagomål/A 51192-2024 FSC-klagomål.docx", "A 51192-2024")</f>
        <v/>
      </c>
      <c r="W194">
        <f>HYPERLINK("https://klasma.github.io/Logging_2283/klagomålsmail/A 51192-2024 FSC-klagomål mail.docx", "A 51192-2024")</f>
        <v/>
      </c>
      <c r="X194">
        <f>HYPERLINK("https://klasma.github.io/Logging_2283/tillsyn/A 51192-2024 tillsynsbegäran.docx", "A 51192-2024")</f>
        <v/>
      </c>
      <c r="Y194">
        <f>HYPERLINK("https://klasma.github.io/Logging_2283/tillsynsmail/A 51192-2024 tillsynsbegäran mail.docx", "A 51192-2024")</f>
        <v/>
      </c>
      <c r="Z194">
        <f>HYPERLINK("https://klasma.github.io/Logging_2283/fåglar/A 51192-2024 prioriterade fågelarter.docx", "A 51192-2024")</f>
        <v/>
      </c>
    </row>
    <row r="195" ht="15" customHeight="1">
      <c r="A195" t="inlineStr">
        <is>
          <t>A 20572-2025</t>
        </is>
      </c>
      <c r="B195" s="1" t="n">
        <v>45775.67054398148</v>
      </c>
      <c r="C195" s="1" t="n">
        <v>45998</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62364-2023</t>
        </is>
      </c>
      <c r="B196" s="1" t="n">
        <v>45267.95166666667</v>
      </c>
      <c r="C196" s="1" t="n">
        <v>45998</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57081-2024</t>
        </is>
      </c>
      <c r="B197" s="1" t="n">
        <v>45629</v>
      </c>
      <c r="C197" s="1" t="n">
        <v>45998</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59381-2024</t>
        </is>
      </c>
      <c r="B198" s="1" t="n">
        <v>45638</v>
      </c>
      <c r="C198" s="1" t="n">
        <v>45998</v>
      </c>
      <c r="D198" t="inlineStr">
        <is>
          <t>VÄSTERNORRLANDS LÄN</t>
        </is>
      </c>
      <c r="E198" t="inlineStr">
        <is>
          <t>SOLLEFTEÅ</t>
        </is>
      </c>
      <c r="G198" t="n">
        <v>5.4</v>
      </c>
      <c r="H198" t="n">
        <v>2</v>
      </c>
      <c r="I198" t="n">
        <v>0</v>
      </c>
      <c r="J198" t="n">
        <v>3</v>
      </c>
      <c r="K198" t="n">
        <v>0</v>
      </c>
      <c r="L198" t="n">
        <v>0</v>
      </c>
      <c r="M198" t="n">
        <v>0</v>
      </c>
      <c r="N198" t="n">
        <v>0</v>
      </c>
      <c r="O198" t="n">
        <v>3</v>
      </c>
      <c r="P198" t="n">
        <v>0</v>
      </c>
      <c r="Q198" t="n">
        <v>4</v>
      </c>
      <c r="R198" s="2" t="inlineStr">
        <is>
          <t>Rosenticka
Talltita
Ullticka
Fläcknycklar</t>
        </is>
      </c>
      <c r="S198">
        <f>HYPERLINK("https://klasma.github.io/Logging_2283/artfynd/A 59381-2024 artfynd.xlsx", "A 59381-2024")</f>
        <v/>
      </c>
      <c r="T198">
        <f>HYPERLINK("https://klasma.github.io/Logging_2283/kartor/A 59381-2024 karta.png", "A 59381-2024")</f>
        <v/>
      </c>
      <c r="U198">
        <f>HYPERLINK("https://klasma.github.io/Logging_2283/knärot/A 59381-2024 karta knärot.png", "A 59381-2024")</f>
        <v/>
      </c>
      <c r="V198">
        <f>HYPERLINK("https://klasma.github.io/Logging_2283/klagomål/A 59381-2024 FSC-klagomål.docx", "A 59381-2024")</f>
        <v/>
      </c>
      <c r="W198">
        <f>HYPERLINK("https://klasma.github.io/Logging_2283/klagomålsmail/A 59381-2024 FSC-klagomål mail.docx", "A 59381-2024")</f>
        <v/>
      </c>
      <c r="X198">
        <f>HYPERLINK("https://klasma.github.io/Logging_2283/tillsyn/A 59381-2024 tillsynsbegäran.docx", "A 59381-2024")</f>
        <v/>
      </c>
      <c r="Y198">
        <f>HYPERLINK("https://klasma.github.io/Logging_2283/tillsynsmail/A 59381-2024 tillsynsbegäran mail.docx", "A 59381-2024")</f>
        <v/>
      </c>
      <c r="Z198">
        <f>HYPERLINK("https://klasma.github.io/Logging_2283/fåglar/A 59381-2024 prioriterade fågelarter.docx", "A 59381-2024")</f>
        <v/>
      </c>
    </row>
    <row r="199" ht="15" customHeight="1">
      <c r="A199" t="inlineStr">
        <is>
          <t>A 9819-2024</t>
        </is>
      </c>
      <c r="B199" s="1" t="n">
        <v>45363</v>
      </c>
      <c r="C199" s="1" t="n">
        <v>45998</v>
      </c>
      <c r="D199" t="inlineStr">
        <is>
          <t>VÄSTERNORRLANDS LÄN</t>
        </is>
      </c>
      <c r="E199" t="inlineStr">
        <is>
          <t>SOLLEFTEÅ</t>
        </is>
      </c>
      <c r="F199" t="inlineStr">
        <is>
          <t>SCA</t>
        </is>
      </c>
      <c r="G199" t="n">
        <v>6.8</v>
      </c>
      <c r="H199" t="n">
        <v>1</v>
      </c>
      <c r="I199" t="n">
        <v>1</v>
      </c>
      <c r="J199" t="n">
        <v>2</v>
      </c>
      <c r="K199" t="n">
        <v>1</v>
      </c>
      <c r="L199" t="n">
        <v>0</v>
      </c>
      <c r="M199" t="n">
        <v>0</v>
      </c>
      <c r="N199" t="n">
        <v>0</v>
      </c>
      <c r="O199" t="n">
        <v>3</v>
      </c>
      <c r="P199" t="n">
        <v>1</v>
      </c>
      <c r="Q199" t="n">
        <v>4</v>
      </c>
      <c r="R199" s="2" t="inlineStr">
        <is>
          <t>Knärot
Motaggsvamp
Vitgrynig nållav
Dropptaggsvamp</t>
        </is>
      </c>
      <c r="S199">
        <f>HYPERLINK("https://klasma.github.io/Logging_2283/artfynd/A 9819-2024 artfynd.xlsx", "A 9819-2024")</f>
        <v/>
      </c>
      <c r="T199">
        <f>HYPERLINK("https://klasma.github.io/Logging_2283/kartor/A 9819-2024 karta.png", "A 9819-2024")</f>
        <v/>
      </c>
      <c r="U199">
        <f>HYPERLINK("https://klasma.github.io/Logging_2283/knärot/A 9819-2024 karta knärot.png", "A 9819-2024")</f>
        <v/>
      </c>
      <c r="V199">
        <f>HYPERLINK("https://klasma.github.io/Logging_2283/klagomål/A 9819-2024 FSC-klagomål.docx", "A 9819-2024")</f>
        <v/>
      </c>
      <c r="W199">
        <f>HYPERLINK("https://klasma.github.io/Logging_2283/klagomålsmail/A 9819-2024 FSC-klagomål mail.docx", "A 9819-2024")</f>
        <v/>
      </c>
      <c r="X199">
        <f>HYPERLINK("https://klasma.github.io/Logging_2283/tillsyn/A 9819-2024 tillsynsbegäran.docx", "A 9819-2024")</f>
        <v/>
      </c>
      <c r="Y199">
        <f>HYPERLINK("https://klasma.github.io/Logging_2283/tillsynsmail/A 9819-2024 tillsynsbegäran mail.docx", "A 9819-2024")</f>
        <v/>
      </c>
    </row>
    <row r="200" ht="15" customHeight="1">
      <c r="A200" t="inlineStr">
        <is>
          <t>A 36943-2025</t>
        </is>
      </c>
      <c r="B200" s="1" t="n">
        <v>45874.59422453704</v>
      </c>
      <c r="C200" s="1" t="n">
        <v>45998</v>
      </c>
      <c r="D200" t="inlineStr">
        <is>
          <t>VÄSTERNORRLANDS LÄN</t>
        </is>
      </c>
      <c r="E200" t="inlineStr">
        <is>
          <t>SOLLEFTEÅ</t>
        </is>
      </c>
      <c r="F200" t="inlineStr">
        <is>
          <t>SCA</t>
        </is>
      </c>
      <c r="G200" t="n">
        <v>5.3</v>
      </c>
      <c r="H200" t="n">
        <v>1</v>
      </c>
      <c r="I200" t="n">
        <v>1</v>
      </c>
      <c r="J200" t="n">
        <v>2</v>
      </c>
      <c r="K200" t="n">
        <v>1</v>
      </c>
      <c r="L200" t="n">
        <v>0</v>
      </c>
      <c r="M200" t="n">
        <v>0</v>
      </c>
      <c r="N200" t="n">
        <v>0</v>
      </c>
      <c r="O200" t="n">
        <v>3</v>
      </c>
      <c r="P200" t="n">
        <v>1</v>
      </c>
      <c r="Q200" t="n">
        <v>4</v>
      </c>
      <c r="R200" s="2" t="inlineStr">
        <is>
          <t>Doftticka
Garnlav
Lunglav
Luddlav</t>
        </is>
      </c>
      <c r="S200">
        <f>HYPERLINK("https://klasma.github.io/Logging_2283/artfynd/A 36943-2025 artfynd.xlsx", "A 36943-2025")</f>
        <v/>
      </c>
      <c r="T200">
        <f>HYPERLINK("https://klasma.github.io/Logging_2283/kartor/A 36943-2025 karta.png", "A 36943-2025")</f>
        <v/>
      </c>
      <c r="V200">
        <f>HYPERLINK("https://klasma.github.io/Logging_2283/klagomål/A 36943-2025 FSC-klagomål.docx", "A 36943-2025")</f>
        <v/>
      </c>
      <c r="W200">
        <f>HYPERLINK("https://klasma.github.io/Logging_2283/klagomålsmail/A 36943-2025 FSC-klagomål mail.docx", "A 36943-2025")</f>
        <v/>
      </c>
      <c r="X200">
        <f>HYPERLINK("https://klasma.github.io/Logging_2283/tillsyn/A 36943-2025 tillsynsbegäran.docx", "A 36943-2025")</f>
        <v/>
      </c>
      <c r="Y200">
        <f>HYPERLINK("https://klasma.github.io/Logging_2283/tillsynsmail/A 36943-2025 tillsynsbegäran mail.docx", "A 36943-2025")</f>
        <v/>
      </c>
    </row>
    <row r="201" ht="15" customHeight="1">
      <c r="A201" t="inlineStr">
        <is>
          <t>A 62638-2022</t>
        </is>
      </c>
      <c r="B201" s="1" t="n">
        <v>44925</v>
      </c>
      <c r="C201" s="1" t="n">
        <v>45998</v>
      </c>
      <c r="D201" t="inlineStr">
        <is>
          <t>VÄSTERNORRLANDS LÄN</t>
        </is>
      </c>
      <c r="E201" t="inlineStr">
        <is>
          <t>SOLLEFTEÅ</t>
        </is>
      </c>
      <c r="F201" t="inlineStr">
        <is>
          <t>Holmen skog AB</t>
        </is>
      </c>
      <c r="G201" t="n">
        <v>4</v>
      </c>
      <c r="H201" t="n">
        <v>1</v>
      </c>
      <c r="I201" t="n">
        <v>1</v>
      </c>
      <c r="J201" t="n">
        <v>2</v>
      </c>
      <c r="K201" t="n">
        <v>1</v>
      </c>
      <c r="L201" t="n">
        <v>0</v>
      </c>
      <c r="M201" t="n">
        <v>0</v>
      </c>
      <c r="N201" t="n">
        <v>0</v>
      </c>
      <c r="O201" t="n">
        <v>3</v>
      </c>
      <c r="P201" t="n">
        <v>1</v>
      </c>
      <c r="Q201" t="n">
        <v>4</v>
      </c>
      <c r="R201" s="2" t="inlineStr">
        <is>
          <t>Knärot
Koralltaggsvamp
Lunglav
Skinnlav</t>
        </is>
      </c>
      <c r="S201">
        <f>HYPERLINK("https://klasma.github.io/Logging_2283/artfynd/A 62638-2022 artfynd.xlsx", "A 62638-2022")</f>
        <v/>
      </c>
      <c r="T201">
        <f>HYPERLINK("https://klasma.github.io/Logging_2283/kartor/A 62638-2022 karta.png", "A 62638-2022")</f>
        <v/>
      </c>
      <c r="U201">
        <f>HYPERLINK("https://klasma.github.io/Logging_2283/knärot/A 62638-2022 karta knärot.png", "A 62638-2022")</f>
        <v/>
      </c>
      <c r="V201">
        <f>HYPERLINK("https://klasma.github.io/Logging_2283/klagomål/A 62638-2022 FSC-klagomål.docx", "A 62638-2022")</f>
        <v/>
      </c>
      <c r="W201">
        <f>HYPERLINK("https://klasma.github.io/Logging_2283/klagomålsmail/A 62638-2022 FSC-klagomål mail.docx", "A 62638-2022")</f>
        <v/>
      </c>
      <c r="X201">
        <f>HYPERLINK("https://klasma.github.io/Logging_2283/tillsyn/A 62638-2022 tillsynsbegäran.docx", "A 62638-2022")</f>
        <v/>
      </c>
      <c r="Y201">
        <f>HYPERLINK("https://klasma.github.io/Logging_2283/tillsynsmail/A 62638-2022 tillsynsbegäran mail.docx", "A 62638-2022")</f>
        <v/>
      </c>
    </row>
    <row r="202" ht="15" customHeight="1">
      <c r="A202" t="inlineStr">
        <is>
          <t>A 40740-2025</t>
        </is>
      </c>
      <c r="B202" s="1" t="n">
        <v>45897.36840277778</v>
      </c>
      <c r="C202" s="1" t="n">
        <v>45998</v>
      </c>
      <c r="D202" t="inlineStr">
        <is>
          <t>VÄSTERNORRLANDS LÄN</t>
        </is>
      </c>
      <c r="E202" t="inlineStr">
        <is>
          <t>SOLLEFTEÅ</t>
        </is>
      </c>
      <c r="G202" t="n">
        <v>6.3</v>
      </c>
      <c r="H202" t="n">
        <v>0</v>
      </c>
      <c r="I202" t="n">
        <v>0</v>
      </c>
      <c r="J202" t="n">
        <v>4</v>
      </c>
      <c r="K202" t="n">
        <v>0</v>
      </c>
      <c r="L202" t="n">
        <v>0</v>
      </c>
      <c r="M202" t="n">
        <v>0</v>
      </c>
      <c r="N202" t="n">
        <v>0</v>
      </c>
      <c r="O202" t="n">
        <v>4</v>
      </c>
      <c r="P202" t="n">
        <v>0</v>
      </c>
      <c r="Q202" t="n">
        <v>4</v>
      </c>
      <c r="R202" s="2" t="inlineStr">
        <is>
          <t>Garnlav
Kolflarnlav
Vedflamlav
Vedskivlav</t>
        </is>
      </c>
      <c r="S202">
        <f>HYPERLINK("https://klasma.github.io/Logging_2283/artfynd/A 40740-2025 artfynd.xlsx", "A 40740-2025")</f>
        <v/>
      </c>
      <c r="T202">
        <f>HYPERLINK("https://klasma.github.io/Logging_2283/kartor/A 40740-2025 karta.png", "A 40740-2025")</f>
        <v/>
      </c>
      <c r="V202">
        <f>HYPERLINK("https://klasma.github.io/Logging_2283/klagomål/A 40740-2025 FSC-klagomål.docx", "A 40740-2025")</f>
        <v/>
      </c>
      <c r="W202">
        <f>HYPERLINK("https://klasma.github.io/Logging_2283/klagomålsmail/A 40740-2025 FSC-klagomål mail.docx", "A 40740-2025")</f>
        <v/>
      </c>
      <c r="X202">
        <f>HYPERLINK("https://klasma.github.io/Logging_2283/tillsyn/A 40740-2025 tillsynsbegäran.docx", "A 40740-2025")</f>
        <v/>
      </c>
      <c r="Y202">
        <f>HYPERLINK("https://klasma.github.io/Logging_2283/tillsynsmail/A 40740-2025 tillsynsbegäran mail.docx", "A 40740-2025")</f>
        <v/>
      </c>
    </row>
    <row r="203" ht="15" customHeight="1">
      <c r="A203" t="inlineStr">
        <is>
          <t>A 45030-2025</t>
        </is>
      </c>
      <c r="B203" s="1" t="n">
        <v>45918.69851851852</v>
      </c>
      <c r="C203" s="1" t="n">
        <v>45998</v>
      </c>
      <c r="D203" t="inlineStr">
        <is>
          <t>VÄSTERNORRLANDS LÄN</t>
        </is>
      </c>
      <c r="E203" t="inlineStr">
        <is>
          <t>SOLLEFTEÅ</t>
        </is>
      </c>
      <c r="F203" t="inlineStr">
        <is>
          <t>SCA</t>
        </is>
      </c>
      <c r="G203" t="n">
        <v>8.1</v>
      </c>
      <c r="H203" t="n">
        <v>3</v>
      </c>
      <c r="I203" t="n">
        <v>1</v>
      </c>
      <c r="J203" t="n">
        <v>2</v>
      </c>
      <c r="K203" t="n">
        <v>0</v>
      </c>
      <c r="L203" t="n">
        <v>0</v>
      </c>
      <c r="M203" t="n">
        <v>0</v>
      </c>
      <c r="N203" t="n">
        <v>0</v>
      </c>
      <c r="O203" t="n">
        <v>2</v>
      </c>
      <c r="P203" t="n">
        <v>0</v>
      </c>
      <c r="Q203" t="n">
        <v>4</v>
      </c>
      <c r="R203" s="2" t="inlineStr">
        <is>
          <t>Garnlav
Talltita
Korallrot
Revlummer</t>
        </is>
      </c>
      <c r="S203">
        <f>HYPERLINK("https://klasma.github.io/Logging_2283/artfynd/A 45030-2025 artfynd.xlsx", "A 45030-2025")</f>
        <v/>
      </c>
      <c r="T203">
        <f>HYPERLINK("https://klasma.github.io/Logging_2283/kartor/A 45030-2025 karta.png", "A 45030-2025")</f>
        <v/>
      </c>
      <c r="V203">
        <f>HYPERLINK("https://klasma.github.io/Logging_2283/klagomål/A 45030-2025 FSC-klagomål.docx", "A 45030-2025")</f>
        <v/>
      </c>
      <c r="W203">
        <f>HYPERLINK("https://klasma.github.io/Logging_2283/klagomålsmail/A 45030-2025 FSC-klagomål mail.docx", "A 45030-2025")</f>
        <v/>
      </c>
      <c r="X203">
        <f>HYPERLINK("https://klasma.github.io/Logging_2283/tillsyn/A 45030-2025 tillsynsbegäran.docx", "A 45030-2025")</f>
        <v/>
      </c>
      <c r="Y203">
        <f>HYPERLINK("https://klasma.github.io/Logging_2283/tillsynsmail/A 45030-2025 tillsynsbegäran mail.docx", "A 45030-2025")</f>
        <v/>
      </c>
      <c r="Z203">
        <f>HYPERLINK("https://klasma.github.io/Logging_2283/fåglar/A 45030-2025 prioriterade fågelarter.docx", "A 45030-2025")</f>
        <v/>
      </c>
    </row>
    <row r="204" ht="15" customHeight="1">
      <c r="A204" t="inlineStr">
        <is>
          <t>A 58155-2025</t>
        </is>
      </c>
      <c r="B204" s="1" t="n">
        <v>45982.66535879629</v>
      </c>
      <c r="C204" s="1" t="n">
        <v>45998</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39095-2025</t>
        </is>
      </c>
      <c r="B205" s="1" t="n">
        <v>45888.49751157407</v>
      </c>
      <c r="C205" s="1" t="n">
        <v>45998</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29561-2025</t>
        </is>
      </c>
      <c r="B206" s="1" t="n">
        <v>45825.36510416667</v>
      </c>
      <c r="C206" s="1" t="n">
        <v>45998</v>
      </c>
      <c r="D206" t="inlineStr">
        <is>
          <t>VÄSTERNORRLANDS LÄN</t>
        </is>
      </c>
      <c r="E206" t="inlineStr">
        <is>
          <t>SOLLEFTEÅ</t>
        </is>
      </c>
      <c r="F206" t="inlineStr">
        <is>
          <t>SCA</t>
        </is>
      </c>
      <c r="G206" t="n">
        <v>11.9</v>
      </c>
      <c r="H206" t="n">
        <v>0</v>
      </c>
      <c r="I206" t="n">
        <v>1</v>
      </c>
      <c r="J206" t="n">
        <v>3</v>
      </c>
      <c r="K206" t="n">
        <v>0</v>
      </c>
      <c r="L206" t="n">
        <v>0</v>
      </c>
      <c r="M206" t="n">
        <v>0</v>
      </c>
      <c r="N206" t="n">
        <v>0</v>
      </c>
      <c r="O206" t="n">
        <v>3</v>
      </c>
      <c r="P206" t="n">
        <v>0</v>
      </c>
      <c r="Q206" t="n">
        <v>4</v>
      </c>
      <c r="R206" s="2" t="inlineStr">
        <is>
          <t>Garnlav
Kolflarnlav
Vedskivlav
Stuplav</t>
        </is>
      </c>
      <c r="S206">
        <f>HYPERLINK("https://klasma.github.io/Logging_2283/artfynd/A 29561-2025 artfynd.xlsx", "A 29561-2025")</f>
        <v/>
      </c>
      <c r="T206">
        <f>HYPERLINK("https://klasma.github.io/Logging_2283/kartor/A 29561-2025 karta.png", "A 29561-2025")</f>
        <v/>
      </c>
      <c r="V206">
        <f>HYPERLINK("https://klasma.github.io/Logging_2283/klagomål/A 29561-2025 FSC-klagomål.docx", "A 29561-2025")</f>
        <v/>
      </c>
      <c r="W206">
        <f>HYPERLINK("https://klasma.github.io/Logging_2283/klagomålsmail/A 29561-2025 FSC-klagomål mail.docx", "A 29561-2025")</f>
        <v/>
      </c>
      <c r="X206">
        <f>HYPERLINK("https://klasma.github.io/Logging_2283/tillsyn/A 29561-2025 tillsynsbegäran.docx", "A 29561-2025")</f>
        <v/>
      </c>
      <c r="Y206">
        <f>HYPERLINK("https://klasma.github.io/Logging_2283/tillsynsmail/A 29561-2025 tillsynsbegäran mail.docx", "A 29561-2025")</f>
        <v/>
      </c>
    </row>
    <row r="207" ht="15" customHeight="1">
      <c r="A207" t="inlineStr">
        <is>
          <t>A 60260-2025</t>
        </is>
      </c>
      <c r="B207" s="1" t="n">
        <v>45994.61025462963</v>
      </c>
      <c r="C207" s="1" t="n">
        <v>45998</v>
      </c>
      <c r="D207" t="inlineStr">
        <is>
          <t>VÄSTERNORRLANDS LÄN</t>
        </is>
      </c>
      <c r="E207" t="inlineStr">
        <is>
          <t>SOLLEFTEÅ</t>
        </is>
      </c>
      <c r="G207" t="n">
        <v>2.2</v>
      </c>
      <c r="H207" t="n">
        <v>0</v>
      </c>
      <c r="I207" t="n">
        <v>1</v>
      </c>
      <c r="J207" t="n">
        <v>1</v>
      </c>
      <c r="K207" t="n">
        <v>2</v>
      </c>
      <c r="L207" t="n">
        <v>0</v>
      </c>
      <c r="M207" t="n">
        <v>0</v>
      </c>
      <c r="N207" t="n">
        <v>0</v>
      </c>
      <c r="O207" t="n">
        <v>3</v>
      </c>
      <c r="P207" t="n">
        <v>2</v>
      </c>
      <c r="Q207" t="n">
        <v>4</v>
      </c>
      <c r="R207" s="2" t="inlineStr">
        <is>
          <t>Liten aspgelélav
Sprickporing
Lunglav
Korallblylav</t>
        </is>
      </c>
      <c r="S207">
        <f>HYPERLINK("https://klasma.github.io/Logging_2283/artfynd/A 60260-2025 artfynd.xlsx", "A 60260-2025")</f>
        <v/>
      </c>
      <c r="T207">
        <f>HYPERLINK("https://klasma.github.io/Logging_2283/kartor/A 60260-2025 karta.png", "A 60260-2025")</f>
        <v/>
      </c>
      <c r="V207">
        <f>HYPERLINK("https://klasma.github.io/Logging_2283/klagomål/A 60260-2025 FSC-klagomål.docx", "A 60260-2025")</f>
        <v/>
      </c>
      <c r="W207">
        <f>HYPERLINK("https://klasma.github.io/Logging_2283/klagomålsmail/A 60260-2025 FSC-klagomål mail.docx", "A 60260-2025")</f>
        <v/>
      </c>
      <c r="X207">
        <f>HYPERLINK("https://klasma.github.io/Logging_2283/tillsyn/A 60260-2025 tillsynsbegäran.docx", "A 60260-2025")</f>
        <v/>
      </c>
      <c r="Y207">
        <f>HYPERLINK("https://klasma.github.io/Logging_2283/tillsynsmail/A 60260-2025 tillsynsbegäran mail.docx", "A 60260-2025")</f>
        <v/>
      </c>
    </row>
    <row r="208" ht="15" customHeight="1">
      <c r="A208" t="inlineStr">
        <is>
          <t>A 26338-2025</t>
        </is>
      </c>
      <c r="B208" s="1" t="n">
        <v>45805.69841435185</v>
      </c>
      <c r="C208" s="1" t="n">
        <v>45998</v>
      </c>
      <c r="D208" t="inlineStr">
        <is>
          <t>VÄSTERNORRLANDS LÄN</t>
        </is>
      </c>
      <c r="E208" t="inlineStr">
        <is>
          <t>SOLLEFTEÅ</t>
        </is>
      </c>
      <c r="F208" t="inlineStr">
        <is>
          <t>SCA</t>
        </is>
      </c>
      <c r="G208" t="n">
        <v>2.7</v>
      </c>
      <c r="H208" t="n">
        <v>2</v>
      </c>
      <c r="I208" t="n">
        <v>0</v>
      </c>
      <c r="J208" t="n">
        <v>4</v>
      </c>
      <c r="K208" t="n">
        <v>0</v>
      </c>
      <c r="L208" t="n">
        <v>0</v>
      </c>
      <c r="M208" t="n">
        <v>0</v>
      </c>
      <c r="N208" t="n">
        <v>0</v>
      </c>
      <c r="O208" t="n">
        <v>4</v>
      </c>
      <c r="P208" t="n">
        <v>0</v>
      </c>
      <c r="Q208" t="n">
        <v>4</v>
      </c>
      <c r="R208" s="2" t="inlineStr">
        <is>
          <t>Lunglav
Motaggsvamp
Talltita
Tretåig hackspett</t>
        </is>
      </c>
      <c r="S208">
        <f>HYPERLINK("https://klasma.github.io/Logging_2283/artfynd/A 26338-2025 artfynd.xlsx", "A 26338-2025")</f>
        <v/>
      </c>
      <c r="T208">
        <f>HYPERLINK("https://klasma.github.io/Logging_2283/kartor/A 26338-2025 karta.png", "A 26338-2025")</f>
        <v/>
      </c>
      <c r="V208">
        <f>HYPERLINK("https://klasma.github.io/Logging_2283/klagomål/A 26338-2025 FSC-klagomål.docx", "A 26338-2025")</f>
        <v/>
      </c>
      <c r="W208">
        <f>HYPERLINK("https://klasma.github.io/Logging_2283/klagomålsmail/A 26338-2025 FSC-klagomål mail.docx", "A 26338-2025")</f>
        <v/>
      </c>
      <c r="X208">
        <f>HYPERLINK("https://klasma.github.io/Logging_2283/tillsyn/A 26338-2025 tillsynsbegäran.docx", "A 26338-2025")</f>
        <v/>
      </c>
      <c r="Y208">
        <f>HYPERLINK("https://klasma.github.io/Logging_2283/tillsynsmail/A 26338-2025 tillsynsbegäran mail.docx", "A 26338-2025")</f>
        <v/>
      </c>
      <c r="Z208">
        <f>HYPERLINK("https://klasma.github.io/Logging_2283/fåglar/A 26338-2025 prioriterade fågelarter.docx", "A 26338-2025")</f>
        <v/>
      </c>
    </row>
    <row r="209" ht="15" customHeight="1">
      <c r="A209" t="inlineStr">
        <is>
          <t>A 25954-2025</t>
        </is>
      </c>
      <c r="B209" s="1" t="n">
        <v>45804</v>
      </c>
      <c r="C209" s="1" t="n">
        <v>45998</v>
      </c>
      <c r="D209" t="inlineStr">
        <is>
          <t>VÄSTERNORRLANDS LÄN</t>
        </is>
      </c>
      <c r="E209" t="inlineStr">
        <is>
          <t>SOLLEFTEÅ</t>
        </is>
      </c>
      <c r="G209" t="n">
        <v>3.2</v>
      </c>
      <c r="H209" t="n">
        <v>1</v>
      </c>
      <c r="I209" t="n">
        <v>3</v>
      </c>
      <c r="J209" t="n">
        <v>0</v>
      </c>
      <c r="K209" t="n">
        <v>0</v>
      </c>
      <c r="L209" t="n">
        <v>0</v>
      </c>
      <c r="M209" t="n">
        <v>0</v>
      </c>
      <c r="N209" t="n">
        <v>0</v>
      </c>
      <c r="O209" t="n">
        <v>0</v>
      </c>
      <c r="P209" t="n">
        <v>0</v>
      </c>
      <c r="Q209" t="n">
        <v>4</v>
      </c>
      <c r="R209" s="2" t="inlineStr">
        <is>
          <t>Dvärghäxört
Springkorn
Svart trolldruva
Revlummer</t>
        </is>
      </c>
      <c r="S209">
        <f>HYPERLINK("https://klasma.github.io/Logging_2283/artfynd/A 25954-2025 artfynd.xlsx", "A 25954-2025")</f>
        <v/>
      </c>
      <c r="T209">
        <f>HYPERLINK("https://klasma.github.io/Logging_2283/kartor/A 25954-2025 karta.png", "A 25954-2025")</f>
        <v/>
      </c>
      <c r="V209">
        <f>HYPERLINK("https://klasma.github.io/Logging_2283/klagomål/A 25954-2025 FSC-klagomål.docx", "A 25954-2025")</f>
        <v/>
      </c>
      <c r="W209">
        <f>HYPERLINK("https://klasma.github.io/Logging_2283/klagomålsmail/A 25954-2025 FSC-klagomål mail.docx", "A 25954-2025")</f>
        <v/>
      </c>
      <c r="X209">
        <f>HYPERLINK("https://klasma.github.io/Logging_2283/tillsyn/A 25954-2025 tillsynsbegäran.docx", "A 25954-2025")</f>
        <v/>
      </c>
      <c r="Y209">
        <f>HYPERLINK("https://klasma.github.io/Logging_2283/tillsynsmail/A 25954-2025 tillsynsbegäran mail.docx", "A 25954-2025")</f>
        <v/>
      </c>
    </row>
    <row r="210" ht="15" customHeight="1">
      <c r="A210" t="inlineStr">
        <is>
          <t>A 31560-2024</t>
        </is>
      </c>
      <c r="B210" s="1" t="n">
        <v>45505</v>
      </c>
      <c r="C210" s="1" t="n">
        <v>45998</v>
      </c>
      <c r="D210" t="inlineStr">
        <is>
          <t>VÄSTERNORRLANDS LÄN</t>
        </is>
      </c>
      <c r="E210" t="inlineStr">
        <is>
          <t>SOLLEFTEÅ</t>
        </is>
      </c>
      <c r="F210" t="inlineStr">
        <is>
          <t>SCA</t>
        </is>
      </c>
      <c r="G210" t="n">
        <v>6</v>
      </c>
      <c r="H210" t="n">
        <v>0</v>
      </c>
      <c r="I210" t="n">
        <v>0</v>
      </c>
      <c r="J210" t="n">
        <v>2</v>
      </c>
      <c r="K210" t="n">
        <v>2</v>
      </c>
      <c r="L210" t="n">
        <v>0</v>
      </c>
      <c r="M210" t="n">
        <v>0</v>
      </c>
      <c r="N210" t="n">
        <v>0</v>
      </c>
      <c r="O210" t="n">
        <v>4</v>
      </c>
      <c r="P210" t="n">
        <v>2</v>
      </c>
      <c r="Q210" t="n">
        <v>4</v>
      </c>
      <c r="R210" s="2" t="inlineStr">
        <is>
          <t>Lappticka
Rynkskinn
Rosenticka
Ullticka</t>
        </is>
      </c>
      <c r="S210">
        <f>HYPERLINK("https://klasma.github.io/Logging_2283/artfynd/A 31560-2024 artfynd.xlsx", "A 31560-2024")</f>
        <v/>
      </c>
      <c r="T210">
        <f>HYPERLINK("https://klasma.github.io/Logging_2283/kartor/A 31560-2024 karta.png", "A 31560-2024")</f>
        <v/>
      </c>
      <c r="V210">
        <f>HYPERLINK("https://klasma.github.io/Logging_2283/klagomål/A 31560-2024 FSC-klagomål.docx", "A 31560-2024")</f>
        <v/>
      </c>
      <c r="W210">
        <f>HYPERLINK("https://klasma.github.io/Logging_2283/klagomålsmail/A 31560-2024 FSC-klagomål mail.docx", "A 31560-2024")</f>
        <v/>
      </c>
      <c r="X210">
        <f>HYPERLINK("https://klasma.github.io/Logging_2283/tillsyn/A 31560-2024 tillsynsbegäran.docx", "A 31560-2024")</f>
        <v/>
      </c>
      <c r="Y210">
        <f>HYPERLINK("https://klasma.github.io/Logging_2283/tillsynsmail/A 31560-2024 tillsynsbegäran mail.docx", "A 31560-2024")</f>
        <v/>
      </c>
    </row>
    <row r="211" ht="15" customHeight="1">
      <c r="A211" t="inlineStr">
        <is>
          <t>A 54093-2024</t>
        </is>
      </c>
      <c r="B211" s="1" t="n">
        <v>45616.51100694444</v>
      </c>
      <c r="C211" s="1" t="n">
        <v>45998</v>
      </c>
      <c r="D211" t="inlineStr">
        <is>
          <t>VÄSTERNORRLANDS LÄN</t>
        </is>
      </c>
      <c r="E211" t="inlineStr">
        <is>
          <t>SOLLEFTEÅ</t>
        </is>
      </c>
      <c r="F211" t="inlineStr">
        <is>
          <t>SCA</t>
        </is>
      </c>
      <c r="G211" t="n">
        <v>3.9</v>
      </c>
      <c r="H211" t="n">
        <v>0</v>
      </c>
      <c r="I211" t="n">
        <v>0</v>
      </c>
      <c r="J211" t="n">
        <v>4</v>
      </c>
      <c r="K211" t="n">
        <v>0</v>
      </c>
      <c r="L211" t="n">
        <v>0</v>
      </c>
      <c r="M211" t="n">
        <v>0</v>
      </c>
      <c r="N211" t="n">
        <v>0</v>
      </c>
      <c r="O211" t="n">
        <v>4</v>
      </c>
      <c r="P211" t="n">
        <v>0</v>
      </c>
      <c r="Q211" t="n">
        <v>4</v>
      </c>
      <c r="R211" s="2" t="inlineStr">
        <is>
          <t>Garnlav
Lunglav
Rosenticka
Ullticka</t>
        </is>
      </c>
      <c r="S211">
        <f>HYPERLINK("https://klasma.github.io/Logging_2283/artfynd/A 54093-2024 artfynd.xlsx", "A 54093-2024")</f>
        <v/>
      </c>
      <c r="T211">
        <f>HYPERLINK("https://klasma.github.io/Logging_2283/kartor/A 54093-2024 karta.png", "A 54093-2024")</f>
        <v/>
      </c>
      <c r="V211">
        <f>HYPERLINK("https://klasma.github.io/Logging_2283/klagomål/A 54093-2024 FSC-klagomål.docx", "A 54093-2024")</f>
        <v/>
      </c>
      <c r="W211">
        <f>HYPERLINK("https://klasma.github.io/Logging_2283/klagomålsmail/A 54093-2024 FSC-klagomål mail.docx", "A 54093-2024")</f>
        <v/>
      </c>
      <c r="X211">
        <f>HYPERLINK("https://klasma.github.io/Logging_2283/tillsyn/A 54093-2024 tillsynsbegäran.docx", "A 54093-2024")</f>
        <v/>
      </c>
      <c r="Y211">
        <f>HYPERLINK("https://klasma.github.io/Logging_2283/tillsynsmail/A 54093-2024 tillsynsbegäran mail.docx", "A 54093-2024")</f>
        <v/>
      </c>
    </row>
    <row r="212" ht="15" customHeight="1">
      <c r="A212" t="inlineStr">
        <is>
          <t>A 5018-2025</t>
        </is>
      </c>
      <c r="B212" s="1" t="n">
        <v>45691</v>
      </c>
      <c r="C212" s="1" t="n">
        <v>45998</v>
      </c>
      <c r="D212" t="inlineStr">
        <is>
          <t>VÄSTERNORRLANDS LÄN</t>
        </is>
      </c>
      <c r="E212" t="inlineStr">
        <is>
          <t>SOLLEFTEÅ</t>
        </is>
      </c>
      <c r="G212" t="n">
        <v>11.5</v>
      </c>
      <c r="H212" t="n">
        <v>1</v>
      </c>
      <c r="I212" t="n">
        <v>0</v>
      </c>
      <c r="J212" t="n">
        <v>3</v>
      </c>
      <c r="K212" t="n">
        <v>0</v>
      </c>
      <c r="L212" t="n">
        <v>0</v>
      </c>
      <c r="M212" t="n">
        <v>0</v>
      </c>
      <c r="N212" t="n">
        <v>0</v>
      </c>
      <c r="O212" t="n">
        <v>3</v>
      </c>
      <c r="P212" t="n">
        <v>0</v>
      </c>
      <c r="Q212" t="n">
        <v>4</v>
      </c>
      <c r="R212" s="2" t="inlineStr">
        <is>
          <t>Garnlav
Granticka
Rosenticka
Tjäder</t>
        </is>
      </c>
      <c r="S212">
        <f>HYPERLINK("https://klasma.github.io/Logging_2283/artfynd/A 5018-2025 artfynd.xlsx", "A 5018-2025")</f>
        <v/>
      </c>
      <c r="T212">
        <f>HYPERLINK("https://klasma.github.io/Logging_2283/kartor/A 5018-2025 karta.png", "A 5018-2025")</f>
        <v/>
      </c>
      <c r="V212">
        <f>HYPERLINK("https://klasma.github.io/Logging_2283/klagomål/A 5018-2025 FSC-klagomål.docx", "A 5018-2025")</f>
        <v/>
      </c>
      <c r="W212">
        <f>HYPERLINK("https://klasma.github.io/Logging_2283/klagomålsmail/A 5018-2025 FSC-klagomål mail.docx", "A 5018-2025")</f>
        <v/>
      </c>
      <c r="X212">
        <f>HYPERLINK("https://klasma.github.io/Logging_2283/tillsyn/A 5018-2025 tillsynsbegäran.docx", "A 5018-2025")</f>
        <v/>
      </c>
      <c r="Y212">
        <f>HYPERLINK("https://klasma.github.io/Logging_2283/tillsynsmail/A 5018-2025 tillsynsbegäran mail.docx", "A 5018-2025")</f>
        <v/>
      </c>
      <c r="Z212">
        <f>HYPERLINK("https://klasma.github.io/Logging_2283/fåglar/A 5018-2025 prioriterade fågelarter.docx", "A 5018-2025")</f>
        <v/>
      </c>
    </row>
    <row r="213" ht="15" customHeight="1">
      <c r="A213" t="inlineStr">
        <is>
          <t>A 44599-2021</t>
        </is>
      </c>
      <c r="B213" s="1" t="n">
        <v>44435.94106481481</v>
      </c>
      <c r="C213" s="1" t="n">
        <v>45998</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45998</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45998</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45998</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48489-2023</t>
        </is>
      </c>
      <c r="B217" s="1" t="n">
        <v>45206</v>
      </c>
      <c r="C217" s="1" t="n">
        <v>45998</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26374-2023</t>
        </is>
      </c>
      <c r="B218" s="1" t="n">
        <v>45091.94403935185</v>
      </c>
      <c r="C218" s="1" t="n">
        <v>45998</v>
      </c>
      <c r="D218" t="inlineStr">
        <is>
          <t>VÄSTERNORRLANDS LÄN</t>
        </is>
      </c>
      <c r="E218" t="inlineStr">
        <is>
          <t>SOLLEFTEÅ</t>
        </is>
      </c>
      <c r="F218" t="inlineStr">
        <is>
          <t>SCA</t>
        </is>
      </c>
      <c r="G218" t="n">
        <v>0.9</v>
      </c>
      <c r="H218" t="n">
        <v>0</v>
      </c>
      <c r="I218" t="n">
        <v>0</v>
      </c>
      <c r="J218" t="n">
        <v>2</v>
      </c>
      <c r="K218" t="n">
        <v>1</v>
      </c>
      <c r="L218" t="n">
        <v>0</v>
      </c>
      <c r="M218" t="n">
        <v>0</v>
      </c>
      <c r="N218" t="n">
        <v>0</v>
      </c>
      <c r="O218" t="n">
        <v>3</v>
      </c>
      <c r="P218" t="n">
        <v>1</v>
      </c>
      <c r="Q218" t="n">
        <v>3</v>
      </c>
      <c r="R218" s="2" t="inlineStr">
        <is>
          <t>Blackticka
Granticka
Ullticka</t>
        </is>
      </c>
      <c r="S218">
        <f>HYPERLINK("https://klasma.github.io/Logging_2283/artfynd/A 26374-2023 artfynd.xlsx", "A 26374-2023")</f>
        <v/>
      </c>
      <c r="T218">
        <f>HYPERLINK("https://klasma.github.io/Logging_2283/kartor/A 26374-2023 karta.png", "A 26374-2023")</f>
        <v/>
      </c>
      <c r="V218">
        <f>HYPERLINK("https://klasma.github.io/Logging_2283/klagomål/A 26374-2023 FSC-klagomål.docx", "A 26374-2023")</f>
        <v/>
      </c>
      <c r="W218">
        <f>HYPERLINK("https://klasma.github.io/Logging_2283/klagomålsmail/A 26374-2023 FSC-klagomål mail.docx", "A 26374-2023")</f>
        <v/>
      </c>
      <c r="X218">
        <f>HYPERLINK("https://klasma.github.io/Logging_2283/tillsyn/A 26374-2023 tillsynsbegäran.docx", "A 26374-2023")</f>
        <v/>
      </c>
      <c r="Y218">
        <f>HYPERLINK("https://klasma.github.io/Logging_2283/tillsynsmail/A 26374-2023 tillsynsbegäran mail.docx", "A 26374-2023")</f>
        <v/>
      </c>
    </row>
    <row r="219" ht="15" customHeight="1">
      <c r="A219" t="inlineStr">
        <is>
          <t>A 61481-2021</t>
        </is>
      </c>
      <c r="B219" s="1" t="n">
        <v>44500</v>
      </c>
      <c r="C219" s="1" t="n">
        <v>45998</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59046-2022</t>
        </is>
      </c>
      <c r="B220" s="1" t="n">
        <v>44903</v>
      </c>
      <c r="C220" s="1" t="n">
        <v>45998</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20781-2023</t>
        </is>
      </c>
      <c r="B221" s="1" t="n">
        <v>45058</v>
      </c>
      <c r="C221" s="1" t="n">
        <v>45998</v>
      </c>
      <c r="D221" t="inlineStr">
        <is>
          <t>VÄSTERNORRLANDS LÄN</t>
        </is>
      </c>
      <c r="E221" t="inlineStr">
        <is>
          <t>SOLLEFTEÅ</t>
        </is>
      </c>
      <c r="F221" t="inlineStr">
        <is>
          <t>Kyrkan</t>
        </is>
      </c>
      <c r="G221" t="n">
        <v>11.1</v>
      </c>
      <c r="H221" t="n">
        <v>1</v>
      </c>
      <c r="I221" t="n">
        <v>0</v>
      </c>
      <c r="J221" t="n">
        <v>2</v>
      </c>
      <c r="K221" t="n">
        <v>1</v>
      </c>
      <c r="L221" t="n">
        <v>0</v>
      </c>
      <c r="M221" t="n">
        <v>0</v>
      </c>
      <c r="N221" t="n">
        <v>0</v>
      </c>
      <c r="O221" t="n">
        <v>3</v>
      </c>
      <c r="P221" t="n">
        <v>1</v>
      </c>
      <c r="Q221" t="n">
        <v>3</v>
      </c>
      <c r="R221" s="2" t="inlineStr">
        <is>
          <t>Knärot
Garnlav
Ullticka</t>
        </is>
      </c>
      <c r="S221">
        <f>HYPERLINK("https://klasma.github.io/Logging_2283/artfynd/A 20781-2023 artfynd.xlsx", "A 20781-2023")</f>
        <v/>
      </c>
      <c r="T221">
        <f>HYPERLINK("https://klasma.github.io/Logging_2283/kartor/A 20781-2023 karta.png", "A 20781-2023")</f>
        <v/>
      </c>
      <c r="U221">
        <f>HYPERLINK("https://klasma.github.io/Logging_2283/knärot/A 20781-2023 karta knärot.png", "A 20781-2023")</f>
        <v/>
      </c>
      <c r="V221">
        <f>HYPERLINK("https://klasma.github.io/Logging_2283/klagomål/A 20781-2023 FSC-klagomål.docx", "A 20781-2023")</f>
        <v/>
      </c>
      <c r="W221">
        <f>HYPERLINK("https://klasma.github.io/Logging_2283/klagomålsmail/A 20781-2023 FSC-klagomål mail.docx", "A 20781-2023")</f>
        <v/>
      </c>
      <c r="X221">
        <f>HYPERLINK("https://klasma.github.io/Logging_2283/tillsyn/A 20781-2023 tillsynsbegäran.docx", "A 20781-2023")</f>
        <v/>
      </c>
      <c r="Y221">
        <f>HYPERLINK("https://klasma.github.io/Logging_2283/tillsynsmail/A 20781-2023 tillsynsbegäran mail.docx", "A 20781-2023")</f>
        <v/>
      </c>
    </row>
    <row r="222" ht="15" customHeight="1">
      <c r="A222" t="inlineStr">
        <is>
          <t>A 53682-2024</t>
        </is>
      </c>
      <c r="B222" s="1" t="n">
        <v>45615</v>
      </c>
      <c r="C222" s="1" t="n">
        <v>45998</v>
      </c>
      <c r="D222" t="inlineStr">
        <is>
          <t>VÄSTERNORRLANDS LÄN</t>
        </is>
      </c>
      <c r="E222" t="inlineStr">
        <is>
          <t>SOLLEFTEÅ</t>
        </is>
      </c>
      <c r="F222" t="inlineStr">
        <is>
          <t>SCA</t>
        </is>
      </c>
      <c r="G222" t="n">
        <v>9.5</v>
      </c>
      <c r="H222" t="n">
        <v>0</v>
      </c>
      <c r="I222" t="n">
        <v>0</v>
      </c>
      <c r="J222" t="n">
        <v>2</v>
      </c>
      <c r="K222" t="n">
        <v>1</v>
      </c>
      <c r="L222" t="n">
        <v>0</v>
      </c>
      <c r="M222" t="n">
        <v>0</v>
      </c>
      <c r="N222" t="n">
        <v>0</v>
      </c>
      <c r="O222" t="n">
        <v>3</v>
      </c>
      <c r="P222" t="n">
        <v>1</v>
      </c>
      <c r="Q222" t="n">
        <v>3</v>
      </c>
      <c r="R222" s="2" t="inlineStr">
        <is>
          <t>Tallgråticka
Blå taggsvamp
Skrovlig taggsvamp</t>
        </is>
      </c>
      <c r="S222">
        <f>HYPERLINK("https://klasma.github.io/Logging_2283/artfynd/A 53682-2024 artfynd.xlsx", "A 53682-2024")</f>
        <v/>
      </c>
      <c r="T222">
        <f>HYPERLINK("https://klasma.github.io/Logging_2283/kartor/A 53682-2024 karta.png", "A 53682-2024")</f>
        <v/>
      </c>
      <c r="V222">
        <f>HYPERLINK("https://klasma.github.io/Logging_2283/klagomål/A 53682-2024 FSC-klagomål.docx", "A 53682-2024")</f>
        <v/>
      </c>
      <c r="W222">
        <f>HYPERLINK("https://klasma.github.io/Logging_2283/klagomålsmail/A 53682-2024 FSC-klagomål mail.docx", "A 53682-2024")</f>
        <v/>
      </c>
      <c r="X222">
        <f>HYPERLINK("https://klasma.github.io/Logging_2283/tillsyn/A 53682-2024 tillsynsbegäran.docx", "A 53682-2024")</f>
        <v/>
      </c>
      <c r="Y222">
        <f>HYPERLINK("https://klasma.github.io/Logging_2283/tillsynsmail/A 53682-2024 tillsynsbegäran mail.docx", "A 53682-2024")</f>
        <v/>
      </c>
    </row>
    <row r="223" ht="15" customHeight="1">
      <c r="A223" t="inlineStr">
        <is>
          <t>A 51212-2022</t>
        </is>
      </c>
      <c r="B223" s="1" t="n">
        <v>44868.62265046296</v>
      </c>
      <c r="C223" s="1" t="n">
        <v>45998</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18012-2022</t>
        </is>
      </c>
      <c r="B224" s="1" t="n">
        <v>44683</v>
      </c>
      <c r="C224" s="1" t="n">
        <v>45998</v>
      </c>
      <c r="D224" t="inlineStr">
        <is>
          <t>VÄSTERNORRLANDS LÄN</t>
        </is>
      </c>
      <c r="E224" t="inlineStr">
        <is>
          <t>SOLLEFTEÅ</t>
        </is>
      </c>
      <c r="F224" t="inlineStr">
        <is>
          <t>SCA</t>
        </is>
      </c>
      <c r="G224" t="n">
        <v>1.7</v>
      </c>
      <c r="H224" t="n">
        <v>2</v>
      </c>
      <c r="I224" t="n">
        <v>0</v>
      </c>
      <c r="J224" t="n">
        <v>2</v>
      </c>
      <c r="K224" t="n">
        <v>1</v>
      </c>
      <c r="L224" t="n">
        <v>0</v>
      </c>
      <c r="M224" t="n">
        <v>0</v>
      </c>
      <c r="N224" t="n">
        <v>0</v>
      </c>
      <c r="O224" t="n">
        <v>3</v>
      </c>
      <c r="P224" t="n">
        <v>1</v>
      </c>
      <c r="Q224" t="n">
        <v>3</v>
      </c>
      <c r="R224" s="2" t="inlineStr">
        <is>
          <t>Knärot
Garnlav
Tretåig hackspett</t>
        </is>
      </c>
      <c r="S224">
        <f>HYPERLINK("https://klasma.github.io/Logging_2283/artfynd/A 18012-2022 artfynd.xlsx", "A 18012-2022")</f>
        <v/>
      </c>
      <c r="T224">
        <f>HYPERLINK("https://klasma.github.io/Logging_2283/kartor/A 18012-2022 karta.png", "A 18012-2022")</f>
        <v/>
      </c>
      <c r="U224">
        <f>HYPERLINK("https://klasma.github.io/Logging_2283/knärot/A 18012-2022 karta knärot.png", "A 18012-2022")</f>
        <v/>
      </c>
      <c r="V224">
        <f>HYPERLINK("https://klasma.github.io/Logging_2283/klagomål/A 18012-2022 FSC-klagomål.docx", "A 18012-2022")</f>
        <v/>
      </c>
      <c r="W224">
        <f>HYPERLINK("https://klasma.github.io/Logging_2283/klagomålsmail/A 18012-2022 FSC-klagomål mail.docx", "A 18012-2022")</f>
        <v/>
      </c>
      <c r="X224">
        <f>HYPERLINK("https://klasma.github.io/Logging_2283/tillsyn/A 18012-2022 tillsynsbegäran.docx", "A 18012-2022")</f>
        <v/>
      </c>
      <c r="Y224">
        <f>HYPERLINK("https://klasma.github.io/Logging_2283/tillsynsmail/A 18012-2022 tillsynsbegäran mail.docx", "A 18012-2022")</f>
        <v/>
      </c>
      <c r="Z224">
        <f>HYPERLINK("https://klasma.github.io/Logging_2283/fåglar/A 18012-2022 prioriterade fågelarter.docx", "A 18012-2022")</f>
        <v/>
      </c>
    </row>
    <row r="225" ht="15" customHeight="1">
      <c r="A225" t="inlineStr">
        <is>
          <t>A 48017-2024</t>
        </is>
      </c>
      <c r="B225" s="1" t="n">
        <v>45589.46935185185</v>
      </c>
      <c r="C225" s="1" t="n">
        <v>45998</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54624-2024</t>
        </is>
      </c>
      <c r="B226" s="1" t="n">
        <v>45617</v>
      </c>
      <c r="C226" s="1" t="n">
        <v>45998</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6235-2023</t>
        </is>
      </c>
      <c r="B227" s="1" t="n">
        <v>44964</v>
      </c>
      <c r="C227" s="1" t="n">
        <v>45998</v>
      </c>
      <c r="D227" t="inlineStr">
        <is>
          <t>VÄSTERNORRLANDS LÄN</t>
        </is>
      </c>
      <c r="E227" t="inlineStr">
        <is>
          <t>SOLLEFTEÅ</t>
        </is>
      </c>
      <c r="F227" t="inlineStr">
        <is>
          <t>SCA</t>
        </is>
      </c>
      <c r="G227" t="n">
        <v>0.6</v>
      </c>
      <c r="H227" t="n">
        <v>2</v>
      </c>
      <c r="I227" t="n">
        <v>0</v>
      </c>
      <c r="J227" t="n">
        <v>2</v>
      </c>
      <c r="K227" t="n">
        <v>0</v>
      </c>
      <c r="L227" t="n">
        <v>0</v>
      </c>
      <c r="M227" t="n">
        <v>0</v>
      </c>
      <c r="N227" t="n">
        <v>0</v>
      </c>
      <c r="O227" t="n">
        <v>2</v>
      </c>
      <c r="P227" t="n">
        <v>0</v>
      </c>
      <c r="Q227" t="n">
        <v>3</v>
      </c>
      <c r="R227" s="2" t="inlineStr">
        <is>
          <t>Harticka
Tretåig hackspett
Tjäder</t>
        </is>
      </c>
      <c r="S227">
        <f>HYPERLINK("https://klasma.github.io/Logging_2283/artfynd/A 6235-2023 artfynd.xlsx", "A 6235-2023")</f>
        <v/>
      </c>
      <c r="T227">
        <f>HYPERLINK("https://klasma.github.io/Logging_2283/kartor/A 6235-2023 karta.png", "A 6235-2023")</f>
        <v/>
      </c>
      <c r="V227">
        <f>HYPERLINK("https://klasma.github.io/Logging_2283/klagomål/A 6235-2023 FSC-klagomål.docx", "A 6235-2023")</f>
        <v/>
      </c>
      <c r="W227">
        <f>HYPERLINK("https://klasma.github.io/Logging_2283/klagomålsmail/A 6235-2023 FSC-klagomål mail.docx", "A 6235-2023")</f>
        <v/>
      </c>
      <c r="X227">
        <f>HYPERLINK("https://klasma.github.io/Logging_2283/tillsyn/A 6235-2023 tillsynsbegäran.docx", "A 6235-2023")</f>
        <v/>
      </c>
      <c r="Y227">
        <f>HYPERLINK("https://klasma.github.io/Logging_2283/tillsynsmail/A 6235-2023 tillsynsbegäran mail.docx", "A 6235-2023")</f>
        <v/>
      </c>
      <c r="Z227">
        <f>HYPERLINK("https://klasma.github.io/Logging_2283/fåglar/A 6235-2023 prioriterade fågelarter.docx", "A 6235-2023")</f>
        <v/>
      </c>
    </row>
    <row r="228" ht="15" customHeight="1">
      <c r="A228" t="inlineStr">
        <is>
          <t>A 45007-2023</t>
        </is>
      </c>
      <c r="B228" s="1" t="n">
        <v>45190</v>
      </c>
      <c r="C228" s="1" t="n">
        <v>45998</v>
      </c>
      <c r="D228" t="inlineStr">
        <is>
          <t>VÄSTERNORRLANDS LÄN</t>
        </is>
      </c>
      <c r="E228" t="inlineStr">
        <is>
          <t>SOLLEFTEÅ</t>
        </is>
      </c>
      <c r="F228" t="inlineStr">
        <is>
          <t>SCA</t>
        </is>
      </c>
      <c r="G228" t="n">
        <v>2.1</v>
      </c>
      <c r="H228" t="n">
        <v>2</v>
      </c>
      <c r="I228" t="n">
        <v>0</v>
      </c>
      <c r="J228" t="n">
        <v>3</v>
      </c>
      <c r="K228" t="n">
        <v>0</v>
      </c>
      <c r="L228" t="n">
        <v>0</v>
      </c>
      <c r="M228" t="n">
        <v>0</v>
      </c>
      <c r="N228" t="n">
        <v>0</v>
      </c>
      <c r="O228" t="n">
        <v>3</v>
      </c>
      <c r="P228" t="n">
        <v>0</v>
      </c>
      <c r="Q228" t="n">
        <v>3</v>
      </c>
      <c r="R228" s="2" t="inlineStr">
        <is>
          <t>Spillkråka
Tretåig hackspett
Ullticka</t>
        </is>
      </c>
      <c r="S228">
        <f>HYPERLINK("https://klasma.github.io/Logging_2283/artfynd/A 45007-2023 artfynd.xlsx", "A 45007-2023")</f>
        <v/>
      </c>
      <c r="T228">
        <f>HYPERLINK("https://klasma.github.io/Logging_2283/kartor/A 45007-2023 karta.png", "A 45007-2023")</f>
        <v/>
      </c>
      <c r="V228">
        <f>HYPERLINK("https://klasma.github.io/Logging_2283/klagomål/A 45007-2023 FSC-klagomål.docx", "A 45007-2023")</f>
        <v/>
      </c>
      <c r="W228">
        <f>HYPERLINK("https://klasma.github.io/Logging_2283/klagomålsmail/A 45007-2023 FSC-klagomål mail.docx", "A 45007-2023")</f>
        <v/>
      </c>
      <c r="X228">
        <f>HYPERLINK("https://klasma.github.io/Logging_2283/tillsyn/A 45007-2023 tillsynsbegäran.docx", "A 45007-2023")</f>
        <v/>
      </c>
      <c r="Y228">
        <f>HYPERLINK("https://klasma.github.io/Logging_2283/tillsynsmail/A 45007-2023 tillsynsbegäran mail.docx", "A 45007-2023")</f>
        <v/>
      </c>
      <c r="Z228">
        <f>HYPERLINK("https://klasma.github.io/Logging_2283/fåglar/A 45007-2023 prioriterade fågelarter.docx", "A 45007-2023")</f>
        <v/>
      </c>
    </row>
    <row r="229" ht="15" customHeight="1">
      <c r="A229" t="inlineStr">
        <is>
          <t>A 23939-2024</t>
        </is>
      </c>
      <c r="B229" s="1" t="n">
        <v>45455.96303240741</v>
      </c>
      <c r="C229" s="1" t="n">
        <v>45998</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5121-2025</t>
        </is>
      </c>
      <c r="B230" s="1" t="n">
        <v>45691</v>
      </c>
      <c r="C230" s="1" t="n">
        <v>45998</v>
      </c>
      <c r="D230" t="inlineStr">
        <is>
          <t>VÄSTERNORRLANDS LÄN</t>
        </is>
      </c>
      <c r="E230" t="inlineStr">
        <is>
          <t>SOLLEFTEÅ</t>
        </is>
      </c>
      <c r="G230" t="n">
        <v>3.4</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HYPERLINK("https://klasma.github.io/Logging_2283/artfynd/A 5121-2025 artfynd.xlsx", "A 5121-2025")</f>
        <v/>
      </c>
      <c r="T230">
        <f>HYPERLINK("https://klasma.github.io/Logging_2283/kartor/A 5121-2025 karta.png", "A 5121-2025")</f>
        <v/>
      </c>
      <c r="V230">
        <f>HYPERLINK("https://klasma.github.io/Logging_2283/klagomål/A 5121-2025 FSC-klagomål.docx", "A 5121-2025")</f>
        <v/>
      </c>
      <c r="W230">
        <f>HYPERLINK("https://klasma.github.io/Logging_2283/klagomålsmail/A 5121-2025 FSC-klagomål mail.docx", "A 5121-2025")</f>
        <v/>
      </c>
      <c r="X230">
        <f>HYPERLINK("https://klasma.github.io/Logging_2283/tillsyn/A 5121-2025 tillsynsbegäran.docx", "A 5121-2025")</f>
        <v/>
      </c>
      <c r="Y230">
        <f>HYPERLINK("https://klasma.github.io/Logging_2283/tillsynsmail/A 5121-2025 tillsynsbegäran mail.docx", "A 5121-2025")</f>
        <v/>
      </c>
      <c r="Z230">
        <f>HYPERLINK("https://klasma.github.io/Logging_2283/fåglar/A 5121-2025 prioriterade fågelarter.docx", "A 5121-2025")</f>
        <v/>
      </c>
    </row>
    <row r="231" ht="15" customHeight="1">
      <c r="A231" t="inlineStr">
        <is>
          <t>A 38096-2024</t>
        </is>
      </c>
      <c r="B231" s="1" t="n">
        <v>45545.345</v>
      </c>
      <c r="C231" s="1" t="n">
        <v>45998</v>
      </c>
      <c r="D231" t="inlineStr">
        <is>
          <t>VÄSTERNORRLANDS LÄN</t>
        </is>
      </c>
      <c r="E231" t="inlineStr">
        <is>
          <t>SOLLEFTEÅ</t>
        </is>
      </c>
      <c r="F231" t="inlineStr">
        <is>
          <t>SCA</t>
        </is>
      </c>
      <c r="G231" t="n">
        <v>5.2</v>
      </c>
      <c r="H231" t="n">
        <v>1</v>
      </c>
      <c r="I231" t="n">
        <v>2</v>
      </c>
      <c r="J231" t="n">
        <v>1</v>
      </c>
      <c r="K231" t="n">
        <v>0</v>
      </c>
      <c r="L231" t="n">
        <v>0</v>
      </c>
      <c r="M231" t="n">
        <v>0</v>
      </c>
      <c r="N231" t="n">
        <v>0</v>
      </c>
      <c r="O231" t="n">
        <v>1</v>
      </c>
      <c r="P231" t="n">
        <v>0</v>
      </c>
      <c r="Q231" t="n">
        <v>3</v>
      </c>
      <c r="R231" s="2" t="inlineStr">
        <is>
          <t>Lunglav
Bollvitmossa
Lappranunkel</t>
        </is>
      </c>
      <c r="S231">
        <f>HYPERLINK("https://klasma.github.io/Logging_2283/artfynd/A 38096-2024 artfynd.xlsx", "A 38096-2024")</f>
        <v/>
      </c>
      <c r="T231">
        <f>HYPERLINK("https://klasma.github.io/Logging_2283/kartor/A 38096-2024 karta.png", "A 38096-2024")</f>
        <v/>
      </c>
      <c r="V231">
        <f>HYPERLINK("https://klasma.github.io/Logging_2283/klagomål/A 38096-2024 FSC-klagomål.docx", "A 38096-2024")</f>
        <v/>
      </c>
      <c r="W231">
        <f>HYPERLINK("https://klasma.github.io/Logging_2283/klagomålsmail/A 38096-2024 FSC-klagomål mail.docx", "A 38096-2024")</f>
        <v/>
      </c>
      <c r="X231">
        <f>HYPERLINK("https://klasma.github.io/Logging_2283/tillsyn/A 38096-2024 tillsynsbegäran.docx", "A 38096-2024")</f>
        <v/>
      </c>
      <c r="Y231">
        <f>HYPERLINK("https://klasma.github.io/Logging_2283/tillsynsmail/A 38096-2024 tillsynsbegäran mail.docx", "A 38096-2024")</f>
        <v/>
      </c>
    </row>
    <row r="232" ht="15" customHeight="1">
      <c r="A232" t="inlineStr">
        <is>
          <t>A 13877-2025</t>
        </is>
      </c>
      <c r="B232" s="1" t="n">
        <v>45737.59407407408</v>
      </c>
      <c r="C232" s="1" t="n">
        <v>45998</v>
      </c>
      <c r="D232" t="inlineStr">
        <is>
          <t>VÄSTERNORRLANDS LÄN</t>
        </is>
      </c>
      <c r="E232" t="inlineStr">
        <is>
          <t>SOLLEFTEÅ</t>
        </is>
      </c>
      <c r="F232" t="inlineStr">
        <is>
          <t>SCA</t>
        </is>
      </c>
      <c r="G232" t="n">
        <v>3.9</v>
      </c>
      <c r="H232" t="n">
        <v>2</v>
      </c>
      <c r="I232" t="n">
        <v>0</v>
      </c>
      <c r="J232" t="n">
        <v>2</v>
      </c>
      <c r="K232" t="n">
        <v>0</v>
      </c>
      <c r="L232" t="n">
        <v>0</v>
      </c>
      <c r="M232" t="n">
        <v>0</v>
      </c>
      <c r="N232" t="n">
        <v>0</v>
      </c>
      <c r="O232" t="n">
        <v>2</v>
      </c>
      <c r="P232" t="n">
        <v>0</v>
      </c>
      <c r="Q232" t="n">
        <v>3</v>
      </c>
      <c r="R232" s="2" t="inlineStr">
        <is>
          <t>Granticka
Spillkråka
Revlummer</t>
        </is>
      </c>
      <c r="S232">
        <f>HYPERLINK("https://klasma.github.io/Logging_2283/artfynd/A 13877-2025 artfynd.xlsx", "A 13877-2025")</f>
        <v/>
      </c>
      <c r="T232">
        <f>HYPERLINK("https://klasma.github.io/Logging_2283/kartor/A 13877-2025 karta.png", "A 13877-2025")</f>
        <v/>
      </c>
      <c r="V232">
        <f>HYPERLINK("https://klasma.github.io/Logging_2283/klagomål/A 13877-2025 FSC-klagomål.docx", "A 13877-2025")</f>
        <v/>
      </c>
      <c r="W232">
        <f>HYPERLINK("https://klasma.github.io/Logging_2283/klagomålsmail/A 13877-2025 FSC-klagomål mail.docx", "A 13877-2025")</f>
        <v/>
      </c>
      <c r="X232">
        <f>HYPERLINK("https://klasma.github.io/Logging_2283/tillsyn/A 13877-2025 tillsynsbegäran.docx", "A 13877-2025")</f>
        <v/>
      </c>
      <c r="Y232">
        <f>HYPERLINK("https://klasma.github.io/Logging_2283/tillsynsmail/A 13877-2025 tillsynsbegäran mail.docx", "A 13877-2025")</f>
        <v/>
      </c>
      <c r="Z232">
        <f>HYPERLINK("https://klasma.github.io/Logging_2283/fåglar/A 13877-2025 prioriterade fågelarter.docx", "A 13877-2025")</f>
        <v/>
      </c>
    </row>
    <row r="233" ht="15" customHeight="1">
      <c r="A233" t="inlineStr">
        <is>
          <t>A 22183-2025</t>
        </is>
      </c>
      <c r="B233" s="1" t="n">
        <v>45785.61677083333</v>
      </c>
      <c r="C233" s="1" t="n">
        <v>45998</v>
      </c>
      <c r="D233" t="inlineStr">
        <is>
          <t>VÄSTERNORRLANDS LÄN</t>
        </is>
      </c>
      <c r="E233" t="inlineStr">
        <is>
          <t>SOLLEFTEÅ</t>
        </is>
      </c>
      <c r="F233" t="inlineStr">
        <is>
          <t>SCA</t>
        </is>
      </c>
      <c r="G233" t="n">
        <v>0.3</v>
      </c>
      <c r="H233" t="n">
        <v>0</v>
      </c>
      <c r="I233" t="n">
        <v>1</v>
      </c>
      <c r="J233" t="n">
        <v>2</v>
      </c>
      <c r="K233" t="n">
        <v>0</v>
      </c>
      <c r="L233" t="n">
        <v>0</v>
      </c>
      <c r="M233" t="n">
        <v>0</v>
      </c>
      <c r="N233" t="n">
        <v>0</v>
      </c>
      <c r="O233" t="n">
        <v>2</v>
      </c>
      <c r="P233" t="n">
        <v>0</v>
      </c>
      <c r="Q233" t="n">
        <v>3</v>
      </c>
      <c r="R233" s="2" t="inlineStr">
        <is>
          <t>Garnlav
Rosenticka
Trådticka</t>
        </is>
      </c>
      <c r="S233">
        <f>HYPERLINK("https://klasma.github.io/Logging_2283/artfynd/A 22183-2025 artfynd.xlsx", "A 22183-2025")</f>
        <v/>
      </c>
      <c r="T233">
        <f>HYPERLINK("https://klasma.github.io/Logging_2283/kartor/A 22183-2025 karta.png", "A 22183-2025")</f>
        <v/>
      </c>
      <c r="V233">
        <f>HYPERLINK("https://klasma.github.io/Logging_2283/klagomål/A 22183-2025 FSC-klagomål.docx", "A 22183-2025")</f>
        <v/>
      </c>
      <c r="W233">
        <f>HYPERLINK("https://klasma.github.io/Logging_2283/klagomålsmail/A 22183-2025 FSC-klagomål mail.docx", "A 22183-2025")</f>
        <v/>
      </c>
      <c r="X233">
        <f>HYPERLINK("https://klasma.github.io/Logging_2283/tillsyn/A 22183-2025 tillsynsbegäran.docx", "A 22183-2025")</f>
        <v/>
      </c>
      <c r="Y233">
        <f>HYPERLINK("https://klasma.github.io/Logging_2283/tillsynsmail/A 22183-2025 tillsynsbegäran mail.docx", "A 22183-2025")</f>
        <v/>
      </c>
    </row>
    <row r="234" ht="15" customHeight="1">
      <c r="A234" t="inlineStr">
        <is>
          <t>A 40866-2023</t>
        </is>
      </c>
      <c r="B234" s="1" t="n">
        <v>45173</v>
      </c>
      <c r="C234" s="1" t="n">
        <v>45998</v>
      </c>
      <c r="D234" t="inlineStr">
        <is>
          <t>VÄSTERNORRLANDS LÄN</t>
        </is>
      </c>
      <c r="E234" t="inlineStr">
        <is>
          <t>SOLLEFTEÅ</t>
        </is>
      </c>
      <c r="G234" t="n">
        <v>1.7</v>
      </c>
      <c r="H234" t="n">
        <v>2</v>
      </c>
      <c r="I234" t="n">
        <v>1</v>
      </c>
      <c r="J234" t="n">
        <v>1</v>
      </c>
      <c r="K234" t="n">
        <v>0</v>
      </c>
      <c r="L234" t="n">
        <v>0</v>
      </c>
      <c r="M234" t="n">
        <v>0</v>
      </c>
      <c r="N234" t="n">
        <v>0</v>
      </c>
      <c r="O234" t="n">
        <v>1</v>
      </c>
      <c r="P234" t="n">
        <v>0</v>
      </c>
      <c r="Q234" t="n">
        <v>3</v>
      </c>
      <c r="R234" s="2" t="inlineStr">
        <is>
          <t>Spillkråka
Tibast
Skogsödla</t>
        </is>
      </c>
      <c r="S234">
        <f>HYPERLINK("https://klasma.github.io/Logging_2283/artfynd/A 40866-2023 artfynd.xlsx", "A 40866-2023")</f>
        <v/>
      </c>
      <c r="T234">
        <f>HYPERLINK("https://klasma.github.io/Logging_2283/kartor/A 40866-2023 karta.png", "A 40866-2023")</f>
        <v/>
      </c>
      <c r="V234">
        <f>HYPERLINK("https://klasma.github.io/Logging_2283/klagomål/A 40866-2023 FSC-klagomål.docx", "A 40866-2023")</f>
        <v/>
      </c>
      <c r="W234">
        <f>HYPERLINK("https://klasma.github.io/Logging_2283/klagomålsmail/A 40866-2023 FSC-klagomål mail.docx", "A 40866-2023")</f>
        <v/>
      </c>
      <c r="X234">
        <f>HYPERLINK("https://klasma.github.io/Logging_2283/tillsyn/A 40866-2023 tillsynsbegäran.docx", "A 40866-2023")</f>
        <v/>
      </c>
      <c r="Y234">
        <f>HYPERLINK("https://klasma.github.io/Logging_2283/tillsynsmail/A 40866-2023 tillsynsbegäran mail.docx", "A 40866-2023")</f>
        <v/>
      </c>
      <c r="Z234">
        <f>HYPERLINK("https://klasma.github.io/Logging_2283/fåglar/A 40866-2023 prioriterade fågelarter.docx", "A 40866-2023")</f>
        <v/>
      </c>
    </row>
    <row r="235" ht="15" customHeight="1">
      <c r="A235" t="inlineStr">
        <is>
          <t>A 43279-2025</t>
        </is>
      </c>
      <c r="B235" s="1" t="n">
        <v>45910.59446759259</v>
      </c>
      <c r="C235" s="1" t="n">
        <v>45998</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56783-2025</t>
        </is>
      </c>
      <c r="B236" s="1" t="n">
        <v>45978.40695601852</v>
      </c>
      <c r="C236" s="1" t="n">
        <v>45998</v>
      </c>
      <c r="D236" t="inlineStr">
        <is>
          <t>VÄSTERNORRLANDS LÄN</t>
        </is>
      </c>
      <c r="E236" t="inlineStr">
        <is>
          <t>SOLLEFTEÅ</t>
        </is>
      </c>
      <c r="F236" t="inlineStr">
        <is>
          <t>SCA</t>
        </is>
      </c>
      <c r="G236" t="n">
        <v>2.5</v>
      </c>
      <c r="H236" t="n">
        <v>0</v>
      </c>
      <c r="I236" t="n">
        <v>0</v>
      </c>
      <c r="J236" t="n">
        <v>3</v>
      </c>
      <c r="K236" t="n">
        <v>0</v>
      </c>
      <c r="L236" t="n">
        <v>0</v>
      </c>
      <c r="M236" t="n">
        <v>0</v>
      </c>
      <c r="N236" t="n">
        <v>0</v>
      </c>
      <c r="O236" t="n">
        <v>3</v>
      </c>
      <c r="P236" t="n">
        <v>0</v>
      </c>
      <c r="Q236" t="n">
        <v>3</v>
      </c>
      <c r="R236" s="2" t="inlineStr">
        <is>
          <t>Kolflarnlav
Lunglav
Orange taggsvamp</t>
        </is>
      </c>
      <c r="S236">
        <f>HYPERLINK("https://klasma.github.io/Logging_2283/artfynd/A 56783-2025 artfynd.xlsx", "A 56783-2025")</f>
        <v/>
      </c>
      <c r="T236">
        <f>HYPERLINK("https://klasma.github.io/Logging_2283/kartor/A 56783-2025 karta.png", "A 56783-2025")</f>
        <v/>
      </c>
      <c r="V236">
        <f>HYPERLINK("https://klasma.github.io/Logging_2283/klagomål/A 56783-2025 FSC-klagomål.docx", "A 56783-2025")</f>
        <v/>
      </c>
      <c r="W236">
        <f>HYPERLINK("https://klasma.github.io/Logging_2283/klagomålsmail/A 56783-2025 FSC-klagomål mail.docx", "A 56783-2025")</f>
        <v/>
      </c>
      <c r="X236">
        <f>HYPERLINK("https://klasma.github.io/Logging_2283/tillsyn/A 56783-2025 tillsynsbegäran.docx", "A 56783-2025")</f>
        <v/>
      </c>
      <c r="Y236">
        <f>HYPERLINK("https://klasma.github.io/Logging_2283/tillsynsmail/A 56783-2025 tillsynsbegäran mail.docx", "A 56783-2025")</f>
        <v/>
      </c>
    </row>
    <row r="237" ht="15" customHeight="1">
      <c r="A237" t="inlineStr">
        <is>
          <t>A 25707-2025</t>
        </is>
      </c>
      <c r="B237" s="1" t="n">
        <v>45803.67806712963</v>
      </c>
      <c r="C237" s="1" t="n">
        <v>45998</v>
      </c>
      <c r="D237" t="inlineStr">
        <is>
          <t>VÄSTERNORRLANDS LÄN</t>
        </is>
      </c>
      <c r="E237" t="inlineStr">
        <is>
          <t>SOLLEFTEÅ</t>
        </is>
      </c>
      <c r="F237" t="inlineStr">
        <is>
          <t>SCA</t>
        </is>
      </c>
      <c r="G237" t="n">
        <v>2.6</v>
      </c>
      <c r="H237" t="n">
        <v>1</v>
      </c>
      <c r="I237" t="n">
        <v>1</v>
      </c>
      <c r="J237" t="n">
        <v>2</v>
      </c>
      <c r="K237" t="n">
        <v>0</v>
      </c>
      <c r="L237" t="n">
        <v>0</v>
      </c>
      <c r="M237" t="n">
        <v>0</v>
      </c>
      <c r="N237" t="n">
        <v>0</v>
      </c>
      <c r="O237" t="n">
        <v>2</v>
      </c>
      <c r="P237" t="n">
        <v>0</v>
      </c>
      <c r="Q237" t="n">
        <v>3</v>
      </c>
      <c r="R237" s="2" t="inlineStr">
        <is>
          <t>Kolflarnlav
Talltita
Norrlandslav</t>
        </is>
      </c>
      <c r="S237">
        <f>HYPERLINK("https://klasma.github.io/Logging_2283/artfynd/A 25707-2025 artfynd.xlsx", "A 25707-2025")</f>
        <v/>
      </c>
      <c r="T237">
        <f>HYPERLINK("https://klasma.github.io/Logging_2283/kartor/A 25707-2025 karta.png", "A 25707-2025")</f>
        <v/>
      </c>
      <c r="V237">
        <f>HYPERLINK("https://klasma.github.io/Logging_2283/klagomål/A 25707-2025 FSC-klagomål.docx", "A 25707-2025")</f>
        <v/>
      </c>
      <c r="W237">
        <f>HYPERLINK("https://klasma.github.io/Logging_2283/klagomålsmail/A 25707-2025 FSC-klagomål mail.docx", "A 25707-2025")</f>
        <v/>
      </c>
      <c r="X237">
        <f>HYPERLINK("https://klasma.github.io/Logging_2283/tillsyn/A 25707-2025 tillsynsbegäran.docx", "A 25707-2025")</f>
        <v/>
      </c>
      <c r="Y237">
        <f>HYPERLINK("https://klasma.github.io/Logging_2283/tillsynsmail/A 25707-2025 tillsynsbegäran mail.docx", "A 25707-2025")</f>
        <v/>
      </c>
      <c r="Z237">
        <f>HYPERLINK("https://klasma.github.io/Logging_2283/fåglar/A 25707-2025 prioriterade fågelarter.docx", "A 25707-2025")</f>
        <v/>
      </c>
    </row>
    <row r="238" ht="15" customHeight="1">
      <c r="A238" t="inlineStr">
        <is>
          <t>A 32256-2024</t>
        </is>
      </c>
      <c r="B238" s="1" t="n">
        <v>45511</v>
      </c>
      <c r="C238" s="1" t="n">
        <v>45998</v>
      </c>
      <c r="D238" t="inlineStr">
        <is>
          <t>VÄSTERNORRLANDS LÄN</t>
        </is>
      </c>
      <c r="E238" t="inlineStr">
        <is>
          <t>SOLLEFTEÅ</t>
        </is>
      </c>
      <c r="F238" t="inlineStr">
        <is>
          <t>SCA</t>
        </is>
      </c>
      <c r="G238" t="n">
        <v>3.9</v>
      </c>
      <c r="H238" t="n">
        <v>1</v>
      </c>
      <c r="I238" t="n">
        <v>1</v>
      </c>
      <c r="J238" t="n">
        <v>2</v>
      </c>
      <c r="K238" t="n">
        <v>0</v>
      </c>
      <c r="L238" t="n">
        <v>0</v>
      </c>
      <c r="M238" t="n">
        <v>0</v>
      </c>
      <c r="N238" t="n">
        <v>0</v>
      </c>
      <c r="O238" t="n">
        <v>2</v>
      </c>
      <c r="P238" t="n">
        <v>0</v>
      </c>
      <c r="Q238" t="n">
        <v>3</v>
      </c>
      <c r="R238" s="2" t="inlineStr">
        <is>
          <t>Tretåig hackspett
Vedtrappmossa
Fjällig taggsvamp s.str.</t>
        </is>
      </c>
      <c r="S238">
        <f>HYPERLINK("https://klasma.github.io/Logging_2283/artfynd/A 32256-2024 artfynd.xlsx", "A 32256-2024")</f>
        <v/>
      </c>
      <c r="T238">
        <f>HYPERLINK("https://klasma.github.io/Logging_2283/kartor/A 32256-2024 karta.png", "A 32256-2024")</f>
        <v/>
      </c>
      <c r="V238">
        <f>HYPERLINK("https://klasma.github.io/Logging_2283/klagomål/A 32256-2024 FSC-klagomål.docx", "A 32256-2024")</f>
        <v/>
      </c>
      <c r="W238">
        <f>HYPERLINK("https://klasma.github.io/Logging_2283/klagomålsmail/A 32256-2024 FSC-klagomål mail.docx", "A 32256-2024")</f>
        <v/>
      </c>
      <c r="X238">
        <f>HYPERLINK("https://klasma.github.io/Logging_2283/tillsyn/A 32256-2024 tillsynsbegäran.docx", "A 32256-2024")</f>
        <v/>
      </c>
      <c r="Y238">
        <f>HYPERLINK("https://klasma.github.io/Logging_2283/tillsynsmail/A 32256-2024 tillsynsbegäran mail.docx", "A 32256-2024")</f>
        <v/>
      </c>
      <c r="Z238">
        <f>HYPERLINK("https://klasma.github.io/Logging_2283/fåglar/A 32256-2024 prioriterade fågelarter.docx", "A 32256-2024")</f>
        <v/>
      </c>
    </row>
    <row r="239" ht="15" customHeight="1">
      <c r="A239" t="inlineStr">
        <is>
          <t>A 54254-2025</t>
        </is>
      </c>
      <c r="B239" s="1" t="n">
        <v>45964.65668981482</v>
      </c>
      <c r="C239" s="1" t="n">
        <v>45998</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55125-2025</t>
        </is>
      </c>
      <c r="B240" s="1" t="n">
        <v>45968.40688657408</v>
      </c>
      <c r="C240" s="1" t="n">
        <v>45998</v>
      </c>
      <c r="D240" t="inlineStr">
        <is>
          <t>VÄSTERNORRLANDS LÄN</t>
        </is>
      </c>
      <c r="E240" t="inlineStr">
        <is>
          <t>SOLLEFTEÅ</t>
        </is>
      </c>
      <c r="F240" t="inlineStr">
        <is>
          <t>SCA</t>
        </is>
      </c>
      <c r="G240" t="n">
        <v>6.1</v>
      </c>
      <c r="H240" t="n">
        <v>2</v>
      </c>
      <c r="I240" t="n">
        <v>0</v>
      </c>
      <c r="J240" t="n">
        <v>3</v>
      </c>
      <c r="K240" t="n">
        <v>0</v>
      </c>
      <c r="L240" t="n">
        <v>0</v>
      </c>
      <c r="M240" t="n">
        <v>0</v>
      </c>
      <c r="N240" t="n">
        <v>0</v>
      </c>
      <c r="O240" t="n">
        <v>3</v>
      </c>
      <c r="P240" t="n">
        <v>0</v>
      </c>
      <c r="Q240" t="n">
        <v>3</v>
      </c>
      <c r="R240" s="2" t="inlineStr">
        <is>
          <t>Harticka
Talltita
Tretåig hackspett</t>
        </is>
      </c>
      <c r="S240">
        <f>HYPERLINK("https://klasma.github.io/Logging_2283/artfynd/A 55125-2025 artfynd.xlsx", "A 55125-2025")</f>
        <v/>
      </c>
      <c r="T240">
        <f>HYPERLINK("https://klasma.github.io/Logging_2283/kartor/A 55125-2025 karta.png", "A 55125-2025")</f>
        <v/>
      </c>
      <c r="V240">
        <f>HYPERLINK("https://klasma.github.io/Logging_2283/klagomål/A 55125-2025 FSC-klagomål.docx", "A 55125-2025")</f>
        <v/>
      </c>
      <c r="W240">
        <f>HYPERLINK("https://klasma.github.io/Logging_2283/klagomålsmail/A 55125-2025 FSC-klagomål mail.docx", "A 55125-2025")</f>
        <v/>
      </c>
      <c r="X240">
        <f>HYPERLINK("https://klasma.github.io/Logging_2283/tillsyn/A 55125-2025 tillsynsbegäran.docx", "A 55125-2025")</f>
        <v/>
      </c>
      <c r="Y240">
        <f>HYPERLINK("https://klasma.github.io/Logging_2283/tillsynsmail/A 55125-2025 tillsynsbegäran mail.docx", "A 55125-2025")</f>
        <v/>
      </c>
      <c r="Z240">
        <f>HYPERLINK("https://klasma.github.io/Logging_2283/fåglar/A 55125-2025 prioriterade fågelarter.docx", "A 55125-2025")</f>
        <v/>
      </c>
    </row>
    <row r="241" ht="15" customHeight="1">
      <c r="A241" t="inlineStr">
        <is>
          <t>A 26341-2025</t>
        </is>
      </c>
      <c r="B241" s="1" t="n">
        <v>45805.69878472222</v>
      </c>
      <c r="C241" s="1" t="n">
        <v>45998</v>
      </c>
      <c r="D241" t="inlineStr">
        <is>
          <t>VÄSTERNORRLANDS LÄN</t>
        </is>
      </c>
      <c r="E241" t="inlineStr">
        <is>
          <t>SOLLEFTEÅ</t>
        </is>
      </c>
      <c r="F241" t="inlineStr">
        <is>
          <t>SCA</t>
        </is>
      </c>
      <c r="G241" t="n">
        <v>3.2</v>
      </c>
      <c r="H241" t="n">
        <v>3</v>
      </c>
      <c r="I241" t="n">
        <v>0</v>
      </c>
      <c r="J241" t="n">
        <v>2</v>
      </c>
      <c r="K241" t="n">
        <v>0</v>
      </c>
      <c r="L241" t="n">
        <v>0</v>
      </c>
      <c r="M241" t="n">
        <v>0</v>
      </c>
      <c r="N241" t="n">
        <v>0</v>
      </c>
      <c r="O241" t="n">
        <v>2</v>
      </c>
      <c r="P241" t="n">
        <v>0</v>
      </c>
      <c r="Q241" t="n">
        <v>3</v>
      </c>
      <c r="R241" s="2" t="inlineStr">
        <is>
          <t>Talltita
Tretåig hackspett
Lavskrika</t>
        </is>
      </c>
      <c r="S241">
        <f>HYPERLINK("https://klasma.github.io/Logging_2283/artfynd/A 26341-2025 artfynd.xlsx", "A 26341-2025")</f>
        <v/>
      </c>
      <c r="T241">
        <f>HYPERLINK("https://klasma.github.io/Logging_2283/kartor/A 26341-2025 karta.png", "A 26341-2025")</f>
        <v/>
      </c>
      <c r="V241">
        <f>HYPERLINK("https://klasma.github.io/Logging_2283/klagomål/A 26341-2025 FSC-klagomål.docx", "A 26341-2025")</f>
        <v/>
      </c>
      <c r="W241">
        <f>HYPERLINK("https://klasma.github.io/Logging_2283/klagomålsmail/A 26341-2025 FSC-klagomål mail.docx", "A 26341-2025")</f>
        <v/>
      </c>
      <c r="X241">
        <f>HYPERLINK("https://klasma.github.io/Logging_2283/tillsyn/A 26341-2025 tillsynsbegäran.docx", "A 26341-2025")</f>
        <v/>
      </c>
      <c r="Y241">
        <f>HYPERLINK("https://klasma.github.io/Logging_2283/tillsynsmail/A 26341-2025 tillsynsbegäran mail.docx", "A 26341-2025")</f>
        <v/>
      </c>
      <c r="Z241">
        <f>HYPERLINK("https://klasma.github.io/Logging_2283/fåglar/A 26341-2025 prioriterade fågelarter.docx", "A 26341-2025")</f>
        <v/>
      </c>
    </row>
    <row r="242" ht="15" customHeight="1">
      <c r="A242" t="inlineStr">
        <is>
          <t>A 32070-2025</t>
        </is>
      </c>
      <c r="B242" s="1" t="n">
        <v>45835.44885416667</v>
      </c>
      <c r="C242" s="1" t="n">
        <v>45998</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25919-2025</t>
        </is>
      </c>
      <c r="B243" s="1" t="n">
        <v>45804</v>
      </c>
      <c r="C243" s="1" t="n">
        <v>45998</v>
      </c>
      <c r="D243" t="inlineStr">
        <is>
          <t>VÄSTERNORRLANDS LÄN</t>
        </is>
      </c>
      <c r="E243" t="inlineStr">
        <is>
          <t>SOLLEFTEÅ</t>
        </is>
      </c>
      <c r="G243" t="n">
        <v>8.5</v>
      </c>
      <c r="H243" t="n">
        <v>0</v>
      </c>
      <c r="I243" t="n">
        <v>2</v>
      </c>
      <c r="J243" t="n">
        <v>1</v>
      </c>
      <c r="K243" t="n">
        <v>0</v>
      </c>
      <c r="L243" t="n">
        <v>0</v>
      </c>
      <c r="M243" t="n">
        <v>0</v>
      </c>
      <c r="N243" t="n">
        <v>0</v>
      </c>
      <c r="O243" t="n">
        <v>1</v>
      </c>
      <c r="P243" t="n">
        <v>0</v>
      </c>
      <c r="Q243" t="n">
        <v>3</v>
      </c>
      <c r="R243" s="2" t="inlineStr">
        <is>
          <t>Granticka
Svart trolldruva
Vårärt</t>
        </is>
      </c>
      <c r="S243">
        <f>HYPERLINK("https://klasma.github.io/Logging_2283/artfynd/A 25919-2025 artfynd.xlsx", "A 25919-2025")</f>
        <v/>
      </c>
      <c r="T243">
        <f>HYPERLINK("https://klasma.github.io/Logging_2283/kartor/A 25919-2025 karta.png", "A 25919-2025")</f>
        <v/>
      </c>
      <c r="V243">
        <f>HYPERLINK("https://klasma.github.io/Logging_2283/klagomål/A 25919-2025 FSC-klagomål.docx", "A 25919-2025")</f>
        <v/>
      </c>
      <c r="W243">
        <f>HYPERLINK("https://klasma.github.io/Logging_2283/klagomålsmail/A 25919-2025 FSC-klagomål mail.docx", "A 25919-2025")</f>
        <v/>
      </c>
      <c r="X243">
        <f>HYPERLINK("https://klasma.github.io/Logging_2283/tillsyn/A 25919-2025 tillsynsbegäran.docx", "A 25919-2025")</f>
        <v/>
      </c>
      <c r="Y243">
        <f>HYPERLINK("https://klasma.github.io/Logging_2283/tillsynsmail/A 25919-2025 tillsynsbegäran mail.docx", "A 25919-2025")</f>
        <v/>
      </c>
    </row>
    <row r="244" ht="15" customHeight="1">
      <c r="A244" t="inlineStr">
        <is>
          <t>A 50838-2023</t>
        </is>
      </c>
      <c r="B244" s="1" t="n">
        <v>45217</v>
      </c>
      <c r="C244" s="1" t="n">
        <v>45998</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53852-2024</t>
        </is>
      </c>
      <c r="B245" s="1" t="n">
        <v>45615.63590277778</v>
      </c>
      <c r="C245" s="1" t="n">
        <v>45998</v>
      </c>
      <c r="D245" t="inlineStr">
        <is>
          <t>VÄSTERNORRLANDS LÄN</t>
        </is>
      </c>
      <c r="E245" t="inlineStr">
        <is>
          <t>SOLLEFTEÅ</t>
        </is>
      </c>
      <c r="F245" t="inlineStr">
        <is>
          <t>SCA</t>
        </is>
      </c>
      <c r="G245" t="n">
        <v>0.7</v>
      </c>
      <c r="H245" t="n">
        <v>1</v>
      </c>
      <c r="I245" t="n">
        <v>2</v>
      </c>
      <c r="J245" t="n">
        <v>1</v>
      </c>
      <c r="K245" t="n">
        <v>0</v>
      </c>
      <c r="L245" t="n">
        <v>0</v>
      </c>
      <c r="M245" t="n">
        <v>0</v>
      </c>
      <c r="N245" t="n">
        <v>0</v>
      </c>
      <c r="O245" t="n">
        <v>1</v>
      </c>
      <c r="P245" t="n">
        <v>0</v>
      </c>
      <c r="Q245" t="n">
        <v>3</v>
      </c>
      <c r="R245" s="2" t="inlineStr">
        <is>
          <t>Garnlav
Korallrot
Ögonpyrola</t>
        </is>
      </c>
      <c r="S245">
        <f>HYPERLINK("https://klasma.github.io/Logging_2283/artfynd/A 53852-2024 artfynd.xlsx", "A 53852-2024")</f>
        <v/>
      </c>
      <c r="T245">
        <f>HYPERLINK("https://klasma.github.io/Logging_2283/kartor/A 53852-2024 karta.png", "A 53852-2024")</f>
        <v/>
      </c>
      <c r="V245">
        <f>HYPERLINK("https://klasma.github.io/Logging_2283/klagomål/A 53852-2024 FSC-klagomål.docx", "A 53852-2024")</f>
        <v/>
      </c>
      <c r="W245">
        <f>HYPERLINK("https://klasma.github.io/Logging_2283/klagomålsmail/A 53852-2024 FSC-klagomål mail.docx", "A 53852-2024")</f>
        <v/>
      </c>
      <c r="X245">
        <f>HYPERLINK("https://klasma.github.io/Logging_2283/tillsyn/A 53852-2024 tillsynsbegäran.docx", "A 53852-2024")</f>
        <v/>
      </c>
      <c r="Y245">
        <f>HYPERLINK("https://klasma.github.io/Logging_2283/tillsynsmail/A 53852-2024 tillsynsbegäran mail.docx", "A 53852-2024")</f>
        <v/>
      </c>
    </row>
    <row r="246" ht="15" customHeight="1">
      <c r="A246" t="inlineStr">
        <is>
          <t>A 21097-2024</t>
        </is>
      </c>
      <c r="B246" s="1" t="n">
        <v>45439</v>
      </c>
      <c r="C246" s="1" t="n">
        <v>45998</v>
      </c>
      <c r="D246" t="inlineStr">
        <is>
          <t>VÄSTERNORRLANDS LÄN</t>
        </is>
      </c>
      <c r="E246" t="inlineStr">
        <is>
          <t>SOLLEFTEÅ</t>
        </is>
      </c>
      <c r="F246" t="inlineStr">
        <is>
          <t>SCA</t>
        </is>
      </c>
      <c r="G246" t="n">
        <v>7.7</v>
      </c>
      <c r="H246" t="n">
        <v>1</v>
      </c>
      <c r="I246" t="n">
        <v>1</v>
      </c>
      <c r="J246" t="n">
        <v>2</v>
      </c>
      <c r="K246" t="n">
        <v>0</v>
      </c>
      <c r="L246" t="n">
        <v>0</v>
      </c>
      <c r="M246" t="n">
        <v>0</v>
      </c>
      <c r="N246" t="n">
        <v>0</v>
      </c>
      <c r="O246" t="n">
        <v>2</v>
      </c>
      <c r="P246" t="n">
        <v>0</v>
      </c>
      <c r="Q246" t="n">
        <v>3</v>
      </c>
      <c r="R246" s="2" t="inlineStr">
        <is>
          <t>Lunglav
Ullticka
Lappranunkel</t>
        </is>
      </c>
      <c r="S246">
        <f>HYPERLINK("https://klasma.github.io/Logging_2283/artfynd/A 21097-2024 artfynd.xlsx", "A 21097-2024")</f>
        <v/>
      </c>
      <c r="T246">
        <f>HYPERLINK("https://klasma.github.io/Logging_2283/kartor/A 21097-2024 karta.png", "A 21097-2024")</f>
        <v/>
      </c>
      <c r="V246">
        <f>HYPERLINK("https://klasma.github.io/Logging_2283/klagomål/A 21097-2024 FSC-klagomål.docx", "A 21097-2024")</f>
        <v/>
      </c>
      <c r="W246">
        <f>HYPERLINK("https://klasma.github.io/Logging_2283/klagomålsmail/A 21097-2024 FSC-klagomål mail.docx", "A 21097-2024")</f>
        <v/>
      </c>
      <c r="X246">
        <f>HYPERLINK("https://klasma.github.io/Logging_2283/tillsyn/A 21097-2024 tillsynsbegäran.docx", "A 21097-2024")</f>
        <v/>
      </c>
      <c r="Y246">
        <f>HYPERLINK("https://klasma.github.io/Logging_2283/tillsynsmail/A 21097-2024 tillsynsbegäran mail.docx", "A 21097-2024")</f>
        <v/>
      </c>
    </row>
    <row r="247" ht="15" customHeight="1">
      <c r="A247" t="inlineStr">
        <is>
          <t>A 24757-2024</t>
        </is>
      </c>
      <c r="B247" s="1" t="n">
        <v>45460.67375</v>
      </c>
      <c r="C247" s="1" t="n">
        <v>45998</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8077-2025</t>
        </is>
      </c>
      <c r="B248" s="1" t="n">
        <v>45707.65659722222</v>
      </c>
      <c r="C248" s="1" t="n">
        <v>45998</v>
      </c>
      <c r="D248" t="inlineStr">
        <is>
          <t>VÄSTERNORRLANDS LÄN</t>
        </is>
      </c>
      <c r="E248" t="inlineStr">
        <is>
          <t>SOLLEFTEÅ</t>
        </is>
      </c>
      <c r="F248" t="inlineStr">
        <is>
          <t>SCA</t>
        </is>
      </c>
      <c r="G248" t="n">
        <v>2.7</v>
      </c>
      <c r="H248" t="n">
        <v>3</v>
      </c>
      <c r="I248" t="n">
        <v>0</v>
      </c>
      <c r="J248" t="n">
        <v>2</v>
      </c>
      <c r="K248" t="n">
        <v>0</v>
      </c>
      <c r="L248" t="n">
        <v>0</v>
      </c>
      <c r="M248" t="n">
        <v>0</v>
      </c>
      <c r="N248" t="n">
        <v>0</v>
      </c>
      <c r="O248" t="n">
        <v>2</v>
      </c>
      <c r="P248" t="n">
        <v>0</v>
      </c>
      <c r="Q248" t="n">
        <v>3</v>
      </c>
      <c r="R248" s="2" t="inlineStr">
        <is>
          <t>Spillkråka
Tretåig hackspett
Tjäder</t>
        </is>
      </c>
      <c r="S248">
        <f>HYPERLINK("https://klasma.github.io/Logging_2283/artfynd/A 8077-2025 artfynd.xlsx", "A 8077-2025")</f>
        <v/>
      </c>
      <c r="T248">
        <f>HYPERLINK("https://klasma.github.io/Logging_2283/kartor/A 8077-2025 karta.png", "A 8077-2025")</f>
        <v/>
      </c>
      <c r="V248">
        <f>HYPERLINK("https://klasma.github.io/Logging_2283/klagomål/A 8077-2025 FSC-klagomål.docx", "A 8077-2025")</f>
        <v/>
      </c>
      <c r="W248">
        <f>HYPERLINK("https://klasma.github.io/Logging_2283/klagomålsmail/A 8077-2025 FSC-klagomål mail.docx", "A 8077-2025")</f>
        <v/>
      </c>
      <c r="X248">
        <f>HYPERLINK("https://klasma.github.io/Logging_2283/tillsyn/A 8077-2025 tillsynsbegäran.docx", "A 8077-2025")</f>
        <v/>
      </c>
      <c r="Y248">
        <f>HYPERLINK("https://klasma.github.io/Logging_2283/tillsynsmail/A 8077-2025 tillsynsbegäran mail.docx", "A 8077-2025")</f>
        <v/>
      </c>
      <c r="Z248">
        <f>HYPERLINK("https://klasma.github.io/Logging_2283/fåglar/A 8077-2025 prioriterade fågelarter.docx", "A 8077-2025")</f>
        <v/>
      </c>
    </row>
    <row r="249" ht="15" customHeight="1">
      <c r="A249" t="inlineStr">
        <is>
          <t>A 13059-2022</t>
        </is>
      </c>
      <c r="B249" s="1" t="n">
        <v>44643</v>
      </c>
      <c r="C249" s="1" t="n">
        <v>45998</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45213-2021</t>
        </is>
      </c>
      <c r="B250" s="1" t="n">
        <v>44431</v>
      </c>
      <c r="C250" s="1" t="n">
        <v>45998</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45998</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9583-2022</t>
        </is>
      </c>
      <c r="B252" s="1" t="n">
        <v>44617</v>
      </c>
      <c r="C252" s="1" t="n">
        <v>45998</v>
      </c>
      <c r="D252" t="inlineStr">
        <is>
          <t>VÄSTERNORRLANDS LÄN</t>
        </is>
      </c>
      <c r="E252" t="inlineStr">
        <is>
          <t>SOLLEFTEÅ</t>
        </is>
      </c>
      <c r="F252" t="inlineStr">
        <is>
          <t>Övriga Aktiebolag</t>
        </is>
      </c>
      <c r="G252" t="n">
        <v>2.3</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9583-2022 artfynd.xlsx", "A 9583-2022")</f>
        <v/>
      </c>
      <c r="T252">
        <f>HYPERLINK("https://klasma.github.io/Logging_2283/kartor/A 9583-2022 karta.png", "A 9583-2022")</f>
        <v/>
      </c>
      <c r="V252">
        <f>HYPERLINK("https://klasma.github.io/Logging_2283/klagomål/A 9583-2022 FSC-klagomål.docx", "A 9583-2022")</f>
        <v/>
      </c>
      <c r="W252">
        <f>HYPERLINK("https://klasma.github.io/Logging_2283/klagomålsmail/A 9583-2022 FSC-klagomål mail.docx", "A 9583-2022")</f>
        <v/>
      </c>
      <c r="X252">
        <f>HYPERLINK("https://klasma.github.io/Logging_2283/tillsyn/A 9583-2022 tillsynsbegäran.docx", "A 9583-2022")</f>
        <v/>
      </c>
      <c r="Y252">
        <f>HYPERLINK("https://klasma.github.io/Logging_2283/tillsynsmail/A 9583-2022 tillsynsbegäran mail.docx", "A 9583-2022")</f>
        <v/>
      </c>
    </row>
    <row r="253" ht="15" customHeight="1">
      <c r="A253" t="inlineStr">
        <is>
          <t>A 33087-2022</t>
        </is>
      </c>
      <c r="B253" s="1" t="n">
        <v>44785</v>
      </c>
      <c r="C253" s="1" t="n">
        <v>45998</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45998</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45998</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45998</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68863-2021</t>
        </is>
      </c>
      <c r="B257" s="1" t="n">
        <v>44530</v>
      </c>
      <c r="C257" s="1" t="n">
        <v>45998</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13658-2022</t>
        </is>
      </c>
      <c r="B258" s="1" t="n">
        <v>44648</v>
      </c>
      <c r="C258" s="1" t="n">
        <v>45998</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35071-2021</t>
        </is>
      </c>
      <c r="B259" s="1" t="n">
        <v>44383</v>
      </c>
      <c r="C259" s="1" t="n">
        <v>45998</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51024-2021</t>
        </is>
      </c>
      <c r="B260" s="1" t="n">
        <v>44460.94056712963</v>
      </c>
      <c r="C260" s="1" t="n">
        <v>45998</v>
      </c>
      <c r="D260" t="inlineStr">
        <is>
          <t>VÄSTERNORRLANDS LÄN</t>
        </is>
      </c>
      <c r="E260" t="inlineStr">
        <is>
          <t>SOLLEFTEÅ</t>
        </is>
      </c>
      <c r="F260" t="inlineStr">
        <is>
          <t>SCA</t>
        </is>
      </c>
      <c r="G260" t="n">
        <v>7.1</v>
      </c>
      <c r="H260" t="n">
        <v>0</v>
      </c>
      <c r="I260" t="n">
        <v>0</v>
      </c>
      <c r="J260" t="n">
        <v>2</v>
      </c>
      <c r="K260" t="n">
        <v>0</v>
      </c>
      <c r="L260" t="n">
        <v>0</v>
      </c>
      <c r="M260" t="n">
        <v>0</v>
      </c>
      <c r="N260" t="n">
        <v>0</v>
      </c>
      <c r="O260" t="n">
        <v>2</v>
      </c>
      <c r="P260" t="n">
        <v>0</v>
      </c>
      <c r="Q260" t="n">
        <v>2</v>
      </c>
      <c r="R260" s="2" t="inlineStr">
        <is>
          <t>Tallticka
Ullticka</t>
        </is>
      </c>
      <c r="S260">
        <f>HYPERLINK("https://klasma.github.io/Logging_2283/artfynd/A 51024-2021 artfynd.xlsx", "A 51024-2021")</f>
        <v/>
      </c>
      <c r="T260">
        <f>HYPERLINK("https://klasma.github.io/Logging_2283/kartor/A 51024-2021 karta.png", "A 51024-2021")</f>
        <v/>
      </c>
      <c r="V260">
        <f>HYPERLINK("https://klasma.github.io/Logging_2283/klagomål/A 51024-2021 FSC-klagomål.docx", "A 51024-2021")</f>
        <v/>
      </c>
      <c r="W260">
        <f>HYPERLINK("https://klasma.github.io/Logging_2283/klagomålsmail/A 51024-2021 FSC-klagomål mail.docx", "A 51024-2021")</f>
        <v/>
      </c>
      <c r="X260">
        <f>HYPERLINK("https://klasma.github.io/Logging_2283/tillsyn/A 51024-2021 tillsynsbegäran.docx", "A 51024-2021")</f>
        <v/>
      </c>
      <c r="Y260">
        <f>HYPERLINK("https://klasma.github.io/Logging_2283/tillsynsmail/A 51024-2021 tillsynsbegäran mail.docx", "A 51024-2021")</f>
        <v/>
      </c>
    </row>
    <row r="261" ht="15" customHeight="1">
      <c r="A261" t="inlineStr">
        <is>
          <t>A 45119-2022</t>
        </is>
      </c>
      <c r="B261" s="1" t="n">
        <v>44843</v>
      </c>
      <c r="C261" s="1" t="n">
        <v>45998</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31491-2024</t>
        </is>
      </c>
      <c r="B262" s="1" t="n">
        <v>45505</v>
      </c>
      <c r="C262" s="1" t="n">
        <v>45998</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20347-2025</t>
        </is>
      </c>
      <c r="B263" s="1" t="n">
        <v>45775</v>
      </c>
      <c r="C263" s="1" t="n">
        <v>45998</v>
      </c>
      <c r="D263" t="inlineStr">
        <is>
          <t>VÄSTERNORRLANDS LÄN</t>
        </is>
      </c>
      <c r="E263" t="inlineStr">
        <is>
          <t>SOLLEFTEÅ</t>
        </is>
      </c>
      <c r="G263" t="n">
        <v>8.699999999999999</v>
      </c>
      <c r="H263" t="n">
        <v>1</v>
      </c>
      <c r="I263" t="n">
        <v>1</v>
      </c>
      <c r="J263" t="n">
        <v>0</v>
      </c>
      <c r="K263" t="n">
        <v>0</v>
      </c>
      <c r="L263" t="n">
        <v>0</v>
      </c>
      <c r="M263" t="n">
        <v>0</v>
      </c>
      <c r="N263" t="n">
        <v>0</v>
      </c>
      <c r="O263" t="n">
        <v>0</v>
      </c>
      <c r="P263" t="n">
        <v>0</v>
      </c>
      <c r="Q263" t="n">
        <v>2</v>
      </c>
      <c r="R263" s="2" t="inlineStr">
        <is>
          <t>Gräsull
Fläcknycklar</t>
        </is>
      </c>
      <c r="S263">
        <f>HYPERLINK("https://klasma.github.io/Logging_2283/artfynd/A 20347-2025 artfynd.xlsx", "A 20347-2025")</f>
        <v/>
      </c>
      <c r="T263">
        <f>HYPERLINK("https://klasma.github.io/Logging_2283/kartor/A 20347-2025 karta.png", "A 20347-2025")</f>
        <v/>
      </c>
      <c r="V263">
        <f>HYPERLINK("https://klasma.github.io/Logging_2283/klagomål/A 20347-2025 FSC-klagomål.docx", "A 20347-2025")</f>
        <v/>
      </c>
      <c r="W263">
        <f>HYPERLINK("https://klasma.github.io/Logging_2283/klagomålsmail/A 20347-2025 FSC-klagomål mail.docx", "A 20347-2025")</f>
        <v/>
      </c>
      <c r="X263">
        <f>HYPERLINK("https://klasma.github.io/Logging_2283/tillsyn/A 20347-2025 tillsynsbegäran.docx", "A 20347-2025")</f>
        <v/>
      </c>
      <c r="Y263">
        <f>HYPERLINK("https://klasma.github.io/Logging_2283/tillsynsmail/A 20347-2025 tillsynsbegäran mail.docx", "A 20347-2025")</f>
        <v/>
      </c>
    </row>
    <row r="264" ht="15" customHeight="1">
      <c r="A264" t="inlineStr">
        <is>
          <t>A 45083-2022</t>
        </is>
      </c>
      <c r="B264" s="1" t="n">
        <v>44841</v>
      </c>
      <c r="C264" s="1" t="n">
        <v>45998</v>
      </c>
      <c r="D264" t="inlineStr">
        <is>
          <t>VÄSTERNORRLANDS LÄN</t>
        </is>
      </c>
      <c r="E264" t="inlineStr">
        <is>
          <t>SOLLEFTEÅ</t>
        </is>
      </c>
      <c r="F264" t="inlineStr">
        <is>
          <t>SCA</t>
        </is>
      </c>
      <c r="G264" t="n">
        <v>4.3</v>
      </c>
      <c r="H264" t="n">
        <v>2</v>
      </c>
      <c r="I264" t="n">
        <v>0</v>
      </c>
      <c r="J264" t="n">
        <v>1</v>
      </c>
      <c r="K264" t="n">
        <v>0</v>
      </c>
      <c r="L264" t="n">
        <v>0</v>
      </c>
      <c r="M264" t="n">
        <v>0</v>
      </c>
      <c r="N264" t="n">
        <v>0</v>
      </c>
      <c r="O264" t="n">
        <v>1</v>
      </c>
      <c r="P264" t="n">
        <v>0</v>
      </c>
      <c r="Q264" t="n">
        <v>2</v>
      </c>
      <c r="R264" s="2" t="inlineStr">
        <is>
          <t>Talltita
Blåsippa</t>
        </is>
      </c>
      <c r="S264">
        <f>HYPERLINK("https://klasma.github.io/Logging_2283/artfynd/A 45083-2022 artfynd.xlsx", "A 45083-2022")</f>
        <v/>
      </c>
      <c r="T264">
        <f>HYPERLINK("https://klasma.github.io/Logging_2283/kartor/A 45083-2022 karta.png", "A 45083-2022")</f>
        <v/>
      </c>
      <c r="V264">
        <f>HYPERLINK("https://klasma.github.io/Logging_2283/klagomål/A 45083-2022 FSC-klagomål.docx", "A 45083-2022")</f>
        <v/>
      </c>
      <c r="W264">
        <f>HYPERLINK("https://klasma.github.io/Logging_2283/klagomålsmail/A 45083-2022 FSC-klagomål mail.docx", "A 45083-2022")</f>
        <v/>
      </c>
      <c r="X264">
        <f>HYPERLINK("https://klasma.github.io/Logging_2283/tillsyn/A 45083-2022 tillsynsbegäran.docx", "A 45083-2022")</f>
        <v/>
      </c>
      <c r="Y264">
        <f>HYPERLINK("https://klasma.github.io/Logging_2283/tillsynsmail/A 45083-2022 tillsynsbegäran mail.docx", "A 45083-2022")</f>
        <v/>
      </c>
      <c r="Z264">
        <f>HYPERLINK("https://klasma.github.io/Logging_2283/fåglar/A 45083-2022 prioriterade fågelarter.docx", "A 45083-2022")</f>
        <v/>
      </c>
    </row>
    <row r="265" ht="15" customHeight="1">
      <c r="A265" t="inlineStr">
        <is>
          <t>A 12269-2025</t>
        </is>
      </c>
      <c r="B265" s="1" t="n">
        <v>45729.63542824074</v>
      </c>
      <c r="C265" s="1" t="n">
        <v>45998</v>
      </c>
      <c r="D265" t="inlineStr">
        <is>
          <t>VÄSTERNORRLANDS LÄN</t>
        </is>
      </c>
      <c r="E265" t="inlineStr">
        <is>
          <t>SOLLEFTEÅ</t>
        </is>
      </c>
      <c r="G265" t="n">
        <v>10.9</v>
      </c>
      <c r="H265" t="n">
        <v>0</v>
      </c>
      <c r="I265" t="n">
        <v>0</v>
      </c>
      <c r="J265" t="n">
        <v>2</v>
      </c>
      <c r="K265" t="n">
        <v>0</v>
      </c>
      <c r="L265" t="n">
        <v>0</v>
      </c>
      <c r="M265" t="n">
        <v>0</v>
      </c>
      <c r="N265" t="n">
        <v>0</v>
      </c>
      <c r="O265" t="n">
        <v>2</v>
      </c>
      <c r="P265" t="n">
        <v>0</v>
      </c>
      <c r="Q265" t="n">
        <v>2</v>
      </c>
      <c r="R265" s="2" t="inlineStr">
        <is>
          <t>Garnlav
Lunglav</t>
        </is>
      </c>
      <c r="S265">
        <f>HYPERLINK("https://klasma.github.io/Logging_2283/artfynd/A 12269-2025 artfynd.xlsx", "A 12269-2025")</f>
        <v/>
      </c>
      <c r="T265">
        <f>HYPERLINK("https://klasma.github.io/Logging_2283/kartor/A 12269-2025 karta.png", "A 12269-2025")</f>
        <v/>
      </c>
      <c r="V265">
        <f>HYPERLINK("https://klasma.github.io/Logging_2283/klagomål/A 12269-2025 FSC-klagomål.docx", "A 12269-2025")</f>
        <v/>
      </c>
      <c r="W265">
        <f>HYPERLINK("https://klasma.github.io/Logging_2283/klagomålsmail/A 12269-2025 FSC-klagomål mail.docx", "A 12269-2025")</f>
        <v/>
      </c>
      <c r="X265">
        <f>HYPERLINK("https://klasma.github.io/Logging_2283/tillsyn/A 12269-2025 tillsynsbegäran.docx", "A 12269-2025")</f>
        <v/>
      </c>
      <c r="Y265">
        <f>HYPERLINK("https://klasma.github.io/Logging_2283/tillsynsmail/A 12269-2025 tillsynsbegäran mail.docx", "A 12269-2025")</f>
        <v/>
      </c>
    </row>
    <row r="266" ht="15" customHeight="1">
      <c r="A266" t="inlineStr">
        <is>
          <t>A 7108-2024</t>
        </is>
      </c>
      <c r="B266" s="1" t="n">
        <v>45343</v>
      </c>
      <c r="C266" s="1" t="n">
        <v>45998</v>
      </c>
      <c r="D266" t="inlineStr">
        <is>
          <t>VÄSTERNORRLANDS LÄN</t>
        </is>
      </c>
      <c r="E266" t="inlineStr">
        <is>
          <t>SOLLEFTEÅ</t>
        </is>
      </c>
      <c r="F266" t="inlineStr">
        <is>
          <t>SCA</t>
        </is>
      </c>
      <c r="G266" t="n">
        <v>3.8</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HYPERLINK("https://klasma.github.io/Logging_2283/artfynd/A 7108-2024 artfynd.xlsx", "A 7108-2024")</f>
        <v/>
      </c>
      <c r="T266">
        <f>HYPERLINK("https://klasma.github.io/Logging_2283/kartor/A 7108-2024 karta.png", "A 7108-2024")</f>
        <v/>
      </c>
      <c r="V266">
        <f>HYPERLINK("https://klasma.github.io/Logging_2283/klagomål/A 7108-2024 FSC-klagomål.docx", "A 7108-2024")</f>
        <v/>
      </c>
      <c r="W266">
        <f>HYPERLINK("https://klasma.github.io/Logging_2283/klagomålsmail/A 7108-2024 FSC-klagomål mail.docx", "A 7108-2024")</f>
        <v/>
      </c>
      <c r="X266">
        <f>HYPERLINK("https://klasma.github.io/Logging_2283/tillsyn/A 7108-2024 tillsynsbegäran.docx", "A 7108-2024")</f>
        <v/>
      </c>
      <c r="Y266">
        <f>HYPERLINK("https://klasma.github.io/Logging_2283/tillsynsmail/A 7108-2024 tillsynsbegäran mail.docx", "A 7108-2024")</f>
        <v/>
      </c>
    </row>
    <row r="267" ht="15" customHeight="1">
      <c r="A267" t="inlineStr">
        <is>
          <t>A 13309-2022</t>
        </is>
      </c>
      <c r="B267" s="1" t="n">
        <v>44644.93670138889</v>
      </c>
      <c r="C267" s="1" t="n">
        <v>45998</v>
      </c>
      <c r="D267" t="inlineStr">
        <is>
          <t>VÄSTERNORRLANDS LÄN</t>
        </is>
      </c>
      <c r="E267" t="inlineStr">
        <is>
          <t>SOLLEFTEÅ</t>
        </is>
      </c>
      <c r="F267" t="inlineStr">
        <is>
          <t>SCA</t>
        </is>
      </c>
      <c r="G267" t="n">
        <v>2.3</v>
      </c>
      <c r="H267" t="n">
        <v>0</v>
      </c>
      <c r="I267" t="n">
        <v>0</v>
      </c>
      <c r="J267" t="n">
        <v>1</v>
      </c>
      <c r="K267" t="n">
        <v>1</v>
      </c>
      <c r="L267" t="n">
        <v>0</v>
      </c>
      <c r="M267" t="n">
        <v>0</v>
      </c>
      <c r="N267" t="n">
        <v>0</v>
      </c>
      <c r="O267" t="n">
        <v>2</v>
      </c>
      <c r="P267" t="n">
        <v>1</v>
      </c>
      <c r="Q267" t="n">
        <v>2</v>
      </c>
      <c r="R267" s="2" t="inlineStr">
        <is>
          <t>Rynkskinn
Koralltaggsvamp</t>
        </is>
      </c>
      <c r="S267">
        <f>HYPERLINK("https://klasma.github.io/Logging_2283/artfynd/A 13309-2022 artfynd.xlsx", "A 13309-2022")</f>
        <v/>
      </c>
      <c r="T267">
        <f>HYPERLINK("https://klasma.github.io/Logging_2283/kartor/A 13309-2022 karta.png", "A 13309-2022")</f>
        <v/>
      </c>
      <c r="V267">
        <f>HYPERLINK("https://klasma.github.io/Logging_2283/klagomål/A 13309-2022 FSC-klagomål.docx", "A 13309-2022")</f>
        <v/>
      </c>
      <c r="W267">
        <f>HYPERLINK("https://klasma.github.io/Logging_2283/klagomålsmail/A 13309-2022 FSC-klagomål mail.docx", "A 13309-2022")</f>
        <v/>
      </c>
      <c r="X267">
        <f>HYPERLINK("https://klasma.github.io/Logging_2283/tillsyn/A 13309-2022 tillsynsbegäran.docx", "A 13309-2022")</f>
        <v/>
      </c>
      <c r="Y267">
        <f>HYPERLINK("https://klasma.github.io/Logging_2283/tillsynsmail/A 13309-2022 tillsynsbegäran mail.docx", "A 13309-2022")</f>
        <v/>
      </c>
    </row>
    <row r="268" ht="15" customHeight="1">
      <c r="A268" t="inlineStr">
        <is>
          <t>A 13743-2025</t>
        </is>
      </c>
      <c r="B268" s="1" t="n">
        <v>45737.40663194445</v>
      </c>
      <c r="C268" s="1" t="n">
        <v>45998</v>
      </c>
      <c r="D268" t="inlineStr">
        <is>
          <t>VÄSTERNORRLANDS LÄN</t>
        </is>
      </c>
      <c r="E268" t="inlineStr">
        <is>
          <t>SOLLEFTEÅ</t>
        </is>
      </c>
      <c r="F268" t="inlineStr">
        <is>
          <t>SCA</t>
        </is>
      </c>
      <c r="G268" t="n">
        <v>2.1</v>
      </c>
      <c r="H268" t="n">
        <v>2</v>
      </c>
      <c r="I268" t="n">
        <v>0</v>
      </c>
      <c r="J268" t="n">
        <v>0</v>
      </c>
      <c r="K268" t="n">
        <v>0</v>
      </c>
      <c r="L268" t="n">
        <v>0</v>
      </c>
      <c r="M268" t="n">
        <v>0</v>
      </c>
      <c r="N268" t="n">
        <v>0</v>
      </c>
      <c r="O268" t="n">
        <v>0</v>
      </c>
      <c r="P268" t="n">
        <v>0</v>
      </c>
      <c r="Q268" t="n">
        <v>2</v>
      </c>
      <c r="R268" s="2" t="inlineStr">
        <is>
          <t>Vanlig groda
Revlummer</t>
        </is>
      </c>
      <c r="S268">
        <f>HYPERLINK("https://klasma.github.io/Logging_2283/artfynd/A 13743-2025 artfynd.xlsx", "A 13743-2025")</f>
        <v/>
      </c>
      <c r="T268">
        <f>HYPERLINK("https://klasma.github.io/Logging_2283/kartor/A 13743-2025 karta.png", "A 13743-2025")</f>
        <v/>
      </c>
      <c r="V268">
        <f>HYPERLINK("https://klasma.github.io/Logging_2283/klagomål/A 13743-2025 FSC-klagomål.docx", "A 13743-2025")</f>
        <v/>
      </c>
      <c r="W268">
        <f>HYPERLINK("https://klasma.github.io/Logging_2283/klagomålsmail/A 13743-2025 FSC-klagomål mail.docx", "A 13743-2025")</f>
        <v/>
      </c>
      <c r="X268">
        <f>HYPERLINK("https://klasma.github.io/Logging_2283/tillsyn/A 13743-2025 tillsynsbegäran.docx", "A 13743-2025")</f>
        <v/>
      </c>
      <c r="Y268">
        <f>HYPERLINK("https://klasma.github.io/Logging_2283/tillsynsmail/A 13743-2025 tillsynsbegäran mail.docx", "A 13743-2025")</f>
        <v/>
      </c>
    </row>
    <row r="269" ht="15" customHeight="1">
      <c r="A269" t="inlineStr">
        <is>
          <t>A 53949-2023</t>
        </is>
      </c>
      <c r="B269" s="1" t="n">
        <v>45224</v>
      </c>
      <c r="C269" s="1" t="n">
        <v>45998</v>
      </c>
      <c r="D269" t="inlineStr">
        <is>
          <t>VÄSTERNORRLANDS LÄN</t>
        </is>
      </c>
      <c r="E269" t="inlineStr">
        <is>
          <t>SOLLEFTEÅ</t>
        </is>
      </c>
      <c r="G269" t="n">
        <v>4</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53949-2023 artfynd.xlsx", "A 53949-2023")</f>
        <v/>
      </c>
      <c r="T269">
        <f>HYPERLINK("https://klasma.github.io/Logging_2283/kartor/A 53949-2023 karta.png", "A 53949-2023")</f>
        <v/>
      </c>
      <c r="V269">
        <f>HYPERLINK("https://klasma.github.io/Logging_2283/klagomål/A 53949-2023 FSC-klagomål.docx", "A 53949-2023")</f>
        <v/>
      </c>
      <c r="W269">
        <f>HYPERLINK("https://klasma.github.io/Logging_2283/klagomålsmail/A 53949-2023 FSC-klagomål mail.docx", "A 53949-2023")</f>
        <v/>
      </c>
      <c r="X269">
        <f>HYPERLINK("https://klasma.github.io/Logging_2283/tillsyn/A 53949-2023 tillsynsbegäran.docx", "A 53949-2023")</f>
        <v/>
      </c>
      <c r="Y269">
        <f>HYPERLINK("https://klasma.github.io/Logging_2283/tillsynsmail/A 53949-2023 tillsynsbegäran mail.docx", "A 53949-2023")</f>
        <v/>
      </c>
    </row>
    <row r="270" ht="15" customHeight="1">
      <c r="A270" t="inlineStr">
        <is>
          <t>A 27983-2021</t>
        </is>
      </c>
      <c r="B270" s="1" t="n">
        <v>44354</v>
      </c>
      <c r="C270" s="1" t="n">
        <v>45998</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16718-2025</t>
        </is>
      </c>
      <c r="B271" s="1" t="n">
        <v>45754.48990740741</v>
      </c>
      <c r="C271" s="1" t="n">
        <v>45998</v>
      </c>
      <c r="D271" t="inlineStr">
        <is>
          <t>VÄSTERNORRLANDS LÄN</t>
        </is>
      </c>
      <c r="E271" t="inlineStr">
        <is>
          <t>SOLLEFTEÅ</t>
        </is>
      </c>
      <c r="G271" t="n">
        <v>3.9</v>
      </c>
      <c r="H271" t="n">
        <v>1</v>
      </c>
      <c r="I271" t="n">
        <v>0</v>
      </c>
      <c r="J271" t="n">
        <v>1</v>
      </c>
      <c r="K271" t="n">
        <v>0</v>
      </c>
      <c r="L271" t="n">
        <v>0</v>
      </c>
      <c r="M271" t="n">
        <v>0</v>
      </c>
      <c r="N271" t="n">
        <v>0</v>
      </c>
      <c r="O271" t="n">
        <v>1</v>
      </c>
      <c r="P271" t="n">
        <v>0</v>
      </c>
      <c r="Q271" t="n">
        <v>2</v>
      </c>
      <c r="R271" s="2" t="inlineStr">
        <is>
          <t>Garnlav
Lavskrika</t>
        </is>
      </c>
      <c r="S271">
        <f>HYPERLINK("https://klasma.github.io/Logging_2283/artfynd/A 16718-2025 artfynd.xlsx", "A 16718-2025")</f>
        <v/>
      </c>
      <c r="T271">
        <f>HYPERLINK("https://klasma.github.io/Logging_2283/kartor/A 16718-2025 karta.png", "A 16718-2025")</f>
        <v/>
      </c>
      <c r="V271">
        <f>HYPERLINK("https://klasma.github.io/Logging_2283/klagomål/A 16718-2025 FSC-klagomål.docx", "A 16718-2025")</f>
        <v/>
      </c>
      <c r="W271">
        <f>HYPERLINK("https://klasma.github.io/Logging_2283/klagomålsmail/A 16718-2025 FSC-klagomål mail.docx", "A 16718-2025")</f>
        <v/>
      </c>
      <c r="X271">
        <f>HYPERLINK("https://klasma.github.io/Logging_2283/tillsyn/A 16718-2025 tillsynsbegäran.docx", "A 16718-2025")</f>
        <v/>
      </c>
      <c r="Y271">
        <f>HYPERLINK("https://klasma.github.io/Logging_2283/tillsynsmail/A 16718-2025 tillsynsbegäran mail.docx", "A 16718-2025")</f>
        <v/>
      </c>
      <c r="Z271">
        <f>HYPERLINK("https://klasma.github.io/Logging_2283/fåglar/A 16718-2025 prioriterade fågelarter.docx", "A 16718-2025")</f>
        <v/>
      </c>
    </row>
    <row r="272" ht="15" customHeight="1">
      <c r="A272" t="inlineStr">
        <is>
          <t>A 21485-2025</t>
        </is>
      </c>
      <c r="B272" s="1" t="n">
        <v>45782.59512731482</v>
      </c>
      <c r="C272" s="1" t="n">
        <v>45998</v>
      </c>
      <c r="D272" t="inlineStr">
        <is>
          <t>VÄSTERNORRLANDS LÄN</t>
        </is>
      </c>
      <c r="E272" t="inlineStr">
        <is>
          <t>SOLLEFTEÅ</t>
        </is>
      </c>
      <c r="F272" t="inlineStr">
        <is>
          <t>SCA</t>
        </is>
      </c>
      <c r="G272" t="n">
        <v>5.4</v>
      </c>
      <c r="H272" t="n">
        <v>0</v>
      </c>
      <c r="I272" t="n">
        <v>1</v>
      </c>
      <c r="J272" t="n">
        <v>1</v>
      </c>
      <c r="K272" t="n">
        <v>0</v>
      </c>
      <c r="L272" t="n">
        <v>0</v>
      </c>
      <c r="M272" t="n">
        <v>0</v>
      </c>
      <c r="N272" t="n">
        <v>0</v>
      </c>
      <c r="O272" t="n">
        <v>1</v>
      </c>
      <c r="P272" t="n">
        <v>0</v>
      </c>
      <c r="Q272" t="n">
        <v>2</v>
      </c>
      <c r="R272" s="2" t="inlineStr">
        <is>
          <t>Garnlav
Vågbandad barkbock</t>
        </is>
      </c>
      <c r="S272">
        <f>HYPERLINK("https://klasma.github.io/Logging_2283/artfynd/A 21485-2025 artfynd.xlsx", "A 21485-2025")</f>
        <v/>
      </c>
      <c r="T272">
        <f>HYPERLINK("https://klasma.github.io/Logging_2283/kartor/A 21485-2025 karta.png", "A 21485-2025")</f>
        <v/>
      </c>
      <c r="V272">
        <f>HYPERLINK("https://klasma.github.io/Logging_2283/klagomål/A 21485-2025 FSC-klagomål.docx", "A 21485-2025")</f>
        <v/>
      </c>
      <c r="W272">
        <f>HYPERLINK("https://klasma.github.io/Logging_2283/klagomålsmail/A 21485-2025 FSC-klagomål mail.docx", "A 21485-2025")</f>
        <v/>
      </c>
      <c r="X272">
        <f>HYPERLINK("https://klasma.github.io/Logging_2283/tillsyn/A 21485-2025 tillsynsbegäran.docx", "A 21485-2025")</f>
        <v/>
      </c>
      <c r="Y272">
        <f>HYPERLINK("https://klasma.github.io/Logging_2283/tillsynsmail/A 21485-2025 tillsynsbegäran mail.docx", "A 21485-2025")</f>
        <v/>
      </c>
    </row>
    <row r="273" ht="15" customHeight="1">
      <c r="A273" t="inlineStr">
        <is>
          <t>A 45016-2023</t>
        </is>
      </c>
      <c r="B273" s="1" t="n">
        <v>45190.96188657408</v>
      </c>
      <c r="C273" s="1" t="n">
        <v>45998</v>
      </c>
      <c r="D273" t="inlineStr">
        <is>
          <t>VÄSTERNORRLANDS LÄN</t>
        </is>
      </c>
      <c r="E273" t="inlineStr">
        <is>
          <t>SOLLEFTEÅ</t>
        </is>
      </c>
      <c r="F273" t="inlineStr">
        <is>
          <t>SCA</t>
        </is>
      </c>
      <c r="G273" t="n">
        <v>1.5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45016-2023 artfynd.xlsx", "A 45016-2023")</f>
        <v/>
      </c>
      <c r="T273">
        <f>HYPERLINK("https://klasma.github.io/Logging_2283/kartor/A 45016-2023 karta.png", "A 45016-2023")</f>
        <v/>
      </c>
      <c r="V273">
        <f>HYPERLINK("https://klasma.github.io/Logging_2283/klagomål/A 45016-2023 FSC-klagomål.docx", "A 45016-2023")</f>
        <v/>
      </c>
      <c r="W273">
        <f>HYPERLINK("https://klasma.github.io/Logging_2283/klagomålsmail/A 45016-2023 FSC-klagomål mail.docx", "A 45016-2023")</f>
        <v/>
      </c>
      <c r="X273">
        <f>HYPERLINK("https://klasma.github.io/Logging_2283/tillsyn/A 45016-2023 tillsynsbegäran.docx", "A 45016-2023")</f>
        <v/>
      </c>
      <c r="Y273">
        <f>HYPERLINK("https://klasma.github.io/Logging_2283/tillsynsmail/A 45016-2023 tillsynsbegäran mail.docx", "A 45016-2023")</f>
        <v/>
      </c>
    </row>
    <row r="274" ht="15" customHeight="1">
      <c r="A274" t="inlineStr">
        <is>
          <t>A 6698-2024</t>
        </is>
      </c>
      <c r="B274" s="1" t="n">
        <v>45341</v>
      </c>
      <c r="C274" s="1" t="n">
        <v>45998</v>
      </c>
      <c r="D274" t="inlineStr">
        <is>
          <t>VÄSTERNORRLANDS LÄN</t>
        </is>
      </c>
      <c r="E274" t="inlineStr">
        <is>
          <t>SOLLEFTEÅ</t>
        </is>
      </c>
      <c r="F274" t="inlineStr">
        <is>
          <t>SCA</t>
        </is>
      </c>
      <c r="G274" t="n">
        <v>3</v>
      </c>
      <c r="H274" t="n">
        <v>0</v>
      </c>
      <c r="I274" t="n">
        <v>0</v>
      </c>
      <c r="J274" t="n">
        <v>2</v>
      </c>
      <c r="K274" t="n">
        <v>0</v>
      </c>
      <c r="L274" t="n">
        <v>0</v>
      </c>
      <c r="M274" t="n">
        <v>0</v>
      </c>
      <c r="N274" t="n">
        <v>0</v>
      </c>
      <c r="O274" t="n">
        <v>2</v>
      </c>
      <c r="P274" t="n">
        <v>0</v>
      </c>
      <c r="Q274" t="n">
        <v>2</v>
      </c>
      <c r="R274" s="2" t="inlineStr">
        <is>
          <t>Granticka
Harticka</t>
        </is>
      </c>
      <c r="S274">
        <f>HYPERLINK("https://klasma.github.io/Logging_2283/artfynd/A 6698-2024 artfynd.xlsx", "A 6698-2024")</f>
        <v/>
      </c>
      <c r="T274">
        <f>HYPERLINK("https://klasma.github.io/Logging_2283/kartor/A 6698-2024 karta.png", "A 6698-2024")</f>
        <v/>
      </c>
      <c r="V274">
        <f>HYPERLINK("https://klasma.github.io/Logging_2283/klagomål/A 6698-2024 FSC-klagomål.docx", "A 6698-2024")</f>
        <v/>
      </c>
      <c r="W274">
        <f>HYPERLINK("https://klasma.github.io/Logging_2283/klagomålsmail/A 6698-2024 FSC-klagomål mail.docx", "A 6698-2024")</f>
        <v/>
      </c>
      <c r="X274">
        <f>HYPERLINK("https://klasma.github.io/Logging_2283/tillsyn/A 6698-2024 tillsynsbegäran.docx", "A 6698-2024")</f>
        <v/>
      </c>
      <c r="Y274">
        <f>HYPERLINK("https://klasma.github.io/Logging_2283/tillsynsmail/A 6698-2024 tillsynsbegäran mail.docx", "A 6698-2024")</f>
        <v/>
      </c>
    </row>
    <row r="275" ht="15" customHeight="1">
      <c r="A275" t="inlineStr">
        <is>
          <t>A 21742-2025</t>
        </is>
      </c>
      <c r="B275" s="1" t="n">
        <v>45783.59428240741</v>
      </c>
      <c r="C275" s="1" t="n">
        <v>45998</v>
      </c>
      <c r="D275" t="inlineStr">
        <is>
          <t>VÄSTERNORRLANDS LÄN</t>
        </is>
      </c>
      <c r="E275" t="inlineStr">
        <is>
          <t>SOLLEFTEÅ</t>
        </is>
      </c>
      <c r="F275" t="inlineStr">
        <is>
          <t>SCA</t>
        </is>
      </c>
      <c r="G275" t="n">
        <v>1.5</v>
      </c>
      <c r="H275" t="n">
        <v>1</v>
      </c>
      <c r="I275" t="n">
        <v>0</v>
      </c>
      <c r="J275" t="n">
        <v>1</v>
      </c>
      <c r="K275" t="n">
        <v>0</v>
      </c>
      <c r="L275" t="n">
        <v>0</v>
      </c>
      <c r="M275" t="n">
        <v>0</v>
      </c>
      <c r="N275" t="n">
        <v>0</v>
      </c>
      <c r="O275" t="n">
        <v>1</v>
      </c>
      <c r="P275" t="n">
        <v>0</v>
      </c>
      <c r="Q275" t="n">
        <v>2</v>
      </c>
      <c r="R275" s="2" t="inlineStr">
        <is>
          <t>Garnlav
Revlummer</t>
        </is>
      </c>
      <c r="S275">
        <f>HYPERLINK("https://klasma.github.io/Logging_2283/artfynd/A 21742-2025 artfynd.xlsx", "A 21742-2025")</f>
        <v/>
      </c>
      <c r="T275">
        <f>HYPERLINK("https://klasma.github.io/Logging_2283/kartor/A 21742-2025 karta.png", "A 21742-2025")</f>
        <v/>
      </c>
      <c r="V275">
        <f>HYPERLINK("https://klasma.github.io/Logging_2283/klagomål/A 21742-2025 FSC-klagomål.docx", "A 21742-2025")</f>
        <v/>
      </c>
      <c r="W275">
        <f>HYPERLINK("https://klasma.github.io/Logging_2283/klagomålsmail/A 21742-2025 FSC-klagomål mail.docx", "A 21742-2025")</f>
        <v/>
      </c>
      <c r="X275">
        <f>HYPERLINK("https://klasma.github.io/Logging_2283/tillsyn/A 21742-2025 tillsynsbegäran.docx", "A 21742-2025")</f>
        <v/>
      </c>
      <c r="Y275">
        <f>HYPERLINK("https://klasma.github.io/Logging_2283/tillsynsmail/A 21742-2025 tillsynsbegäran mail.docx", "A 21742-2025")</f>
        <v/>
      </c>
    </row>
    <row r="276" ht="15" customHeight="1">
      <c r="A276" t="inlineStr">
        <is>
          <t>A 59020-2024</t>
        </is>
      </c>
      <c r="B276" s="1" t="n">
        <v>45636.67765046296</v>
      </c>
      <c r="C276" s="1" t="n">
        <v>45998</v>
      </c>
      <c r="D276" t="inlineStr">
        <is>
          <t>VÄSTERNORRLANDS LÄN</t>
        </is>
      </c>
      <c r="E276" t="inlineStr">
        <is>
          <t>SOLLEFTEÅ</t>
        </is>
      </c>
      <c r="F276" t="inlineStr">
        <is>
          <t>SCA</t>
        </is>
      </c>
      <c r="G276" t="n">
        <v>9.300000000000001</v>
      </c>
      <c r="H276" t="n">
        <v>0</v>
      </c>
      <c r="I276" t="n">
        <v>1</v>
      </c>
      <c r="J276" t="n">
        <v>1</v>
      </c>
      <c r="K276" t="n">
        <v>0</v>
      </c>
      <c r="L276" t="n">
        <v>0</v>
      </c>
      <c r="M276" t="n">
        <v>0</v>
      </c>
      <c r="N276" t="n">
        <v>0</v>
      </c>
      <c r="O276" t="n">
        <v>1</v>
      </c>
      <c r="P276" t="n">
        <v>0</v>
      </c>
      <c r="Q276" t="n">
        <v>2</v>
      </c>
      <c r="R276" s="2" t="inlineStr">
        <is>
          <t>Kortskaftad ärgspik
Bronshjon</t>
        </is>
      </c>
      <c r="S276">
        <f>HYPERLINK("https://klasma.github.io/Logging_2283/artfynd/A 59020-2024 artfynd.xlsx", "A 59020-2024")</f>
        <v/>
      </c>
      <c r="T276">
        <f>HYPERLINK("https://klasma.github.io/Logging_2283/kartor/A 59020-2024 karta.png", "A 59020-2024")</f>
        <v/>
      </c>
      <c r="V276">
        <f>HYPERLINK("https://klasma.github.io/Logging_2283/klagomål/A 59020-2024 FSC-klagomål.docx", "A 59020-2024")</f>
        <v/>
      </c>
      <c r="W276">
        <f>HYPERLINK("https://klasma.github.io/Logging_2283/klagomålsmail/A 59020-2024 FSC-klagomål mail.docx", "A 59020-2024")</f>
        <v/>
      </c>
      <c r="X276">
        <f>HYPERLINK("https://klasma.github.io/Logging_2283/tillsyn/A 59020-2024 tillsynsbegäran.docx", "A 59020-2024")</f>
        <v/>
      </c>
      <c r="Y276">
        <f>HYPERLINK("https://klasma.github.io/Logging_2283/tillsynsmail/A 59020-2024 tillsynsbegäran mail.docx", "A 59020-2024")</f>
        <v/>
      </c>
    </row>
    <row r="277" ht="15" customHeight="1">
      <c r="A277" t="inlineStr">
        <is>
          <t>A 34814-2024</t>
        </is>
      </c>
      <c r="B277" s="1" t="n">
        <v>45526.70703703703</v>
      </c>
      <c r="C277" s="1" t="n">
        <v>45998</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2515-2024</t>
        </is>
      </c>
      <c r="B278" s="1" t="n">
        <v>45313</v>
      </c>
      <c r="C278" s="1" t="n">
        <v>45998</v>
      </c>
      <c r="D278" t="inlineStr">
        <is>
          <t>VÄSTERNORRLANDS LÄN</t>
        </is>
      </c>
      <c r="E278" t="inlineStr">
        <is>
          <t>SOLLEFTEÅ</t>
        </is>
      </c>
      <c r="F278" t="inlineStr">
        <is>
          <t>Kommuner</t>
        </is>
      </c>
      <c r="G278" t="n">
        <v>8.699999999999999</v>
      </c>
      <c r="H278" t="n">
        <v>1</v>
      </c>
      <c r="I278" t="n">
        <v>0</v>
      </c>
      <c r="J278" t="n">
        <v>2</v>
      </c>
      <c r="K278" t="n">
        <v>0</v>
      </c>
      <c r="L278" t="n">
        <v>0</v>
      </c>
      <c r="M278" t="n">
        <v>0</v>
      </c>
      <c r="N278" t="n">
        <v>0</v>
      </c>
      <c r="O278" t="n">
        <v>2</v>
      </c>
      <c r="P278" t="n">
        <v>0</v>
      </c>
      <c r="Q278" t="n">
        <v>2</v>
      </c>
      <c r="R278" s="2" t="inlineStr">
        <is>
          <t>Granticka
Talltita</t>
        </is>
      </c>
      <c r="S278">
        <f>HYPERLINK("https://klasma.github.io/Logging_2283/artfynd/A 2515-2024 artfynd.xlsx", "A 2515-2024")</f>
        <v/>
      </c>
      <c r="T278">
        <f>HYPERLINK("https://klasma.github.io/Logging_2283/kartor/A 2515-2024 karta.png", "A 2515-2024")</f>
        <v/>
      </c>
      <c r="V278">
        <f>HYPERLINK("https://klasma.github.io/Logging_2283/klagomål/A 2515-2024 FSC-klagomål.docx", "A 2515-2024")</f>
        <v/>
      </c>
      <c r="W278">
        <f>HYPERLINK("https://klasma.github.io/Logging_2283/klagomålsmail/A 2515-2024 FSC-klagomål mail.docx", "A 2515-2024")</f>
        <v/>
      </c>
      <c r="X278">
        <f>HYPERLINK("https://klasma.github.io/Logging_2283/tillsyn/A 2515-2024 tillsynsbegäran.docx", "A 2515-2024")</f>
        <v/>
      </c>
      <c r="Y278">
        <f>HYPERLINK("https://klasma.github.io/Logging_2283/tillsynsmail/A 2515-2024 tillsynsbegäran mail.docx", "A 2515-2024")</f>
        <v/>
      </c>
      <c r="Z278">
        <f>HYPERLINK("https://klasma.github.io/Logging_2283/fåglar/A 2515-2024 prioriterade fågelarter.docx", "A 2515-2024")</f>
        <v/>
      </c>
    </row>
    <row r="279" ht="15" customHeight="1">
      <c r="A279" t="inlineStr">
        <is>
          <t>A 27644-2024</t>
        </is>
      </c>
      <c r="B279" s="1" t="n">
        <v>45474</v>
      </c>
      <c r="C279" s="1" t="n">
        <v>45998</v>
      </c>
      <c r="D279" t="inlineStr">
        <is>
          <t>VÄSTERNORRLANDS LÄN</t>
        </is>
      </c>
      <c r="E279" t="inlineStr">
        <is>
          <t>SOLLEFTEÅ</t>
        </is>
      </c>
      <c r="F279" t="inlineStr">
        <is>
          <t>SCA</t>
        </is>
      </c>
      <c r="G279" t="n">
        <v>2.8</v>
      </c>
      <c r="H279" t="n">
        <v>1</v>
      </c>
      <c r="I279" t="n">
        <v>0</v>
      </c>
      <c r="J279" t="n">
        <v>1</v>
      </c>
      <c r="K279" t="n">
        <v>0</v>
      </c>
      <c r="L279" t="n">
        <v>0</v>
      </c>
      <c r="M279" t="n">
        <v>0</v>
      </c>
      <c r="N279" t="n">
        <v>0</v>
      </c>
      <c r="O279" t="n">
        <v>1</v>
      </c>
      <c r="P279" t="n">
        <v>0</v>
      </c>
      <c r="Q279" t="n">
        <v>2</v>
      </c>
      <c r="R279" s="2" t="inlineStr">
        <is>
          <t>Granticka
Fläcknycklar</t>
        </is>
      </c>
      <c r="S279">
        <f>HYPERLINK("https://klasma.github.io/Logging_2283/artfynd/A 27644-2024 artfynd.xlsx", "A 27644-2024")</f>
        <v/>
      </c>
      <c r="T279">
        <f>HYPERLINK("https://klasma.github.io/Logging_2283/kartor/A 27644-2024 karta.png", "A 27644-2024")</f>
        <v/>
      </c>
      <c r="V279">
        <f>HYPERLINK("https://klasma.github.io/Logging_2283/klagomål/A 27644-2024 FSC-klagomål.docx", "A 27644-2024")</f>
        <v/>
      </c>
      <c r="W279">
        <f>HYPERLINK("https://klasma.github.io/Logging_2283/klagomålsmail/A 27644-2024 FSC-klagomål mail.docx", "A 27644-2024")</f>
        <v/>
      </c>
      <c r="X279">
        <f>HYPERLINK("https://klasma.github.io/Logging_2283/tillsyn/A 27644-2024 tillsynsbegäran.docx", "A 27644-2024")</f>
        <v/>
      </c>
      <c r="Y279">
        <f>HYPERLINK("https://klasma.github.io/Logging_2283/tillsynsmail/A 27644-2024 tillsynsbegäran mail.docx", "A 27644-2024")</f>
        <v/>
      </c>
    </row>
    <row r="280" ht="15" customHeight="1">
      <c r="A280" t="inlineStr">
        <is>
          <t>A 48016-2024</t>
        </is>
      </c>
      <c r="B280" s="1" t="n">
        <v>45589.46909722222</v>
      </c>
      <c r="C280" s="1" t="n">
        <v>45998</v>
      </c>
      <c r="D280" t="inlineStr">
        <is>
          <t>VÄSTERNORRLANDS LÄN</t>
        </is>
      </c>
      <c r="E280" t="inlineStr">
        <is>
          <t>SOLLEFTEÅ</t>
        </is>
      </c>
      <c r="F280" t="inlineStr">
        <is>
          <t>SCA</t>
        </is>
      </c>
      <c r="G280" t="n">
        <v>2.6</v>
      </c>
      <c r="H280" t="n">
        <v>1</v>
      </c>
      <c r="I280" t="n">
        <v>0</v>
      </c>
      <c r="J280" t="n">
        <v>2</v>
      </c>
      <c r="K280" t="n">
        <v>0</v>
      </c>
      <c r="L280" t="n">
        <v>0</v>
      </c>
      <c r="M280" t="n">
        <v>0</v>
      </c>
      <c r="N280" t="n">
        <v>0</v>
      </c>
      <c r="O280" t="n">
        <v>2</v>
      </c>
      <c r="P280" t="n">
        <v>0</v>
      </c>
      <c r="Q280" t="n">
        <v>2</v>
      </c>
      <c r="R280" s="2" t="inlineStr">
        <is>
          <t>Järpe
Ullticka</t>
        </is>
      </c>
      <c r="S280">
        <f>HYPERLINK("https://klasma.github.io/Logging_2283/artfynd/A 48016-2024 artfynd.xlsx", "A 48016-2024")</f>
        <v/>
      </c>
      <c r="T280">
        <f>HYPERLINK("https://klasma.github.io/Logging_2283/kartor/A 48016-2024 karta.png", "A 48016-2024")</f>
        <v/>
      </c>
      <c r="V280">
        <f>HYPERLINK("https://klasma.github.io/Logging_2283/klagomål/A 48016-2024 FSC-klagomål.docx", "A 48016-2024")</f>
        <v/>
      </c>
      <c r="W280">
        <f>HYPERLINK("https://klasma.github.io/Logging_2283/klagomålsmail/A 48016-2024 FSC-klagomål mail.docx", "A 48016-2024")</f>
        <v/>
      </c>
      <c r="X280">
        <f>HYPERLINK("https://klasma.github.io/Logging_2283/tillsyn/A 48016-2024 tillsynsbegäran.docx", "A 48016-2024")</f>
        <v/>
      </c>
      <c r="Y280">
        <f>HYPERLINK("https://klasma.github.io/Logging_2283/tillsynsmail/A 48016-2024 tillsynsbegäran mail.docx", "A 48016-2024")</f>
        <v/>
      </c>
      <c r="Z280">
        <f>HYPERLINK("https://klasma.github.io/Logging_2283/fåglar/A 48016-2024 prioriterade fågelarter.docx", "A 48016-2024")</f>
        <v/>
      </c>
    </row>
    <row r="281" ht="15" customHeight="1">
      <c r="A281" t="inlineStr">
        <is>
          <t>A 20836-2021</t>
        </is>
      </c>
      <c r="B281" s="1" t="n">
        <v>44318</v>
      </c>
      <c r="C281" s="1" t="n">
        <v>45998</v>
      </c>
      <c r="D281" t="inlineStr">
        <is>
          <t>VÄSTERNORRLANDS LÄN</t>
        </is>
      </c>
      <c r="E281" t="inlineStr">
        <is>
          <t>SOLLEFTEÅ</t>
        </is>
      </c>
      <c r="F281" t="inlineStr">
        <is>
          <t>SCA</t>
        </is>
      </c>
      <c r="G281" t="n">
        <v>4.8</v>
      </c>
      <c r="H281" t="n">
        <v>1</v>
      </c>
      <c r="I281" t="n">
        <v>0</v>
      </c>
      <c r="J281" t="n">
        <v>2</v>
      </c>
      <c r="K281" t="n">
        <v>0</v>
      </c>
      <c r="L281" t="n">
        <v>0</v>
      </c>
      <c r="M281" t="n">
        <v>0</v>
      </c>
      <c r="N281" t="n">
        <v>0</v>
      </c>
      <c r="O281" t="n">
        <v>2</v>
      </c>
      <c r="P281" t="n">
        <v>0</v>
      </c>
      <c r="Q281" t="n">
        <v>2</v>
      </c>
      <c r="R281" s="2" t="inlineStr">
        <is>
          <t>Garnlav
Talltita</t>
        </is>
      </c>
      <c r="S281">
        <f>HYPERLINK("https://klasma.github.io/Logging_2283/artfynd/A 20836-2021 artfynd.xlsx", "A 20836-2021")</f>
        <v/>
      </c>
      <c r="T281">
        <f>HYPERLINK("https://klasma.github.io/Logging_2283/kartor/A 20836-2021 karta.png", "A 20836-2021")</f>
        <v/>
      </c>
      <c r="V281">
        <f>HYPERLINK("https://klasma.github.io/Logging_2283/klagomål/A 20836-2021 FSC-klagomål.docx", "A 20836-2021")</f>
        <v/>
      </c>
      <c r="W281">
        <f>HYPERLINK("https://klasma.github.io/Logging_2283/klagomålsmail/A 20836-2021 FSC-klagomål mail.docx", "A 20836-2021")</f>
        <v/>
      </c>
      <c r="X281">
        <f>HYPERLINK("https://klasma.github.io/Logging_2283/tillsyn/A 20836-2021 tillsynsbegäran.docx", "A 20836-2021")</f>
        <v/>
      </c>
      <c r="Y281">
        <f>HYPERLINK("https://klasma.github.io/Logging_2283/tillsynsmail/A 20836-2021 tillsynsbegäran mail.docx", "A 20836-2021")</f>
        <v/>
      </c>
      <c r="Z281">
        <f>HYPERLINK("https://klasma.github.io/Logging_2283/fåglar/A 20836-2021 prioriterade fågelarter.docx", "A 20836-2021")</f>
        <v/>
      </c>
    </row>
    <row r="282" ht="15" customHeight="1">
      <c r="A282" t="inlineStr">
        <is>
          <t>A 58314-2024</t>
        </is>
      </c>
      <c r="B282" s="1" t="n">
        <v>45632.61516203704</v>
      </c>
      <c r="C282" s="1" t="n">
        <v>45998</v>
      </c>
      <c r="D282" t="inlineStr">
        <is>
          <t>VÄSTERNORRLANDS LÄN</t>
        </is>
      </c>
      <c r="E282" t="inlineStr">
        <is>
          <t>SOLLEFTEÅ</t>
        </is>
      </c>
      <c r="F282" t="inlineStr">
        <is>
          <t>SCA</t>
        </is>
      </c>
      <c r="G282" t="n">
        <v>3.3</v>
      </c>
      <c r="H282" t="n">
        <v>0</v>
      </c>
      <c r="I282" t="n">
        <v>0</v>
      </c>
      <c r="J282" t="n">
        <v>2</v>
      </c>
      <c r="K282" t="n">
        <v>0</v>
      </c>
      <c r="L282" t="n">
        <v>0</v>
      </c>
      <c r="M282" t="n">
        <v>0</v>
      </c>
      <c r="N282" t="n">
        <v>0</v>
      </c>
      <c r="O282" t="n">
        <v>2</v>
      </c>
      <c r="P282" t="n">
        <v>0</v>
      </c>
      <c r="Q282" t="n">
        <v>2</v>
      </c>
      <c r="R282" s="2" t="inlineStr">
        <is>
          <t>Garnlav
Gränsticka</t>
        </is>
      </c>
      <c r="S282">
        <f>HYPERLINK("https://klasma.github.io/Logging_2283/artfynd/A 58314-2024 artfynd.xlsx", "A 58314-2024")</f>
        <v/>
      </c>
      <c r="T282">
        <f>HYPERLINK("https://klasma.github.io/Logging_2283/kartor/A 58314-2024 karta.png", "A 58314-2024")</f>
        <v/>
      </c>
      <c r="V282">
        <f>HYPERLINK("https://klasma.github.io/Logging_2283/klagomål/A 58314-2024 FSC-klagomål.docx", "A 58314-2024")</f>
        <v/>
      </c>
      <c r="W282">
        <f>HYPERLINK("https://klasma.github.io/Logging_2283/klagomålsmail/A 58314-2024 FSC-klagomål mail.docx", "A 58314-2024")</f>
        <v/>
      </c>
      <c r="X282">
        <f>HYPERLINK("https://klasma.github.io/Logging_2283/tillsyn/A 58314-2024 tillsynsbegäran.docx", "A 58314-2024")</f>
        <v/>
      </c>
      <c r="Y282">
        <f>HYPERLINK("https://klasma.github.io/Logging_2283/tillsynsmail/A 58314-2024 tillsynsbegäran mail.docx", "A 58314-2024")</f>
        <v/>
      </c>
    </row>
    <row r="283" ht="15" customHeight="1">
      <c r="A283" t="inlineStr">
        <is>
          <t>A 34812-2024</t>
        </is>
      </c>
      <c r="B283" s="1" t="n">
        <v>45526</v>
      </c>
      <c r="C283" s="1" t="n">
        <v>45998</v>
      </c>
      <c r="D283" t="inlineStr">
        <is>
          <t>VÄSTERNORRLANDS LÄN</t>
        </is>
      </c>
      <c r="E283" t="inlineStr">
        <is>
          <t>SOLLEFTEÅ</t>
        </is>
      </c>
      <c r="G283" t="n">
        <v>8.1</v>
      </c>
      <c r="H283" t="n">
        <v>0</v>
      </c>
      <c r="I283" t="n">
        <v>1</v>
      </c>
      <c r="J283" t="n">
        <v>1</v>
      </c>
      <c r="K283" t="n">
        <v>0</v>
      </c>
      <c r="L283" t="n">
        <v>0</v>
      </c>
      <c r="M283" t="n">
        <v>0</v>
      </c>
      <c r="N283" t="n">
        <v>0</v>
      </c>
      <c r="O283" t="n">
        <v>1</v>
      </c>
      <c r="P283" t="n">
        <v>0</v>
      </c>
      <c r="Q283" t="n">
        <v>2</v>
      </c>
      <c r="R283" s="2" t="inlineStr">
        <is>
          <t>Garnlav
Dropptaggsvamp</t>
        </is>
      </c>
      <c r="S283">
        <f>HYPERLINK("https://klasma.github.io/Logging_2283/artfynd/A 34812-2024 artfynd.xlsx", "A 34812-2024")</f>
        <v/>
      </c>
      <c r="T283">
        <f>HYPERLINK("https://klasma.github.io/Logging_2283/kartor/A 34812-2024 karta.png", "A 34812-2024")</f>
        <v/>
      </c>
      <c r="V283">
        <f>HYPERLINK("https://klasma.github.io/Logging_2283/klagomål/A 34812-2024 FSC-klagomål.docx", "A 34812-2024")</f>
        <v/>
      </c>
      <c r="W283">
        <f>HYPERLINK("https://klasma.github.io/Logging_2283/klagomålsmail/A 34812-2024 FSC-klagomål mail.docx", "A 34812-2024")</f>
        <v/>
      </c>
      <c r="X283">
        <f>HYPERLINK("https://klasma.github.io/Logging_2283/tillsyn/A 34812-2024 tillsynsbegäran.docx", "A 34812-2024")</f>
        <v/>
      </c>
      <c r="Y283">
        <f>HYPERLINK("https://klasma.github.io/Logging_2283/tillsynsmail/A 34812-2024 tillsynsbegäran mail.docx", "A 34812-2024")</f>
        <v/>
      </c>
    </row>
    <row r="284" ht="15" customHeight="1">
      <c r="A284" t="inlineStr">
        <is>
          <t>A 54486-2024</t>
        </is>
      </c>
      <c r="B284" s="1" t="n">
        <v>45617</v>
      </c>
      <c r="C284" s="1" t="n">
        <v>45998</v>
      </c>
      <c r="D284" t="inlineStr">
        <is>
          <t>VÄSTERNORRLANDS LÄN</t>
        </is>
      </c>
      <c r="E284" t="inlineStr">
        <is>
          <t>SOLLEFTEÅ</t>
        </is>
      </c>
      <c r="G284" t="n">
        <v>18.3</v>
      </c>
      <c r="H284" t="n">
        <v>2</v>
      </c>
      <c r="I284" t="n">
        <v>1</v>
      </c>
      <c r="J284" t="n">
        <v>0</v>
      </c>
      <c r="K284" t="n">
        <v>0</v>
      </c>
      <c r="L284" t="n">
        <v>0</v>
      </c>
      <c r="M284" t="n">
        <v>0</v>
      </c>
      <c r="N284" t="n">
        <v>0</v>
      </c>
      <c r="O284" t="n">
        <v>0</v>
      </c>
      <c r="P284" t="n">
        <v>0</v>
      </c>
      <c r="Q284" t="n">
        <v>2</v>
      </c>
      <c r="R284" s="2" t="inlineStr">
        <is>
          <t>Tvåblad
Ängsnycklar</t>
        </is>
      </c>
      <c r="S284">
        <f>HYPERLINK("https://klasma.github.io/Logging_2283/artfynd/A 54486-2024 artfynd.xlsx", "A 54486-2024")</f>
        <v/>
      </c>
      <c r="T284">
        <f>HYPERLINK("https://klasma.github.io/Logging_2283/kartor/A 54486-2024 karta.png", "A 54486-2024")</f>
        <v/>
      </c>
      <c r="V284">
        <f>HYPERLINK("https://klasma.github.io/Logging_2283/klagomål/A 54486-2024 FSC-klagomål.docx", "A 54486-2024")</f>
        <v/>
      </c>
      <c r="W284">
        <f>HYPERLINK("https://klasma.github.io/Logging_2283/klagomålsmail/A 54486-2024 FSC-klagomål mail.docx", "A 54486-2024")</f>
        <v/>
      </c>
      <c r="X284">
        <f>HYPERLINK("https://klasma.github.io/Logging_2283/tillsyn/A 54486-2024 tillsynsbegäran.docx", "A 54486-2024")</f>
        <v/>
      </c>
      <c r="Y284">
        <f>HYPERLINK("https://klasma.github.io/Logging_2283/tillsynsmail/A 54486-2024 tillsynsbegäran mail.docx", "A 54486-2024")</f>
        <v/>
      </c>
    </row>
    <row r="285" ht="15" customHeight="1">
      <c r="A285" t="inlineStr">
        <is>
          <t>A 36912-2024</t>
        </is>
      </c>
      <c r="B285" s="1" t="n">
        <v>45538.63604166666</v>
      </c>
      <c r="C285" s="1" t="n">
        <v>45998</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46630-2022</t>
        </is>
      </c>
      <c r="B286" s="1" t="n">
        <v>44848</v>
      </c>
      <c r="C286" s="1" t="n">
        <v>45998</v>
      </c>
      <c r="D286" t="inlineStr">
        <is>
          <t>VÄSTERNORRLANDS LÄN</t>
        </is>
      </c>
      <c r="E286" t="inlineStr">
        <is>
          <t>SOLLEFTEÅ</t>
        </is>
      </c>
      <c r="F286" t="inlineStr">
        <is>
          <t>SCA</t>
        </is>
      </c>
      <c r="G286" t="n">
        <v>3.1</v>
      </c>
      <c r="H286" t="n">
        <v>2</v>
      </c>
      <c r="I286" t="n">
        <v>0</v>
      </c>
      <c r="J286" t="n">
        <v>1</v>
      </c>
      <c r="K286" t="n">
        <v>1</v>
      </c>
      <c r="L286" t="n">
        <v>0</v>
      </c>
      <c r="M286" t="n">
        <v>0</v>
      </c>
      <c r="N286" t="n">
        <v>0</v>
      </c>
      <c r="O286" t="n">
        <v>2</v>
      </c>
      <c r="P286" t="n">
        <v>1</v>
      </c>
      <c r="Q286" t="n">
        <v>2</v>
      </c>
      <c r="R286" s="2" t="inlineStr">
        <is>
          <t>Knärot
Tretåig hackspett</t>
        </is>
      </c>
      <c r="S286">
        <f>HYPERLINK("https://klasma.github.io/Logging_2283/artfynd/A 46630-2022 artfynd.xlsx", "A 46630-2022")</f>
        <v/>
      </c>
      <c r="T286">
        <f>HYPERLINK("https://klasma.github.io/Logging_2283/kartor/A 46630-2022 karta.png", "A 46630-2022")</f>
        <v/>
      </c>
      <c r="U286">
        <f>HYPERLINK("https://klasma.github.io/Logging_2283/knärot/A 46630-2022 karta knärot.png", "A 46630-2022")</f>
        <v/>
      </c>
      <c r="V286">
        <f>HYPERLINK("https://klasma.github.io/Logging_2283/klagomål/A 46630-2022 FSC-klagomål.docx", "A 46630-2022")</f>
        <v/>
      </c>
      <c r="W286">
        <f>HYPERLINK("https://klasma.github.io/Logging_2283/klagomålsmail/A 46630-2022 FSC-klagomål mail.docx", "A 46630-2022")</f>
        <v/>
      </c>
      <c r="X286">
        <f>HYPERLINK("https://klasma.github.io/Logging_2283/tillsyn/A 46630-2022 tillsynsbegäran.docx", "A 46630-2022")</f>
        <v/>
      </c>
      <c r="Y286">
        <f>HYPERLINK("https://klasma.github.io/Logging_2283/tillsynsmail/A 46630-2022 tillsynsbegäran mail.docx", "A 46630-2022")</f>
        <v/>
      </c>
      <c r="Z286">
        <f>HYPERLINK("https://klasma.github.io/Logging_2283/fåglar/A 46630-2022 prioriterade fågelarter.docx", "A 46630-2022")</f>
        <v/>
      </c>
    </row>
    <row r="287" ht="15" customHeight="1">
      <c r="A287" t="inlineStr">
        <is>
          <t>A 36563-2025</t>
        </is>
      </c>
      <c r="B287" s="1" t="n">
        <v>45870.37332175926</v>
      </c>
      <c r="C287" s="1" t="n">
        <v>45998</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22220-2025</t>
        </is>
      </c>
      <c r="B288" s="1" t="n">
        <v>45785.65862268519</v>
      </c>
      <c r="C288" s="1" t="n">
        <v>45998</v>
      </c>
      <c r="D288" t="inlineStr">
        <is>
          <t>VÄSTERNORRLANDS LÄN</t>
        </is>
      </c>
      <c r="E288" t="inlineStr">
        <is>
          <t>SOLLEFTEÅ</t>
        </is>
      </c>
      <c r="F288" t="inlineStr">
        <is>
          <t>SCA</t>
        </is>
      </c>
      <c r="G288" t="n">
        <v>4.6</v>
      </c>
      <c r="H288" t="n">
        <v>0</v>
      </c>
      <c r="I288" t="n">
        <v>1</v>
      </c>
      <c r="J288" t="n">
        <v>1</v>
      </c>
      <c r="K288" t="n">
        <v>0</v>
      </c>
      <c r="L288" t="n">
        <v>0</v>
      </c>
      <c r="M288" t="n">
        <v>0</v>
      </c>
      <c r="N288" t="n">
        <v>0</v>
      </c>
      <c r="O288" t="n">
        <v>1</v>
      </c>
      <c r="P288" t="n">
        <v>0</v>
      </c>
      <c r="Q288" t="n">
        <v>2</v>
      </c>
      <c r="R288" s="2" t="inlineStr">
        <is>
          <t>Lunglav
Stor aspticka</t>
        </is>
      </c>
      <c r="S288">
        <f>HYPERLINK("https://klasma.github.io/Logging_2283/artfynd/A 22220-2025 artfynd.xlsx", "A 22220-2025")</f>
        <v/>
      </c>
      <c r="T288">
        <f>HYPERLINK("https://klasma.github.io/Logging_2283/kartor/A 22220-2025 karta.png", "A 22220-2025")</f>
        <v/>
      </c>
      <c r="V288">
        <f>HYPERLINK("https://klasma.github.io/Logging_2283/klagomål/A 22220-2025 FSC-klagomål.docx", "A 22220-2025")</f>
        <v/>
      </c>
      <c r="W288">
        <f>HYPERLINK("https://klasma.github.io/Logging_2283/klagomålsmail/A 22220-2025 FSC-klagomål mail.docx", "A 22220-2025")</f>
        <v/>
      </c>
      <c r="X288">
        <f>HYPERLINK("https://klasma.github.io/Logging_2283/tillsyn/A 22220-2025 tillsynsbegäran.docx", "A 22220-2025")</f>
        <v/>
      </c>
      <c r="Y288">
        <f>HYPERLINK("https://klasma.github.io/Logging_2283/tillsynsmail/A 22220-2025 tillsynsbegäran mail.docx", "A 22220-2025")</f>
        <v/>
      </c>
    </row>
    <row r="289" ht="15" customHeight="1">
      <c r="A289" t="inlineStr">
        <is>
          <t>A 22808-2025</t>
        </is>
      </c>
      <c r="B289" s="1" t="n">
        <v>45789</v>
      </c>
      <c r="C289" s="1" t="n">
        <v>45998</v>
      </c>
      <c r="D289" t="inlineStr">
        <is>
          <t>VÄSTERNORRLANDS LÄN</t>
        </is>
      </c>
      <c r="E289" t="inlineStr">
        <is>
          <t>SOLLEFTEÅ</t>
        </is>
      </c>
      <c r="G289" t="n">
        <v>0.7</v>
      </c>
      <c r="H289" t="n">
        <v>0</v>
      </c>
      <c r="I289" t="n">
        <v>1</v>
      </c>
      <c r="J289" t="n">
        <v>1</v>
      </c>
      <c r="K289" t="n">
        <v>0</v>
      </c>
      <c r="L289" t="n">
        <v>0</v>
      </c>
      <c r="M289" t="n">
        <v>0</v>
      </c>
      <c r="N289" t="n">
        <v>0</v>
      </c>
      <c r="O289" t="n">
        <v>1</v>
      </c>
      <c r="P289" t="n">
        <v>0</v>
      </c>
      <c r="Q289" t="n">
        <v>2</v>
      </c>
      <c r="R289" s="2" t="inlineStr">
        <is>
          <t>Lunglav
Bårdlav</t>
        </is>
      </c>
      <c r="S289">
        <f>HYPERLINK("https://klasma.github.io/Logging_2283/artfynd/A 22808-2025 artfynd.xlsx", "A 22808-2025")</f>
        <v/>
      </c>
      <c r="T289">
        <f>HYPERLINK("https://klasma.github.io/Logging_2283/kartor/A 22808-2025 karta.png", "A 22808-2025")</f>
        <v/>
      </c>
      <c r="V289">
        <f>HYPERLINK("https://klasma.github.io/Logging_2283/klagomål/A 22808-2025 FSC-klagomål.docx", "A 22808-2025")</f>
        <v/>
      </c>
      <c r="W289">
        <f>HYPERLINK("https://klasma.github.io/Logging_2283/klagomålsmail/A 22808-2025 FSC-klagomål mail.docx", "A 22808-2025")</f>
        <v/>
      </c>
      <c r="X289">
        <f>HYPERLINK("https://klasma.github.io/Logging_2283/tillsyn/A 22808-2025 tillsynsbegäran.docx", "A 22808-2025")</f>
        <v/>
      </c>
      <c r="Y289">
        <f>HYPERLINK("https://klasma.github.io/Logging_2283/tillsynsmail/A 22808-2025 tillsynsbegäran mail.docx", "A 22808-2025")</f>
        <v/>
      </c>
    </row>
    <row r="290" ht="15" customHeight="1">
      <c r="A290" t="inlineStr">
        <is>
          <t>A 22518-2025</t>
        </is>
      </c>
      <c r="B290" s="1" t="n">
        <v>45786.67831018518</v>
      </c>
      <c r="C290" s="1" t="n">
        <v>45998</v>
      </c>
      <c r="D290" t="inlineStr">
        <is>
          <t>VÄSTERNORRLANDS LÄN</t>
        </is>
      </c>
      <c r="E290" t="inlineStr">
        <is>
          <t>SOLLEFTEÅ</t>
        </is>
      </c>
      <c r="F290" t="inlineStr">
        <is>
          <t>SCA</t>
        </is>
      </c>
      <c r="G290" t="n">
        <v>4</v>
      </c>
      <c r="H290" t="n">
        <v>0</v>
      </c>
      <c r="I290" t="n">
        <v>0</v>
      </c>
      <c r="J290" t="n">
        <v>2</v>
      </c>
      <c r="K290" t="n">
        <v>0</v>
      </c>
      <c r="L290" t="n">
        <v>0</v>
      </c>
      <c r="M290" t="n">
        <v>0</v>
      </c>
      <c r="N290" t="n">
        <v>0</v>
      </c>
      <c r="O290" t="n">
        <v>2</v>
      </c>
      <c r="P290" t="n">
        <v>0</v>
      </c>
      <c r="Q290" t="n">
        <v>2</v>
      </c>
      <c r="R290" s="2" t="inlineStr">
        <is>
          <t>Garnlav
Ullticka</t>
        </is>
      </c>
      <c r="S290">
        <f>HYPERLINK("https://klasma.github.io/Logging_2283/artfynd/A 22518-2025 artfynd.xlsx", "A 22518-2025")</f>
        <v/>
      </c>
      <c r="T290">
        <f>HYPERLINK("https://klasma.github.io/Logging_2283/kartor/A 22518-2025 karta.png", "A 22518-2025")</f>
        <v/>
      </c>
      <c r="V290">
        <f>HYPERLINK("https://klasma.github.io/Logging_2283/klagomål/A 22518-2025 FSC-klagomål.docx", "A 22518-2025")</f>
        <v/>
      </c>
      <c r="W290">
        <f>HYPERLINK("https://klasma.github.io/Logging_2283/klagomålsmail/A 22518-2025 FSC-klagomål mail.docx", "A 22518-2025")</f>
        <v/>
      </c>
      <c r="X290">
        <f>HYPERLINK("https://klasma.github.io/Logging_2283/tillsyn/A 22518-2025 tillsynsbegäran.docx", "A 22518-2025")</f>
        <v/>
      </c>
      <c r="Y290">
        <f>HYPERLINK("https://klasma.github.io/Logging_2283/tillsynsmail/A 22518-2025 tillsynsbegäran mail.docx", "A 22518-2025")</f>
        <v/>
      </c>
    </row>
    <row r="291" ht="15" customHeight="1">
      <c r="A291" t="inlineStr">
        <is>
          <t>A 38911-2025</t>
        </is>
      </c>
      <c r="B291" s="1" t="n">
        <v>45887.61534722222</v>
      </c>
      <c r="C291" s="1" t="n">
        <v>45998</v>
      </c>
      <c r="D291" t="inlineStr">
        <is>
          <t>VÄSTERNORRLANDS LÄN</t>
        </is>
      </c>
      <c r="E291" t="inlineStr">
        <is>
          <t>SOLLEFTEÅ</t>
        </is>
      </c>
      <c r="F291" t="inlineStr">
        <is>
          <t>SCA</t>
        </is>
      </c>
      <c r="G291" t="n">
        <v>10.5</v>
      </c>
      <c r="H291" t="n">
        <v>0</v>
      </c>
      <c r="I291" t="n">
        <v>1</v>
      </c>
      <c r="J291" t="n">
        <v>1</v>
      </c>
      <c r="K291" t="n">
        <v>0</v>
      </c>
      <c r="L291" t="n">
        <v>0</v>
      </c>
      <c r="M291" t="n">
        <v>0</v>
      </c>
      <c r="N291" t="n">
        <v>0</v>
      </c>
      <c r="O291" t="n">
        <v>1</v>
      </c>
      <c r="P291" t="n">
        <v>0</v>
      </c>
      <c r="Q291" t="n">
        <v>2</v>
      </c>
      <c r="R291" s="2" t="inlineStr">
        <is>
          <t>Garnlav
Vedticka</t>
        </is>
      </c>
      <c r="S291">
        <f>HYPERLINK("https://klasma.github.io/Logging_2283/artfynd/A 38911-2025 artfynd.xlsx", "A 38911-2025")</f>
        <v/>
      </c>
      <c r="T291">
        <f>HYPERLINK("https://klasma.github.io/Logging_2283/kartor/A 38911-2025 karta.png", "A 38911-2025")</f>
        <v/>
      </c>
      <c r="U291">
        <f>HYPERLINK("https://klasma.github.io/Logging_2283/knärot/A 38911-2025 karta knärot.png", "A 38911-2025")</f>
        <v/>
      </c>
      <c r="V291">
        <f>HYPERLINK("https://klasma.github.io/Logging_2283/klagomål/A 38911-2025 FSC-klagomål.docx", "A 38911-2025")</f>
        <v/>
      </c>
      <c r="W291">
        <f>HYPERLINK("https://klasma.github.io/Logging_2283/klagomålsmail/A 38911-2025 FSC-klagomål mail.docx", "A 38911-2025")</f>
        <v/>
      </c>
      <c r="X291">
        <f>HYPERLINK("https://klasma.github.io/Logging_2283/tillsyn/A 38911-2025 tillsynsbegäran.docx", "A 38911-2025")</f>
        <v/>
      </c>
      <c r="Y291">
        <f>HYPERLINK("https://klasma.github.io/Logging_2283/tillsynsmail/A 38911-2025 tillsynsbegäran mail.docx", "A 38911-2025")</f>
        <v/>
      </c>
    </row>
    <row r="292" ht="15" customHeight="1">
      <c r="A292" t="inlineStr">
        <is>
          <t>A 29264-2024</t>
        </is>
      </c>
      <c r="B292" s="1" t="n">
        <v>45482</v>
      </c>
      <c r="C292" s="1" t="n">
        <v>45998</v>
      </c>
      <c r="D292" t="inlineStr">
        <is>
          <t>VÄSTERNORRLANDS LÄN</t>
        </is>
      </c>
      <c r="E292" t="inlineStr">
        <is>
          <t>SOLLEFTEÅ</t>
        </is>
      </c>
      <c r="F292" t="inlineStr">
        <is>
          <t>SCA</t>
        </is>
      </c>
      <c r="G292" t="n">
        <v>3</v>
      </c>
      <c r="H292" t="n">
        <v>2</v>
      </c>
      <c r="I292" t="n">
        <v>0</v>
      </c>
      <c r="J292" t="n">
        <v>1</v>
      </c>
      <c r="K292" t="n">
        <v>0</v>
      </c>
      <c r="L292" t="n">
        <v>0</v>
      </c>
      <c r="M292" t="n">
        <v>0</v>
      </c>
      <c r="N292" t="n">
        <v>0</v>
      </c>
      <c r="O292" t="n">
        <v>1</v>
      </c>
      <c r="P292" t="n">
        <v>0</v>
      </c>
      <c r="Q292" t="n">
        <v>2</v>
      </c>
      <c r="R292" s="2" t="inlineStr">
        <is>
          <t>Tretåig hackspett
Fläcknycklar</t>
        </is>
      </c>
      <c r="S292">
        <f>HYPERLINK("https://klasma.github.io/Logging_2283/artfynd/A 29264-2024 artfynd.xlsx", "A 29264-2024")</f>
        <v/>
      </c>
      <c r="T292">
        <f>HYPERLINK("https://klasma.github.io/Logging_2283/kartor/A 29264-2024 karta.png", "A 29264-2024")</f>
        <v/>
      </c>
      <c r="V292">
        <f>HYPERLINK("https://klasma.github.io/Logging_2283/klagomål/A 29264-2024 FSC-klagomål.docx", "A 29264-2024")</f>
        <v/>
      </c>
      <c r="W292">
        <f>HYPERLINK("https://klasma.github.io/Logging_2283/klagomålsmail/A 29264-2024 FSC-klagomål mail.docx", "A 29264-2024")</f>
        <v/>
      </c>
      <c r="X292">
        <f>HYPERLINK("https://klasma.github.io/Logging_2283/tillsyn/A 29264-2024 tillsynsbegäran.docx", "A 29264-2024")</f>
        <v/>
      </c>
      <c r="Y292">
        <f>HYPERLINK("https://klasma.github.io/Logging_2283/tillsynsmail/A 29264-2024 tillsynsbegäran mail.docx", "A 29264-2024")</f>
        <v/>
      </c>
      <c r="Z292">
        <f>HYPERLINK("https://klasma.github.io/Logging_2283/fåglar/A 29264-2024 prioriterade fågelarter.docx", "A 29264-2024")</f>
        <v/>
      </c>
    </row>
    <row r="293" ht="15" customHeight="1">
      <c r="A293" t="inlineStr">
        <is>
          <t>A 47216-2025</t>
        </is>
      </c>
      <c r="B293" s="1" t="n">
        <v>45930.38612268519</v>
      </c>
      <c r="C293" s="1" t="n">
        <v>45998</v>
      </c>
      <c r="D293" t="inlineStr">
        <is>
          <t>VÄSTERNORRLANDS LÄN</t>
        </is>
      </c>
      <c r="E293" t="inlineStr">
        <is>
          <t>SOLLEFTEÅ</t>
        </is>
      </c>
      <c r="F293" t="inlineStr">
        <is>
          <t>SCA</t>
        </is>
      </c>
      <c r="G293" t="n">
        <v>13.6</v>
      </c>
      <c r="H293" t="n">
        <v>0</v>
      </c>
      <c r="I293" t="n">
        <v>0</v>
      </c>
      <c r="J293" t="n">
        <v>2</v>
      </c>
      <c r="K293" t="n">
        <v>0</v>
      </c>
      <c r="L293" t="n">
        <v>0</v>
      </c>
      <c r="M293" t="n">
        <v>0</v>
      </c>
      <c r="N293" t="n">
        <v>0</v>
      </c>
      <c r="O293" t="n">
        <v>2</v>
      </c>
      <c r="P293" t="n">
        <v>0</v>
      </c>
      <c r="Q293" t="n">
        <v>2</v>
      </c>
      <c r="R293" s="2" t="inlineStr">
        <is>
          <t>Lunglav
Skrovellav</t>
        </is>
      </c>
      <c r="S293">
        <f>HYPERLINK("https://klasma.github.io/Logging_2283/artfynd/A 47216-2025 artfynd.xlsx", "A 47216-2025")</f>
        <v/>
      </c>
      <c r="T293">
        <f>HYPERLINK("https://klasma.github.io/Logging_2283/kartor/A 47216-2025 karta.png", "A 47216-2025")</f>
        <v/>
      </c>
      <c r="V293">
        <f>HYPERLINK("https://klasma.github.io/Logging_2283/klagomål/A 47216-2025 FSC-klagomål.docx", "A 47216-2025")</f>
        <v/>
      </c>
      <c r="W293">
        <f>HYPERLINK("https://klasma.github.io/Logging_2283/klagomålsmail/A 47216-2025 FSC-klagomål mail.docx", "A 47216-2025")</f>
        <v/>
      </c>
      <c r="X293">
        <f>HYPERLINK("https://klasma.github.io/Logging_2283/tillsyn/A 47216-2025 tillsynsbegäran.docx", "A 47216-2025")</f>
        <v/>
      </c>
      <c r="Y293">
        <f>HYPERLINK("https://klasma.github.io/Logging_2283/tillsynsmail/A 47216-2025 tillsynsbegäran mail.docx", "A 47216-2025")</f>
        <v/>
      </c>
    </row>
    <row r="294" ht="15" customHeight="1">
      <c r="A294" t="inlineStr">
        <is>
          <t>A 25522-2025</t>
        </is>
      </c>
      <c r="B294" s="1" t="n">
        <v>45803.38619212963</v>
      </c>
      <c r="C294" s="1" t="n">
        <v>45998</v>
      </c>
      <c r="D294" t="inlineStr">
        <is>
          <t>VÄSTERNORRLANDS LÄN</t>
        </is>
      </c>
      <c r="E294" t="inlineStr">
        <is>
          <t>SOLLEFTEÅ</t>
        </is>
      </c>
      <c r="F294" t="inlineStr">
        <is>
          <t>SCA</t>
        </is>
      </c>
      <c r="G294" t="n">
        <v>0.8</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25522-2025 artfynd.xlsx", "A 25522-2025")</f>
        <v/>
      </c>
      <c r="T294">
        <f>HYPERLINK("https://klasma.github.io/Logging_2283/kartor/A 25522-2025 karta.png", "A 25522-2025")</f>
        <v/>
      </c>
      <c r="V294">
        <f>HYPERLINK("https://klasma.github.io/Logging_2283/klagomål/A 25522-2025 FSC-klagomål.docx", "A 25522-2025")</f>
        <v/>
      </c>
      <c r="W294">
        <f>HYPERLINK("https://klasma.github.io/Logging_2283/klagomålsmail/A 25522-2025 FSC-klagomål mail.docx", "A 25522-2025")</f>
        <v/>
      </c>
      <c r="X294">
        <f>HYPERLINK("https://klasma.github.io/Logging_2283/tillsyn/A 25522-2025 tillsynsbegäran.docx", "A 25522-2025")</f>
        <v/>
      </c>
      <c r="Y294">
        <f>HYPERLINK("https://klasma.github.io/Logging_2283/tillsynsmail/A 25522-2025 tillsynsbegäran mail.docx", "A 25522-2025")</f>
        <v/>
      </c>
    </row>
    <row r="295" ht="15" customHeight="1">
      <c r="A295" t="inlineStr">
        <is>
          <t>A 30972-2025</t>
        </is>
      </c>
      <c r="B295" s="1" t="n">
        <v>45832.4615625</v>
      </c>
      <c r="C295" s="1" t="n">
        <v>45998</v>
      </c>
      <c r="D295" t="inlineStr">
        <is>
          <t>VÄSTERNORRLANDS LÄN</t>
        </is>
      </c>
      <c r="E295" t="inlineStr">
        <is>
          <t>SOLLEFTEÅ</t>
        </is>
      </c>
      <c r="G295" t="n">
        <v>0.6</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30972-2025 artfynd.xlsx", "A 30972-2025")</f>
        <v/>
      </c>
      <c r="T295">
        <f>HYPERLINK("https://klasma.github.io/Logging_2283/kartor/A 30972-2025 karta.png", "A 30972-2025")</f>
        <v/>
      </c>
      <c r="V295">
        <f>HYPERLINK("https://klasma.github.io/Logging_2283/klagomål/A 30972-2025 FSC-klagomål.docx", "A 30972-2025")</f>
        <v/>
      </c>
      <c r="W295">
        <f>HYPERLINK("https://klasma.github.io/Logging_2283/klagomålsmail/A 30972-2025 FSC-klagomål mail.docx", "A 30972-2025")</f>
        <v/>
      </c>
      <c r="X295">
        <f>HYPERLINK("https://klasma.github.io/Logging_2283/tillsyn/A 30972-2025 tillsynsbegäran.docx", "A 30972-2025")</f>
        <v/>
      </c>
      <c r="Y295">
        <f>HYPERLINK("https://klasma.github.io/Logging_2283/tillsynsmail/A 30972-2025 tillsynsbegäran mail.docx", "A 30972-2025")</f>
        <v/>
      </c>
    </row>
    <row r="296" ht="15" customHeight="1">
      <c r="A296" t="inlineStr">
        <is>
          <t>A 60255-2025</t>
        </is>
      </c>
      <c r="B296" s="1" t="n">
        <v>45994.60180555555</v>
      </c>
      <c r="C296" s="1" t="n">
        <v>45998</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Revlummer</t>
        </is>
      </c>
      <c r="S296">
        <f>HYPERLINK("https://klasma.github.io/Logging_2283/artfynd/A 60255-2025 artfynd.xlsx", "A 60255-2025")</f>
        <v/>
      </c>
      <c r="T296">
        <f>HYPERLINK("https://klasma.github.io/Logging_2283/kartor/A 60255-2025 karta.png", "A 60255-2025")</f>
        <v/>
      </c>
      <c r="V296">
        <f>HYPERLINK("https://klasma.github.io/Logging_2283/klagomål/A 60255-2025 FSC-klagomål.docx", "A 60255-2025")</f>
        <v/>
      </c>
      <c r="W296">
        <f>HYPERLINK("https://klasma.github.io/Logging_2283/klagomålsmail/A 60255-2025 FSC-klagomål mail.docx", "A 60255-2025")</f>
        <v/>
      </c>
      <c r="X296">
        <f>HYPERLINK("https://klasma.github.io/Logging_2283/tillsyn/A 60255-2025 tillsynsbegäran.docx", "A 60255-2025")</f>
        <v/>
      </c>
      <c r="Y296">
        <f>HYPERLINK("https://klasma.github.io/Logging_2283/tillsynsmail/A 60255-2025 tillsynsbegäran mail.docx", "A 60255-2025")</f>
        <v/>
      </c>
    </row>
    <row r="297" ht="15" customHeight="1">
      <c r="A297" t="inlineStr">
        <is>
          <t>A 31503-2025</t>
        </is>
      </c>
      <c r="B297" s="1" t="n">
        <v>45833.59417824074</v>
      </c>
      <c r="C297" s="1" t="n">
        <v>45998</v>
      </c>
      <c r="D297" t="inlineStr">
        <is>
          <t>VÄSTERNORRLANDS LÄN</t>
        </is>
      </c>
      <c r="E297" t="inlineStr">
        <is>
          <t>SOLLEFTEÅ</t>
        </is>
      </c>
      <c r="F297" t="inlineStr">
        <is>
          <t>SCA</t>
        </is>
      </c>
      <c r="G297" t="n">
        <v>22.8</v>
      </c>
      <c r="H297" t="n">
        <v>2</v>
      </c>
      <c r="I297" t="n">
        <v>1</v>
      </c>
      <c r="J297" t="n">
        <v>0</v>
      </c>
      <c r="K297" t="n">
        <v>1</v>
      </c>
      <c r="L297" t="n">
        <v>0</v>
      </c>
      <c r="M297" t="n">
        <v>0</v>
      </c>
      <c r="N297" t="n">
        <v>0</v>
      </c>
      <c r="O297" t="n">
        <v>1</v>
      </c>
      <c r="P297" t="n">
        <v>1</v>
      </c>
      <c r="Q297" t="n">
        <v>2</v>
      </c>
      <c r="R297" s="2" t="inlineStr">
        <is>
          <t>Knärot
Plattlummer</t>
        </is>
      </c>
      <c r="S297">
        <f>HYPERLINK("https://klasma.github.io/Logging_2283/artfynd/A 31503-2025 artfynd.xlsx", "A 31503-2025")</f>
        <v/>
      </c>
      <c r="T297">
        <f>HYPERLINK("https://klasma.github.io/Logging_2283/kartor/A 31503-2025 karta.png", "A 31503-2025")</f>
        <v/>
      </c>
      <c r="U297">
        <f>HYPERLINK("https://klasma.github.io/Logging_2283/knärot/A 31503-2025 karta knärot.png", "A 31503-2025")</f>
        <v/>
      </c>
      <c r="V297">
        <f>HYPERLINK("https://klasma.github.io/Logging_2283/klagomål/A 31503-2025 FSC-klagomål.docx", "A 31503-2025")</f>
        <v/>
      </c>
      <c r="W297">
        <f>HYPERLINK("https://klasma.github.io/Logging_2283/klagomålsmail/A 31503-2025 FSC-klagomål mail.docx", "A 31503-2025")</f>
        <v/>
      </c>
      <c r="X297">
        <f>HYPERLINK("https://klasma.github.io/Logging_2283/tillsyn/A 31503-2025 tillsynsbegäran.docx", "A 31503-2025")</f>
        <v/>
      </c>
      <c r="Y297">
        <f>HYPERLINK("https://klasma.github.io/Logging_2283/tillsynsmail/A 31503-2025 tillsynsbegäran mail.docx", "A 31503-2025")</f>
        <v/>
      </c>
    </row>
    <row r="298" ht="15" customHeight="1">
      <c r="A298" t="inlineStr">
        <is>
          <t>A 60596-2025</t>
        </is>
      </c>
      <c r="B298" s="1" t="n">
        <v>45996.34466435185</v>
      </c>
      <c r="C298" s="1" t="n">
        <v>45998</v>
      </c>
      <c r="D298" t="inlineStr">
        <is>
          <t>VÄSTERNORRLANDS LÄN</t>
        </is>
      </c>
      <c r="E298" t="inlineStr">
        <is>
          <t>SOLLEFTEÅ</t>
        </is>
      </c>
      <c r="F298" t="inlineStr">
        <is>
          <t>SCA</t>
        </is>
      </c>
      <c r="G298" t="n">
        <v>2.1</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60596-2025 artfynd.xlsx", "A 60596-2025")</f>
        <v/>
      </c>
      <c r="T298">
        <f>HYPERLINK("https://klasma.github.io/Logging_2283/kartor/A 60596-2025 karta.png", "A 60596-2025")</f>
        <v/>
      </c>
      <c r="V298">
        <f>HYPERLINK("https://klasma.github.io/Logging_2283/klagomål/A 60596-2025 FSC-klagomål.docx", "A 60596-2025")</f>
        <v/>
      </c>
      <c r="W298">
        <f>HYPERLINK("https://klasma.github.io/Logging_2283/klagomålsmail/A 60596-2025 FSC-klagomål mail.docx", "A 60596-2025")</f>
        <v/>
      </c>
      <c r="X298">
        <f>HYPERLINK("https://klasma.github.io/Logging_2283/tillsyn/A 60596-2025 tillsynsbegäran.docx", "A 60596-2025")</f>
        <v/>
      </c>
      <c r="Y298">
        <f>HYPERLINK("https://klasma.github.io/Logging_2283/tillsynsmail/A 60596-2025 tillsynsbegäran mail.docx", "A 60596-2025")</f>
        <v/>
      </c>
    </row>
    <row r="299" ht="15" customHeight="1">
      <c r="A299" t="inlineStr">
        <is>
          <t>A 49189-2025</t>
        </is>
      </c>
      <c r="B299" s="1" t="n">
        <v>45938</v>
      </c>
      <c r="C299" s="1" t="n">
        <v>45998</v>
      </c>
      <c r="D299" t="inlineStr">
        <is>
          <t>VÄSTERNORRLANDS LÄN</t>
        </is>
      </c>
      <c r="E299" t="inlineStr">
        <is>
          <t>SOLLEFTEÅ</t>
        </is>
      </c>
      <c r="F299" t="inlineStr">
        <is>
          <t>SCA</t>
        </is>
      </c>
      <c r="G299" t="n">
        <v>9.6</v>
      </c>
      <c r="H299" t="n">
        <v>1</v>
      </c>
      <c r="I299" t="n">
        <v>0</v>
      </c>
      <c r="J299" t="n">
        <v>1</v>
      </c>
      <c r="K299" t="n">
        <v>1</v>
      </c>
      <c r="L299" t="n">
        <v>0</v>
      </c>
      <c r="M299" t="n">
        <v>0</v>
      </c>
      <c r="N299" t="n">
        <v>0</v>
      </c>
      <c r="O299" t="n">
        <v>2</v>
      </c>
      <c r="P299" t="n">
        <v>1</v>
      </c>
      <c r="Q299" t="n">
        <v>2</v>
      </c>
      <c r="R299" s="2" t="inlineStr">
        <is>
          <t>Knärot
Rosenticka</t>
        </is>
      </c>
      <c r="S299">
        <f>HYPERLINK("https://klasma.github.io/Logging_2283/artfynd/A 49189-2025 artfynd.xlsx", "A 49189-2025")</f>
        <v/>
      </c>
      <c r="T299">
        <f>HYPERLINK("https://klasma.github.io/Logging_2283/kartor/A 49189-2025 karta.png", "A 49189-2025")</f>
        <v/>
      </c>
      <c r="U299">
        <f>HYPERLINK("https://klasma.github.io/Logging_2283/knärot/A 49189-2025 karta knärot.png", "A 49189-2025")</f>
        <v/>
      </c>
      <c r="V299">
        <f>HYPERLINK("https://klasma.github.io/Logging_2283/klagomål/A 49189-2025 FSC-klagomål.docx", "A 49189-2025")</f>
        <v/>
      </c>
      <c r="W299">
        <f>HYPERLINK("https://klasma.github.io/Logging_2283/klagomålsmail/A 49189-2025 FSC-klagomål mail.docx", "A 49189-2025")</f>
        <v/>
      </c>
      <c r="X299">
        <f>HYPERLINK("https://klasma.github.io/Logging_2283/tillsyn/A 49189-2025 tillsynsbegäran.docx", "A 49189-2025")</f>
        <v/>
      </c>
      <c r="Y299">
        <f>HYPERLINK("https://klasma.github.io/Logging_2283/tillsynsmail/A 49189-2025 tillsynsbegäran mail.docx", "A 49189-2025")</f>
        <v/>
      </c>
    </row>
    <row r="300" ht="15" customHeight="1">
      <c r="A300" t="inlineStr">
        <is>
          <t>A 32738-2025</t>
        </is>
      </c>
      <c r="B300" s="1" t="n">
        <v>45839.41827546297</v>
      </c>
      <c r="C300" s="1" t="n">
        <v>45998</v>
      </c>
      <c r="D300" t="inlineStr">
        <is>
          <t>VÄSTERNORRLANDS LÄN</t>
        </is>
      </c>
      <c r="E300" t="inlineStr">
        <is>
          <t>SOLLEFTEÅ</t>
        </is>
      </c>
      <c r="G300" t="n">
        <v>3.1</v>
      </c>
      <c r="H300" t="n">
        <v>2</v>
      </c>
      <c r="I300" t="n">
        <v>0</v>
      </c>
      <c r="J300" t="n">
        <v>1</v>
      </c>
      <c r="K300" t="n">
        <v>0</v>
      </c>
      <c r="L300" t="n">
        <v>0</v>
      </c>
      <c r="M300" t="n">
        <v>0</v>
      </c>
      <c r="N300" t="n">
        <v>0</v>
      </c>
      <c r="O300" t="n">
        <v>1</v>
      </c>
      <c r="P300" t="n">
        <v>0</v>
      </c>
      <c r="Q300" t="n">
        <v>2</v>
      </c>
      <c r="R300" s="2" t="inlineStr">
        <is>
          <t>Spillkråka
Tjäder</t>
        </is>
      </c>
      <c r="S300">
        <f>HYPERLINK("https://klasma.github.io/Logging_2283/artfynd/A 32738-2025 artfynd.xlsx", "A 32738-2025")</f>
        <v/>
      </c>
      <c r="T300">
        <f>HYPERLINK("https://klasma.github.io/Logging_2283/kartor/A 32738-2025 karta.png", "A 32738-2025")</f>
        <v/>
      </c>
      <c r="V300">
        <f>HYPERLINK("https://klasma.github.io/Logging_2283/klagomål/A 32738-2025 FSC-klagomål.docx", "A 32738-2025")</f>
        <v/>
      </c>
      <c r="W300">
        <f>HYPERLINK("https://klasma.github.io/Logging_2283/klagomålsmail/A 32738-2025 FSC-klagomål mail.docx", "A 32738-2025")</f>
        <v/>
      </c>
      <c r="X300">
        <f>HYPERLINK("https://klasma.github.io/Logging_2283/tillsyn/A 32738-2025 tillsynsbegäran.docx", "A 32738-2025")</f>
        <v/>
      </c>
      <c r="Y300">
        <f>HYPERLINK("https://klasma.github.io/Logging_2283/tillsynsmail/A 32738-2025 tillsynsbegäran mail.docx", "A 32738-2025")</f>
        <v/>
      </c>
      <c r="Z300">
        <f>HYPERLINK("https://klasma.github.io/Logging_2283/fåglar/A 32738-2025 prioriterade fågelarter.docx", "A 32738-2025")</f>
        <v/>
      </c>
    </row>
    <row r="301" ht="15" customHeight="1">
      <c r="A301" t="inlineStr">
        <is>
          <t>A 50751-2024</t>
        </is>
      </c>
      <c r="B301" s="1" t="n">
        <v>45602</v>
      </c>
      <c r="C301" s="1" t="n">
        <v>45998</v>
      </c>
      <c r="D301" t="inlineStr">
        <is>
          <t>VÄSTERNORRLANDS LÄN</t>
        </is>
      </c>
      <c r="E301" t="inlineStr">
        <is>
          <t>SOLLEFTEÅ</t>
        </is>
      </c>
      <c r="G301" t="n">
        <v>4.4</v>
      </c>
      <c r="H301" t="n">
        <v>0</v>
      </c>
      <c r="I301" t="n">
        <v>1</v>
      </c>
      <c r="J301" t="n">
        <v>1</v>
      </c>
      <c r="K301" t="n">
        <v>0</v>
      </c>
      <c r="L301" t="n">
        <v>0</v>
      </c>
      <c r="M301" t="n">
        <v>0</v>
      </c>
      <c r="N301" t="n">
        <v>0</v>
      </c>
      <c r="O301" t="n">
        <v>1</v>
      </c>
      <c r="P301" t="n">
        <v>0</v>
      </c>
      <c r="Q301" t="n">
        <v>2</v>
      </c>
      <c r="R301" s="2" t="inlineStr">
        <is>
          <t>Garnlav
Norrlandslav</t>
        </is>
      </c>
      <c r="S301">
        <f>HYPERLINK("https://klasma.github.io/Logging_2283/artfynd/A 50751-2024 artfynd.xlsx", "A 50751-2024")</f>
        <v/>
      </c>
      <c r="T301">
        <f>HYPERLINK("https://klasma.github.io/Logging_2283/kartor/A 50751-2024 karta.png", "A 50751-2024")</f>
        <v/>
      </c>
      <c r="V301">
        <f>HYPERLINK("https://klasma.github.io/Logging_2283/klagomål/A 50751-2024 FSC-klagomål.docx", "A 50751-2024")</f>
        <v/>
      </c>
      <c r="W301">
        <f>HYPERLINK("https://klasma.github.io/Logging_2283/klagomålsmail/A 50751-2024 FSC-klagomål mail.docx", "A 50751-2024")</f>
        <v/>
      </c>
      <c r="X301">
        <f>HYPERLINK("https://klasma.github.io/Logging_2283/tillsyn/A 50751-2024 tillsynsbegäran.docx", "A 50751-2024")</f>
        <v/>
      </c>
      <c r="Y301">
        <f>HYPERLINK("https://klasma.github.io/Logging_2283/tillsynsmail/A 50751-2024 tillsynsbegäran mail.docx", "A 50751-2024")</f>
        <v/>
      </c>
    </row>
    <row r="302" ht="15" customHeight="1">
      <c r="A302" t="inlineStr">
        <is>
          <t>A 54153-2021</t>
        </is>
      </c>
      <c r="B302" s="1" t="n">
        <v>44469</v>
      </c>
      <c r="C302" s="1" t="n">
        <v>45998</v>
      </c>
      <c r="D302" t="inlineStr">
        <is>
          <t>VÄSTERNORRLANDS LÄN</t>
        </is>
      </c>
      <c r="E302" t="inlineStr">
        <is>
          <t>SOLLEFTEÅ</t>
        </is>
      </c>
      <c r="G302" t="n">
        <v>1.4</v>
      </c>
      <c r="H302" t="n">
        <v>0</v>
      </c>
      <c r="I302" t="n">
        <v>0</v>
      </c>
      <c r="J302" t="n">
        <v>2</v>
      </c>
      <c r="K302" t="n">
        <v>0</v>
      </c>
      <c r="L302" t="n">
        <v>0</v>
      </c>
      <c r="M302" t="n">
        <v>0</v>
      </c>
      <c r="N302" t="n">
        <v>0</v>
      </c>
      <c r="O302" t="n">
        <v>2</v>
      </c>
      <c r="P302" t="n">
        <v>0</v>
      </c>
      <c r="Q302" t="n">
        <v>2</v>
      </c>
      <c r="R302" s="2" t="inlineStr">
        <is>
          <t>Garnlav
Rosenticka</t>
        </is>
      </c>
      <c r="S302">
        <f>HYPERLINK("https://klasma.github.io/Logging_2283/artfynd/A 54153-2021 artfynd.xlsx", "A 54153-2021")</f>
        <v/>
      </c>
      <c r="T302">
        <f>HYPERLINK("https://klasma.github.io/Logging_2283/kartor/A 54153-2021 karta.png", "A 54153-2021")</f>
        <v/>
      </c>
      <c r="V302">
        <f>HYPERLINK("https://klasma.github.io/Logging_2283/klagomål/A 54153-2021 FSC-klagomål.docx", "A 54153-2021")</f>
        <v/>
      </c>
      <c r="W302">
        <f>HYPERLINK("https://klasma.github.io/Logging_2283/klagomålsmail/A 54153-2021 FSC-klagomål mail.docx", "A 54153-2021")</f>
        <v/>
      </c>
      <c r="X302">
        <f>HYPERLINK("https://klasma.github.io/Logging_2283/tillsyn/A 54153-2021 tillsynsbegäran.docx", "A 54153-2021")</f>
        <v/>
      </c>
      <c r="Y302">
        <f>HYPERLINK("https://klasma.github.io/Logging_2283/tillsynsmail/A 54153-2021 tillsynsbegäran mail.docx", "A 54153-2021")</f>
        <v/>
      </c>
    </row>
    <row r="303" ht="15" customHeight="1">
      <c r="A303" t="inlineStr">
        <is>
          <t>A 11578-2025</t>
        </is>
      </c>
      <c r="B303" s="1" t="n">
        <v>45727.38609953703</v>
      </c>
      <c r="C303" s="1" t="n">
        <v>45998</v>
      </c>
      <c r="D303" t="inlineStr">
        <is>
          <t>VÄSTERNORRLANDS LÄN</t>
        </is>
      </c>
      <c r="E303" t="inlineStr">
        <is>
          <t>SOLLEFTEÅ</t>
        </is>
      </c>
      <c r="F303" t="inlineStr">
        <is>
          <t>SCA</t>
        </is>
      </c>
      <c r="G303" t="n">
        <v>1</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HYPERLINK("https://klasma.github.io/Logging_2283/artfynd/A 11578-2025 artfynd.xlsx", "A 11578-2025")</f>
        <v/>
      </c>
      <c r="T303">
        <f>HYPERLINK("https://klasma.github.io/Logging_2283/kartor/A 11578-2025 karta.png", "A 11578-2025")</f>
        <v/>
      </c>
      <c r="U303">
        <f>HYPERLINK("https://klasma.github.io/Logging_2283/knärot/A 11578-2025 karta knärot.png", "A 11578-2025")</f>
        <v/>
      </c>
      <c r="V303">
        <f>HYPERLINK("https://klasma.github.io/Logging_2283/klagomål/A 11578-2025 FSC-klagomål.docx", "A 11578-2025")</f>
        <v/>
      </c>
      <c r="W303">
        <f>HYPERLINK("https://klasma.github.io/Logging_2283/klagomålsmail/A 11578-2025 FSC-klagomål mail.docx", "A 11578-2025")</f>
        <v/>
      </c>
      <c r="X303">
        <f>HYPERLINK("https://klasma.github.io/Logging_2283/tillsyn/A 11578-2025 tillsynsbegäran.docx", "A 11578-2025")</f>
        <v/>
      </c>
      <c r="Y303">
        <f>HYPERLINK("https://klasma.github.io/Logging_2283/tillsynsmail/A 11578-2025 tillsynsbegäran mail.docx", "A 11578-2025")</f>
        <v/>
      </c>
      <c r="Z303">
        <f>HYPERLINK("https://klasma.github.io/Logging_2283/fåglar/A 11578-2025 prioriterade fågelarter.docx", "A 11578-2025")</f>
        <v/>
      </c>
    </row>
    <row r="304" ht="15" customHeight="1">
      <c r="A304" t="inlineStr">
        <is>
          <t>A 17377-2021</t>
        </is>
      </c>
      <c r="B304" s="1" t="n">
        <v>44298</v>
      </c>
      <c r="C304" s="1" t="n">
        <v>45998</v>
      </c>
      <c r="D304" t="inlineStr">
        <is>
          <t>VÄSTERNORRLANDS LÄN</t>
        </is>
      </c>
      <c r="E304" t="inlineStr">
        <is>
          <t>SOLLEFTEÅ</t>
        </is>
      </c>
      <c r="G304" t="n">
        <v>5.1</v>
      </c>
      <c r="H304" t="n">
        <v>1</v>
      </c>
      <c r="I304" t="n">
        <v>0</v>
      </c>
      <c r="J304" t="n">
        <v>2</v>
      </c>
      <c r="K304" t="n">
        <v>0</v>
      </c>
      <c r="L304" t="n">
        <v>0</v>
      </c>
      <c r="M304" t="n">
        <v>0</v>
      </c>
      <c r="N304" t="n">
        <v>0</v>
      </c>
      <c r="O304" t="n">
        <v>2</v>
      </c>
      <c r="P304" t="n">
        <v>0</v>
      </c>
      <c r="Q304" t="n">
        <v>2</v>
      </c>
      <c r="R304" s="2" t="inlineStr">
        <is>
          <t>Tretåig hackspett
Ullticka</t>
        </is>
      </c>
      <c r="S304">
        <f>HYPERLINK("https://klasma.github.io/Logging_2283/artfynd/A 17377-2021 artfynd.xlsx", "A 17377-2021")</f>
        <v/>
      </c>
      <c r="T304">
        <f>HYPERLINK("https://klasma.github.io/Logging_2283/kartor/A 17377-2021 karta.png", "A 17377-2021")</f>
        <v/>
      </c>
      <c r="V304">
        <f>HYPERLINK("https://klasma.github.io/Logging_2283/klagomål/A 17377-2021 FSC-klagomål.docx", "A 17377-2021")</f>
        <v/>
      </c>
      <c r="W304">
        <f>HYPERLINK("https://klasma.github.io/Logging_2283/klagomålsmail/A 17377-2021 FSC-klagomål mail.docx", "A 17377-2021")</f>
        <v/>
      </c>
      <c r="X304">
        <f>HYPERLINK("https://klasma.github.io/Logging_2283/tillsyn/A 17377-2021 tillsynsbegäran.docx", "A 17377-2021")</f>
        <v/>
      </c>
      <c r="Y304">
        <f>HYPERLINK("https://klasma.github.io/Logging_2283/tillsynsmail/A 17377-2021 tillsynsbegäran mail.docx", "A 17377-2021")</f>
        <v/>
      </c>
      <c r="Z304">
        <f>HYPERLINK("https://klasma.github.io/Logging_2283/fåglar/A 17377-2021 prioriterade fågelarter.docx", "A 17377-2021")</f>
        <v/>
      </c>
    </row>
    <row r="305" ht="15" customHeight="1">
      <c r="A305" t="inlineStr">
        <is>
          <t>A 2347-2025</t>
        </is>
      </c>
      <c r="B305" s="1" t="n">
        <v>45673.67782407408</v>
      </c>
      <c r="C305" s="1" t="n">
        <v>45998</v>
      </c>
      <c r="D305" t="inlineStr">
        <is>
          <t>VÄSTERNORRLANDS LÄN</t>
        </is>
      </c>
      <c r="E305" t="inlineStr">
        <is>
          <t>SOLLEFTEÅ</t>
        </is>
      </c>
      <c r="F305" t="inlineStr">
        <is>
          <t>SCA</t>
        </is>
      </c>
      <c r="G305" t="n">
        <v>3.3</v>
      </c>
      <c r="H305" t="n">
        <v>1</v>
      </c>
      <c r="I305" t="n">
        <v>0</v>
      </c>
      <c r="J305" t="n">
        <v>2</v>
      </c>
      <c r="K305" t="n">
        <v>0</v>
      </c>
      <c r="L305" t="n">
        <v>0</v>
      </c>
      <c r="M305" t="n">
        <v>0</v>
      </c>
      <c r="N305" t="n">
        <v>0</v>
      </c>
      <c r="O305" t="n">
        <v>2</v>
      </c>
      <c r="P305" t="n">
        <v>0</v>
      </c>
      <c r="Q305" t="n">
        <v>2</v>
      </c>
      <c r="R305" s="2" t="inlineStr">
        <is>
          <t>Garnlav
Spillkråka</t>
        </is>
      </c>
      <c r="S305">
        <f>HYPERLINK("https://klasma.github.io/Logging_2283/artfynd/A 2347-2025 artfynd.xlsx", "A 2347-2025")</f>
        <v/>
      </c>
      <c r="T305">
        <f>HYPERLINK("https://klasma.github.io/Logging_2283/kartor/A 2347-2025 karta.png", "A 2347-2025")</f>
        <v/>
      </c>
      <c r="V305">
        <f>HYPERLINK("https://klasma.github.io/Logging_2283/klagomål/A 2347-2025 FSC-klagomål.docx", "A 2347-2025")</f>
        <v/>
      </c>
      <c r="W305">
        <f>HYPERLINK("https://klasma.github.io/Logging_2283/klagomålsmail/A 2347-2025 FSC-klagomål mail.docx", "A 2347-2025")</f>
        <v/>
      </c>
      <c r="X305">
        <f>HYPERLINK("https://klasma.github.io/Logging_2283/tillsyn/A 2347-2025 tillsynsbegäran.docx", "A 2347-2025")</f>
        <v/>
      </c>
      <c r="Y305">
        <f>HYPERLINK("https://klasma.github.io/Logging_2283/tillsynsmail/A 2347-2025 tillsynsbegäran mail.docx", "A 2347-2025")</f>
        <v/>
      </c>
      <c r="Z305">
        <f>HYPERLINK("https://klasma.github.io/Logging_2283/fåglar/A 2347-2025 prioriterade fågelarter.docx", "A 2347-2025")</f>
        <v/>
      </c>
    </row>
    <row r="306" ht="15" customHeight="1">
      <c r="A306" t="inlineStr">
        <is>
          <t>A 58880-2024</t>
        </is>
      </c>
      <c r="B306" s="1" t="n">
        <v>45636.44836805556</v>
      </c>
      <c r="C306" s="1" t="n">
        <v>45998</v>
      </c>
      <c r="D306" t="inlineStr">
        <is>
          <t>VÄSTERNORRLANDS LÄN</t>
        </is>
      </c>
      <c r="E306" t="inlineStr">
        <is>
          <t>SOLLEFTEÅ</t>
        </is>
      </c>
      <c r="F306" t="inlineStr">
        <is>
          <t>SCA</t>
        </is>
      </c>
      <c r="G306" t="n">
        <v>2</v>
      </c>
      <c r="H306" t="n">
        <v>0</v>
      </c>
      <c r="I306" t="n">
        <v>0</v>
      </c>
      <c r="J306" t="n">
        <v>2</v>
      </c>
      <c r="K306" t="n">
        <v>0</v>
      </c>
      <c r="L306" t="n">
        <v>0</v>
      </c>
      <c r="M306" t="n">
        <v>0</v>
      </c>
      <c r="N306" t="n">
        <v>0</v>
      </c>
      <c r="O306" t="n">
        <v>2</v>
      </c>
      <c r="P306" t="n">
        <v>0</v>
      </c>
      <c r="Q306" t="n">
        <v>2</v>
      </c>
      <c r="R306" s="2" t="inlineStr">
        <is>
          <t>Gammelgransskål
Garnlav</t>
        </is>
      </c>
      <c r="S306">
        <f>HYPERLINK("https://klasma.github.io/Logging_2283/artfynd/A 58880-2024 artfynd.xlsx", "A 58880-2024")</f>
        <v/>
      </c>
      <c r="T306">
        <f>HYPERLINK("https://klasma.github.io/Logging_2283/kartor/A 58880-2024 karta.png", "A 58880-2024")</f>
        <v/>
      </c>
      <c r="V306">
        <f>HYPERLINK("https://klasma.github.io/Logging_2283/klagomål/A 58880-2024 FSC-klagomål.docx", "A 58880-2024")</f>
        <v/>
      </c>
      <c r="W306">
        <f>HYPERLINK("https://klasma.github.io/Logging_2283/klagomålsmail/A 58880-2024 FSC-klagomål mail.docx", "A 58880-2024")</f>
        <v/>
      </c>
      <c r="X306">
        <f>HYPERLINK("https://klasma.github.io/Logging_2283/tillsyn/A 58880-2024 tillsynsbegäran.docx", "A 58880-2024")</f>
        <v/>
      </c>
      <c r="Y306">
        <f>HYPERLINK("https://klasma.github.io/Logging_2283/tillsynsmail/A 58880-2024 tillsynsbegäran mail.docx", "A 58880-2024")</f>
        <v/>
      </c>
    </row>
    <row r="307" ht="15" customHeight="1">
      <c r="A307" t="inlineStr">
        <is>
          <t>A 59997-2024</t>
        </is>
      </c>
      <c r="B307" s="1" t="n">
        <v>45642.40715277778</v>
      </c>
      <c r="C307" s="1" t="n">
        <v>45998</v>
      </c>
      <c r="D307" t="inlineStr">
        <is>
          <t>VÄSTERNORRLANDS LÄN</t>
        </is>
      </c>
      <c r="E307" t="inlineStr">
        <is>
          <t>SOLLEFTEÅ</t>
        </is>
      </c>
      <c r="F307" t="inlineStr">
        <is>
          <t>SCA</t>
        </is>
      </c>
      <c r="G307" t="n">
        <v>2.8</v>
      </c>
      <c r="H307" t="n">
        <v>1</v>
      </c>
      <c r="I307" t="n">
        <v>0</v>
      </c>
      <c r="J307" t="n">
        <v>1</v>
      </c>
      <c r="K307" t="n">
        <v>1</v>
      </c>
      <c r="L307" t="n">
        <v>0</v>
      </c>
      <c r="M307" t="n">
        <v>0</v>
      </c>
      <c r="N307" t="n">
        <v>0</v>
      </c>
      <c r="O307" t="n">
        <v>2</v>
      </c>
      <c r="P307" t="n">
        <v>1</v>
      </c>
      <c r="Q307" t="n">
        <v>2</v>
      </c>
      <c r="R307" s="2" t="inlineStr">
        <is>
          <t>Knärot
Garnlav</t>
        </is>
      </c>
      <c r="S307">
        <f>HYPERLINK("https://klasma.github.io/Logging_2283/artfynd/A 59997-2024 artfynd.xlsx", "A 59997-2024")</f>
        <v/>
      </c>
      <c r="T307">
        <f>HYPERLINK("https://klasma.github.io/Logging_2283/kartor/A 59997-2024 karta.png", "A 59997-2024")</f>
        <v/>
      </c>
      <c r="U307">
        <f>HYPERLINK("https://klasma.github.io/Logging_2283/knärot/A 59997-2024 karta knärot.png", "A 59997-2024")</f>
        <v/>
      </c>
      <c r="V307">
        <f>HYPERLINK("https://klasma.github.io/Logging_2283/klagomål/A 59997-2024 FSC-klagomål.docx", "A 59997-2024")</f>
        <v/>
      </c>
      <c r="W307">
        <f>HYPERLINK("https://klasma.github.io/Logging_2283/klagomålsmail/A 59997-2024 FSC-klagomål mail.docx", "A 59997-2024")</f>
        <v/>
      </c>
      <c r="X307">
        <f>HYPERLINK("https://klasma.github.io/Logging_2283/tillsyn/A 59997-2024 tillsynsbegäran.docx", "A 59997-2024")</f>
        <v/>
      </c>
      <c r="Y307">
        <f>HYPERLINK("https://klasma.github.io/Logging_2283/tillsynsmail/A 59997-2024 tillsynsbegäran mail.docx", "A 59997-2024")</f>
        <v/>
      </c>
    </row>
    <row r="308" ht="15" customHeight="1">
      <c r="A308" t="inlineStr">
        <is>
          <t>A 7837-2025</t>
        </is>
      </c>
      <c r="B308" s="1" t="n">
        <v>45706</v>
      </c>
      <c r="C308" s="1" t="n">
        <v>45998</v>
      </c>
      <c r="D308" t="inlineStr">
        <is>
          <t>VÄSTERNORRLANDS LÄN</t>
        </is>
      </c>
      <c r="E308" t="inlineStr">
        <is>
          <t>SOLLEFTEÅ</t>
        </is>
      </c>
      <c r="F308" t="inlineStr">
        <is>
          <t>SCA</t>
        </is>
      </c>
      <c r="G308" t="n">
        <v>2</v>
      </c>
      <c r="H308" t="n">
        <v>0</v>
      </c>
      <c r="I308" t="n">
        <v>1</v>
      </c>
      <c r="J308" t="n">
        <v>1</v>
      </c>
      <c r="K308" t="n">
        <v>0</v>
      </c>
      <c r="L308" t="n">
        <v>0</v>
      </c>
      <c r="M308" t="n">
        <v>0</v>
      </c>
      <c r="N308" t="n">
        <v>0</v>
      </c>
      <c r="O308" t="n">
        <v>1</v>
      </c>
      <c r="P308" t="n">
        <v>0</v>
      </c>
      <c r="Q308" t="n">
        <v>2</v>
      </c>
      <c r="R308" s="2" t="inlineStr">
        <is>
          <t>Gammelgransskål
Norrlandslav</t>
        </is>
      </c>
      <c r="S308">
        <f>HYPERLINK("https://klasma.github.io/Logging_2283/artfynd/A 7837-2025 artfynd.xlsx", "A 7837-2025")</f>
        <v/>
      </c>
      <c r="T308">
        <f>HYPERLINK("https://klasma.github.io/Logging_2283/kartor/A 7837-2025 karta.png", "A 7837-2025")</f>
        <v/>
      </c>
      <c r="V308">
        <f>HYPERLINK("https://klasma.github.io/Logging_2283/klagomål/A 7837-2025 FSC-klagomål.docx", "A 7837-2025")</f>
        <v/>
      </c>
      <c r="W308">
        <f>HYPERLINK("https://klasma.github.io/Logging_2283/klagomålsmail/A 7837-2025 FSC-klagomål mail.docx", "A 7837-2025")</f>
        <v/>
      </c>
      <c r="X308">
        <f>HYPERLINK("https://klasma.github.io/Logging_2283/tillsyn/A 7837-2025 tillsynsbegäran.docx", "A 7837-2025")</f>
        <v/>
      </c>
      <c r="Y308">
        <f>HYPERLINK("https://klasma.github.io/Logging_2283/tillsynsmail/A 7837-2025 tillsynsbegäran mail.docx", "A 7837-2025")</f>
        <v/>
      </c>
    </row>
    <row r="309" ht="15" customHeight="1">
      <c r="A309" t="inlineStr">
        <is>
          <t>A 38017-2024</t>
        </is>
      </c>
      <c r="B309" s="1" t="n">
        <v>45544</v>
      </c>
      <c r="C309" s="1" t="n">
        <v>45998</v>
      </c>
      <c r="D309" t="inlineStr">
        <is>
          <t>VÄSTERNORRLANDS LÄN</t>
        </is>
      </c>
      <c r="E309" t="inlineStr">
        <is>
          <t>SOLLEFTEÅ</t>
        </is>
      </c>
      <c r="F309" t="inlineStr">
        <is>
          <t>SCA</t>
        </is>
      </c>
      <c r="G309" t="n">
        <v>1.9</v>
      </c>
      <c r="H309" t="n">
        <v>0</v>
      </c>
      <c r="I309" t="n">
        <v>1</v>
      </c>
      <c r="J309" t="n">
        <v>1</v>
      </c>
      <c r="K309" t="n">
        <v>0</v>
      </c>
      <c r="L309" t="n">
        <v>0</v>
      </c>
      <c r="M309" t="n">
        <v>0</v>
      </c>
      <c r="N309" t="n">
        <v>0</v>
      </c>
      <c r="O309" t="n">
        <v>1</v>
      </c>
      <c r="P309" t="n">
        <v>0</v>
      </c>
      <c r="Q309" t="n">
        <v>2</v>
      </c>
      <c r="R309" s="2" t="inlineStr">
        <is>
          <t>Garnlav
Bårdlav</t>
        </is>
      </c>
      <c r="S309">
        <f>HYPERLINK("https://klasma.github.io/Logging_2283/artfynd/A 38017-2024 artfynd.xlsx", "A 38017-2024")</f>
        <v/>
      </c>
      <c r="T309">
        <f>HYPERLINK("https://klasma.github.io/Logging_2283/kartor/A 38017-2024 karta.png", "A 38017-2024")</f>
        <v/>
      </c>
      <c r="V309">
        <f>HYPERLINK("https://klasma.github.io/Logging_2283/klagomål/A 38017-2024 FSC-klagomål.docx", "A 38017-2024")</f>
        <v/>
      </c>
      <c r="W309">
        <f>HYPERLINK("https://klasma.github.io/Logging_2283/klagomålsmail/A 38017-2024 FSC-klagomål mail.docx", "A 38017-2024")</f>
        <v/>
      </c>
      <c r="X309">
        <f>HYPERLINK("https://klasma.github.io/Logging_2283/tillsyn/A 38017-2024 tillsynsbegäran.docx", "A 38017-2024")</f>
        <v/>
      </c>
      <c r="Y309">
        <f>HYPERLINK("https://klasma.github.io/Logging_2283/tillsynsmail/A 38017-2024 tillsynsbegäran mail.docx", "A 38017-2024")</f>
        <v/>
      </c>
    </row>
    <row r="310" ht="15" customHeight="1">
      <c r="A310" t="inlineStr">
        <is>
          <t>A 20329-2025</t>
        </is>
      </c>
      <c r="B310" s="1" t="n">
        <v>45775</v>
      </c>
      <c r="C310" s="1" t="n">
        <v>45998</v>
      </c>
      <c r="D310" t="inlineStr">
        <is>
          <t>VÄSTERNORRLANDS LÄN</t>
        </is>
      </c>
      <c r="E310" t="inlineStr">
        <is>
          <t>SOLLEFTEÅ</t>
        </is>
      </c>
      <c r="G310" t="n">
        <v>9.5</v>
      </c>
      <c r="H310" t="n">
        <v>2</v>
      </c>
      <c r="I310" t="n">
        <v>1</v>
      </c>
      <c r="J310" t="n">
        <v>0</v>
      </c>
      <c r="K310" t="n">
        <v>0</v>
      </c>
      <c r="L310" t="n">
        <v>0</v>
      </c>
      <c r="M310" t="n">
        <v>0</v>
      </c>
      <c r="N310" t="n">
        <v>0</v>
      </c>
      <c r="O310" t="n">
        <v>0</v>
      </c>
      <c r="P310" t="n">
        <v>0</v>
      </c>
      <c r="Q310" t="n">
        <v>2</v>
      </c>
      <c r="R310" s="2" t="inlineStr">
        <is>
          <t>Tvåblad
Fläcknycklar</t>
        </is>
      </c>
      <c r="S310">
        <f>HYPERLINK("https://klasma.github.io/Logging_2283/artfynd/A 20329-2025 artfynd.xlsx", "A 20329-2025")</f>
        <v/>
      </c>
      <c r="T310">
        <f>HYPERLINK("https://klasma.github.io/Logging_2283/kartor/A 20329-2025 karta.png", "A 20329-2025")</f>
        <v/>
      </c>
      <c r="V310">
        <f>HYPERLINK("https://klasma.github.io/Logging_2283/klagomål/A 20329-2025 FSC-klagomål.docx", "A 20329-2025")</f>
        <v/>
      </c>
      <c r="W310">
        <f>HYPERLINK("https://klasma.github.io/Logging_2283/klagomålsmail/A 20329-2025 FSC-klagomål mail.docx", "A 20329-2025")</f>
        <v/>
      </c>
      <c r="X310">
        <f>HYPERLINK("https://klasma.github.io/Logging_2283/tillsyn/A 20329-2025 tillsynsbegäran.docx", "A 20329-2025")</f>
        <v/>
      </c>
      <c r="Y310">
        <f>HYPERLINK("https://klasma.github.io/Logging_2283/tillsynsmail/A 20329-2025 tillsynsbegäran mail.docx", "A 20329-2025")</f>
        <v/>
      </c>
    </row>
    <row r="311" ht="15" customHeight="1">
      <c r="A311" t="inlineStr">
        <is>
          <t>A 58572-2021</t>
        </is>
      </c>
      <c r="B311" s="1" t="n">
        <v>44488</v>
      </c>
      <c r="C311" s="1" t="n">
        <v>45998</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68789-2020</t>
        </is>
      </c>
      <c r="B312" s="1" t="n">
        <v>44186</v>
      </c>
      <c r="C312" s="1" t="n">
        <v>45998</v>
      </c>
      <c r="D312" t="inlineStr">
        <is>
          <t>VÄSTERNORRLANDS LÄN</t>
        </is>
      </c>
      <c r="E312" t="inlineStr">
        <is>
          <t>SOLLEFTEÅ</t>
        </is>
      </c>
      <c r="G312" t="n">
        <v>2.1</v>
      </c>
      <c r="H312" t="n">
        <v>0</v>
      </c>
      <c r="I312" t="n">
        <v>1</v>
      </c>
      <c r="J312" t="n">
        <v>0</v>
      </c>
      <c r="K312" t="n">
        <v>0</v>
      </c>
      <c r="L312" t="n">
        <v>0</v>
      </c>
      <c r="M312" t="n">
        <v>0</v>
      </c>
      <c r="N312" t="n">
        <v>0</v>
      </c>
      <c r="O312" t="n">
        <v>0</v>
      </c>
      <c r="P312" t="n">
        <v>0</v>
      </c>
      <c r="Q312" t="n">
        <v>1</v>
      </c>
      <c r="R312" s="2" t="inlineStr">
        <is>
          <t>Svart trolldruva</t>
        </is>
      </c>
      <c r="S312">
        <f>HYPERLINK("https://klasma.github.io/Logging_2283/artfynd/A 68789-2020 artfynd.xlsx", "A 68789-2020")</f>
        <v/>
      </c>
      <c r="T312">
        <f>HYPERLINK("https://klasma.github.io/Logging_2283/kartor/A 68789-2020 karta.png", "A 68789-2020")</f>
        <v/>
      </c>
      <c r="U312">
        <f>HYPERLINK("https://klasma.github.io/Logging_2283/knärot/A 68789-2020 karta knärot.png", "A 68789-2020")</f>
        <v/>
      </c>
      <c r="V312">
        <f>HYPERLINK("https://klasma.github.io/Logging_2283/klagomål/A 68789-2020 FSC-klagomål.docx", "A 68789-2020")</f>
        <v/>
      </c>
      <c r="W312">
        <f>HYPERLINK("https://klasma.github.io/Logging_2283/klagomålsmail/A 68789-2020 FSC-klagomål mail.docx", "A 68789-2020")</f>
        <v/>
      </c>
      <c r="X312">
        <f>HYPERLINK("https://klasma.github.io/Logging_2283/tillsyn/A 68789-2020 tillsynsbegäran.docx", "A 68789-2020")</f>
        <v/>
      </c>
      <c r="Y312">
        <f>HYPERLINK("https://klasma.github.io/Logging_2283/tillsynsmail/A 68789-2020 tillsynsbegäran mail.docx", "A 68789-2020")</f>
        <v/>
      </c>
    </row>
    <row r="313" ht="15" customHeight="1">
      <c r="A313" t="inlineStr">
        <is>
          <t>A 29037-2022</t>
        </is>
      </c>
      <c r="B313" s="1" t="n">
        <v>44749</v>
      </c>
      <c r="C313" s="1" t="n">
        <v>45998</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15101-2021</t>
        </is>
      </c>
      <c r="B314" s="1" t="n">
        <v>44281.93871527778</v>
      </c>
      <c r="C314" s="1" t="n">
        <v>45998</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51019-2021</t>
        </is>
      </c>
      <c r="B315" s="1" t="n">
        <v>44460</v>
      </c>
      <c r="C315" s="1" t="n">
        <v>45998</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45998</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71349-2021</t>
        </is>
      </c>
      <c r="B317" s="1" t="n">
        <v>44539</v>
      </c>
      <c r="C317" s="1" t="n">
        <v>45998</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45998</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45998</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40626-2022</t>
        </is>
      </c>
      <c r="B320" s="1" t="n">
        <v>44823.95071759259</v>
      </c>
      <c r="C320" s="1" t="n">
        <v>45998</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22323-2022</t>
        </is>
      </c>
      <c r="B321" s="1" t="n">
        <v>44712.94081018519</v>
      </c>
      <c r="C321" s="1" t="n">
        <v>45998</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27106-2022</t>
        </is>
      </c>
      <c r="B322" s="1" t="n">
        <v>44741</v>
      </c>
      <c r="C322" s="1" t="n">
        <v>45998</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5033-2024</t>
        </is>
      </c>
      <c r="B323" s="1" t="n">
        <v>45329</v>
      </c>
      <c r="C323" s="1" t="n">
        <v>45998</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45998</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45998</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45998</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21708-2022</t>
        </is>
      </c>
      <c r="B327" s="1" t="n">
        <v>44707</v>
      </c>
      <c r="C327" s="1" t="n">
        <v>45998</v>
      </c>
      <c r="D327" t="inlineStr">
        <is>
          <t>VÄSTERNORRLANDS LÄN</t>
        </is>
      </c>
      <c r="E327" t="inlineStr">
        <is>
          <t>SOLLEFTEÅ</t>
        </is>
      </c>
      <c r="F327" t="inlineStr">
        <is>
          <t>SCA</t>
        </is>
      </c>
      <c r="G327" t="n">
        <v>2.6</v>
      </c>
      <c r="H327" t="n">
        <v>0</v>
      </c>
      <c r="I327" t="n">
        <v>0</v>
      </c>
      <c r="J327" t="n">
        <v>1</v>
      </c>
      <c r="K327" t="n">
        <v>0</v>
      </c>
      <c r="L327" t="n">
        <v>0</v>
      </c>
      <c r="M327" t="n">
        <v>0</v>
      </c>
      <c r="N327" t="n">
        <v>0</v>
      </c>
      <c r="O327" t="n">
        <v>1</v>
      </c>
      <c r="P327" t="n">
        <v>0</v>
      </c>
      <c r="Q327" t="n">
        <v>1</v>
      </c>
      <c r="R327" s="2" t="inlineStr">
        <is>
          <t>Lunglav</t>
        </is>
      </c>
      <c r="S327">
        <f>HYPERLINK("https://klasma.github.io/Logging_2283/artfynd/A 21708-2022 artfynd.xlsx", "A 21708-2022")</f>
        <v/>
      </c>
      <c r="T327">
        <f>HYPERLINK("https://klasma.github.io/Logging_2283/kartor/A 21708-2022 karta.png", "A 21708-2022")</f>
        <v/>
      </c>
      <c r="V327">
        <f>HYPERLINK("https://klasma.github.io/Logging_2283/klagomål/A 21708-2022 FSC-klagomål.docx", "A 21708-2022")</f>
        <v/>
      </c>
      <c r="W327">
        <f>HYPERLINK("https://klasma.github.io/Logging_2283/klagomålsmail/A 21708-2022 FSC-klagomål mail.docx", "A 21708-2022")</f>
        <v/>
      </c>
      <c r="X327">
        <f>HYPERLINK("https://klasma.github.io/Logging_2283/tillsyn/A 21708-2022 tillsynsbegäran.docx", "A 21708-2022")</f>
        <v/>
      </c>
      <c r="Y327">
        <f>HYPERLINK("https://klasma.github.io/Logging_2283/tillsynsmail/A 21708-2022 tillsynsbegäran mail.docx", "A 21708-2022")</f>
        <v/>
      </c>
    </row>
    <row r="328" ht="15" customHeight="1">
      <c r="A328" t="inlineStr">
        <is>
          <t>A 11667-2025</t>
        </is>
      </c>
      <c r="B328" s="1" t="n">
        <v>45727.51074074074</v>
      </c>
      <c r="C328" s="1" t="n">
        <v>45998</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18697-2025</t>
        </is>
      </c>
      <c r="B329" s="1" t="n">
        <v>45763.61592592593</v>
      </c>
      <c r="C329" s="1" t="n">
        <v>45998</v>
      </c>
      <c r="D329" t="inlineStr">
        <is>
          <t>VÄSTERNORRLANDS LÄN</t>
        </is>
      </c>
      <c r="E329" t="inlineStr">
        <is>
          <t>SOLLEFTEÅ</t>
        </is>
      </c>
      <c r="F329" t="inlineStr">
        <is>
          <t>SCA</t>
        </is>
      </c>
      <c r="G329" t="n">
        <v>6.4</v>
      </c>
      <c r="H329" t="n">
        <v>0</v>
      </c>
      <c r="I329" t="n">
        <v>0</v>
      </c>
      <c r="J329" t="n">
        <v>1</v>
      </c>
      <c r="K329" t="n">
        <v>0</v>
      </c>
      <c r="L329" t="n">
        <v>0</v>
      </c>
      <c r="M329" t="n">
        <v>0</v>
      </c>
      <c r="N329" t="n">
        <v>0</v>
      </c>
      <c r="O329" t="n">
        <v>1</v>
      </c>
      <c r="P329" t="n">
        <v>0</v>
      </c>
      <c r="Q329" t="n">
        <v>1</v>
      </c>
      <c r="R329" s="2" t="inlineStr">
        <is>
          <t>Kolflarnlav</t>
        </is>
      </c>
      <c r="S329">
        <f>HYPERLINK("https://klasma.github.io/Logging_2283/artfynd/A 18697-2025 artfynd.xlsx", "A 18697-2025")</f>
        <v/>
      </c>
      <c r="T329">
        <f>HYPERLINK("https://klasma.github.io/Logging_2283/kartor/A 18697-2025 karta.png", "A 18697-2025")</f>
        <v/>
      </c>
      <c r="V329">
        <f>HYPERLINK("https://klasma.github.io/Logging_2283/klagomål/A 18697-2025 FSC-klagomål.docx", "A 18697-2025")</f>
        <v/>
      </c>
      <c r="W329">
        <f>HYPERLINK("https://klasma.github.io/Logging_2283/klagomålsmail/A 18697-2025 FSC-klagomål mail.docx", "A 18697-2025")</f>
        <v/>
      </c>
      <c r="X329">
        <f>HYPERLINK("https://klasma.github.io/Logging_2283/tillsyn/A 18697-2025 tillsynsbegäran.docx", "A 18697-2025")</f>
        <v/>
      </c>
      <c r="Y329">
        <f>HYPERLINK("https://klasma.github.io/Logging_2283/tillsynsmail/A 18697-2025 tillsynsbegäran mail.docx", "A 18697-2025")</f>
        <v/>
      </c>
    </row>
    <row r="330" ht="15" customHeight="1">
      <c r="A330" t="inlineStr">
        <is>
          <t>A 54558-2022</t>
        </is>
      </c>
      <c r="B330" s="1" t="n">
        <v>44882</v>
      </c>
      <c r="C330" s="1" t="n">
        <v>45998</v>
      </c>
      <c r="D330" t="inlineStr">
        <is>
          <t>VÄSTERNORRLANDS LÄN</t>
        </is>
      </c>
      <c r="E330" t="inlineStr">
        <is>
          <t>SOLLEFTEÅ</t>
        </is>
      </c>
      <c r="G330" t="n">
        <v>5.8</v>
      </c>
      <c r="H330" t="n">
        <v>0</v>
      </c>
      <c r="I330" t="n">
        <v>1</v>
      </c>
      <c r="J330" t="n">
        <v>0</v>
      </c>
      <c r="K330" t="n">
        <v>0</v>
      </c>
      <c r="L330" t="n">
        <v>0</v>
      </c>
      <c r="M330" t="n">
        <v>0</v>
      </c>
      <c r="N330" t="n">
        <v>0</v>
      </c>
      <c r="O330" t="n">
        <v>0</v>
      </c>
      <c r="P330" t="n">
        <v>0</v>
      </c>
      <c r="Q330" t="n">
        <v>1</v>
      </c>
      <c r="R330" s="2" t="inlineStr">
        <is>
          <t>Strutbräken</t>
        </is>
      </c>
      <c r="S330">
        <f>HYPERLINK("https://klasma.github.io/Logging_2283/artfynd/A 54558-2022 artfynd.xlsx", "A 54558-2022")</f>
        <v/>
      </c>
      <c r="T330">
        <f>HYPERLINK("https://klasma.github.io/Logging_2283/kartor/A 54558-2022 karta.png", "A 54558-2022")</f>
        <v/>
      </c>
      <c r="V330">
        <f>HYPERLINK("https://klasma.github.io/Logging_2283/klagomål/A 54558-2022 FSC-klagomål.docx", "A 54558-2022")</f>
        <v/>
      </c>
      <c r="W330">
        <f>HYPERLINK("https://klasma.github.io/Logging_2283/klagomålsmail/A 54558-2022 FSC-klagomål mail.docx", "A 54558-2022")</f>
        <v/>
      </c>
      <c r="X330">
        <f>HYPERLINK("https://klasma.github.io/Logging_2283/tillsyn/A 54558-2022 tillsynsbegäran.docx", "A 54558-2022")</f>
        <v/>
      </c>
      <c r="Y330">
        <f>HYPERLINK("https://klasma.github.io/Logging_2283/tillsynsmail/A 54558-2022 tillsynsbegäran mail.docx", "A 54558-2022")</f>
        <v/>
      </c>
    </row>
    <row r="331" ht="15" customHeight="1">
      <c r="A331" t="inlineStr">
        <is>
          <t>A 37206-2024</t>
        </is>
      </c>
      <c r="B331" s="1" t="n">
        <v>45539</v>
      </c>
      <c r="C331" s="1" t="n">
        <v>45998</v>
      </c>
      <c r="D331" t="inlineStr">
        <is>
          <t>VÄSTERNORRLANDS LÄN</t>
        </is>
      </c>
      <c r="E331" t="inlineStr">
        <is>
          <t>SOLLEFTEÅ</t>
        </is>
      </c>
      <c r="F331" t="inlineStr">
        <is>
          <t>SCA</t>
        </is>
      </c>
      <c r="G331" t="n">
        <v>3.6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37206-2024 artfynd.xlsx", "A 37206-2024")</f>
        <v/>
      </c>
      <c r="T331">
        <f>HYPERLINK("https://klasma.github.io/Logging_2283/kartor/A 37206-2024 karta.png", "A 37206-2024")</f>
        <v/>
      </c>
      <c r="V331">
        <f>HYPERLINK("https://klasma.github.io/Logging_2283/klagomål/A 37206-2024 FSC-klagomål.docx", "A 37206-2024")</f>
        <v/>
      </c>
      <c r="W331">
        <f>HYPERLINK("https://klasma.github.io/Logging_2283/klagomålsmail/A 37206-2024 FSC-klagomål mail.docx", "A 37206-2024")</f>
        <v/>
      </c>
      <c r="X331">
        <f>HYPERLINK("https://klasma.github.io/Logging_2283/tillsyn/A 37206-2024 tillsynsbegäran.docx", "A 37206-2024")</f>
        <v/>
      </c>
      <c r="Y331">
        <f>HYPERLINK("https://klasma.github.io/Logging_2283/tillsynsmail/A 37206-2024 tillsynsbegäran mail.docx", "A 37206-2024")</f>
        <v/>
      </c>
      <c r="Z331">
        <f>HYPERLINK("https://klasma.github.io/Logging_2283/fåglar/A 37206-2024 prioriterade fågelarter.docx", "A 37206-2024")</f>
        <v/>
      </c>
    </row>
    <row r="332" ht="15" customHeight="1">
      <c r="A332" t="inlineStr">
        <is>
          <t>A 3959-2024</t>
        </is>
      </c>
      <c r="B332" s="1" t="n">
        <v>45322</v>
      </c>
      <c r="C332" s="1" t="n">
        <v>45998</v>
      </c>
      <c r="D332" t="inlineStr">
        <is>
          <t>VÄSTERNORRLANDS LÄN</t>
        </is>
      </c>
      <c r="E332" t="inlineStr">
        <is>
          <t>SOLLEFTEÅ</t>
        </is>
      </c>
      <c r="F332" t="inlineStr">
        <is>
          <t>Kommuner</t>
        </is>
      </c>
      <c r="G332" t="n">
        <v>1</v>
      </c>
      <c r="H332" t="n">
        <v>0</v>
      </c>
      <c r="I332" t="n">
        <v>0</v>
      </c>
      <c r="J332" t="n">
        <v>1</v>
      </c>
      <c r="K332" t="n">
        <v>0</v>
      </c>
      <c r="L332" t="n">
        <v>0</v>
      </c>
      <c r="M332" t="n">
        <v>0</v>
      </c>
      <c r="N332" t="n">
        <v>0</v>
      </c>
      <c r="O332" t="n">
        <v>1</v>
      </c>
      <c r="P332" t="n">
        <v>0</v>
      </c>
      <c r="Q332" t="n">
        <v>1</v>
      </c>
      <c r="R332" s="2" t="inlineStr">
        <is>
          <t>Garnlav</t>
        </is>
      </c>
      <c r="S332">
        <f>HYPERLINK("https://klasma.github.io/Logging_2283/artfynd/A 3959-2024 artfynd.xlsx", "A 3959-2024")</f>
        <v/>
      </c>
      <c r="T332">
        <f>HYPERLINK("https://klasma.github.io/Logging_2283/kartor/A 3959-2024 karta.png", "A 3959-2024")</f>
        <v/>
      </c>
      <c r="V332">
        <f>HYPERLINK("https://klasma.github.io/Logging_2283/klagomål/A 3959-2024 FSC-klagomål.docx", "A 3959-2024")</f>
        <v/>
      </c>
      <c r="W332">
        <f>HYPERLINK("https://klasma.github.io/Logging_2283/klagomålsmail/A 3959-2024 FSC-klagomål mail.docx", "A 3959-2024")</f>
        <v/>
      </c>
      <c r="X332">
        <f>HYPERLINK("https://klasma.github.io/Logging_2283/tillsyn/A 3959-2024 tillsynsbegäran.docx", "A 3959-2024")</f>
        <v/>
      </c>
      <c r="Y332">
        <f>HYPERLINK("https://klasma.github.io/Logging_2283/tillsynsmail/A 3959-2024 tillsynsbegäran mail.docx", "A 3959-2024")</f>
        <v/>
      </c>
    </row>
    <row r="333" ht="15" customHeight="1">
      <c r="A333" t="inlineStr">
        <is>
          <t>A 31920-2023</t>
        </is>
      </c>
      <c r="B333" s="1" t="n">
        <v>45118</v>
      </c>
      <c r="C333" s="1" t="n">
        <v>45998</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386-2024</t>
        </is>
      </c>
      <c r="B334" s="1" t="n">
        <v>45296</v>
      </c>
      <c r="C334" s="1" t="n">
        <v>45998</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44632-2024</t>
        </is>
      </c>
      <c r="B335" s="1" t="n">
        <v>45574.51446759259</v>
      </c>
      <c r="C335" s="1" t="n">
        <v>45998</v>
      </c>
      <c r="D335" t="inlineStr">
        <is>
          <t>VÄSTERNORRLANDS LÄN</t>
        </is>
      </c>
      <c r="E335" t="inlineStr">
        <is>
          <t>SOLLEFTEÅ</t>
        </is>
      </c>
      <c r="F335" t="inlineStr">
        <is>
          <t>SCA</t>
        </is>
      </c>
      <c r="G335" t="n">
        <v>3.1</v>
      </c>
      <c r="H335" t="n">
        <v>0</v>
      </c>
      <c r="I335" t="n">
        <v>1</v>
      </c>
      <c r="J335" t="n">
        <v>0</v>
      </c>
      <c r="K335" t="n">
        <v>0</v>
      </c>
      <c r="L335" t="n">
        <v>0</v>
      </c>
      <c r="M335" t="n">
        <v>0</v>
      </c>
      <c r="N335" t="n">
        <v>0</v>
      </c>
      <c r="O335" t="n">
        <v>0</v>
      </c>
      <c r="P335" t="n">
        <v>0</v>
      </c>
      <c r="Q335" t="n">
        <v>1</v>
      </c>
      <c r="R335" s="2" t="inlineStr">
        <is>
          <t>Vedticka</t>
        </is>
      </c>
      <c r="S335">
        <f>HYPERLINK("https://klasma.github.io/Logging_2283/artfynd/A 44632-2024 artfynd.xlsx", "A 44632-2024")</f>
        <v/>
      </c>
      <c r="T335">
        <f>HYPERLINK("https://klasma.github.io/Logging_2283/kartor/A 44632-2024 karta.png", "A 44632-2024")</f>
        <v/>
      </c>
      <c r="V335">
        <f>HYPERLINK("https://klasma.github.io/Logging_2283/klagomål/A 44632-2024 FSC-klagomål.docx", "A 44632-2024")</f>
        <v/>
      </c>
      <c r="W335">
        <f>HYPERLINK("https://klasma.github.io/Logging_2283/klagomålsmail/A 44632-2024 FSC-klagomål mail.docx", "A 44632-2024")</f>
        <v/>
      </c>
      <c r="X335">
        <f>HYPERLINK("https://klasma.github.io/Logging_2283/tillsyn/A 44632-2024 tillsynsbegäran.docx", "A 44632-2024")</f>
        <v/>
      </c>
      <c r="Y335">
        <f>HYPERLINK("https://klasma.github.io/Logging_2283/tillsynsmail/A 44632-2024 tillsynsbegäran mail.docx", "A 44632-2024")</f>
        <v/>
      </c>
    </row>
    <row r="336" ht="15" customHeight="1">
      <c r="A336" t="inlineStr">
        <is>
          <t>A 1343-2025</t>
        </is>
      </c>
      <c r="B336" s="1" t="n">
        <v>45667.6043287037</v>
      </c>
      <c r="C336" s="1" t="n">
        <v>45998</v>
      </c>
      <c r="D336" t="inlineStr">
        <is>
          <t>VÄSTERNORRLANDS LÄN</t>
        </is>
      </c>
      <c r="E336" t="inlineStr">
        <is>
          <t>SOLLEFTEÅ</t>
        </is>
      </c>
      <c r="G336" t="n">
        <v>5.2</v>
      </c>
      <c r="H336" t="n">
        <v>0</v>
      </c>
      <c r="I336" t="n">
        <v>0</v>
      </c>
      <c r="J336" t="n">
        <v>1</v>
      </c>
      <c r="K336" t="n">
        <v>0</v>
      </c>
      <c r="L336" t="n">
        <v>0</v>
      </c>
      <c r="M336" t="n">
        <v>0</v>
      </c>
      <c r="N336" t="n">
        <v>0</v>
      </c>
      <c r="O336" t="n">
        <v>1</v>
      </c>
      <c r="P336" t="n">
        <v>0</v>
      </c>
      <c r="Q336" t="n">
        <v>1</v>
      </c>
      <c r="R336" s="2" t="inlineStr">
        <is>
          <t>Granticka</t>
        </is>
      </c>
      <c r="S336">
        <f>HYPERLINK("https://klasma.github.io/Logging_2283/artfynd/A 1343-2025 artfynd.xlsx", "A 1343-2025")</f>
        <v/>
      </c>
      <c r="T336">
        <f>HYPERLINK("https://klasma.github.io/Logging_2283/kartor/A 1343-2025 karta.png", "A 1343-2025")</f>
        <v/>
      </c>
      <c r="V336">
        <f>HYPERLINK("https://klasma.github.io/Logging_2283/klagomål/A 1343-2025 FSC-klagomål.docx", "A 1343-2025")</f>
        <v/>
      </c>
      <c r="W336">
        <f>HYPERLINK("https://klasma.github.io/Logging_2283/klagomålsmail/A 1343-2025 FSC-klagomål mail.docx", "A 1343-2025")</f>
        <v/>
      </c>
      <c r="X336">
        <f>HYPERLINK("https://klasma.github.io/Logging_2283/tillsyn/A 1343-2025 tillsynsbegäran.docx", "A 1343-2025")</f>
        <v/>
      </c>
      <c r="Y336">
        <f>HYPERLINK("https://klasma.github.io/Logging_2283/tillsynsmail/A 1343-2025 tillsynsbegäran mail.docx", "A 1343-2025")</f>
        <v/>
      </c>
    </row>
    <row r="337" ht="15" customHeight="1">
      <c r="A337" t="inlineStr">
        <is>
          <t>A 48087-2023</t>
        </is>
      </c>
      <c r="B337" s="1" t="n">
        <v>45204</v>
      </c>
      <c r="C337" s="1" t="n">
        <v>45998</v>
      </c>
      <c r="D337" t="inlineStr">
        <is>
          <t>VÄSTERNORRLANDS LÄN</t>
        </is>
      </c>
      <c r="E337" t="inlineStr">
        <is>
          <t>SOLLEFTEÅ</t>
        </is>
      </c>
      <c r="F337" t="inlineStr">
        <is>
          <t>SCA</t>
        </is>
      </c>
      <c r="G337" t="n">
        <v>0.6</v>
      </c>
      <c r="H337" t="n">
        <v>0</v>
      </c>
      <c r="I337" t="n">
        <v>0</v>
      </c>
      <c r="J337" t="n">
        <v>1</v>
      </c>
      <c r="K337" t="n">
        <v>0</v>
      </c>
      <c r="L337" t="n">
        <v>0</v>
      </c>
      <c r="M337" t="n">
        <v>0</v>
      </c>
      <c r="N337" t="n">
        <v>0</v>
      </c>
      <c r="O337" t="n">
        <v>1</v>
      </c>
      <c r="P337" t="n">
        <v>0</v>
      </c>
      <c r="Q337" t="n">
        <v>1</v>
      </c>
      <c r="R337" s="2" t="inlineStr">
        <is>
          <t>Doftskinn</t>
        </is>
      </c>
      <c r="S337">
        <f>HYPERLINK("https://klasma.github.io/Logging_2283/artfynd/A 48087-2023 artfynd.xlsx", "A 48087-2023")</f>
        <v/>
      </c>
      <c r="T337">
        <f>HYPERLINK("https://klasma.github.io/Logging_2283/kartor/A 48087-2023 karta.png", "A 48087-2023")</f>
        <v/>
      </c>
      <c r="V337">
        <f>HYPERLINK("https://klasma.github.io/Logging_2283/klagomål/A 48087-2023 FSC-klagomål.docx", "A 48087-2023")</f>
        <v/>
      </c>
      <c r="W337">
        <f>HYPERLINK("https://klasma.github.io/Logging_2283/klagomålsmail/A 48087-2023 FSC-klagomål mail.docx", "A 48087-2023")</f>
        <v/>
      </c>
      <c r="X337">
        <f>HYPERLINK("https://klasma.github.io/Logging_2283/tillsyn/A 48087-2023 tillsynsbegäran.docx", "A 48087-2023")</f>
        <v/>
      </c>
      <c r="Y337">
        <f>HYPERLINK("https://klasma.github.io/Logging_2283/tillsynsmail/A 48087-2023 tillsynsbegäran mail.docx", "A 48087-2023")</f>
        <v/>
      </c>
    </row>
    <row r="338" ht="15" customHeight="1">
      <c r="A338" t="inlineStr">
        <is>
          <t>A 25310-2023</t>
        </is>
      </c>
      <c r="B338" s="1" t="n">
        <v>45086</v>
      </c>
      <c r="C338" s="1" t="n">
        <v>45998</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16269-2022</t>
        </is>
      </c>
      <c r="B339" s="1" t="n">
        <v>44670</v>
      </c>
      <c r="C339" s="1" t="n">
        <v>45998</v>
      </c>
      <c r="D339" t="inlineStr">
        <is>
          <t>VÄSTERNORRLANDS LÄN</t>
        </is>
      </c>
      <c r="E339" t="inlineStr">
        <is>
          <t>SOLLEFTEÅ</t>
        </is>
      </c>
      <c r="F339" t="inlineStr">
        <is>
          <t>Holmen skog AB</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16269-2022 artfynd.xlsx", "A 16269-2022")</f>
        <v/>
      </c>
      <c r="T339">
        <f>HYPERLINK("https://klasma.github.io/Logging_2283/kartor/A 16269-2022 karta.png", "A 16269-2022")</f>
        <v/>
      </c>
      <c r="V339">
        <f>HYPERLINK("https://klasma.github.io/Logging_2283/klagomål/A 16269-2022 FSC-klagomål.docx", "A 16269-2022")</f>
        <v/>
      </c>
      <c r="W339">
        <f>HYPERLINK("https://klasma.github.io/Logging_2283/klagomålsmail/A 16269-2022 FSC-klagomål mail.docx", "A 16269-2022")</f>
        <v/>
      </c>
      <c r="X339">
        <f>HYPERLINK("https://klasma.github.io/Logging_2283/tillsyn/A 16269-2022 tillsynsbegäran.docx", "A 16269-2022")</f>
        <v/>
      </c>
      <c r="Y339">
        <f>HYPERLINK("https://klasma.github.io/Logging_2283/tillsynsmail/A 16269-2022 tillsynsbegäran mail.docx", "A 16269-2022")</f>
        <v/>
      </c>
      <c r="Z339">
        <f>HYPERLINK("https://klasma.github.io/Logging_2283/fåglar/A 16269-2022 prioriterade fågelarter.docx", "A 16269-2022")</f>
        <v/>
      </c>
    </row>
    <row r="340" ht="15" customHeight="1">
      <c r="A340" t="inlineStr">
        <is>
          <t>A 39565-2023</t>
        </is>
      </c>
      <c r="B340" s="1" t="n">
        <v>45167</v>
      </c>
      <c r="C340" s="1" t="n">
        <v>45998</v>
      </c>
      <c r="D340" t="inlineStr">
        <is>
          <t>VÄSTERNORRLANDS LÄN</t>
        </is>
      </c>
      <c r="E340" t="inlineStr">
        <is>
          <t>SOLLEFTEÅ</t>
        </is>
      </c>
      <c r="G340" t="n">
        <v>3.2</v>
      </c>
      <c r="H340" t="n">
        <v>0</v>
      </c>
      <c r="I340" t="n">
        <v>0</v>
      </c>
      <c r="J340" t="n">
        <v>1</v>
      </c>
      <c r="K340" t="n">
        <v>0</v>
      </c>
      <c r="L340" t="n">
        <v>0</v>
      </c>
      <c r="M340" t="n">
        <v>0</v>
      </c>
      <c r="N340" t="n">
        <v>0</v>
      </c>
      <c r="O340" t="n">
        <v>1</v>
      </c>
      <c r="P340" t="n">
        <v>0</v>
      </c>
      <c r="Q340" t="n">
        <v>1</v>
      </c>
      <c r="R340" s="2" t="inlineStr">
        <is>
          <t>Ullticka</t>
        </is>
      </c>
      <c r="S340">
        <f>HYPERLINK("https://klasma.github.io/Logging_2283/artfynd/A 39565-2023 artfynd.xlsx", "A 39565-2023")</f>
        <v/>
      </c>
      <c r="T340">
        <f>HYPERLINK("https://klasma.github.io/Logging_2283/kartor/A 39565-2023 karta.png", "A 39565-2023")</f>
        <v/>
      </c>
      <c r="V340">
        <f>HYPERLINK("https://klasma.github.io/Logging_2283/klagomål/A 39565-2023 FSC-klagomål.docx", "A 39565-2023")</f>
        <v/>
      </c>
      <c r="W340">
        <f>HYPERLINK("https://klasma.github.io/Logging_2283/klagomålsmail/A 39565-2023 FSC-klagomål mail.docx", "A 39565-2023")</f>
        <v/>
      </c>
      <c r="X340">
        <f>HYPERLINK("https://klasma.github.io/Logging_2283/tillsyn/A 39565-2023 tillsynsbegäran.docx", "A 39565-2023")</f>
        <v/>
      </c>
      <c r="Y340">
        <f>HYPERLINK("https://klasma.github.io/Logging_2283/tillsynsmail/A 39565-2023 tillsynsbegäran mail.docx", "A 39565-2023")</f>
        <v/>
      </c>
    </row>
    <row r="341" ht="15" customHeight="1">
      <c r="A341" t="inlineStr">
        <is>
          <t>A 54734-2024</t>
        </is>
      </c>
      <c r="B341" s="1" t="n">
        <v>45618.43879629629</v>
      </c>
      <c r="C341" s="1" t="n">
        <v>45998</v>
      </c>
      <c r="D341" t="inlineStr">
        <is>
          <t>VÄSTERNORRLANDS LÄN</t>
        </is>
      </c>
      <c r="E341" t="inlineStr">
        <is>
          <t>SOLLEFTEÅ</t>
        </is>
      </c>
      <c r="F341" t="inlineStr">
        <is>
          <t>SCA</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54734-2024 artfynd.xlsx", "A 54734-2024")</f>
        <v/>
      </c>
      <c r="T341">
        <f>HYPERLINK("https://klasma.github.io/Logging_2283/kartor/A 54734-2024 karta.png", "A 54734-2024")</f>
        <v/>
      </c>
      <c r="V341">
        <f>HYPERLINK("https://klasma.github.io/Logging_2283/klagomål/A 54734-2024 FSC-klagomål.docx", "A 54734-2024")</f>
        <v/>
      </c>
      <c r="W341">
        <f>HYPERLINK("https://klasma.github.io/Logging_2283/klagomålsmail/A 54734-2024 FSC-klagomål mail.docx", "A 54734-2024")</f>
        <v/>
      </c>
      <c r="X341">
        <f>HYPERLINK("https://klasma.github.io/Logging_2283/tillsyn/A 54734-2024 tillsynsbegäran.docx", "A 54734-2024")</f>
        <v/>
      </c>
      <c r="Y341">
        <f>HYPERLINK("https://klasma.github.io/Logging_2283/tillsynsmail/A 54734-2024 tillsynsbegäran mail.docx", "A 54734-2024")</f>
        <v/>
      </c>
    </row>
    <row r="342" ht="15" customHeight="1">
      <c r="A342" t="inlineStr">
        <is>
          <t>A 49366-2024</t>
        </is>
      </c>
      <c r="B342" s="1" t="n">
        <v>45595.63572916666</v>
      </c>
      <c r="C342" s="1" t="n">
        <v>45998</v>
      </c>
      <c r="D342" t="inlineStr">
        <is>
          <t>VÄSTERNORRLANDS LÄN</t>
        </is>
      </c>
      <c r="E342" t="inlineStr">
        <is>
          <t>SOLLEFTEÅ</t>
        </is>
      </c>
      <c r="F342" t="inlineStr">
        <is>
          <t>SCA</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HYPERLINK("https://klasma.github.io/Logging_2283/artfynd/A 49366-2024 artfynd.xlsx", "A 49366-2024")</f>
        <v/>
      </c>
      <c r="T342">
        <f>HYPERLINK("https://klasma.github.io/Logging_2283/kartor/A 49366-2024 karta.png", "A 49366-2024")</f>
        <v/>
      </c>
      <c r="U342">
        <f>HYPERLINK("https://klasma.github.io/Logging_2283/knärot/A 49366-2024 karta knärot.png", "A 49366-2024")</f>
        <v/>
      </c>
      <c r="V342">
        <f>HYPERLINK("https://klasma.github.io/Logging_2283/klagomål/A 49366-2024 FSC-klagomål.docx", "A 49366-2024")</f>
        <v/>
      </c>
      <c r="W342">
        <f>HYPERLINK("https://klasma.github.io/Logging_2283/klagomålsmail/A 49366-2024 FSC-klagomål mail.docx", "A 49366-2024")</f>
        <v/>
      </c>
      <c r="X342">
        <f>HYPERLINK("https://klasma.github.io/Logging_2283/tillsyn/A 49366-2024 tillsynsbegäran.docx", "A 49366-2024")</f>
        <v/>
      </c>
      <c r="Y342">
        <f>HYPERLINK("https://klasma.github.io/Logging_2283/tillsynsmail/A 49366-2024 tillsynsbegäran mail.docx", "A 49366-2024")</f>
        <v/>
      </c>
    </row>
    <row r="343" ht="15" customHeight="1">
      <c r="A343" t="inlineStr">
        <is>
          <t>A 8903-2024</t>
        </is>
      </c>
      <c r="B343" s="1" t="n">
        <v>45355</v>
      </c>
      <c r="C343" s="1" t="n">
        <v>45998</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53039-2023</t>
        </is>
      </c>
      <c r="B344" s="1" t="n">
        <v>45226</v>
      </c>
      <c r="C344" s="1" t="n">
        <v>45998</v>
      </c>
      <c r="D344" t="inlineStr">
        <is>
          <t>VÄSTERNORRLANDS LÄN</t>
        </is>
      </c>
      <c r="E344" t="inlineStr">
        <is>
          <t>SOLLEFTEÅ</t>
        </is>
      </c>
      <c r="F344" t="inlineStr">
        <is>
          <t>SCA</t>
        </is>
      </c>
      <c r="G344" t="n">
        <v>1.8</v>
      </c>
      <c r="H344" t="n">
        <v>1</v>
      </c>
      <c r="I344" t="n">
        <v>0</v>
      </c>
      <c r="J344" t="n">
        <v>1</v>
      </c>
      <c r="K344" t="n">
        <v>0</v>
      </c>
      <c r="L344" t="n">
        <v>0</v>
      </c>
      <c r="M344" t="n">
        <v>0</v>
      </c>
      <c r="N344" t="n">
        <v>0</v>
      </c>
      <c r="O344" t="n">
        <v>1</v>
      </c>
      <c r="P344" t="n">
        <v>0</v>
      </c>
      <c r="Q344" t="n">
        <v>1</v>
      </c>
      <c r="R344" s="2" t="inlineStr">
        <is>
          <t>Nordfladdermus</t>
        </is>
      </c>
      <c r="S344">
        <f>HYPERLINK("https://klasma.github.io/Logging_2283/artfynd/A 53039-2023 artfynd.xlsx", "A 53039-2023")</f>
        <v/>
      </c>
      <c r="T344">
        <f>HYPERLINK("https://klasma.github.io/Logging_2283/kartor/A 53039-2023 karta.png", "A 53039-2023")</f>
        <v/>
      </c>
      <c r="V344">
        <f>HYPERLINK("https://klasma.github.io/Logging_2283/klagomål/A 53039-2023 FSC-klagomål.docx", "A 53039-2023")</f>
        <v/>
      </c>
      <c r="W344">
        <f>HYPERLINK("https://klasma.github.io/Logging_2283/klagomålsmail/A 53039-2023 FSC-klagomål mail.docx", "A 53039-2023")</f>
        <v/>
      </c>
      <c r="X344">
        <f>HYPERLINK("https://klasma.github.io/Logging_2283/tillsyn/A 53039-2023 tillsynsbegäran.docx", "A 53039-2023")</f>
        <v/>
      </c>
      <c r="Y344">
        <f>HYPERLINK("https://klasma.github.io/Logging_2283/tillsynsmail/A 53039-2023 tillsynsbegäran mail.docx", "A 53039-2023")</f>
        <v/>
      </c>
    </row>
    <row r="345" ht="15" customHeight="1">
      <c r="A345" t="inlineStr">
        <is>
          <t>A 15669-2022</t>
        </is>
      </c>
      <c r="B345" s="1" t="n">
        <v>44662</v>
      </c>
      <c r="C345" s="1" t="n">
        <v>45998</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49367-2024</t>
        </is>
      </c>
      <c r="B346" s="1" t="n">
        <v>45595.63591435185</v>
      </c>
      <c r="C346" s="1" t="n">
        <v>45998</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35295-2023</t>
        </is>
      </c>
      <c r="B347" s="1" t="n">
        <v>45145</v>
      </c>
      <c r="C347" s="1" t="n">
        <v>45998</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17215-2025</t>
        </is>
      </c>
      <c r="B348" s="1" t="n">
        <v>45756.44856481482</v>
      </c>
      <c r="C348" s="1" t="n">
        <v>45998</v>
      </c>
      <c r="D348" t="inlineStr">
        <is>
          <t>VÄSTERNORRLANDS LÄN</t>
        </is>
      </c>
      <c r="E348" t="inlineStr">
        <is>
          <t>SOLLEFTEÅ</t>
        </is>
      </c>
      <c r="F348" t="inlineStr">
        <is>
          <t>SCA</t>
        </is>
      </c>
      <c r="G348" t="n">
        <v>5</v>
      </c>
      <c r="H348" t="n">
        <v>0</v>
      </c>
      <c r="I348" t="n">
        <v>0</v>
      </c>
      <c r="J348" t="n">
        <v>1</v>
      </c>
      <c r="K348" t="n">
        <v>0</v>
      </c>
      <c r="L348" t="n">
        <v>0</v>
      </c>
      <c r="M348" t="n">
        <v>0</v>
      </c>
      <c r="N348" t="n">
        <v>0</v>
      </c>
      <c r="O348" t="n">
        <v>1</v>
      </c>
      <c r="P348" t="n">
        <v>0</v>
      </c>
      <c r="Q348" t="n">
        <v>1</v>
      </c>
      <c r="R348" s="2" t="inlineStr">
        <is>
          <t>Vitgrynig nållav</t>
        </is>
      </c>
      <c r="S348">
        <f>HYPERLINK("https://klasma.github.io/Logging_2283/artfynd/A 17215-2025 artfynd.xlsx", "A 17215-2025")</f>
        <v/>
      </c>
      <c r="T348">
        <f>HYPERLINK("https://klasma.github.io/Logging_2283/kartor/A 17215-2025 karta.png", "A 17215-2025")</f>
        <v/>
      </c>
      <c r="V348">
        <f>HYPERLINK("https://klasma.github.io/Logging_2283/klagomål/A 17215-2025 FSC-klagomål.docx", "A 17215-2025")</f>
        <v/>
      </c>
      <c r="W348">
        <f>HYPERLINK("https://klasma.github.io/Logging_2283/klagomålsmail/A 17215-2025 FSC-klagomål mail.docx", "A 17215-2025")</f>
        <v/>
      </c>
      <c r="X348">
        <f>HYPERLINK("https://klasma.github.io/Logging_2283/tillsyn/A 17215-2025 tillsynsbegäran.docx", "A 17215-2025")</f>
        <v/>
      </c>
      <c r="Y348">
        <f>HYPERLINK("https://klasma.github.io/Logging_2283/tillsynsmail/A 17215-2025 tillsynsbegäran mail.docx", "A 17215-2025")</f>
        <v/>
      </c>
    </row>
    <row r="349" ht="15" customHeight="1">
      <c r="A349" t="inlineStr">
        <is>
          <t>A 8541-2024</t>
        </is>
      </c>
      <c r="B349" s="1" t="n">
        <v>45351</v>
      </c>
      <c r="C349" s="1" t="n">
        <v>45998</v>
      </c>
      <c r="D349" t="inlineStr">
        <is>
          <t>VÄSTERNORRLANDS LÄN</t>
        </is>
      </c>
      <c r="E349" t="inlineStr">
        <is>
          <t>SOLLEFTEÅ</t>
        </is>
      </c>
      <c r="F349" t="inlineStr">
        <is>
          <t>Kommuner</t>
        </is>
      </c>
      <c r="G349" t="n">
        <v>0.6</v>
      </c>
      <c r="H349" t="n">
        <v>0</v>
      </c>
      <c r="I349" t="n">
        <v>0</v>
      </c>
      <c r="J349" t="n">
        <v>1</v>
      </c>
      <c r="K349" t="n">
        <v>0</v>
      </c>
      <c r="L349" t="n">
        <v>0</v>
      </c>
      <c r="M349" t="n">
        <v>0</v>
      </c>
      <c r="N349" t="n">
        <v>0</v>
      </c>
      <c r="O349" t="n">
        <v>1</v>
      </c>
      <c r="P349" t="n">
        <v>0</v>
      </c>
      <c r="Q349" t="n">
        <v>1</v>
      </c>
      <c r="R349" s="2" t="inlineStr">
        <is>
          <t>Granticka</t>
        </is>
      </c>
      <c r="S349">
        <f>HYPERLINK("https://klasma.github.io/Logging_2283/artfynd/A 8541-2024 artfynd.xlsx", "A 8541-2024")</f>
        <v/>
      </c>
      <c r="T349">
        <f>HYPERLINK("https://klasma.github.io/Logging_2283/kartor/A 8541-2024 karta.png", "A 8541-2024")</f>
        <v/>
      </c>
      <c r="V349">
        <f>HYPERLINK("https://klasma.github.io/Logging_2283/klagomål/A 8541-2024 FSC-klagomål.docx", "A 8541-2024")</f>
        <v/>
      </c>
      <c r="W349">
        <f>HYPERLINK("https://klasma.github.io/Logging_2283/klagomålsmail/A 8541-2024 FSC-klagomål mail.docx", "A 8541-2024")</f>
        <v/>
      </c>
      <c r="X349">
        <f>HYPERLINK("https://klasma.github.io/Logging_2283/tillsyn/A 8541-2024 tillsynsbegäran.docx", "A 8541-2024")</f>
        <v/>
      </c>
      <c r="Y349">
        <f>HYPERLINK("https://klasma.github.io/Logging_2283/tillsynsmail/A 8541-2024 tillsynsbegäran mail.docx", "A 8541-2024")</f>
        <v/>
      </c>
    </row>
    <row r="350" ht="15" customHeight="1">
      <c r="A350" t="inlineStr">
        <is>
          <t>A 38363-2022</t>
        </is>
      </c>
      <c r="B350" s="1" t="n">
        <v>44812</v>
      </c>
      <c r="C350" s="1" t="n">
        <v>45998</v>
      </c>
      <c r="D350" t="inlineStr">
        <is>
          <t>VÄSTERNORRLANDS LÄN</t>
        </is>
      </c>
      <c r="E350" t="inlineStr">
        <is>
          <t>SOLLEFTEÅ</t>
        </is>
      </c>
      <c r="F350" t="inlineStr">
        <is>
          <t>Kommuner</t>
        </is>
      </c>
      <c r="G350" t="n">
        <v>16</v>
      </c>
      <c r="H350" t="n">
        <v>0</v>
      </c>
      <c r="I350" t="n">
        <v>0</v>
      </c>
      <c r="J350" t="n">
        <v>1</v>
      </c>
      <c r="K350" t="n">
        <v>0</v>
      </c>
      <c r="L350" t="n">
        <v>0</v>
      </c>
      <c r="M350" t="n">
        <v>0</v>
      </c>
      <c r="N350" t="n">
        <v>0</v>
      </c>
      <c r="O350" t="n">
        <v>1</v>
      </c>
      <c r="P350" t="n">
        <v>0</v>
      </c>
      <c r="Q350" t="n">
        <v>1</v>
      </c>
      <c r="R350" s="2" t="inlineStr">
        <is>
          <t>Garnlav</t>
        </is>
      </c>
      <c r="S350">
        <f>HYPERLINK("https://klasma.github.io/Logging_2283/artfynd/A 38363-2022 artfynd.xlsx", "A 38363-2022")</f>
        <v/>
      </c>
      <c r="T350">
        <f>HYPERLINK("https://klasma.github.io/Logging_2283/kartor/A 38363-2022 karta.png", "A 38363-2022")</f>
        <v/>
      </c>
      <c r="V350">
        <f>HYPERLINK("https://klasma.github.io/Logging_2283/klagomål/A 38363-2022 FSC-klagomål.docx", "A 38363-2022")</f>
        <v/>
      </c>
      <c r="W350">
        <f>HYPERLINK("https://klasma.github.io/Logging_2283/klagomålsmail/A 38363-2022 FSC-klagomål mail.docx", "A 38363-2022")</f>
        <v/>
      </c>
      <c r="X350">
        <f>HYPERLINK("https://klasma.github.io/Logging_2283/tillsyn/A 38363-2022 tillsynsbegäran.docx", "A 38363-2022")</f>
        <v/>
      </c>
      <c r="Y350">
        <f>HYPERLINK("https://klasma.github.io/Logging_2283/tillsynsmail/A 38363-2022 tillsynsbegäran mail.docx", "A 38363-2022")</f>
        <v/>
      </c>
    </row>
    <row r="351" ht="15" customHeight="1">
      <c r="A351" t="inlineStr">
        <is>
          <t>A 68651-2020</t>
        </is>
      </c>
      <c r="B351" s="1" t="n">
        <v>44186</v>
      </c>
      <c r="C351" s="1" t="n">
        <v>45998</v>
      </c>
      <c r="D351" t="inlineStr">
        <is>
          <t>VÄSTERNORRLANDS LÄN</t>
        </is>
      </c>
      <c r="E351" t="inlineStr">
        <is>
          <t>SOLLEFTEÅ</t>
        </is>
      </c>
      <c r="F351" t="inlineStr">
        <is>
          <t>SCA</t>
        </is>
      </c>
      <c r="G351" t="n">
        <v>1.5</v>
      </c>
      <c r="H351" t="n">
        <v>0</v>
      </c>
      <c r="I351" t="n">
        <v>0</v>
      </c>
      <c r="J351" t="n">
        <v>1</v>
      </c>
      <c r="K351" t="n">
        <v>0</v>
      </c>
      <c r="L351" t="n">
        <v>0</v>
      </c>
      <c r="M351" t="n">
        <v>0</v>
      </c>
      <c r="N351" t="n">
        <v>0</v>
      </c>
      <c r="O351" t="n">
        <v>1</v>
      </c>
      <c r="P351" t="n">
        <v>0</v>
      </c>
      <c r="Q351" t="n">
        <v>1</v>
      </c>
      <c r="R351" s="2" t="inlineStr">
        <is>
          <t>Harticka</t>
        </is>
      </c>
      <c r="S351">
        <f>HYPERLINK("https://klasma.github.io/Logging_2283/artfynd/A 68651-2020 artfynd.xlsx", "A 68651-2020")</f>
        <v/>
      </c>
      <c r="T351">
        <f>HYPERLINK("https://klasma.github.io/Logging_2283/kartor/A 68651-2020 karta.png", "A 68651-2020")</f>
        <v/>
      </c>
      <c r="V351">
        <f>HYPERLINK("https://klasma.github.io/Logging_2283/klagomål/A 68651-2020 FSC-klagomål.docx", "A 68651-2020")</f>
        <v/>
      </c>
      <c r="W351">
        <f>HYPERLINK("https://klasma.github.io/Logging_2283/klagomålsmail/A 68651-2020 FSC-klagomål mail.docx", "A 68651-2020")</f>
        <v/>
      </c>
      <c r="X351">
        <f>HYPERLINK("https://klasma.github.io/Logging_2283/tillsyn/A 68651-2020 tillsynsbegäran.docx", "A 68651-2020")</f>
        <v/>
      </c>
      <c r="Y351">
        <f>HYPERLINK("https://klasma.github.io/Logging_2283/tillsynsmail/A 68651-2020 tillsynsbegäran mail.docx", "A 68651-2020")</f>
        <v/>
      </c>
    </row>
    <row r="352" ht="15" customHeight="1">
      <c r="A352" t="inlineStr">
        <is>
          <t>A 35618-2025</t>
        </is>
      </c>
      <c r="B352" s="1" t="n">
        <v>45859.41335648148</v>
      </c>
      <c r="C352" s="1" t="n">
        <v>45998</v>
      </c>
      <c r="D352" t="inlineStr">
        <is>
          <t>VÄSTERNORRLANDS LÄN</t>
        </is>
      </c>
      <c r="E352" t="inlineStr">
        <is>
          <t>SOLLEFTEÅ</t>
        </is>
      </c>
      <c r="G352" t="n">
        <v>6.9</v>
      </c>
      <c r="H352" t="n">
        <v>1</v>
      </c>
      <c r="I352" t="n">
        <v>0</v>
      </c>
      <c r="J352" t="n">
        <v>1</v>
      </c>
      <c r="K352" t="n">
        <v>0</v>
      </c>
      <c r="L352" t="n">
        <v>0</v>
      </c>
      <c r="M352" t="n">
        <v>0</v>
      </c>
      <c r="N352" t="n">
        <v>0</v>
      </c>
      <c r="O352" t="n">
        <v>1</v>
      </c>
      <c r="P352" t="n">
        <v>0</v>
      </c>
      <c r="Q352" t="n">
        <v>1</v>
      </c>
      <c r="R352" s="2" t="inlineStr">
        <is>
          <t>Spillkråka</t>
        </is>
      </c>
      <c r="S352">
        <f>HYPERLINK("https://klasma.github.io/Logging_2283/artfynd/A 35618-2025 artfynd.xlsx", "A 35618-2025")</f>
        <v/>
      </c>
      <c r="T352">
        <f>HYPERLINK("https://klasma.github.io/Logging_2283/kartor/A 35618-2025 karta.png", "A 35618-2025")</f>
        <v/>
      </c>
      <c r="V352">
        <f>HYPERLINK("https://klasma.github.io/Logging_2283/klagomål/A 35618-2025 FSC-klagomål.docx", "A 35618-2025")</f>
        <v/>
      </c>
      <c r="W352">
        <f>HYPERLINK("https://klasma.github.io/Logging_2283/klagomålsmail/A 35618-2025 FSC-klagomål mail.docx", "A 35618-2025")</f>
        <v/>
      </c>
      <c r="X352">
        <f>HYPERLINK("https://klasma.github.io/Logging_2283/tillsyn/A 35618-2025 tillsynsbegäran.docx", "A 35618-2025")</f>
        <v/>
      </c>
      <c r="Y352">
        <f>HYPERLINK("https://klasma.github.io/Logging_2283/tillsynsmail/A 35618-2025 tillsynsbegäran mail.docx", "A 35618-2025")</f>
        <v/>
      </c>
      <c r="Z352">
        <f>HYPERLINK("https://klasma.github.io/Logging_2283/fåglar/A 35618-2025 prioriterade fågelarter.docx", "A 35618-2025")</f>
        <v/>
      </c>
    </row>
    <row r="353" ht="15" customHeight="1">
      <c r="A353" t="inlineStr">
        <is>
          <t>A 27901-2024</t>
        </is>
      </c>
      <c r="B353" s="1" t="n">
        <v>45475.92859953704</v>
      </c>
      <c r="C353" s="1" t="n">
        <v>45998</v>
      </c>
      <c r="D353" t="inlineStr">
        <is>
          <t>VÄSTERNORRLANDS LÄN</t>
        </is>
      </c>
      <c r="E353" t="inlineStr">
        <is>
          <t>SOLLEFTEÅ</t>
        </is>
      </c>
      <c r="G353" t="n">
        <v>12.7</v>
      </c>
      <c r="H353" t="n">
        <v>0</v>
      </c>
      <c r="I353" t="n">
        <v>0</v>
      </c>
      <c r="J353" t="n">
        <v>1</v>
      </c>
      <c r="K353" t="n">
        <v>0</v>
      </c>
      <c r="L353" t="n">
        <v>0</v>
      </c>
      <c r="M353" t="n">
        <v>0</v>
      </c>
      <c r="N353" t="n">
        <v>0</v>
      </c>
      <c r="O353" t="n">
        <v>1</v>
      </c>
      <c r="P353" t="n">
        <v>0</v>
      </c>
      <c r="Q353" t="n">
        <v>1</v>
      </c>
      <c r="R353" s="2" t="inlineStr">
        <is>
          <t>Garnlav</t>
        </is>
      </c>
      <c r="S353">
        <f>HYPERLINK("https://klasma.github.io/Logging_2283/artfynd/A 27901-2024 artfynd.xlsx", "A 27901-2024")</f>
        <v/>
      </c>
      <c r="T353">
        <f>HYPERLINK("https://klasma.github.io/Logging_2283/kartor/A 27901-2024 karta.png", "A 27901-2024")</f>
        <v/>
      </c>
      <c r="V353">
        <f>HYPERLINK("https://klasma.github.io/Logging_2283/klagomål/A 27901-2024 FSC-klagomål.docx", "A 27901-2024")</f>
        <v/>
      </c>
      <c r="W353">
        <f>HYPERLINK("https://klasma.github.io/Logging_2283/klagomålsmail/A 27901-2024 FSC-klagomål mail.docx", "A 27901-2024")</f>
        <v/>
      </c>
      <c r="X353">
        <f>HYPERLINK("https://klasma.github.io/Logging_2283/tillsyn/A 27901-2024 tillsynsbegäran.docx", "A 27901-2024")</f>
        <v/>
      </c>
      <c r="Y353">
        <f>HYPERLINK("https://klasma.github.io/Logging_2283/tillsynsmail/A 27901-2024 tillsynsbegäran mail.docx", "A 27901-2024")</f>
        <v/>
      </c>
    </row>
    <row r="354" ht="15" customHeight="1">
      <c r="A354" t="inlineStr">
        <is>
          <t>A 22345-2025</t>
        </is>
      </c>
      <c r="B354" s="1" t="n">
        <v>45786.44869212963</v>
      </c>
      <c r="C354" s="1" t="n">
        <v>45998</v>
      </c>
      <c r="D354" t="inlineStr">
        <is>
          <t>VÄSTERNORRLANDS LÄN</t>
        </is>
      </c>
      <c r="E354" t="inlineStr">
        <is>
          <t>SOLLEFTEÅ</t>
        </is>
      </c>
      <c r="F354" t="inlineStr">
        <is>
          <t>SCA</t>
        </is>
      </c>
      <c r="G354" t="n">
        <v>7.2</v>
      </c>
      <c r="H354" t="n">
        <v>0</v>
      </c>
      <c r="I354" t="n">
        <v>0</v>
      </c>
      <c r="J354" t="n">
        <v>1</v>
      </c>
      <c r="K354" t="n">
        <v>0</v>
      </c>
      <c r="L354" t="n">
        <v>0</v>
      </c>
      <c r="M354" t="n">
        <v>0</v>
      </c>
      <c r="N354" t="n">
        <v>0</v>
      </c>
      <c r="O354" t="n">
        <v>1</v>
      </c>
      <c r="P354" t="n">
        <v>0</v>
      </c>
      <c r="Q354" t="n">
        <v>1</v>
      </c>
      <c r="R354" s="2" t="inlineStr">
        <is>
          <t>Gammelgransskål</t>
        </is>
      </c>
      <c r="S354">
        <f>HYPERLINK("https://klasma.github.io/Logging_2283/artfynd/A 22345-2025 artfynd.xlsx", "A 22345-2025")</f>
        <v/>
      </c>
      <c r="T354">
        <f>HYPERLINK("https://klasma.github.io/Logging_2283/kartor/A 22345-2025 karta.png", "A 22345-2025")</f>
        <v/>
      </c>
      <c r="V354">
        <f>HYPERLINK("https://klasma.github.io/Logging_2283/klagomål/A 22345-2025 FSC-klagomål.docx", "A 22345-2025")</f>
        <v/>
      </c>
      <c r="W354">
        <f>HYPERLINK("https://klasma.github.io/Logging_2283/klagomålsmail/A 22345-2025 FSC-klagomål mail.docx", "A 22345-2025")</f>
        <v/>
      </c>
      <c r="X354">
        <f>HYPERLINK("https://klasma.github.io/Logging_2283/tillsyn/A 22345-2025 tillsynsbegäran.docx", "A 22345-2025")</f>
        <v/>
      </c>
      <c r="Y354">
        <f>HYPERLINK("https://klasma.github.io/Logging_2283/tillsynsmail/A 22345-2025 tillsynsbegäran mail.docx", "A 22345-2025")</f>
        <v/>
      </c>
    </row>
    <row r="355" ht="15" customHeight="1">
      <c r="A355" t="inlineStr">
        <is>
          <t>A 22768-2025</t>
        </is>
      </c>
      <c r="B355" s="1" t="n">
        <v>45789.63329861111</v>
      </c>
      <c r="C355" s="1" t="n">
        <v>45998</v>
      </c>
      <c r="D355" t="inlineStr">
        <is>
          <t>VÄSTERNORRLANDS LÄN</t>
        </is>
      </c>
      <c r="E355" t="inlineStr">
        <is>
          <t>SOLLEFTEÅ</t>
        </is>
      </c>
      <c r="G355" t="n">
        <v>1.9</v>
      </c>
      <c r="H355" t="n">
        <v>0</v>
      </c>
      <c r="I355" t="n">
        <v>0</v>
      </c>
      <c r="J355" t="n">
        <v>1</v>
      </c>
      <c r="K355" t="n">
        <v>0</v>
      </c>
      <c r="L355" t="n">
        <v>0</v>
      </c>
      <c r="M355" t="n">
        <v>0</v>
      </c>
      <c r="N355" t="n">
        <v>0</v>
      </c>
      <c r="O355" t="n">
        <v>1</v>
      </c>
      <c r="P355" t="n">
        <v>0</v>
      </c>
      <c r="Q355" t="n">
        <v>1</v>
      </c>
      <c r="R355" s="2" t="inlineStr">
        <is>
          <t>Granticka</t>
        </is>
      </c>
      <c r="S355">
        <f>HYPERLINK("https://klasma.github.io/Logging_2283/artfynd/A 22768-2025 artfynd.xlsx", "A 22768-2025")</f>
        <v/>
      </c>
      <c r="T355">
        <f>HYPERLINK("https://klasma.github.io/Logging_2283/kartor/A 22768-2025 karta.png", "A 22768-2025")</f>
        <v/>
      </c>
      <c r="V355">
        <f>HYPERLINK("https://klasma.github.io/Logging_2283/klagomål/A 22768-2025 FSC-klagomål.docx", "A 22768-2025")</f>
        <v/>
      </c>
      <c r="W355">
        <f>HYPERLINK("https://klasma.github.io/Logging_2283/klagomålsmail/A 22768-2025 FSC-klagomål mail.docx", "A 22768-2025")</f>
        <v/>
      </c>
      <c r="X355">
        <f>HYPERLINK("https://klasma.github.io/Logging_2283/tillsyn/A 22768-2025 tillsynsbegäran.docx", "A 22768-2025")</f>
        <v/>
      </c>
      <c r="Y355">
        <f>HYPERLINK("https://klasma.github.io/Logging_2283/tillsynsmail/A 22768-2025 tillsynsbegäran mail.docx", "A 22768-2025")</f>
        <v/>
      </c>
    </row>
    <row r="356" ht="15" customHeight="1">
      <c r="A356" t="inlineStr">
        <is>
          <t>A 39897-2024</t>
        </is>
      </c>
      <c r="B356" s="1" t="n">
        <v>45553.48841435185</v>
      </c>
      <c r="C356" s="1" t="n">
        <v>45998</v>
      </c>
      <c r="D356" t="inlineStr">
        <is>
          <t>VÄSTERNORRLANDS LÄN</t>
        </is>
      </c>
      <c r="E356" t="inlineStr">
        <is>
          <t>SOLLEFTEÅ</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HYPERLINK("https://klasma.github.io/Logging_2283/artfynd/A 39897-2024 artfynd.xlsx", "A 39897-2024")</f>
        <v/>
      </c>
      <c r="T356">
        <f>HYPERLINK("https://klasma.github.io/Logging_2283/kartor/A 39897-2024 karta.png", "A 39897-2024")</f>
        <v/>
      </c>
      <c r="V356">
        <f>HYPERLINK("https://klasma.github.io/Logging_2283/klagomål/A 39897-2024 FSC-klagomål.docx", "A 39897-2024")</f>
        <v/>
      </c>
      <c r="W356">
        <f>HYPERLINK("https://klasma.github.io/Logging_2283/klagomålsmail/A 39897-2024 FSC-klagomål mail.docx", "A 39897-2024")</f>
        <v/>
      </c>
      <c r="X356">
        <f>HYPERLINK("https://klasma.github.io/Logging_2283/tillsyn/A 39897-2024 tillsynsbegäran.docx", "A 39897-2024")</f>
        <v/>
      </c>
      <c r="Y356">
        <f>HYPERLINK("https://klasma.github.io/Logging_2283/tillsynsmail/A 39897-2024 tillsynsbegäran mail.docx", "A 39897-2024")</f>
        <v/>
      </c>
    </row>
    <row r="357" ht="15" customHeight="1">
      <c r="A357" t="inlineStr">
        <is>
          <t>A 39995-2024</t>
        </is>
      </c>
      <c r="B357" s="1" t="n">
        <v>45553.63572916666</v>
      </c>
      <c r="C357" s="1" t="n">
        <v>45998</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Garnlav</t>
        </is>
      </c>
      <c r="S357">
        <f>HYPERLINK("https://klasma.github.io/Logging_2283/artfynd/A 39995-2024 artfynd.xlsx", "A 39995-2024")</f>
        <v/>
      </c>
      <c r="T357">
        <f>HYPERLINK("https://klasma.github.io/Logging_2283/kartor/A 39995-2024 karta.png", "A 39995-2024")</f>
        <v/>
      </c>
      <c r="V357">
        <f>HYPERLINK("https://klasma.github.io/Logging_2283/klagomål/A 39995-2024 FSC-klagomål.docx", "A 39995-2024")</f>
        <v/>
      </c>
      <c r="W357">
        <f>HYPERLINK("https://klasma.github.io/Logging_2283/klagomålsmail/A 39995-2024 FSC-klagomål mail.docx", "A 39995-2024")</f>
        <v/>
      </c>
      <c r="X357">
        <f>HYPERLINK("https://klasma.github.io/Logging_2283/tillsyn/A 39995-2024 tillsynsbegäran.docx", "A 39995-2024")</f>
        <v/>
      </c>
      <c r="Y357">
        <f>HYPERLINK("https://klasma.github.io/Logging_2283/tillsynsmail/A 39995-2024 tillsynsbegäran mail.docx", "A 39995-2024")</f>
        <v/>
      </c>
    </row>
    <row r="358" ht="15" customHeight="1">
      <c r="A358" t="inlineStr">
        <is>
          <t>A 55722-2025</t>
        </is>
      </c>
      <c r="B358" s="1" t="n">
        <v>45972.51136574074</v>
      </c>
      <c r="C358" s="1" t="n">
        <v>45998</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22428-2025</t>
        </is>
      </c>
      <c r="B359" s="1" t="n">
        <v>45786.57351851852</v>
      </c>
      <c r="C359" s="1" t="n">
        <v>45998</v>
      </c>
      <c r="D359" t="inlineStr">
        <is>
          <t>VÄSTERNORRLANDS LÄN</t>
        </is>
      </c>
      <c r="E359" t="inlineStr">
        <is>
          <t>SOLLEFTEÅ</t>
        </is>
      </c>
      <c r="G359" t="n">
        <v>11.6</v>
      </c>
      <c r="H359" t="n">
        <v>1</v>
      </c>
      <c r="I359" t="n">
        <v>0</v>
      </c>
      <c r="J359" t="n">
        <v>1</v>
      </c>
      <c r="K359" t="n">
        <v>0</v>
      </c>
      <c r="L359" t="n">
        <v>0</v>
      </c>
      <c r="M359" t="n">
        <v>0</v>
      </c>
      <c r="N359" t="n">
        <v>0</v>
      </c>
      <c r="O359" t="n">
        <v>1</v>
      </c>
      <c r="P359" t="n">
        <v>0</v>
      </c>
      <c r="Q359" t="n">
        <v>1</v>
      </c>
      <c r="R359" s="2" t="inlineStr">
        <is>
          <t>Tretåig hackspett</t>
        </is>
      </c>
      <c r="S359">
        <f>HYPERLINK("https://klasma.github.io/Logging_2283/artfynd/A 22428-2025 artfynd.xlsx", "A 22428-2025")</f>
        <v/>
      </c>
      <c r="T359">
        <f>HYPERLINK("https://klasma.github.io/Logging_2283/kartor/A 22428-2025 karta.png", "A 22428-2025")</f>
        <v/>
      </c>
      <c r="V359">
        <f>HYPERLINK("https://klasma.github.io/Logging_2283/klagomål/A 22428-2025 FSC-klagomål.docx", "A 22428-2025")</f>
        <v/>
      </c>
      <c r="W359">
        <f>HYPERLINK("https://klasma.github.io/Logging_2283/klagomålsmail/A 22428-2025 FSC-klagomål mail.docx", "A 22428-2025")</f>
        <v/>
      </c>
      <c r="X359">
        <f>HYPERLINK("https://klasma.github.io/Logging_2283/tillsyn/A 22428-2025 tillsynsbegäran.docx", "A 22428-2025")</f>
        <v/>
      </c>
      <c r="Y359">
        <f>HYPERLINK("https://klasma.github.io/Logging_2283/tillsynsmail/A 22428-2025 tillsynsbegäran mail.docx", "A 22428-2025")</f>
        <v/>
      </c>
      <c r="Z359">
        <f>HYPERLINK("https://klasma.github.io/Logging_2283/fåglar/A 22428-2025 prioriterade fågelarter.docx", "A 22428-2025")</f>
        <v/>
      </c>
    </row>
    <row r="360" ht="15" customHeight="1">
      <c r="A360" t="inlineStr">
        <is>
          <t>A 48526-2025</t>
        </is>
      </c>
      <c r="B360" s="1" t="n">
        <v>45936.40723379629</v>
      </c>
      <c r="C360" s="1" t="n">
        <v>45998</v>
      </c>
      <c r="D360" t="inlineStr">
        <is>
          <t>VÄSTERNORRLANDS LÄN</t>
        </is>
      </c>
      <c r="E360" t="inlineStr">
        <is>
          <t>SOLLEFTEÅ</t>
        </is>
      </c>
      <c r="F360" t="inlineStr">
        <is>
          <t>SCA</t>
        </is>
      </c>
      <c r="G360" t="n">
        <v>6.9</v>
      </c>
      <c r="H360" t="n">
        <v>1</v>
      </c>
      <c r="I360" t="n">
        <v>0</v>
      </c>
      <c r="J360" t="n">
        <v>0</v>
      </c>
      <c r="K360" t="n">
        <v>0</v>
      </c>
      <c r="L360" t="n">
        <v>0</v>
      </c>
      <c r="M360" t="n">
        <v>0</v>
      </c>
      <c r="N360" t="n">
        <v>0</v>
      </c>
      <c r="O360" t="n">
        <v>0</v>
      </c>
      <c r="P360" t="n">
        <v>0</v>
      </c>
      <c r="Q360" t="n">
        <v>1</v>
      </c>
      <c r="R360" s="2" t="inlineStr">
        <is>
          <t>Revlummer</t>
        </is>
      </c>
      <c r="S360">
        <f>HYPERLINK("https://klasma.github.io/Logging_2283/artfynd/A 48526-2025 artfynd.xlsx", "A 48526-2025")</f>
        <v/>
      </c>
      <c r="T360">
        <f>HYPERLINK("https://klasma.github.io/Logging_2283/kartor/A 48526-2025 karta.png", "A 48526-2025")</f>
        <v/>
      </c>
      <c r="V360">
        <f>HYPERLINK("https://klasma.github.io/Logging_2283/klagomål/A 48526-2025 FSC-klagomål.docx", "A 48526-2025")</f>
        <v/>
      </c>
      <c r="W360">
        <f>HYPERLINK("https://klasma.github.io/Logging_2283/klagomålsmail/A 48526-2025 FSC-klagomål mail.docx", "A 48526-2025")</f>
        <v/>
      </c>
      <c r="X360">
        <f>HYPERLINK("https://klasma.github.io/Logging_2283/tillsyn/A 48526-2025 tillsynsbegäran.docx", "A 48526-2025")</f>
        <v/>
      </c>
      <c r="Y360">
        <f>HYPERLINK("https://klasma.github.io/Logging_2283/tillsynsmail/A 48526-2025 tillsynsbegäran mail.docx", "A 48526-2025")</f>
        <v/>
      </c>
    </row>
    <row r="361" ht="15" customHeight="1">
      <c r="A361" t="inlineStr">
        <is>
          <t>A 56444-2025</t>
        </is>
      </c>
      <c r="B361" s="1" t="n">
        <v>45975.3480324074</v>
      </c>
      <c r="C361" s="1" t="n">
        <v>45998</v>
      </c>
      <c r="D361" t="inlineStr">
        <is>
          <t>VÄSTERNORRLANDS LÄN</t>
        </is>
      </c>
      <c r="E361" t="inlineStr">
        <is>
          <t>SOLLEFTEÅ</t>
        </is>
      </c>
      <c r="F361" t="inlineStr">
        <is>
          <t>SCA</t>
        </is>
      </c>
      <c r="G361" t="n">
        <v>4.1</v>
      </c>
      <c r="H361" t="n">
        <v>1</v>
      </c>
      <c r="I361" t="n">
        <v>1</v>
      </c>
      <c r="J361" t="n">
        <v>0</v>
      </c>
      <c r="K361" t="n">
        <v>0</v>
      </c>
      <c r="L361" t="n">
        <v>0</v>
      </c>
      <c r="M361" t="n">
        <v>0</v>
      </c>
      <c r="N361" t="n">
        <v>0</v>
      </c>
      <c r="O361" t="n">
        <v>0</v>
      </c>
      <c r="P361" t="n">
        <v>0</v>
      </c>
      <c r="Q361" t="n">
        <v>1</v>
      </c>
      <c r="R361" s="2" t="inlineStr">
        <is>
          <t>Plattlummer</t>
        </is>
      </c>
      <c r="S361">
        <f>HYPERLINK("https://klasma.github.io/Logging_2283/artfynd/A 56444-2025 artfynd.xlsx", "A 56444-2025")</f>
        <v/>
      </c>
      <c r="T361">
        <f>HYPERLINK("https://klasma.github.io/Logging_2283/kartor/A 56444-2025 karta.png", "A 56444-2025")</f>
        <v/>
      </c>
      <c r="V361">
        <f>HYPERLINK("https://klasma.github.io/Logging_2283/klagomål/A 56444-2025 FSC-klagomål.docx", "A 56444-2025")</f>
        <v/>
      </c>
      <c r="W361">
        <f>HYPERLINK("https://klasma.github.io/Logging_2283/klagomålsmail/A 56444-2025 FSC-klagomål mail.docx", "A 56444-2025")</f>
        <v/>
      </c>
      <c r="X361">
        <f>HYPERLINK("https://klasma.github.io/Logging_2283/tillsyn/A 56444-2025 tillsynsbegäran.docx", "A 56444-2025")</f>
        <v/>
      </c>
      <c r="Y361">
        <f>HYPERLINK("https://klasma.github.io/Logging_2283/tillsynsmail/A 56444-2025 tillsynsbegäran mail.docx", "A 56444-2025")</f>
        <v/>
      </c>
    </row>
    <row r="362" ht="15" customHeight="1">
      <c r="A362" t="inlineStr">
        <is>
          <t>A 56421-2025</t>
        </is>
      </c>
      <c r="B362" s="1" t="n">
        <v>45975.34498842592</v>
      </c>
      <c r="C362" s="1" t="n">
        <v>45998</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42554-2025</t>
        </is>
      </c>
      <c r="B363" s="1" t="n">
        <v>45905.59445601852</v>
      </c>
      <c r="C363" s="1" t="n">
        <v>45998</v>
      </c>
      <c r="D363" t="inlineStr">
        <is>
          <t>VÄSTERNORRLANDS LÄN</t>
        </is>
      </c>
      <c r="E363" t="inlineStr">
        <is>
          <t>SOLLEFTEÅ</t>
        </is>
      </c>
      <c r="F363" t="inlineStr">
        <is>
          <t>SCA</t>
        </is>
      </c>
      <c r="G363" t="n">
        <v>0.7</v>
      </c>
      <c r="H363" t="n">
        <v>0</v>
      </c>
      <c r="I363" t="n">
        <v>0</v>
      </c>
      <c r="J363" t="n">
        <v>1</v>
      </c>
      <c r="K363" t="n">
        <v>0</v>
      </c>
      <c r="L363" t="n">
        <v>0</v>
      </c>
      <c r="M363" t="n">
        <v>0</v>
      </c>
      <c r="N363" t="n">
        <v>0</v>
      </c>
      <c r="O363" t="n">
        <v>1</v>
      </c>
      <c r="P363" t="n">
        <v>0</v>
      </c>
      <c r="Q363" t="n">
        <v>1</v>
      </c>
      <c r="R363" s="2" t="inlineStr">
        <is>
          <t>Harticka</t>
        </is>
      </c>
      <c r="S363">
        <f>HYPERLINK("https://klasma.github.io/Logging_2283/artfynd/A 42554-2025 artfynd.xlsx", "A 42554-2025")</f>
        <v/>
      </c>
      <c r="T363">
        <f>HYPERLINK("https://klasma.github.io/Logging_2283/kartor/A 42554-2025 karta.png", "A 42554-2025")</f>
        <v/>
      </c>
      <c r="V363">
        <f>HYPERLINK("https://klasma.github.io/Logging_2283/klagomål/A 42554-2025 FSC-klagomål.docx", "A 42554-2025")</f>
        <v/>
      </c>
      <c r="W363">
        <f>HYPERLINK("https://klasma.github.io/Logging_2283/klagomålsmail/A 42554-2025 FSC-klagomål mail.docx", "A 42554-2025")</f>
        <v/>
      </c>
      <c r="X363">
        <f>HYPERLINK("https://klasma.github.io/Logging_2283/tillsyn/A 42554-2025 tillsynsbegäran.docx", "A 42554-2025")</f>
        <v/>
      </c>
      <c r="Y363">
        <f>HYPERLINK("https://klasma.github.io/Logging_2283/tillsynsmail/A 42554-2025 tillsynsbegäran mail.docx", "A 42554-2025")</f>
        <v/>
      </c>
    </row>
    <row r="364" ht="15" customHeight="1">
      <c r="A364" t="inlineStr">
        <is>
          <t>A 56048-2025</t>
        </is>
      </c>
      <c r="B364" s="1" t="n">
        <v>45973</v>
      </c>
      <c r="C364" s="1" t="n">
        <v>45998</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22214-2025</t>
        </is>
      </c>
      <c r="B365" s="1" t="n">
        <v>45785.65792824074</v>
      </c>
      <c r="C365" s="1" t="n">
        <v>45998</v>
      </c>
      <c r="D365" t="inlineStr">
        <is>
          <t>VÄSTERNORRLANDS LÄN</t>
        </is>
      </c>
      <c r="E365" t="inlineStr">
        <is>
          <t>SOLLEFTEÅ</t>
        </is>
      </c>
      <c r="F365" t="inlineStr">
        <is>
          <t>SCA</t>
        </is>
      </c>
      <c r="G365" t="n">
        <v>4.6</v>
      </c>
      <c r="H365" t="n">
        <v>0</v>
      </c>
      <c r="I365" t="n">
        <v>0</v>
      </c>
      <c r="J365" t="n">
        <v>1</v>
      </c>
      <c r="K365" t="n">
        <v>0</v>
      </c>
      <c r="L365" t="n">
        <v>0</v>
      </c>
      <c r="M365" t="n">
        <v>0</v>
      </c>
      <c r="N365" t="n">
        <v>0</v>
      </c>
      <c r="O365" t="n">
        <v>1</v>
      </c>
      <c r="P365" t="n">
        <v>0</v>
      </c>
      <c r="Q365" t="n">
        <v>1</v>
      </c>
      <c r="R365" s="2" t="inlineStr">
        <is>
          <t>Reliktbock</t>
        </is>
      </c>
      <c r="S365">
        <f>HYPERLINK("https://klasma.github.io/Logging_2283/artfynd/A 22214-2025 artfynd.xlsx", "A 22214-2025")</f>
        <v/>
      </c>
      <c r="T365">
        <f>HYPERLINK("https://klasma.github.io/Logging_2283/kartor/A 22214-2025 karta.png", "A 22214-2025")</f>
        <v/>
      </c>
      <c r="V365">
        <f>HYPERLINK("https://klasma.github.io/Logging_2283/klagomål/A 22214-2025 FSC-klagomål.docx", "A 22214-2025")</f>
        <v/>
      </c>
      <c r="W365">
        <f>HYPERLINK("https://klasma.github.io/Logging_2283/klagomålsmail/A 22214-2025 FSC-klagomål mail.docx", "A 22214-2025")</f>
        <v/>
      </c>
      <c r="X365">
        <f>HYPERLINK("https://klasma.github.io/Logging_2283/tillsyn/A 22214-2025 tillsynsbegäran.docx", "A 22214-2025")</f>
        <v/>
      </c>
      <c r="Y365">
        <f>HYPERLINK("https://klasma.github.io/Logging_2283/tillsynsmail/A 22214-2025 tillsynsbegäran mail.docx", "A 22214-2025")</f>
        <v/>
      </c>
    </row>
    <row r="366" ht="15" customHeight="1">
      <c r="A366" t="inlineStr">
        <is>
          <t>A 26019-2025</t>
        </is>
      </c>
      <c r="B366" s="1" t="n">
        <v>45804.67811342593</v>
      </c>
      <c r="C366" s="1" t="n">
        <v>45998</v>
      </c>
      <c r="D366" t="inlineStr">
        <is>
          <t>VÄSTERNORRLANDS LÄN</t>
        </is>
      </c>
      <c r="E366" t="inlineStr">
        <is>
          <t>SOLLEFTEÅ</t>
        </is>
      </c>
      <c r="F366" t="inlineStr">
        <is>
          <t>SCA</t>
        </is>
      </c>
      <c r="G366" t="n">
        <v>3.7</v>
      </c>
      <c r="H366" t="n">
        <v>0</v>
      </c>
      <c r="I366" t="n">
        <v>0</v>
      </c>
      <c r="J366" t="n">
        <v>1</v>
      </c>
      <c r="K366" t="n">
        <v>0</v>
      </c>
      <c r="L366" t="n">
        <v>0</v>
      </c>
      <c r="M366" t="n">
        <v>0</v>
      </c>
      <c r="N366" t="n">
        <v>0</v>
      </c>
      <c r="O366" t="n">
        <v>1</v>
      </c>
      <c r="P366" t="n">
        <v>0</v>
      </c>
      <c r="Q366" t="n">
        <v>1</v>
      </c>
      <c r="R366" s="2" t="inlineStr">
        <is>
          <t>Rosenticka</t>
        </is>
      </c>
      <c r="S366">
        <f>HYPERLINK("https://klasma.github.io/Logging_2283/artfynd/A 26019-2025 artfynd.xlsx", "A 26019-2025")</f>
        <v/>
      </c>
      <c r="T366">
        <f>HYPERLINK("https://klasma.github.io/Logging_2283/kartor/A 26019-2025 karta.png", "A 26019-2025")</f>
        <v/>
      </c>
      <c r="V366">
        <f>HYPERLINK("https://klasma.github.io/Logging_2283/klagomål/A 26019-2025 FSC-klagomål.docx", "A 26019-2025")</f>
        <v/>
      </c>
      <c r="W366">
        <f>HYPERLINK("https://klasma.github.io/Logging_2283/klagomålsmail/A 26019-2025 FSC-klagomål mail.docx", "A 26019-2025")</f>
        <v/>
      </c>
      <c r="X366">
        <f>HYPERLINK("https://klasma.github.io/Logging_2283/tillsyn/A 26019-2025 tillsynsbegäran.docx", "A 26019-2025")</f>
        <v/>
      </c>
      <c r="Y366">
        <f>HYPERLINK("https://klasma.github.io/Logging_2283/tillsynsmail/A 26019-2025 tillsynsbegäran mail.docx", "A 26019-2025")</f>
        <v/>
      </c>
    </row>
    <row r="367" ht="15" customHeight="1">
      <c r="A367" t="inlineStr">
        <is>
          <t>A 23169-2025</t>
        </is>
      </c>
      <c r="B367" s="1" t="n">
        <v>45791.42752314815</v>
      </c>
      <c r="C367" s="1" t="n">
        <v>45998</v>
      </c>
      <c r="D367" t="inlineStr">
        <is>
          <t>VÄSTERNORRLANDS LÄN</t>
        </is>
      </c>
      <c r="E367" t="inlineStr">
        <is>
          <t>SOLLEFTEÅ</t>
        </is>
      </c>
      <c r="F367" t="inlineStr">
        <is>
          <t>SCA</t>
        </is>
      </c>
      <c r="G367" t="n">
        <v>1.8</v>
      </c>
      <c r="H367" t="n">
        <v>1</v>
      </c>
      <c r="I367" t="n">
        <v>0</v>
      </c>
      <c r="J367" t="n">
        <v>1</v>
      </c>
      <c r="K367" t="n">
        <v>0</v>
      </c>
      <c r="L367" t="n">
        <v>0</v>
      </c>
      <c r="M367" t="n">
        <v>0</v>
      </c>
      <c r="N367" t="n">
        <v>0</v>
      </c>
      <c r="O367" t="n">
        <v>1</v>
      </c>
      <c r="P367" t="n">
        <v>0</v>
      </c>
      <c r="Q367" t="n">
        <v>1</v>
      </c>
      <c r="R367" s="2" t="inlineStr">
        <is>
          <t>Järpe</t>
        </is>
      </c>
      <c r="S367">
        <f>HYPERLINK("https://klasma.github.io/Logging_2283/artfynd/A 23169-2025 artfynd.xlsx", "A 23169-2025")</f>
        <v/>
      </c>
      <c r="T367">
        <f>HYPERLINK("https://klasma.github.io/Logging_2283/kartor/A 23169-2025 karta.png", "A 23169-2025")</f>
        <v/>
      </c>
      <c r="V367">
        <f>HYPERLINK("https://klasma.github.io/Logging_2283/klagomål/A 23169-2025 FSC-klagomål.docx", "A 23169-2025")</f>
        <v/>
      </c>
      <c r="W367">
        <f>HYPERLINK("https://klasma.github.io/Logging_2283/klagomålsmail/A 23169-2025 FSC-klagomål mail.docx", "A 23169-2025")</f>
        <v/>
      </c>
      <c r="X367">
        <f>HYPERLINK("https://klasma.github.io/Logging_2283/tillsyn/A 23169-2025 tillsynsbegäran.docx", "A 23169-2025")</f>
        <v/>
      </c>
      <c r="Y367">
        <f>HYPERLINK("https://klasma.github.io/Logging_2283/tillsynsmail/A 23169-2025 tillsynsbegäran mail.docx", "A 23169-2025")</f>
        <v/>
      </c>
      <c r="Z367">
        <f>HYPERLINK("https://klasma.github.io/Logging_2283/fåglar/A 23169-2025 prioriterade fågelarter.docx", "A 23169-2025")</f>
        <v/>
      </c>
    </row>
    <row r="368" ht="15" customHeight="1">
      <c r="A368" t="inlineStr">
        <is>
          <t>A 57987-2025</t>
        </is>
      </c>
      <c r="B368" s="1" t="n">
        <v>45982.41984953704</v>
      </c>
      <c r="C368" s="1" t="n">
        <v>45998</v>
      </c>
      <c r="D368" t="inlineStr">
        <is>
          <t>VÄSTERNORRLANDS LÄN</t>
        </is>
      </c>
      <c r="E368" t="inlineStr">
        <is>
          <t>SOLLEFTEÅ</t>
        </is>
      </c>
      <c r="G368" t="n">
        <v>2.8</v>
      </c>
      <c r="H368" t="n">
        <v>0</v>
      </c>
      <c r="I368" t="n">
        <v>1</v>
      </c>
      <c r="J368" t="n">
        <v>0</v>
      </c>
      <c r="K368" t="n">
        <v>0</v>
      </c>
      <c r="L368" t="n">
        <v>0</v>
      </c>
      <c r="M368" t="n">
        <v>0</v>
      </c>
      <c r="N368" t="n">
        <v>0</v>
      </c>
      <c r="O368" t="n">
        <v>0</v>
      </c>
      <c r="P368" t="n">
        <v>0</v>
      </c>
      <c r="Q368" t="n">
        <v>1</v>
      </c>
      <c r="R368" s="2" t="inlineStr">
        <is>
          <t>Stuplav</t>
        </is>
      </c>
      <c r="S368">
        <f>HYPERLINK("https://klasma.github.io/Logging_2283/artfynd/A 57987-2025 artfynd.xlsx", "A 57987-2025")</f>
        <v/>
      </c>
      <c r="T368">
        <f>HYPERLINK("https://klasma.github.io/Logging_2283/kartor/A 57987-2025 karta.png", "A 57987-2025")</f>
        <v/>
      </c>
      <c r="V368">
        <f>HYPERLINK("https://klasma.github.io/Logging_2283/klagomål/A 57987-2025 FSC-klagomål.docx", "A 57987-2025")</f>
        <v/>
      </c>
      <c r="W368">
        <f>HYPERLINK("https://klasma.github.io/Logging_2283/klagomålsmail/A 57987-2025 FSC-klagomål mail.docx", "A 57987-2025")</f>
        <v/>
      </c>
      <c r="X368">
        <f>HYPERLINK("https://klasma.github.io/Logging_2283/tillsyn/A 57987-2025 tillsynsbegäran.docx", "A 57987-2025")</f>
        <v/>
      </c>
      <c r="Y368">
        <f>HYPERLINK("https://klasma.github.io/Logging_2283/tillsynsmail/A 57987-2025 tillsynsbegäran mail.docx", "A 57987-2025")</f>
        <v/>
      </c>
    </row>
    <row r="369" ht="15" customHeight="1">
      <c r="A369" t="inlineStr">
        <is>
          <t>A 49651-2025</t>
        </is>
      </c>
      <c r="B369" s="1" t="n">
        <v>45939.62670138889</v>
      </c>
      <c r="C369" s="1" t="n">
        <v>45998</v>
      </c>
      <c r="D369" t="inlineStr">
        <is>
          <t>VÄSTERNORRLANDS LÄN</t>
        </is>
      </c>
      <c r="E369" t="inlineStr">
        <is>
          <t>SOLLEFTEÅ</t>
        </is>
      </c>
      <c r="G369" t="n">
        <v>1.5</v>
      </c>
      <c r="H369" t="n">
        <v>1</v>
      </c>
      <c r="I369" t="n">
        <v>0</v>
      </c>
      <c r="J369" t="n">
        <v>1</v>
      </c>
      <c r="K369" t="n">
        <v>0</v>
      </c>
      <c r="L369" t="n">
        <v>0</v>
      </c>
      <c r="M369" t="n">
        <v>0</v>
      </c>
      <c r="N369" t="n">
        <v>0</v>
      </c>
      <c r="O369" t="n">
        <v>1</v>
      </c>
      <c r="P369" t="n">
        <v>0</v>
      </c>
      <c r="Q369" t="n">
        <v>1</v>
      </c>
      <c r="R369" s="2" t="inlineStr">
        <is>
          <t>Järpe</t>
        </is>
      </c>
      <c r="S369">
        <f>HYPERLINK("https://klasma.github.io/Logging_2283/artfynd/A 49651-2025 artfynd.xlsx", "A 49651-2025")</f>
        <v/>
      </c>
      <c r="T369">
        <f>HYPERLINK("https://klasma.github.io/Logging_2283/kartor/A 49651-2025 karta.png", "A 49651-2025")</f>
        <v/>
      </c>
      <c r="V369">
        <f>HYPERLINK("https://klasma.github.io/Logging_2283/klagomål/A 49651-2025 FSC-klagomål.docx", "A 49651-2025")</f>
        <v/>
      </c>
      <c r="W369">
        <f>HYPERLINK("https://klasma.github.io/Logging_2283/klagomålsmail/A 49651-2025 FSC-klagomål mail.docx", "A 49651-2025")</f>
        <v/>
      </c>
      <c r="X369">
        <f>HYPERLINK("https://klasma.github.io/Logging_2283/tillsyn/A 49651-2025 tillsynsbegäran.docx", "A 49651-2025")</f>
        <v/>
      </c>
      <c r="Y369">
        <f>HYPERLINK("https://klasma.github.io/Logging_2283/tillsynsmail/A 49651-2025 tillsynsbegäran mail.docx", "A 49651-2025")</f>
        <v/>
      </c>
      <c r="Z369">
        <f>HYPERLINK("https://klasma.github.io/Logging_2283/fåglar/A 49651-2025 prioriterade fågelarter.docx", "A 49651-2025")</f>
        <v/>
      </c>
    </row>
    <row r="370" ht="15" customHeight="1">
      <c r="A370" t="inlineStr">
        <is>
          <t>A 26501-2025</t>
        </is>
      </c>
      <c r="B370" s="1" t="n">
        <v>45807</v>
      </c>
      <c r="C370" s="1" t="n">
        <v>45998</v>
      </c>
      <c r="D370" t="inlineStr">
        <is>
          <t>VÄSTERNORRLANDS LÄN</t>
        </is>
      </c>
      <c r="E370" t="inlineStr">
        <is>
          <t>SOLLEFTEÅ</t>
        </is>
      </c>
      <c r="F370" t="inlineStr">
        <is>
          <t>SCA</t>
        </is>
      </c>
      <c r="G370" t="n">
        <v>3.9</v>
      </c>
      <c r="H370" t="n">
        <v>0</v>
      </c>
      <c r="I370" t="n">
        <v>0</v>
      </c>
      <c r="J370" t="n">
        <v>1</v>
      </c>
      <c r="K370" t="n">
        <v>0</v>
      </c>
      <c r="L370" t="n">
        <v>0</v>
      </c>
      <c r="M370" t="n">
        <v>0</v>
      </c>
      <c r="N370" t="n">
        <v>0</v>
      </c>
      <c r="O370" t="n">
        <v>1</v>
      </c>
      <c r="P370" t="n">
        <v>0</v>
      </c>
      <c r="Q370" t="n">
        <v>1</v>
      </c>
      <c r="R370" s="2" t="inlineStr">
        <is>
          <t>Vedflikmossa</t>
        </is>
      </c>
      <c r="S370">
        <f>HYPERLINK("https://klasma.github.io/Logging_2283/artfynd/A 26501-2025 artfynd.xlsx", "A 26501-2025")</f>
        <v/>
      </c>
      <c r="T370">
        <f>HYPERLINK("https://klasma.github.io/Logging_2283/kartor/A 26501-2025 karta.png", "A 26501-2025")</f>
        <v/>
      </c>
      <c r="V370">
        <f>HYPERLINK("https://klasma.github.io/Logging_2283/klagomål/A 26501-2025 FSC-klagomål.docx", "A 26501-2025")</f>
        <v/>
      </c>
      <c r="W370">
        <f>HYPERLINK("https://klasma.github.io/Logging_2283/klagomålsmail/A 26501-2025 FSC-klagomål mail.docx", "A 26501-2025")</f>
        <v/>
      </c>
      <c r="X370">
        <f>HYPERLINK("https://klasma.github.io/Logging_2283/tillsyn/A 26501-2025 tillsynsbegäran.docx", "A 26501-2025")</f>
        <v/>
      </c>
      <c r="Y370">
        <f>HYPERLINK("https://klasma.github.io/Logging_2283/tillsynsmail/A 26501-2025 tillsynsbegäran mail.docx", "A 26501-2025")</f>
        <v/>
      </c>
    </row>
    <row r="371" ht="15" customHeight="1">
      <c r="A371" t="inlineStr">
        <is>
          <t>A 53822-2025</t>
        </is>
      </c>
      <c r="B371" s="1" t="n">
        <v>45961.32806712963</v>
      </c>
      <c r="C371" s="1" t="n">
        <v>45998</v>
      </c>
      <c r="D371" t="inlineStr">
        <is>
          <t>VÄSTERNORRLANDS LÄN</t>
        </is>
      </c>
      <c r="E371" t="inlineStr">
        <is>
          <t>SOLLEFTEÅ</t>
        </is>
      </c>
      <c r="G371" t="n">
        <v>2.1</v>
      </c>
      <c r="H371" t="n">
        <v>1</v>
      </c>
      <c r="I371" t="n">
        <v>0</v>
      </c>
      <c r="J371" t="n">
        <v>0</v>
      </c>
      <c r="K371" t="n">
        <v>0</v>
      </c>
      <c r="L371" t="n">
        <v>0</v>
      </c>
      <c r="M371" t="n">
        <v>0</v>
      </c>
      <c r="N371" t="n">
        <v>0</v>
      </c>
      <c r="O371" t="n">
        <v>0</v>
      </c>
      <c r="P371" t="n">
        <v>0</v>
      </c>
      <c r="Q371" t="n">
        <v>1</v>
      </c>
      <c r="R371" s="2" t="inlineStr">
        <is>
          <t>Sångsvan</t>
        </is>
      </c>
      <c r="S371">
        <f>HYPERLINK("https://klasma.github.io/Logging_2283/artfynd/A 53822-2025 artfynd.xlsx", "A 53822-2025")</f>
        <v/>
      </c>
      <c r="T371">
        <f>HYPERLINK("https://klasma.github.io/Logging_2283/kartor/A 53822-2025 karta.png", "A 53822-2025")</f>
        <v/>
      </c>
      <c r="V371">
        <f>HYPERLINK("https://klasma.github.io/Logging_2283/klagomål/A 53822-2025 FSC-klagomål.docx", "A 53822-2025")</f>
        <v/>
      </c>
      <c r="W371">
        <f>HYPERLINK("https://klasma.github.io/Logging_2283/klagomålsmail/A 53822-2025 FSC-klagomål mail.docx", "A 53822-2025")</f>
        <v/>
      </c>
      <c r="X371">
        <f>HYPERLINK("https://klasma.github.io/Logging_2283/tillsyn/A 53822-2025 tillsynsbegäran.docx", "A 53822-2025")</f>
        <v/>
      </c>
      <c r="Y371">
        <f>HYPERLINK("https://klasma.github.io/Logging_2283/tillsynsmail/A 53822-2025 tillsynsbegäran mail.docx", "A 53822-2025")</f>
        <v/>
      </c>
      <c r="Z371">
        <f>HYPERLINK("https://klasma.github.io/Logging_2283/fåglar/A 53822-2025 prioriterade fågelarter.docx", "A 53822-2025")</f>
        <v/>
      </c>
    </row>
    <row r="372" ht="15" customHeight="1">
      <c r="A372" t="inlineStr">
        <is>
          <t>A 21962-2025</t>
        </is>
      </c>
      <c r="B372" s="1" t="n">
        <v>45784</v>
      </c>
      <c r="C372" s="1" t="n">
        <v>45998</v>
      </c>
      <c r="D372" t="inlineStr">
        <is>
          <t>VÄSTERNORRLANDS LÄN</t>
        </is>
      </c>
      <c r="E372" t="inlineStr">
        <is>
          <t>SOLLEFTEÅ</t>
        </is>
      </c>
      <c r="F372" t="inlineStr">
        <is>
          <t>SCA</t>
        </is>
      </c>
      <c r="G372" t="n">
        <v>22.5</v>
      </c>
      <c r="H372" t="n">
        <v>1</v>
      </c>
      <c r="I372" t="n">
        <v>0</v>
      </c>
      <c r="J372" t="n">
        <v>1</v>
      </c>
      <c r="K372" t="n">
        <v>0</v>
      </c>
      <c r="L372" t="n">
        <v>0</v>
      </c>
      <c r="M372" t="n">
        <v>0</v>
      </c>
      <c r="N372" t="n">
        <v>0</v>
      </c>
      <c r="O372" t="n">
        <v>1</v>
      </c>
      <c r="P372" t="n">
        <v>0</v>
      </c>
      <c r="Q372" t="n">
        <v>1</v>
      </c>
      <c r="R372" s="2" t="inlineStr">
        <is>
          <t>Järpe</t>
        </is>
      </c>
      <c r="S372">
        <f>HYPERLINK("https://klasma.github.io/Logging_2283/artfynd/A 21962-2025 artfynd.xlsx", "A 21962-2025")</f>
        <v/>
      </c>
      <c r="T372">
        <f>HYPERLINK("https://klasma.github.io/Logging_2283/kartor/A 21962-2025 karta.png", "A 21962-2025")</f>
        <v/>
      </c>
      <c r="V372">
        <f>HYPERLINK("https://klasma.github.io/Logging_2283/klagomål/A 21962-2025 FSC-klagomål.docx", "A 21962-2025")</f>
        <v/>
      </c>
      <c r="W372">
        <f>HYPERLINK("https://klasma.github.io/Logging_2283/klagomålsmail/A 21962-2025 FSC-klagomål mail.docx", "A 21962-2025")</f>
        <v/>
      </c>
      <c r="X372">
        <f>HYPERLINK("https://klasma.github.io/Logging_2283/tillsyn/A 21962-2025 tillsynsbegäran.docx", "A 21962-2025")</f>
        <v/>
      </c>
      <c r="Y372">
        <f>HYPERLINK("https://klasma.github.io/Logging_2283/tillsynsmail/A 21962-2025 tillsynsbegäran mail.docx", "A 21962-2025")</f>
        <v/>
      </c>
      <c r="Z372">
        <f>HYPERLINK("https://klasma.github.io/Logging_2283/fåglar/A 21962-2025 prioriterade fågelarter.docx", "A 21962-2025")</f>
        <v/>
      </c>
    </row>
    <row r="373" ht="15" customHeight="1">
      <c r="A373" t="inlineStr">
        <is>
          <t>A 49251-2025</t>
        </is>
      </c>
      <c r="B373" s="1" t="n">
        <v>45938</v>
      </c>
      <c r="C373" s="1" t="n">
        <v>45998</v>
      </c>
      <c r="D373" t="inlineStr">
        <is>
          <t>VÄSTERNORRLANDS LÄN</t>
        </is>
      </c>
      <c r="E373" t="inlineStr">
        <is>
          <t>SOLLEFTEÅ</t>
        </is>
      </c>
      <c r="F373" t="inlineStr">
        <is>
          <t>SCA</t>
        </is>
      </c>
      <c r="G373" t="n">
        <v>2.5</v>
      </c>
      <c r="H373" t="n">
        <v>0</v>
      </c>
      <c r="I373" t="n">
        <v>0</v>
      </c>
      <c r="J373" t="n">
        <v>1</v>
      </c>
      <c r="K373" t="n">
        <v>0</v>
      </c>
      <c r="L373" t="n">
        <v>0</v>
      </c>
      <c r="M373" t="n">
        <v>0</v>
      </c>
      <c r="N373" t="n">
        <v>0</v>
      </c>
      <c r="O373" t="n">
        <v>1</v>
      </c>
      <c r="P373" t="n">
        <v>0</v>
      </c>
      <c r="Q373" t="n">
        <v>1</v>
      </c>
      <c r="R373" s="2" t="inlineStr">
        <is>
          <t>Granticka</t>
        </is>
      </c>
      <c r="S373">
        <f>HYPERLINK("https://klasma.github.io/Logging_2283/artfynd/A 49251-2025 artfynd.xlsx", "A 49251-2025")</f>
        <v/>
      </c>
      <c r="T373">
        <f>HYPERLINK("https://klasma.github.io/Logging_2283/kartor/A 49251-2025 karta.png", "A 49251-2025")</f>
        <v/>
      </c>
      <c r="V373">
        <f>HYPERLINK("https://klasma.github.io/Logging_2283/klagomål/A 49251-2025 FSC-klagomål.docx", "A 49251-2025")</f>
        <v/>
      </c>
      <c r="W373">
        <f>HYPERLINK("https://klasma.github.io/Logging_2283/klagomålsmail/A 49251-2025 FSC-klagomål mail.docx", "A 49251-2025")</f>
        <v/>
      </c>
      <c r="X373">
        <f>HYPERLINK("https://klasma.github.io/Logging_2283/tillsyn/A 49251-2025 tillsynsbegäran.docx", "A 49251-2025")</f>
        <v/>
      </c>
      <c r="Y373">
        <f>HYPERLINK("https://klasma.github.io/Logging_2283/tillsynsmail/A 49251-2025 tillsynsbegäran mail.docx", "A 49251-2025")</f>
        <v/>
      </c>
    </row>
    <row r="374" ht="15" customHeight="1">
      <c r="A374" t="inlineStr">
        <is>
          <t>A 30948-2025</t>
        </is>
      </c>
      <c r="B374" s="1" t="n">
        <v>45832.42745370371</v>
      </c>
      <c r="C374" s="1" t="n">
        <v>45998</v>
      </c>
      <c r="D374" t="inlineStr">
        <is>
          <t>VÄSTERNORRLANDS LÄN</t>
        </is>
      </c>
      <c r="E374" t="inlineStr">
        <is>
          <t>SOLLEFTEÅ</t>
        </is>
      </c>
      <c r="F374" t="inlineStr">
        <is>
          <t>SCA</t>
        </is>
      </c>
      <c r="G374" t="n">
        <v>1.7</v>
      </c>
      <c r="H374" t="n">
        <v>1</v>
      </c>
      <c r="I374" t="n">
        <v>0</v>
      </c>
      <c r="J374" t="n">
        <v>0</v>
      </c>
      <c r="K374" t="n">
        <v>1</v>
      </c>
      <c r="L374" t="n">
        <v>0</v>
      </c>
      <c r="M374" t="n">
        <v>0</v>
      </c>
      <c r="N374" t="n">
        <v>0</v>
      </c>
      <c r="O374" t="n">
        <v>1</v>
      </c>
      <c r="P374" t="n">
        <v>1</v>
      </c>
      <c r="Q374" t="n">
        <v>1</v>
      </c>
      <c r="R374" s="2" t="inlineStr">
        <is>
          <t>Knärot</t>
        </is>
      </c>
      <c r="S374">
        <f>HYPERLINK("https://klasma.github.io/Logging_2283/artfynd/A 30948-2025 artfynd.xlsx", "A 30948-2025")</f>
        <v/>
      </c>
      <c r="T374">
        <f>HYPERLINK("https://klasma.github.io/Logging_2283/kartor/A 30948-2025 karta.png", "A 30948-2025")</f>
        <v/>
      </c>
      <c r="U374">
        <f>HYPERLINK("https://klasma.github.io/Logging_2283/knärot/A 30948-2025 karta knärot.png", "A 30948-2025")</f>
        <v/>
      </c>
      <c r="V374">
        <f>HYPERLINK("https://klasma.github.io/Logging_2283/klagomål/A 30948-2025 FSC-klagomål.docx", "A 30948-2025")</f>
        <v/>
      </c>
      <c r="W374">
        <f>HYPERLINK("https://klasma.github.io/Logging_2283/klagomålsmail/A 30948-2025 FSC-klagomål mail.docx", "A 30948-2025")</f>
        <v/>
      </c>
      <c r="X374">
        <f>HYPERLINK("https://klasma.github.io/Logging_2283/tillsyn/A 30948-2025 tillsynsbegäran.docx", "A 30948-2025")</f>
        <v/>
      </c>
      <c r="Y374">
        <f>HYPERLINK("https://klasma.github.io/Logging_2283/tillsynsmail/A 30948-2025 tillsynsbegäran mail.docx", "A 30948-2025")</f>
        <v/>
      </c>
    </row>
    <row r="375" ht="15" customHeight="1">
      <c r="A375" t="inlineStr">
        <is>
          <t>A 51786-2025</t>
        </is>
      </c>
      <c r="B375" s="1" t="n">
        <v>45951.67787037037</v>
      </c>
      <c r="C375" s="1" t="n">
        <v>45998</v>
      </c>
      <c r="D375" t="inlineStr">
        <is>
          <t>VÄSTERNORRLANDS LÄN</t>
        </is>
      </c>
      <c r="E375" t="inlineStr">
        <is>
          <t>SOLLEFTEÅ</t>
        </is>
      </c>
      <c r="F375" t="inlineStr">
        <is>
          <t>SCA</t>
        </is>
      </c>
      <c r="G375" t="n">
        <v>19.8</v>
      </c>
      <c r="H375" t="n">
        <v>0</v>
      </c>
      <c r="I375" t="n">
        <v>0</v>
      </c>
      <c r="J375" t="n">
        <v>1</v>
      </c>
      <c r="K375" t="n">
        <v>0</v>
      </c>
      <c r="L375" t="n">
        <v>0</v>
      </c>
      <c r="M375" t="n">
        <v>0</v>
      </c>
      <c r="N375" t="n">
        <v>0</v>
      </c>
      <c r="O375" t="n">
        <v>1</v>
      </c>
      <c r="P375" t="n">
        <v>0</v>
      </c>
      <c r="Q375" t="n">
        <v>1</v>
      </c>
      <c r="R375" s="2" t="inlineStr">
        <is>
          <t>Motaggsvamp</t>
        </is>
      </c>
      <c r="S375">
        <f>HYPERLINK("https://klasma.github.io/Logging_2283/artfynd/A 51786-2025 artfynd.xlsx", "A 51786-2025")</f>
        <v/>
      </c>
      <c r="T375">
        <f>HYPERLINK("https://klasma.github.io/Logging_2283/kartor/A 51786-2025 karta.png", "A 51786-2025")</f>
        <v/>
      </c>
      <c r="V375">
        <f>HYPERLINK("https://klasma.github.io/Logging_2283/klagomål/A 51786-2025 FSC-klagomål.docx", "A 51786-2025")</f>
        <v/>
      </c>
      <c r="W375">
        <f>HYPERLINK("https://klasma.github.io/Logging_2283/klagomålsmail/A 51786-2025 FSC-klagomål mail.docx", "A 51786-2025")</f>
        <v/>
      </c>
      <c r="X375">
        <f>HYPERLINK("https://klasma.github.io/Logging_2283/tillsyn/A 51786-2025 tillsynsbegäran.docx", "A 51786-2025")</f>
        <v/>
      </c>
      <c r="Y375">
        <f>HYPERLINK("https://klasma.github.io/Logging_2283/tillsynsmail/A 51786-2025 tillsynsbegäran mail.docx", "A 51786-2025")</f>
        <v/>
      </c>
    </row>
    <row r="376" ht="15" customHeight="1">
      <c r="A376" t="inlineStr">
        <is>
          <t>A 52218-2025</t>
        </is>
      </c>
      <c r="B376" s="1" t="n">
        <v>45953.43634259259</v>
      </c>
      <c r="C376" s="1" t="n">
        <v>45998</v>
      </c>
      <c r="D376" t="inlineStr">
        <is>
          <t>VÄSTERNORRLANDS LÄN</t>
        </is>
      </c>
      <c r="E376" t="inlineStr">
        <is>
          <t>SOLLEFTEÅ</t>
        </is>
      </c>
      <c r="G376" t="n">
        <v>6.7</v>
      </c>
      <c r="H376" t="n">
        <v>1</v>
      </c>
      <c r="I376" t="n">
        <v>0</v>
      </c>
      <c r="J376" t="n">
        <v>0</v>
      </c>
      <c r="K376" t="n">
        <v>0</v>
      </c>
      <c r="L376" t="n">
        <v>0</v>
      </c>
      <c r="M376" t="n">
        <v>0</v>
      </c>
      <c r="N376" t="n">
        <v>0</v>
      </c>
      <c r="O376" t="n">
        <v>0</v>
      </c>
      <c r="P376" t="n">
        <v>0</v>
      </c>
      <c r="Q376" t="n">
        <v>1</v>
      </c>
      <c r="R376" s="2" t="inlineStr">
        <is>
          <t>Revlummer</t>
        </is>
      </c>
      <c r="S376">
        <f>HYPERLINK("https://klasma.github.io/Logging_2283/artfynd/A 52218-2025 artfynd.xlsx", "A 52218-2025")</f>
        <v/>
      </c>
      <c r="T376">
        <f>HYPERLINK("https://klasma.github.io/Logging_2283/kartor/A 52218-2025 karta.png", "A 52218-2025")</f>
        <v/>
      </c>
      <c r="V376">
        <f>HYPERLINK("https://klasma.github.io/Logging_2283/klagomål/A 52218-2025 FSC-klagomål.docx", "A 52218-2025")</f>
        <v/>
      </c>
      <c r="W376">
        <f>HYPERLINK("https://klasma.github.io/Logging_2283/klagomålsmail/A 52218-2025 FSC-klagomål mail.docx", "A 52218-2025")</f>
        <v/>
      </c>
      <c r="X376">
        <f>HYPERLINK("https://klasma.github.io/Logging_2283/tillsyn/A 52218-2025 tillsynsbegäran.docx", "A 52218-2025")</f>
        <v/>
      </c>
      <c r="Y376">
        <f>HYPERLINK("https://klasma.github.io/Logging_2283/tillsynsmail/A 52218-2025 tillsynsbegäran mail.docx", "A 52218-2025")</f>
        <v/>
      </c>
    </row>
    <row r="377" ht="15" customHeight="1">
      <c r="A377" t="inlineStr">
        <is>
          <t>A 60378-2025</t>
        </is>
      </c>
      <c r="B377" s="1" t="n">
        <v>45995.36511574074</v>
      </c>
      <c r="C377" s="1" t="n">
        <v>45998</v>
      </c>
      <c r="D377" t="inlineStr">
        <is>
          <t>VÄSTERNORRLANDS LÄN</t>
        </is>
      </c>
      <c r="E377" t="inlineStr">
        <is>
          <t>SOLLEFTEÅ</t>
        </is>
      </c>
      <c r="G377" t="n">
        <v>8.199999999999999</v>
      </c>
      <c r="H377" t="n">
        <v>0</v>
      </c>
      <c r="I377" t="n">
        <v>0</v>
      </c>
      <c r="J377" t="n">
        <v>1</v>
      </c>
      <c r="K377" t="n">
        <v>0</v>
      </c>
      <c r="L377" t="n">
        <v>0</v>
      </c>
      <c r="M377" t="n">
        <v>0</v>
      </c>
      <c r="N377" t="n">
        <v>0</v>
      </c>
      <c r="O377" t="n">
        <v>1</v>
      </c>
      <c r="P377" t="n">
        <v>0</v>
      </c>
      <c r="Q377" t="n">
        <v>1</v>
      </c>
      <c r="R377" s="2" t="inlineStr">
        <is>
          <t>Lunglav</t>
        </is>
      </c>
      <c r="S377">
        <f>HYPERLINK("https://klasma.github.io/Logging_2283/artfynd/A 60378-2025 artfynd.xlsx", "A 60378-2025")</f>
        <v/>
      </c>
      <c r="T377">
        <f>HYPERLINK("https://klasma.github.io/Logging_2283/kartor/A 60378-2025 karta.png", "A 60378-2025")</f>
        <v/>
      </c>
      <c r="U377">
        <f>HYPERLINK("https://klasma.github.io/Logging_2283/knärot/A 60378-2025 karta knärot.png", "A 60378-2025")</f>
        <v/>
      </c>
      <c r="V377">
        <f>HYPERLINK("https://klasma.github.io/Logging_2283/klagomål/A 60378-2025 FSC-klagomål.docx", "A 60378-2025")</f>
        <v/>
      </c>
      <c r="W377">
        <f>HYPERLINK("https://klasma.github.io/Logging_2283/klagomålsmail/A 60378-2025 FSC-klagomål mail.docx", "A 60378-2025")</f>
        <v/>
      </c>
      <c r="X377">
        <f>HYPERLINK("https://klasma.github.io/Logging_2283/tillsyn/A 60378-2025 tillsynsbegäran.docx", "A 60378-2025")</f>
        <v/>
      </c>
      <c r="Y377">
        <f>HYPERLINK("https://klasma.github.io/Logging_2283/tillsynsmail/A 60378-2025 tillsynsbegäran mail.docx", "A 60378-2025")</f>
        <v/>
      </c>
    </row>
    <row r="378" ht="15" customHeight="1">
      <c r="A378" t="inlineStr">
        <is>
          <t>A 32101-2025</t>
        </is>
      </c>
      <c r="B378" s="1" t="n">
        <v>45835.46914351852</v>
      </c>
      <c r="C378" s="1" t="n">
        <v>45998</v>
      </c>
      <c r="D378" t="inlineStr">
        <is>
          <t>VÄSTERNORRLANDS LÄN</t>
        </is>
      </c>
      <c r="E378" t="inlineStr">
        <is>
          <t>SOLLEFTEÅ</t>
        </is>
      </c>
      <c r="F378" t="inlineStr">
        <is>
          <t>SCA</t>
        </is>
      </c>
      <c r="G378" t="n">
        <v>2.2</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32101-2025 artfynd.xlsx", "A 32101-2025")</f>
        <v/>
      </c>
      <c r="T378">
        <f>HYPERLINK("https://klasma.github.io/Logging_2283/kartor/A 32101-2025 karta.png", "A 32101-2025")</f>
        <v/>
      </c>
      <c r="V378">
        <f>HYPERLINK("https://klasma.github.io/Logging_2283/klagomål/A 32101-2025 FSC-klagomål.docx", "A 32101-2025")</f>
        <v/>
      </c>
      <c r="W378">
        <f>HYPERLINK("https://klasma.github.io/Logging_2283/klagomålsmail/A 32101-2025 FSC-klagomål mail.docx", "A 32101-2025")</f>
        <v/>
      </c>
      <c r="X378">
        <f>HYPERLINK("https://klasma.github.io/Logging_2283/tillsyn/A 32101-2025 tillsynsbegäran.docx", "A 32101-2025")</f>
        <v/>
      </c>
      <c r="Y378">
        <f>HYPERLINK("https://klasma.github.io/Logging_2283/tillsynsmail/A 32101-2025 tillsynsbegäran mail.docx", "A 32101-2025")</f>
        <v/>
      </c>
      <c r="Z378">
        <f>HYPERLINK("https://klasma.github.io/Logging_2283/fåglar/A 32101-2025 prioriterade fågelarter.docx", "A 32101-2025")</f>
        <v/>
      </c>
    </row>
    <row r="379" ht="15" customHeight="1">
      <c r="A379" t="inlineStr">
        <is>
          <t>A 33853-2025</t>
        </is>
      </c>
      <c r="B379" s="1" t="n">
        <v>45842.51097222222</v>
      </c>
      <c r="C379" s="1" t="n">
        <v>45998</v>
      </c>
      <c r="D379" t="inlineStr">
        <is>
          <t>VÄSTERNORRLANDS LÄN</t>
        </is>
      </c>
      <c r="E379" t="inlineStr">
        <is>
          <t>SOLLEFTEÅ</t>
        </is>
      </c>
      <c r="F379" t="inlineStr">
        <is>
          <t>SCA</t>
        </is>
      </c>
      <c r="G379" t="n">
        <v>6.5</v>
      </c>
      <c r="H379" t="n">
        <v>1</v>
      </c>
      <c r="I379" t="n">
        <v>0</v>
      </c>
      <c r="J379" t="n">
        <v>0</v>
      </c>
      <c r="K379" t="n">
        <v>0</v>
      </c>
      <c r="L379" t="n">
        <v>0</v>
      </c>
      <c r="M379" t="n">
        <v>0</v>
      </c>
      <c r="N379" t="n">
        <v>0</v>
      </c>
      <c r="O379" t="n">
        <v>0</v>
      </c>
      <c r="P379" t="n">
        <v>0</v>
      </c>
      <c r="Q379" t="n">
        <v>1</v>
      </c>
      <c r="R379" s="2" t="inlineStr">
        <is>
          <t>Tjäder</t>
        </is>
      </c>
      <c r="S379">
        <f>HYPERLINK("https://klasma.github.io/Logging_2283/artfynd/A 33853-2025 artfynd.xlsx", "A 33853-2025")</f>
        <v/>
      </c>
      <c r="T379">
        <f>HYPERLINK("https://klasma.github.io/Logging_2283/kartor/A 33853-2025 karta.png", "A 33853-2025")</f>
        <v/>
      </c>
      <c r="V379">
        <f>HYPERLINK("https://klasma.github.io/Logging_2283/klagomål/A 33853-2025 FSC-klagomål.docx", "A 33853-2025")</f>
        <v/>
      </c>
      <c r="W379">
        <f>HYPERLINK("https://klasma.github.io/Logging_2283/klagomålsmail/A 33853-2025 FSC-klagomål mail.docx", "A 33853-2025")</f>
        <v/>
      </c>
      <c r="X379">
        <f>HYPERLINK("https://klasma.github.io/Logging_2283/tillsyn/A 33853-2025 tillsynsbegäran.docx", "A 33853-2025")</f>
        <v/>
      </c>
      <c r="Y379">
        <f>HYPERLINK("https://klasma.github.io/Logging_2283/tillsynsmail/A 33853-2025 tillsynsbegäran mail.docx", "A 33853-2025")</f>
        <v/>
      </c>
      <c r="Z379">
        <f>HYPERLINK("https://klasma.github.io/Logging_2283/fåglar/A 33853-2025 prioriterade fågelarter.docx", "A 33853-2025")</f>
        <v/>
      </c>
    </row>
    <row r="380" ht="15" customHeight="1">
      <c r="A380" t="inlineStr">
        <is>
          <t>A 48948-2024</t>
        </is>
      </c>
      <c r="B380" s="1" t="n">
        <v>45594.42767361111</v>
      </c>
      <c r="C380" s="1" t="n">
        <v>45998</v>
      </c>
      <c r="D380" t="inlineStr">
        <is>
          <t>VÄSTERNORRLANDS LÄN</t>
        </is>
      </c>
      <c r="E380" t="inlineStr">
        <is>
          <t>SOLLEFTEÅ</t>
        </is>
      </c>
      <c r="F380" t="inlineStr">
        <is>
          <t>SCA</t>
        </is>
      </c>
      <c r="G380" t="n">
        <v>15</v>
      </c>
      <c r="H380" t="n">
        <v>1</v>
      </c>
      <c r="I380" t="n">
        <v>0</v>
      </c>
      <c r="J380" t="n">
        <v>0</v>
      </c>
      <c r="K380" t="n">
        <v>0</v>
      </c>
      <c r="L380" t="n">
        <v>0</v>
      </c>
      <c r="M380" t="n">
        <v>0</v>
      </c>
      <c r="N380" t="n">
        <v>0</v>
      </c>
      <c r="O380" t="n">
        <v>0</v>
      </c>
      <c r="P380" t="n">
        <v>0</v>
      </c>
      <c r="Q380" t="n">
        <v>1</v>
      </c>
      <c r="R380" s="2" t="inlineStr">
        <is>
          <t>Mattlummer</t>
        </is>
      </c>
      <c r="S380">
        <f>HYPERLINK("https://klasma.github.io/Logging_2283/artfynd/A 48948-2024 artfynd.xlsx", "A 48948-2024")</f>
        <v/>
      </c>
      <c r="T380">
        <f>HYPERLINK("https://klasma.github.io/Logging_2283/kartor/A 48948-2024 karta.png", "A 48948-2024")</f>
        <v/>
      </c>
      <c r="V380">
        <f>HYPERLINK("https://klasma.github.io/Logging_2283/klagomål/A 48948-2024 FSC-klagomål.docx", "A 48948-2024")</f>
        <v/>
      </c>
      <c r="W380">
        <f>HYPERLINK("https://klasma.github.io/Logging_2283/klagomålsmail/A 48948-2024 FSC-klagomål mail.docx", "A 48948-2024")</f>
        <v/>
      </c>
      <c r="X380">
        <f>HYPERLINK("https://klasma.github.io/Logging_2283/tillsyn/A 48948-2024 tillsynsbegäran.docx", "A 48948-2024")</f>
        <v/>
      </c>
      <c r="Y380">
        <f>HYPERLINK("https://klasma.github.io/Logging_2283/tillsynsmail/A 48948-2024 tillsynsbegäran mail.docx", "A 48948-2024")</f>
        <v/>
      </c>
    </row>
    <row r="381" ht="15" customHeight="1">
      <c r="A381" t="inlineStr">
        <is>
          <t>A 34865-2025</t>
        </is>
      </c>
      <c r="B381" s="1" t="n">
        <v>45849.4421412037</v>
      </c>
      <c r="C381" s="1" t="n">
        <v>45998</v>
      </c>
      <c r="D381" t="inlineStr">
        <is>
          <t>VÄSTERNORRLANDS LÄN</t>
        </is>
      </c>
      <c r="E381" t="inlineStr">
        <is>
          <t>SOLLEFTEÅ</t>
        </is>
      </c>
      <c r="G381" t="n">
        <v>3.3</v>
      </c>
      <c r="H381" t="n">
        <v>1</v>
      </c>
      <c r="I381" t="n">
        <v>0</v>
      </c>
      <c r="J381" t="n">
        <v>1</v>
      </c>
      <c r="K381" t="n">
        <v>0</v>
      </c>
      <c r="L381" t="n">
        <v>0</v>
      </c>
      <c r="M381" t="n">
        <v>0</v>
      </c>
      <c r="N381" t="n">
        <v>0</v>
      </c>
      <c r="O381" t="n">
        <v>1</v>
      </c>
      <c r="P381" t="n">
        <v>0</v>
      </c>
      <c r="Q381" t="n">
        <v>1</v>
      </c>
      <c r="R381" s="2" t="inlineStr">
        <is>
          <t>Spillkråka</t>
        </is>
      </c>
      <c r="S381">
        <f>HYPERLINK("https://klasma.github.io/Logging_2283/artfynd/A 34865-2025 artfynd.xlsx", "A 34865-2025")</f>
        <v/>
      </c>
      <c r="T381">
        <f>HYPERLINK("https://klasma.github.io/Logging_2283/kartor/A 34865-2025 karta.png", "A 34865-2025")</f>
        <v/>
      </c>
      <c r="V381">
        <f>HYPERLINK("https://klasma.github.io/Logging_2283/klagomål/A 34865-2025 FSC-klagomål.docx", "A 34865-2025")</f>
        <v/>
      </c>
      <c r="W381">
        <f>HYPERLINK("https://klasma.github.io/Logging_2283/klagomålsmail/A 34865-2025 FSC-klagomål mail.docx", "A 34865-2025")</f>
        <v/>
      </c>
      <c r="X381">
        <f>HYPERLINK("https://klasma.github.io/Logging_2283/tillsyn/A 34865-2025 tillsynsbegäran.docx", "A 34865-2025")</f>
        <v/>
      </c>
      <c r="Y381">
        <f>HYPERLINK("https://klasma.github.io/Logging_2283/tillsynsmail/A 34865-2025 tillsynsbegäran mail.docx", "A 34865-2025")</f>
        <v/>
      </c>
      <c r="Z381">
        <f>HYPERLINK("https://klasma.github.io/Logging_2283/fåglar/A 34865-2025 prioriterade fågelarter.docx", "A 34865-2025")</f>
        <v/>
      </c>
    </row>
    <row r="382" ht="15" customHeight="1">
      <c r="A382" t="inlineStr">
        <is>
          <t>A 35217-2025</t>
        </is>
      </c>
      <c r="B382" s="1" t="n">
        <v>45853.49020833334</v>
      </c>
      <c r="C382" s="1" t="n">
        <v>45998</v>
      </c>
      <c r="D382" t="inlineStr">
        <is>
          <t>VÄSTERNORRLANDS LÄN</t>
        </is>
      </c>
      <c r="E382" t="inlineStr">
        <is>
          <t>SOLLEFTEÅ</t>
        </is>
      </c>
      <c r="F382" t="inlineStr">
        <is>
          <t>SCA</t>
        </is>
      </c>
      <c r="G382" t="n">
        <v>2.1</v>
      </c>
      <c r="H382" t="n">
        <v>1</v>
      </c>
      <c r="I382" t="n">
        <v>0</v>
      </c>
      <c r="J382" t="n">
        <v>0</v>
      </c>
      <c r="K382" t="n">
        <v>0</v>
      </c>
      <c r="L382" t="n">
        <v>0</v>
      </c>
      <c r="M382" t="n">
        <v>0</v>
      </c>
      <c r="N382" t="n">
        <v>0</v>
      </c>
      <c r="O382" t="n">
        <v>0</v>
      </c>
      <c r="P382" t="n">
        <v>0</v>
      </c>
      <c r="Q382" t="n">
        <v>1</v>
      </c>
      <c r="R382" s="2" t="inlineStr">
        <is>
          <t>Mattlummer</t>
        </is>
      </c>
      <c r="S382">
        <f>HYPERLINK("https://klasma.github.io/Logging_2283/artfynd/A 35217-2025 artfynd.xlsx", "A 35217-2025")</f>
        <v/>
      </c>
      <c r="T382">
        <f>HYPERLINK("https://klasma.github.io/Logging_2283/kartor/A 35217-2025 karta.png", "A 35217-2025")</f>
        <v/>
      </c>
      <c r="V382">
        <f>HYPERLINK("https://klasma.github.io/Logging_2283/klagomål/A 35217-2025 FSC-klagomål.docx", "A 35217-2025")</f>
        <v/>
      </c>
      <c r="W382">
        <f>HYPERLINK("https://klasma.github.io/Logging_2283/klagomålsmail/A 35217-2025 FSC-klagomål mail.docx", "A 35217-2025")</f>
        <v/>
      </c>
      <c r="X382">
        <f>HYPERLINK("https://klasma.github.io/Logging_2283/tillsyn/A 35217-2025 tillsynsbegäran.docx", "A 35217-2025")</f>
        <v/>
      </c>
      <c r="Y382">
        <f>HYPERLINK("https://klasma.github.io/Logging_2283/tillsynsmail/A 35217-2025 tillsynsbegäran mail.docx", "A 35217-2025")</f>
        <v/>
      </c>
    </row>
    <row r="383" ht="15" customHeight="1">
      <c r="A383" t="inlineStr">
        <is>
          <t>A 14805-2024</t>
        </is>
      </c>
      <c r="B383" s="1" t="n">
        <v>45397</v>
      </c>
      <c r="C383" s="1" t="n">
        <v>45998</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Dvärgbägarlav</t>
        </is>
      </c>
      <c r="S383">
        <f>HYPERLINK("https://klasma.github.io/Logging_2283/artfynd/A 14805-2024 artfynd.xlsx", "A 14805-2024")</f>
        <v/>
      </c>
      <c r="T383">
        <f>HYPERLINK("https://klasma.github.io/Logging_2283/kartor/A 14805-2024 karta.png", "A 14805-2024")</f>
        <v/>
      </c>
      <c r="V383">
        <f>HYPERLINK("https://klasma.github.io/Logging_2283/klagomål/A 14805-2024 FSC-klagomål.docx", "A 14805-2024")</f>
        <v/>
      </c>
      <c r="W383">
        <f>HYPERLINK("https://klasma.github.io/Logging_2283/klagomålsmail/A 14805-2024 FSC-klagomål mail.docx", "A 14805-2024")</f>
        <v/>
      </c>
      <c r="X383">
        <f>HYPERLINK("https://klasma.github.io/Logging_2283/tillsyn/A 14805-2024 tillsynsbegäran.docx", "A 14805-2024")</f>
        <v/>
      </c>
      <c r="Y383">
        <f>HYPERLINK("https://klasma.github.io/Logging_2283/tillsynsmail/A 14805-2024 tillsynsbegäran mail.docx", "A 14805-2024")</f>
        <v/>
      </c>
    </row>
    <row r="384" ht="15" customHeight="1">
      <c r="A384" t="inlineStr">
        <is>
          <t>A 21360-2021</t>
        </is>
      </c>
      <c r="B384" s="1" t="n">
        <v>44320</v>
      </c>
      <c r="C384" s="1" t="n">
        <v>45998</v>
      </c>
      <c r="D384" t="inlineStr">
        <is>
          <t>VÄSTERNORRLANDS LÄN</t>
        </is>
      </c>
      <c r="E384" t="inlineStr">
        <is>
          <t>SOLLEFTEÅ</t>
        </is>
      </c>
      <c r="G384" t="n">
        <v>6.8</v>
      </c>
      <c r="H384" t="n">
        <v>1</v>
      </c>
      <c r="I384" t="n">
        <v>0</v>
      </c>
      <c r="J384" t="n">
        <v>0</v>
      </c>
      <c r="K384" t="n">
        <v>1</v>
      </c>
      <c r="L384" t="n">
        <v>0</v>
      </c>
      <c r="M384" t="n">
        <v>0</v>
      </c>
      <c r="N384" t="n">
        <v>0</v>
      </c>
      <c r="O384" t="n">
        <v>1</v>
      </c>
      <c r="P384" t="n">
        <v>1</v>
      </c>
      <c r="Q384" t="n">
        <v>1</v>
      </c>
      <c r="R384" s="2" t="inlineStr">
        <is>
          <t>Knärot</t>
        </is>
      </c>
      <c r="S384">
        <f>HYPERLINK("https://klasma.github.io/Logging_2283/artfynd/A 21360-2021 artfynd.xlsx", "A 21360-2021")</f>
        <v/>
      </c>
      <c r="T384">
        <f>HYPERLINK("https://klasma.github.io/Logging_2283/kartor/A 21360-2021 karta.png", "A 21360-2021")</f>
        <v/>
      </c>
      <c r="U384">
        <f>HYPERLINK("https://klasma.github.io/Logging_2283/knärot/A 21360-2021 karta knärot.png", "A 21360-2021")</f>
        <v/>
      </c>
      <c r="V384">
        <f>HYPERLINK("https://klasma.github.io/Logging_2283/klagomål/A 21360-2021 FSC-klagomål.docx", "A 21360-2021")</f>
        <v/>
      </c>
      <c r="W384">
        <f>HYPERLINK("https://klasma.github.io/Logging_2283/klagomålsmail/A 21360-2021 FSC-klagomål mail.docx", "A 21360-2021")</f>
        <v/>
      </c>
      <c r="X384">
        <f>HYPERLINK("https://klasma.github.io/Logging_2283/tillsyn/A 21360-2021 tillsynsbegäran.docx", "A 21360-2021")</f>
        <v/>
      </c>
      <c r="Y384">
        <f>HYPERLINK("https://klasma.github.io/Logging_2283/tillsynsmail/A 21360-2021 tillsynsbegäran mail.docx", "A 21360-2021")</f>
        <v/>
      </c>
    </row>
    <row r="385" ht="15" customHeight="1">
      <c r="A385" t="inlineStr">
        <is>
          <t>A 22862-2021</t>
        </is>
      </c>
      <c r="B385" s="1" t="n">
        <v>44326</v>
      </c>
      <c r="C385" s="1" t="n">
        <v>45998</v>
      </c>
      <c r="D385" t="inlineStr">
        <is>
          <t>VÄSTERNORRLANDS LÄN</t>
        </is>
      </c>
      <c r="E385" t="inlineStr">
        <is>
          <t>SOLLEFTEÅ</t>
        </is>
      </c>
      <c r="F385" t="inlineStr">
        <is>
          <t>Kommuner</t>
        </is>
      </c>
      <c r="G385" t="n">
        <v>2</v>
      </c>
      <c r="H385" t="n">
        <v>1</v>
      </c>
      <c r="I385" t="n">
        <v>0</v>
      </c>
      <c r="J385" t="n">
        <v>0</v>
      </c>
      <c r="K385" t="n">
        <v>1</v>
      </c>
      <c r="L385" t="n">
        <v>0</v>
      </c>
      <c r="M385" t="n">
        <v>0</v>
      </c>
      <c r="N385" t="n">
        <v>0</v>
      </c>
      <c r="O385" t="n">
        <v>1</v>
      </c>
      <c r="P385" t="n">
        <v>1</v>
      </c>
      <c r="Q385" t="n">
        <v>1</v>
      </c>
      <c r="R385" s="2" t="inlineStr">
        <is>
          <t>Lappuggla</t>
        </is>
      </c>
      <c r="S385">
        <f>HYPERLINK("https://klasma.github.io/Logging_2283/artfynd/A 22862-2021 artfynd.xlsx", "A 22862-2021")</f>
        <v/>
      </c>
      <c r="T385">
        <f>HYPERLINK("https://klasma.github.io/Logging_2283/kartor/A 22862-2021 karta.png", "A 22862-2021")</f>
        <v/>
      </c>
      <c r="V385">
        <f>HYPERLINK("https://klasma.github.io/Logging_2283/klagomål/A 22862-2021 FSC-klagomål.docx", "A 22862-2021")</f>
        <v/>
      </c>
      <c r="W385">
        <f>HYPERLINK("https://klasma.github.io/Logging_2283/klagomålsmail/A 22862-2021 FSC-klagomål mail.docx", "A 22862-2021")</f>
        <v/>
      </c>
      <c r="X385">
        <f>HYPERLINK("https://klasma.github.io/Logging_2283/tillsyn/A 22862-2021 tillsynsbegäran.docx", "A 22862-2021")</f>
        <v/>
      </c>
      <c r="Y385">
        <f>HYPERLINK("https://klasma.github.io/Logging_2283/tillsynsmail/A 22862-2021 tillsynsbegäran mail.docx", "A 22862-2021")</f>
        <v/>
      </c>
      <c r="Z385">
        <f>HYPERLINK("https://klasma.github.io/Logging_2283/fåglar/A 22862-2021 prioriterade fågelarter.docx", "A 22862-2021")</f>
        <v/>
      </c>
    </row>
    <row r="386" ht="15" customHeight="1">
      <c r="A386" t="inlineStr">
        <is>
          <t>A 5790-2025</t>
        </is>
      </c>
      <c r="B386" s="1" t="n">
        <v>45694.65657407408</v>
      </c>
      <c r="C386" s="1" t="n">
        <v>45998</v>
      </c>
      <c r="D386" t="inlineStr">
        <is>
          <t>VÄSTERNORRLANDS LÄN</t>
        </is>
      </c>
      <c r="E386" t="inlineStr">
        <is>
          <t>SOLLEFTEÅ</t>
        </is>
      </c>
      <c r="F386" t="inlineStr">
        <is>
          <t>SCA</t>
        </is>
      </c>
      <c r="G386" t="n">
        <v>32.7</v>
      </c>
      <c r="H386" t="n">
        <v>0</v>
      </c>
      <c r="I386" t="n">
        <v>0</v>
      </c>
      <c r="J386" t="n">
        <v>1</v>
      </c>
      <c r="K386" t="n">
        <v>0</v>
      </c>
      <c r="L386" t="n">
        <v>0</v>
      </c>
      <c r="M386" t="n">
        <v>0</v>
      </c>
      <c r="N386" t="n">
        <v>0</v>
      </c>
      <c r="O386" t="n">
        <v>1</v>
      </c>
      <c r="P386" t="n">
        <v>0</v>
      </c>
      <c r="Q386" t="n">
        <v>1</v>
      </c>
      <c r="R386" s="2" t="inlineStr">
        <is>
          <t>Lunglav</t>
        </is>
      </c>
      <c r="S386">
        <f>HYPERLINK("https://klasma.github.io/Logging_2283/artfynd/A 5790-2025 artfynd.xlsx", "A 5790-2025")</f>
        <v/>
      </c>
      <c r="T386">
        <f>HYPERLINK("https://klasma.github.io/Logging_2283/kartor/A 5790-2025 karta.png", "A 5790-2025")</f>
        <v/>
      </c>
      <c r="V386">
        <f>HYPERLINK("https://klasma.github.io/Logging_2283/klagomål/A 5790-2025 FSC-klagomål.docx", "A 5790-2025")</f>
        <v/>
      </c>
      <c r="W386">
        <f>HYPERLINK("https://klasma.github.io/Logging_2283/klagomålsmail/A 5790-2025 FSC-klagomål mail.docx", "A 5790-2025")</f>
        <v/>
      </c>
      <c r="X386">
        <f>HYPERLINK("https://klasma.github.io/Logging_2283/tillsyn/A 5790-2025 tillsynsbegäran.docx", "A 5790-2025")</f>
        <v/>
      </c>
      <c r="Y386">
        <f>HYPERLINK("https://klasma.github.io/Logging_2283/tillsynsmail/A 5790-2025 tillsynsbegäran mail.docx", "A 5790-2025")</f>
        <v/>
      </c>
    </row>
    <row r="387" ht="15" customHeight="1">
      <c r="A387" t="inlineStr">
        <is>
          <t>A 7658-2021</t>
        </is>
      </c>
      <c r="B387" s="1" t="n">
        <v>44242.42165509259</v>
      </c>
      <c r="C387" s="1" t="n">
        <v>45998</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45998</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45998</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45998</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45998</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45998</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45998</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45998</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45998</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45998</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45998</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45998</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45998</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45998</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45998</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45998</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45998</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45998</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45998</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45998</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45998</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45998</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45998</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45998</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45998</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45998</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45998</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45998</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45998</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45998</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45998</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45998</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45998</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45998</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45998</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45998</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45998</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45998</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45998</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45998</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45998</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45998</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49175-2022</t>
        </is>
      </c>
      <c r="B429" s="1" t="n">
        <v>44860.92922453704</v>
      </c>
      <c r="C429" s="1" t="n">
        <v>45998</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45998</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45998</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45998</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45998</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45998</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45998</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45998</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45998</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45998</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45998</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45998</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45998</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45998</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64947-2021</t>
        </is>
      </c>
      <c r="B443" s="1" t="n">
        <v>44512.94497685185</v>
      </c>
      <c r="C443" s="1" t="n">
        <v>45998</v>
      </c>
      <c r="D443" t="inlineStr">
        <is>
          <t>VÄSTERNORRLANDS LÄN</t>
        </is>
      </c>
      <c r="E443" t="inlineStr">
        <is>
          <t>SOLLEFTEÅ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45998</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45998</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45998</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45998</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45998</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45998</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45998</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45998</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45998</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45998</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45998</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45998</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45998</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45998</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45998</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18197-2022</t>
        </is>
      </c>
      <c r="B459" s="1" t="n">
        <v>44684</v>
      </c>
      <c r="C459" s="1" t="n">
        <v>45998</v>
      </c>
      <c r="D459" t="inlineStr">
        <is>
          <t>VÄSTERNORRLANDS LÄN</t>
        </is>
      </c>
      <c r="E459" t="inlineStr">
        <is>
          <t>SOLLEFTEÅ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68033-2020</t>
        </is>
      </c>
      <c r="B460" s="1" t="n">
        <v>44182</v>
      </c>
      <c r="C460" s="1" t="n">
        <v>45998</v>
      </c>
      <c r="D460" t="inlineStr">
        <is>
          <t>VÄSTERNORRLANDS LÄN</t>
        </is>
      </c>
      <c r="E460" t="inlineStr">
        <is>
          <t>SOLLEFTEÅ</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45998</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57911-2021</t>
        </is>
      </c>
      <c r="B462" s="1" t="n">
        <v>44486.90736111111</v>
      </c>
      <c r="C462" s="1" t="n">
        <v>45998</v>
      </c>
      <c r="D462" t="inlineStr">
        <is>
          <t>VÄSTERNORRLANDS LÄN</t>
        </is>
      </c>
      <c r="E462" t="inlineStr">
        <is>
          <t>SOLLEFTEÅ</t>
        </is>
      </c>
      <c r="G462" t="n">
        <v>3.1</v>
      </c>
      <c r="H462" t="n">
        <v>0</v>
      </c>
      <c r="I462" t="n">
        <v>0</v>
      </c>
      <c r="J462" t="n">
        <v>0</v>
      </c>
      <c r="K462" t="n">
        <v>0</v>
      </c>
      <c r="L462" t="n">
        <v>0</v>
      </c>
      <c r="M462" t="n">
        <v>0</v>
      </c>
      <c r="N462" t="n">
        <v>0</v>
      </c>
      <c r="O462" t="n">
        <v>0</v>
      </c>
      <c r="P462" t="n">
        <v>0</v>
      </c>
      <c r="Q462" t="n">
        <v>0</v>
      </c>
      <c r="R462" s="2" t="inlineStr"/>
    </row>
    <row r="463" ht="15" customHeight="1">
      <c r="A463" t="inlineStr">
        <is>
          <t>A 30237-2022</t>
        </is>
      </c>
      <c r="B463" s="1" t="n">
        <v>44757.94412037037</v>
      </c>
      <c r="C463" s="1" t="n">
        <v>45998</v>
      </c>
      <c r="D463" t="inlineStr">
        <is>
          <t>VÄSTERNORRLANDS LÄN</t>
        </is>
      </c>
      <c r="E463" t="inlineStr">
        <is>
          <t>SOLLEFTEÅ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51317-2022</t>
        </is>
      </c>
      <c r="B464" s="1" t="n">
        <v>44868</v>
      </c>
      <c r="C464" s="1" t="n">
        <v>45998</v>
      </c>
      <c r="D464" t="inlineStr">
        <is>
          <t>VÄSTERNORRLANDS LÄN</t>
        </is>
      </c>
      <c r="E464" t="inlineStr">
        <is>
          <t>SOLLEFTEÅ</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24008-2022</t>
        </is>
      </c>
      <c r="B465" s="1" t="n">
        <v>44722.94112268519</v>
      </c>
      <c r="C465" s="1" t="n">
        <v>45998</v>
      </c>
      <c r="D465" t="inlineStr">
        <is>
          <t>VÄSTERNORRLANDS LÄN</t>
        </is>
      </c>
      <c r="E465" t="inlineStr">
        <is>
          <t>SOLLEFTEÅ</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51442-2021</t>
        </is>
      </c>
      <c r="B466" s="1" t="n">
        <v>44461.94450231481</v>
      </c>
      <c r="C466" s="1" t="n">
        <v>45998</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51443-2021</t>
        </is>
      </c>
      <c r="B467" s="1" t="n">
        <v>44461</v>
      </c>
      <c r="C467" s="1" t="n">
        <v>45998</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51952-2021</t>
        </is>
      </c>
      <c r="B468" s="1" t="n">
        <v>44462.95631944444</v>
      </c>
      <c r="C468" s="1" t="n">
        <v>45998</v>
      </c>
      <c r="D468" t="inlineStr">
        <is>
          <t>VÄSTERNORRLANDS LÄN</t>
        </is>
      </c>
      <c r="E468" t="inlineStr">
        <is>
          <t>SOLLEFTEÅ</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18013-2022</t>
        </is>
      </c>
      <c r="B469" s="1" t="n">
        <v>44683.94355324074</v>
      </c>
      <c r="C469" s="1" t="n">
        <v>45998</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21404-2022</t>
        </is>
      </c>
      <c r="B470" s="1" t="n">
        <v>44705.94037037037</v>
      </c>
      <c r="C470" s="1" t="n">
        <v>45998</v>
      </c>
      <c r="D470" t="inlineStr">
        <is>
          <t>VÄSTERNORRLANDS LÄN</t>
        </is>
      </c>
      <c r="E470" t="inlineStr">
        <is>
          <t>SOLLEFTEÅ</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57856-2021</t>
        </is>
      </c>
      <c r="B471" s="1" t="n">
        <v>44484.98627314815</v>
      </c>
      <c r="C471" s="1" t="n">
        <v>45998</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7889-2021</t>
        </is>
      </c>
      <c r="B472" s="1" t="n">
        <v>44242</v>
      </c>
      <c r="C472" s="1" t="n">
        <v>45998</v>
      </c>
      <c r="D472" t="inlineStr">
        <is>
          <t>VÄSTERNORRLANDS LÄN</t>
        </is>
      </c>
      <c r="E472" t="inlineStr">
        <is>
          <t>SOLLEFTEÅ</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64939-2021</t>
        </is>
      </c>
      <c r="B473" s="1" t="n">
        <v>44512</v>
      </c>
      <c r="C473" s="1" t="n">
        <v>45998</v>
      </c>
      <c r="D473" t="inlineStr">
        <is>
          <t>VÄSTERNORRLANDS LÄN</t>
        </is>
      </c>
      <c r="E473" t="inlineStr">
        <is>
          <t>SOLLEFTEÅ</t>
        </is>
      </c>
      <c r="G473" t="n">
        <v>0.8</v>
      </c>
      <c r="H473" t="n">
        <v>0</v>
      </c>
      <c r="I473" t="n">
        <v>0</v>
      </c>
      <c r="J473" t="n">
        <v>0</v>
      </c>
      <c r="K473" t="n">
        <v>0</v>
      </c>
      <c r="L473" t="n">
        <v>0</v>
      </c>
      <c r="M473" t="n">
        <v>0</v>
      </c>
      <c r="N473" t="n">
        <v>0</v>
      </c>
      <c r="O473" t="n">
        <v>0</v>
      </c>
      <c r="P473" t="n">
        <v>0</v>
      </c>
      <c r="Q473" t="n">
        <v>0</v>
      </c>
      <c r="R473" s="2" t="inlineStr"/>
    </row>
    <row r="474" ht="15" customHeight="1">
      <c r="A474" t="inlineStr">
        <is>
          <t>A 25339-2022</t>
        </is>
      </c>
      <c r="B474" s="1" t="n">
        <v>44731.9378125</v>
      </c>
      <c r="C474" s="1" t="n">
        <v>45998</v>
      </c>
      <c r="D474" t="inlineStr">
        <is>
          <t>VÄSTERNORRLANDS LÄN</t>
        </is>
      </c>
      <c r="E474" t="inlineStr">
        <is>
          <t>SOLLEFTEÅ</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41192-2022</t>
        </is>
      </c>
      <c r="B475" s="1" t="n">
        <v>44825.94971064815</v>
      </c>
      <c r="C475" s="1" t="n">
        <v>45998</v>
      </c>
      <c r="D475" t="inlineStr">
        <is>
          <t>VÄSTERNORRLANDS LÄN</t>
        </is>
      </c>
      <c r="E475" t="inlineStr">
        <is>
          <t>SOLLEFTEÅ</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41195-2022</t>
        </is>
      </c>
      <c r="B476" s="1" t="n">
        <v>44825.94988425926</v>
      </c>
      <c r="C476" s="1" t="n">
        <v>45998</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23032-2021</t>
        </is>
      </c>
      <c r="B477" s="1" t="n">
        <v>44328.9410300926</v>
      </c>
      <c r="C477" s="1" t="n">
        <v>45998</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34267-2022</t>
        </is>
      </c>
      <c r="B478" s="1" t="n">
        <v>44791.9455787037</v>
      </c>
      <c r="C478" s="1" t="n">
        <v>45998</v>
      </c>
      <c r="D478" t="inlineStr">
        <is>
          <t>VÄSTERNORRLANDS LÄN</t>
        </is>
      </c>
      <c r="E478" t="inlineStr">
        <is>
          <t>SOLLEFTEÅ</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68026-2020</t>
        </is>
      </c>
      <c r="B479" s="1" t="n">
        <v>44182</v>
      </c>
      <c r="C479" s="1" t="n">
        <v>45998</v>
      </c>
      <c r="D479" t="inlineStr">
        <is>
          <t>VÄSTERNORRLANDS LÄN</t>
        </is>
      </c>
      <c r="E479" t="inlineStr">
        <is>
          <t>SOLLEFTEÅ</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28700-2022</t>
        </is>
      </c>
      <c r="B480" s="1" t="n">
        <v>44748</v>
      </c>
      <c r="C480" s="1" t="n">
        <v>45998</v>
      </c>
      <c r="D480" t="inlineStr">
        <is>
          <t>VÄSTERNORRLANDS LÄN</t>
        </is>
      </c>
      <c r="E480" t="inlineStr">
        <is>
          <t>SOLLEFTEÅ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39943-2022</t>
        </is>
      </c>
      <c r="B481" s="1" t="n">
        <v>44819.94916666667</v>
      </c>
      <c r="C481" s="1" t="n">
        <v>45998</v>
      </c>
      <c r="D481" t="inlineStr">
        <is>
          <t>VÄSTERNORRLANDS LÄN</t>
        </is>
      </c>
      <c r="E481" t="inlineStr">
        <is>
          <t>SOLLEFTEÅ</t>
        </is>
      </c>
      <c r="F481" t="inlineStr">
        <is>
          <t>SCA</t>
        </is>
      </c>
      <c r="G481" t="n">
        <v>3.8</v>
      </c>
      <c r="H481" t="n">
        <v>0</v>
      </c>
      <c r="I481" t="n">
        <v>0</v>
      </c>
      <c r="J481" t="n">
        <v>0</v>
      </c>
      <c r="K481" t="n">
        <v>0</v>
      </c>
      <c r="L481" t="n">
        <v>0</v>
      </c>
      <c r="M481" t="n">
        <v>0</v>
      </c>
      <c r="N481" t="n">
        <v>0</v>
      </c>
      <c r="O481" t="n">
        <v>0</v>
      </c>
      <c r="P481" t="n">
        <v>0</v>
      </c>
      <c r="Q481" t="n">
        <v>0</v>
      </c>
      <c r="R481" s="2" t="inlineStr"/>
    </row>
    <row r="482" ht="15" customHeight="1">
      <c r="A482" t="inlineStr">
        <is>
          <t>A 30013-2022</t>
        </is>
      </c>
      <c r="B482" s="1" t="n">
        <v>44756</v>
      </c>
      <c r="C482" s="1" t="n">
        <v>45998</v>
      </c>
      <c r="D482" t="inlineStr">
        <is>
          <t>VÄSTERNORRLANDS LÄN</t>
        </is>
      </c>
      <c r="E482" t="inlineStr">
        <is>
          <t>SOLLEFTEÅ</t>
        </is>
      </c>
      <c r="F482" t="inlineStr">
        <is>
          <t>SCA</t>
        </is>
      </c>
      <c r="G482" t="n">
        <v>4.5</v>
      </c>
      <c r="H482" t="n">
        <v>0</v>
      </c>
      <c r="I482" t="n">
        <v>0</v>
      </c>
      <c r="J482" t="n">
        <v>0</v>
      </c>
      <c r="K482" t="n">
        <v>0</v>
      </c>
      <c r="L482" t="n">
        <v>0</v>
      </c>
      <c r="M482" t="n">
        <v>0</v>
      </c>
      <c r="N482" t="n">
        <v>0</v>
      </c>
      <c r="O482" t="n">
        <v>0</v>
      </c>
      <c r="P482" t="n">
        <v>0</v>
      </c>
      <c r="Q482" t="n">
        <v>0</v>
      </c>
      <c r="R482" s="2" t="inlineStr"/>
    </row>
    <row r="483" ht="15" customHeight="1">
      <c r="A483" t="inlineStr">
        <is>
          <t>A 30041-2022</t>
        </is>
      </c>
      <c r="B483" s="1" t="n">
        <v>44756</v>
      </c>
      <c r="C483" s="1" t="n">
        <v>45998</v>
      </c>
      <c r="D483" t="inlineStr">
        <is>
          <t>VÄSTERNORRLANDS LÄN</t>
        </is>
      </c>
      <c r="E483" t="inlineStr">
        <is>
          <t>SOLLEFTEÅ</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45998</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15974-2022</t>
        </is>
      </c>
      <c r="B485" s="1" t="n">
        <v>44664.94778935185</v>
      </c>
      <c r="C485" s="1" t="n">
        <v>45998</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45998</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45998</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45998</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45998</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38430-2022</t>
        </is>
      </c>
      <c r="B490" s="1" t="n">
        <v>44812</v>
      </c>
      <c r="C490" s="1" t="n">
        <v>45998</v>
      </c>
      <c r="D490" t="inlineStr">
        <is>
          <t>VÄSTERNORRLANDS LÄN</t>
        </is>
      </c>
      <c r="E490" t="inlineStr">
        <is>
          <t>SOLLEFTEÅ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42303-2022</t>
        </is>
      </c>
      <c r="B491" s="1" t="n">
        <v>44830.95473379629</v>
      </c>
      <c r="C491" s="1" t="n">
        <v>45998</v>
      </c>
      <c r="D491" t="inlineStr">
        <is>
          <t>VÄSTERNORRLANDS LÄN</t>
        </is>
      </c>
      <c r="E491" t="inlineStr">
        <is>
          <t>SOLLEFTEÅ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45998</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45998</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68647-2020</t>
        </is>
      </c>
      <c r="B494" s="1" t="n">
        <v>44186</v>
      </c>
      <c r="C494" s="1" t="n">
        <v>45998</v>
      </c>
      <c r="D494" t="inlineStr">
        <is>
          <t>VÄSTERNORRLANDS LÄN</t>
        </is>
      </c>
      <c r="E494" t="inlineStr">
        <is>
          <t>SOLLEFTEÅ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30032-2022</t>
        </is>
      </c>
      <c r="B495" s="1" t="n">
        <v>44756</v>
      </c>
      <c r="C495" s="1" t="n">
        <v>45998</v>
      </c>
      <c r="D495" t="inlineStr">
        <is>
          <t>VÄSTERNORRLANDS LÄN</t>
        </is>
      </c>
      <c r="E495" t="inlineStr">
        <is>
          <t>SOLLEFTEÅ</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18097-2021</t>
        </is>
      </c>
      <c r="B496" s="1" t="n">
        <v>44302.48136574074</v>
      </c>
      <c r="C496" s="1" t="n">
        <v>45998</v>
      </c>
      <c r="D496" t="inlineStr">
        <is>
          <t>VÄSTERNORRLANDS LÄN</t>
        </is>
      </c>
      <c r="E496" t="inlineStr">
        <is>
          <t>SOLLEFTEÅ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18662-2021</t>
        </is>
      </c>
      <c r="B497" s="1" t="n">
        <v>44306</v>
      </c>
      <c r="C497" s="1" t="n">
        <v>45998</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26415-2022</t>
        </is>
      </c>
      <c r="B498" s="1" t="n">
        <v>44735</v>
      </c>
      <c r="C498" s="1" t="n">
        <v>45998</v>
      </c>
      <c r="D498" t="inlineStr">
        <is>
          <t>VÄSTERNORRLANDS LÄN</t>
        </is>
      </c>
      <c r="E498" t="inlineStr">
        <is>
          <t>SOLLEFTEÅ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61496-2021</t>
        </is>
      </c>
      <c r="B499" s="1" t="n">
        <v>44501</v>
      </c>
      <c r="C499" s="1" t="n">
        <v>45998</v>
      </c>
      <c r="D499" t="inlineStr">
        <is>
          <t>VÄSTERNORRLANDS LÄN</t>
        </is>
      </c>
      <c r="E499" t="inlineStr">
        <is>
          <t>SOLLEFTEÅ</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73886-2021</t>
        </is>
      </c>
      <c r="B500" s="1" t="n">
        <v>44553</v>
      </c>
      <c r="C500" s="1" t="n">
        <v>45998</v>
      </c>
      <c r="D500" t="inlineStr">
        <is>
          <t>VÄSTERNORRLANDS LÄN</t>
        </is>
      </c>
      <c r="E500" t="inlineStr">
        <is>
          <t>SOLLEFTEÅ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3549-2022</t>
        </is>
      </c>
      <c r="B501" s="1" t="n">
        <v>44585</v>
      </c>
      <c r="C501" s="1" t="n">
        <v>45998</v>
      </c>
      <c r="D501" t="inlineStr">
        <is>
          <t>VÄSTERNORRLANDS LÄN</t>
        </is>
      </c>
      <c r="E501" t="inlineStr">
        <is>
          <t>SOLLEFTEÅ</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73285-2021</t>
        </is>
      </c>
      <c r="B502" s="1" t="n">
        <v>44550.94386574074</v>
      </c>
      <c r="C502" s="1" t="n">
        <v>45998</v>
      </c>
      <c r="D502" t="inlineStr">
        <is>
          <t>VÄSTERNORRLANDS LÄN</t>
        </is>
      </c>
      <c r="E502" t="inlineStr">
        <is>
          <t>SOLLEFTEÅ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71348-2021</t>
        </is>
      </c>
      <c r="B503" s="1" t="n">
        <v>44539</v>
      </c>
      <c r="C503" s="1" t="n">
        <v>45998</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71351-2021</t>
        </is>
      </c>
      <c r="B504" s="1" t="n">
        <v>44539</v>
      </c>
      <c r="C504" s="1" t="n">
        <v>45998</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38095-2022</t>
        </is>
      </c>
      <c r="B505" s="1" t="n">
        <v>44811</v>
      </c>
      <c r="C505" s="1" t="n">
        <v>45998</v>
      </c>
      <c r="D505" t="inlineStr">
        <is>
          <t>VÄSTERNORRLANDS LÄN</t>
        </is>
      </c>
      <c r="E505" t="inlineStr">
        <is>
          <t>SOLLEFTEÅ</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41196-2022</t>
        </is>
      </c>
      <c r="B506" s="1" t="n">
        <v>44825.94994212963</v>
      </c>
      <c r="C506" s="1" t="n">
        <v>45998</v>
      </c>
      <c r="D506" t="inlineStr">
        <is>
          <t>VÄSTERNORRLANDS LÄN</t>
        </is>
      </c>
      <c r="E506" t="inlineStr">
        <is>
          <t>SOLLEFTEÅ</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61426-2021</t>
        </is>
      </c>
      <c r="B507" s="1" t="n">
        <v>44500</v>
      </c>
      <c r="C507" s="1" t="n">
        <v>45998</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68792-2021</t>
        </is>
      </c>
      <c r="B508" s="1" t="n">
        <v>44529.94640046296</v>
      </c>
      <c r="C508" s="1" t="n">
        <v>45998</v>
      </c>
      <c r="D508" t="inlineStr">
        <is>
          <t>VÄSTERNORRLANDS LÄN</t>
        </is>
      </c>
      <c r="E508" t="inlineStr">
        <is>
          <t>SOLLEFTEÅ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3551-2022</t>
        </is>
      </c>
      <c r="B509" s="1" t="n">
        <v>44585.93800925926</v>
      </c>
      <c r="C509" s="1" t="n">
        <v>45998</v>
      </c>
      <c r="D509" t="inlineStr">
        <is>
          <t>VÄSTERNORRLANDS LÄN</t>
        </is>
      </c>
      <c r="E509" t="inlineStr">
        <is>
          <t>SOLLEFTEÅ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66850-2020</t>
        </is>
      </c>
      <c r="B510" s="1" t="n">
        <v>44179</v>
      </c>
      <c r="C510" s="1" t="n">
        <v>45998</v>
      </c>
      <c r="D510" t="inlineStr">
        <is>
          <t>VÄSTERNORRLANDS LÄN</t>
        </is>
      </c>
      <c r="E510" t="inlineStr">
        <is>
          <t>SOLLEFTEÅ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18878-2021</t>
        </is>
      </c>
      <c r="B511" s="1" t="n">
        <v>44307</v>
      </c>
      <c r="C511" s="1" t="n">
        <v>45998</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27018-2022</t>
        </is>
      </c>
      <c r="B512" s="1" t="n">
        <v>44740</v>
      </c>
      <c r="C512" s="1" t="n">
        <v>45998</v>
      </c>
      <c r="D512" t="inlineStr">
        <is>
          <t>VÄSTERNORRLANDS LÄN</t>
        </is>
      </c>
      <c r="E512" t="inlineStr">
        <is>
          <t>SOLLEFTEÅ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35574-2021</t>
        </is>
      </c>
      <c r="B513" s="1" t="n">
        <v>44385.93663194445</v>
      </c>
      <c r="C513" s="1" t="n">
        <v>45998</v>
      </c>
      <c r="D513" t="inlineStr">
        <is>
          <t>VÄSTERNORRLANDS LÄN</t>
        </is>
      </c>
      <c r="E513" t="inlineStr">
        <is>
          <t>SOLLEFTEÅ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23034-2021</t>
        </is>
      </c>
      <c r="B514" s="1" t="n">
        <v>44328.94113425926</v>
      </c>
      <c r="C514" s="1" t="n">
        <v>45998</v>
      </c>
      <c r="D514" t="inlineStr">
        <is>
          <t>VÄSTERNORRLANDS LÄN</t>
        </is>
      </c>
      <c r="E514" t="inlineStr">
        <is>
          <t>SOLLEFTEÅ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68292-2020</t>
        </is>
      </c>
      <c r="B515" s="1" t="n">
        <v>44183</v>
      </c>
      <c r="C515" s="1" t="n">
        <v>45998</v>
      </c>
      <c r="D515" t="inlineStr">
        <is>
          <t>VÄSTERNORRLANDS LÄN</t>
        </is>
      </c>
      <c r="E515" t="inlineStr">
        <is>
          <t>SOLLEFTEÅ</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6170-2022</t>
        </is>
      </c>
      <c r="B516" s="1" t="n">
        <v>44599</v>
      </c>
      <c r="C516" s="1" t="n">
        <v>45998</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22101-2022</t>
        </is>
      </c>
      <c r="B517" s="1" t="n">
        <v>44711.94153935185</v>
      </c>
      <c r="C517" s="1" t="n">
        <v>45998</v>
      </c>
      <c r="D517" t="inlineStr">
        <is>
          <t>VÄSTERNORRLANDS LÄN</t>
        </is>
      </c>
      <c r="E517" t="inlineStr">
        <is>
          <t>SOLLEFTEÅ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14065-2022</t>
        </is>
      </c>
      <c r="B518" s="1" t="n">
        <v>44650</v>
      </c>
      <c r="C518" s="1" t="n">
        <v>45998</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44285-2022</t>
        </is>
      </c>
      <c r="B519" s="1" t="n">
        <v>44839</v>
      </c>
      <c r="C519" s="1" t="n">
        <v>45998</v>
      </c>
      <c r="D519" t="inlineStr">
        <is>
          <t>VÄSTERNORRLANDS LÄN</t>
        </is>
      </c>
      <c r="E519" t="inlineStr">
        <is>
          <t>SOLLEFTEÅ</t>
        </is>
      </c>
      <c r="F519" t="inlineStr">
        <is>
          <t>Holmen skog AB</t>
        </is>
      </c>
      <c r="G519" t="n">
        <v>13.9</v>
      </c>
      <c r="H519" t="n">
        <v>0</v>
      </c>
      <c r="I519" t="n">
        <v>0</v>
      </c>
      <c r="J519" t="n">
        <v>0</v>
      </c>
      <c r="K519" t="n">
        <v>0</v>
      </c>
      <c r="L519" t="n">
        <v>0</v>
      </c>
      <c r="M519" t="n">
        <v>0</v>
      </c>
      <c r="N519" t="n">
        <v>0</v>
      </c>
      <c r="O519" t="n">
        <v>0</v>
      </c>
      <c r="P519" t="n">
        <v>0</v>
      </c>
      <c r="Q519" t="n">
        <v>0</v>
      </c>
      <c r="R519" s="2" t="inlineStr"/>
    </row>
    <row r="520" ht="15" customHeight="1">
      <c r="A520" t="inlineStr">
        <is>
          <t>A 36579-2021</t>
        </is>
      </c>
      <c r="B520" s="1" t="n">
        <v>44391.59509259259</v>
      </c>
      <c r="C520" s="1" t="n">
        <v>45998</v>
      </c>
      <c r="D520" t="inlineStr">
        <is>
          <t>VÄSTERNORRLANDS LÄN</t>
        </is>
      </c>
      <c r="E520" t="inlineStr">
        <is>
          <t>SOLLEFTEÅ</t>
        </is>
      </c>
      <c r="G520" t="n">
        <v>6.9</v>
      </c>
      <c r="H520" t="n">
        <v>0</v>
      </c>
      <c r="I520" t="n">
        <v>0</v>
      </c>
      <c r="J520" t="n">
        <v>0</v>
      </c>
      <c r="K520" t="n">
        <v>0</v>
      </c>
      <c r="L520" t="n">
        <v>0</v>
      </c>
      <c r="M520" t="n">
        <v>0</v>
      </c>
      <c r="N520" t="n">
        <v>0</v>
      </c>
      <c r="O520" t="n">
        <v>0</v>
      </c>
      <c r="P520" t="n">
        <v>0</v>
      </c>
      <c r="Q520" t="n">
        <v>0</v>
      </c>
      <c r="R520" s="2" t="inlineStr"/>
    </row>
    <row r="521" ht="15" customHeight="1">
      <c r="A521" t="inlineStr">
        <is>
          <t>A 12007-2022</t>
        </is>
      </c>
      <c r="B521" s="1" t="n">
        <v>44635.925</v>
      </c>
      <c r="C521" s="1" t="n">
        <v>45998</v>
      </c>
      <c r="D521" t="inlineStr">
        <is>
          <t>VÄSTERNORRLANDS LÄN</t>
        </is>
      </c>
      <c r="E521" t="inlineStr">
        <is>
          <t>SOLLEFTEÅ</t>
        </is>
      </c>
      <c r="G521" t="n">
        <v>0.4</v>
      </c>
      <c r="H521" t="n">
        <v>0</v>
      </c>
      <c r="I521" t="n">
        <v>0</v>
      </c>
      <c r="J521" t="n">
        <v>0</v>
      </c>
      <c r="K521" t="n">
        <v>0</v>
      </c>
      <c r="L521" t="n">
        <v>0</v>
      </c>
      <c r="M521" t="n">
        <v>0</v>
      </c>
      <c r="N521" t="n">
        <v>0</v>
      </c>
      <c r="O521" t="n">
        <v>0</v>
      </c>
      <c r="P521" t="n">
        <v>0</v>
      </c>
      <c r="Q521" t="n">
        <v>0</v>
      </c>
      <c r="R521" s="2" t="inlineStr"/>
    </row>
    <row r="522" ht="15" customHeight="1">
      <c r="A522" t="inlineStr">
        <is>
          <t>A 53012-2022</t>
        </is>
      </c>
      <c r="B522" s="1" t="n">
        <v>44875.95450231482</v>
      </c>
      <c r="C522" s="1" t="n">
        <v>45998</v>
      </c>
      <c r="D522" t="inlineStr">
        <is>
          <t>VÄSTERNORRLANDS LÄN</t>
        </is>
      </c>
      <c r="E522" t="inlineStr">
        <is>
          <t>SOLLEFTEÅ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26416-2022</t>
        </is>
      </c>
      <c r="B523" s="1" t="n">
        <v>44735.94130787037</v>
      </c>
      <c r="C523" s="1" t="n">
        <v>45998</v>
      </c>
      <c r="D523" t="inlineStr">
        <is>
          <t>VÄSTERNORRLANDS LÄN</t>
        </is>
      </c>
      <c r="E523" t="inlineStr">
        <is>
          <t>SOLLEFTEÅ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10308-2022</t>
        </is>
      </c>
      <c r="B524" s="1" t="n">
        <v>44622</v>
      </c>
      <c r="C524" s="1" t="n">
        <v>45998</v>
      </c>
      <c r="D524" t="inlineStr">
        <is>
          <t>VÄSTERNORRLANDS LÄN</t>
        </is>
      </c>
      <c r="E524" t="inlineStr">
        <is>
          <t>SOLLEFTEÅ</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10311-2022</t>
        </is>
      </c>
      <c r="B525" s="1" t="n">
        <v>44622.94049768519</v>
      </c>
      <c r="C525" s="1" t="n">
        <v>45998</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47268-2022</t>
        </is>
      </c>
      <c r="B526" s="1" t="n">
        <v>44852.94989583334</v>
      </c>
      <c r="C526" s="1" t="n">
        <v>45998</v>
      </c>
      <c r="D526" t="inlineStr">
        <is>
          <t>VÄSTERNORRLANDS LÄN</t>
        </is>
      </c>
      <c r="E526" t="inlineStr">
        <is>
          <t>SOLLEFTEÅ</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47580-2022</t>
        </is>
      </c>
      <c r="B527" s="1" t="n">
        <v>44853.95252314815</v>
      </c>
      <c r="C527" s="1" t="n">
        <v>45998</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58688-2021</t>
        </is>
      </c>
      <c r="B528" s="1" t="n">
        <v>44489</v>
      </c>
      <c r="C528" s="1" t="n">
        <v>45998</v>
      </c>
      <c r="D528" t="inlineStr">
        <is>
          <t>VÄSTERNORRLANDS LÄN</t>
        </is>
      </c>
      <c r="E528" t="inlineStr">
        <is>
          <t>SOLLEFTEÅ</t>
        </is>
      </c>
      <c r="G528" t="n">
        <v>2.3</v>
      </c>
      <c r="H528" t="n">
        <v>0</v>
      </c>
      <c r="I528" t="n">
        <v>0</v>
      </c>
      <c r="J528" t="n">
        <v>0</v>
      </c>
      <c r="K528" t="n">
        <v>0</v>
      </c>
      <c r="L528" t="n">
        <v>0</v>
      </c>
      <c r="M528" t="n">
        <v>0</v>
      </c>
      <c r="N528" t="n">
        <v>0</v>
      </c>
      <c r="O528" t="n">
        <v>0</v>
      </c>
      <c r="P528" t="n">
        <v>0</v>
      </c>
      <c r="Q528" t="n">
        <v>0</v>
      </c>
      <c r="R528" s="2" t="inlineStr"/>
    </row>
    <row r="529" ht="15" customHeight="1">
      <c r="A529" t="inlineStr">
        <is>
          <t>A 46324-2022</t>
        </is>
      </c>
      <c r="B529" s="1" t="n">
        <v>44847</v>
      </c>
      <c r="C529" s="1" t="n">
        <v>45998</v>
      </c>
      <c r="D529" t="inlineStr">
        <is>
          <t>VÄSTERNORRLANDS LÄN</t>
        </is>
      </c>
      <c r="E529" t="inlineStr">
        <is>
          <t>SOLLEFTEÅ</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10141-2022</t>
        </is>
      </c>
      <c r="B530" s="1" t="n">
        <v>44621</v>
      </c>
      <c r="C530" s="1" t="n">
        <v>45998</v>
      </c>
      <c r="D530" t="inlineStr">
        <is>
          <t>VÄSTERNORRLANDS LÄN</t>
        </is>
      </c>
      <c r="E530" t="inlineStr">
        <is>
          <t>SOLLEFTEÅ</t>
        </is>
      </c>
      <c r="F530" t="inlineStr">
        <is>
          <t>SCA</t>
        </is>
      </c>
      <c r="G530" t="n">
        <v>15.5</v>
      </c>
      <c r="H530" t="n">
        <v>0</v>
      </c>
      <c r="I530" t="n">
        <v>0</v>
      </c>
      <c r="J530" t="n">
        <v>0</v>
      </c>
      <c r="K530" t="n">
        <v>0</v>
      </c>
      <c r="L530" t="n">
        <v>0</v>
      </c>
      <c r="M530" t="n">
        <v>0</v>
      </c>
      <c r="N530" t="n">
        <v>0</v>
      </c>
      <c r="O530" t="n">
        <v>0</v>
      </c>
      <c r="P530" t="n">
        <v>0</v>
      </c>
      <c r="Q530" t="n">
        <v>0</v>
      </c>
      <c r="R530" s="2" t="inlineStr"/>
    </row>
    <row r="531" ht="15" customHeight="1">
      <c r="A531" t="inlineStr">
        <is>
          <t>A 10198-2022</t>
        </is>
      </c>
      <c r="B531" s="1" t="n">
        <v>44622.44116898148</v>
      </c>
      <c r="C531" s="1" t="n">
        <v>45998</v>
      </c>
      <c r="D531" t="inlineStr">
        <is>
          <t>VÄSTERNORRLANDS LÄN</t>
        </is>
      </c>
      <c r="E531" t="inlineStr">
        <is>
          <t>SOLLEFTEÅ</t>
        </is>
      </c>
      <c r="G531" t="n">
        <v>5.9</v>
      </c>
      <c r="H531" t="n">
        <v>0</v>
      </c>
      <c r="I531" t="n">
        <v>0</v>
      </c>
      <c r="J531" t="n">
        <v>0</v>
      </c>
      <c r="K531" t="n">
        <v>0</v>
      </c>
      <c r="L531" t="n">
        <v>0</v>
      </c>
      <c r="M531" t="n">
        <v>0</v>
      </c>
      <c r="N531" t="n">
        <v>0</v>
      </c>
      <c r="O531" t="n">
        <v>0</v>
      </c>
      <c r="P531" t="n">
        <v>0</v>
      </c>
      <c r="Q531" t="n">
        <v>0</v>
      </c>
      <c r="R531" s="2" t="inlineStr"/>
    </row>
    <row r="532" ht="15" customHeight="1">
      <c r="A532" t="inlineStr">
        <is>
          <t>A 19414-2022</t>
        </is>
      </c>
      <c r="B532" s="1" t="n">
        <v>44693</v>
      </c>
      <c r="C532" s="1" t="n">
        <v>45998</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30039-2022</t>
        </is>
      </c>
      <c r="B533" s="1" t="n">
        <v>44756.94572916667</v>
      </c>
      <c r="C533" s="1" t="n">
        <v>45998</v>
      </c>
      <c r="D533" t="inlineStr">
        <is>
          <t>VÄSTERNORRLANDS LÄN</t>
        </is>
      </c>
      <c r="E533" t="inlineStr">
        <is>
          <t>SOLLEFTEÅ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26498-2021</t>
        </is>
      </c>
      <c r="B534" s="1" t="n">
        <v>44348</v>
      </c>
      <c r="C534" s="1" t="n">
        <v>45998</v>
      </c>
      <c r="D534" t="inlineStr">
        <is>
          <t>VÄSTERNORRLANDS LÄN</t>
        </is>
      </c>
      <c r="E534" t="inlineStr">
        <is>
          <t>SOLLEFTEÅ</t>
        </is>
      </c>
      <c r="G534" t="n">
        <v>7.8</v>
      </c>
      <c r="H534" t="n">
        <v>0</v>
      </c>
      <c r="I534" t="n">
        <v>0</v>
      </c>
      <c r="J534" t="n">
        <v>0</v>
      </c>
      <c r="K534" t="n">
        <v>0</v>
      </c>
      <c r="L534" t="n">
        <v>0</v>
      </c>
      <c r="M534" t="n">
        <v>0</v>
      </c>
      <c r="N534" t="n">
        <v>0</v>
      </c>
      <c r="O534" t="n">
        <v>0</v>
      </c>
      <c r="P534" t="n">
        <v>0</v>
      </c>
      <c r="Q534" t="n">
        <v>0</v>
      </c>
      <c r="R534" s="2" t="inlineStr"/>
    </row>
    <row r="535" ht="15" customHeight="1">
      <c r="A535" t="inlineStr">
        <is>
          <t>A 69436-2020</t>
        </is>
      </c>
      <c r="B535" s="1" t="n">
        <v>44193</v>
      </c>
      <c r="C535" s="1" t="n">
        <v>45998</v>
      </c>
      <c r="D535" t="inlineStr">
        <is>
          <t>VÄSTERNORRLANDS LÄN</t>
        </is>
      </c>
      <c r="E535" t="inlineStr">
        <is>
          <t>SOLLEFTEÅ</t>
        </is>
      </c>
      <c r="G535" t="n">
        <v>4.9</v>
      </c>
      <c r="H535" t="n">
        <v>0</v>
      </c>
      <c r="I535" t="n">
        <v>0</v>
      </c>
      <c r="J535" t="n">
        <v>0</v>
      </c>
      <c r="K535" t="n">
        <v>0</v>
      </c>
      <c r="L535" t="n">
        <v>0</v>
      </c>
      <c r="M535" t="n">
        <v>0</v>
      </c>
      <c r="N535" t="n">
        <v>0</v>
      </c>
      <c r="O535" t="n">
        <v>0</v>
      </c>
      <c r="P535" t="n">
        <v>0</v>
      </c>
      <c r="Q535" t="n">
        <v>0</v>
      </c>
      <c r="R535" s="2" t="inlineStr"/>
    </row>
    <row r="536" ht="15" customHeight="1">
      <c r="A536" t="inlineStr">
        <is>
          <t>A 58573-2021</t>
        </is>
      </c>
      <c r="B536" s="1" t="n">
        <v>44488</v>
      </c>
      <c r="C536" s="1" t="n">
        <v>45998</v>
      </c>
      <c r="D536" t="inlineStr">
        <is>
          <t>VÄSTERNORRLANDS LÄN</t>
        </is>
      </c>
      <c r="E536" t="inlineStr">
        <is>
          <t>SOLLEFTEÅ</t>
        </is>
      </c>
      <c r="G536" t="n">
        <v>0.3</v>
      </c>
      <c r="H536" t="n">
        <v>0</v>
      </c>
      <c r="I536" t="n">
        <v>0</v>
      </c>
      <c r="J536" t="n">
        <v>0</v>
      </c>
      <c r="K536" t="n">
        <v>0</v>
      </c>
      <c r="L536" t="n">
        <v>0</v>
      </c>
      <c r="M536" t="n">
        <v>0</v>
      </c>
      <c r="N536" t="n">
        <v>0</v>
      </c>
      <c r="O536" t="n">
        <v>0</v>
      </c>
      <c r="P536" t="n">
        <v>0</v>
      </c>
      <c r="Q536" t="n">
        <v>0</v>
      </c>
      <c r="R536" s="2" t="inlineStr"/>
    </row>
    <row r="537" ht="15" customHeight="1">
      <c r="A537" t="inlineStr">
        <is>
          <t>A 21715-2022</t>
        </is>
      </c>
      <c r="B537" s="1" t="n">
        <v>44707.94020833333</v>
      </c>
      <c r="C537" s="1" t="n">
        <v>45998</v>
      </c>
      <c r="D537" t="inlineStr">
        <is>
          <t>VÄSTERNORRLANDS LÄN</t>
        </is>
      </c>
      <c r="E537" t="inlineStr">
        <is>
          <t>SOLLEFTEÅ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43766-2022</t>
        </is>
      </c>
      <c r="B538" s="1" t="n">
        <v>44837.92642361111</v>
      </c>
      <c r="C538" s="1" t="n">
        <v>45998</v>
      </c>
      <c r="D538" t="inlineStr">
        <is>
          <t>VÄSTERNORRLANDS LÄN</t>
        </is>
      </c>
      <c r="E538" t="inlineStr">
        <is>
          <t>SOLLEFTEÅ</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61424-2021</t>
        </is>
      </c>
      <c r="B539" s="1" t="n">
        <v>44500.93637731481</v>
      </c>
      <c r="C539" s="1" t="n">
        <v>45998</v>
      </c>
      <c r="D539" t="inlineStr">
        <is>
          <t>VÄSTERNORRLANDS LÄN</t>
        </is>
      </c>
      <c r="E539" t="inlineStr">
        <is>
          <t>SOLLEFTEÅ</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58755-2021</t>
        </is>
      </c>
      <c r="B540" s="1" t="n">
        <v>44489</v>
      </c>
      <c r="C540" s="1" t="n">
        <v>45998</v>
      </c>
      <c r="D540" t="inlineStr">
        <is>
          <t>VÄSTERNORRLANDS LÄN</t>
        </is>
      </c>
      <c r="E540" t="inlineStr">
        <is>
          <t>SOLLEFTEÅ</t>
        </is>
      </c>
      <c r="G540" t="n">
        <v>12.2</v>
      </c>
      <c r="H540" t="n">
        <v>0</v>
      </c>
      <c r="I540" t="n">
        <v>0</v>
      </c>
      <c r="J540" t="n">
        <v>0</v>
      </c>
      <c r="K540" t="n">
        <v>0</v>
      </c>
      <c r="L540" t="n">
        <v>0</v>
      </c>
      <c r="M540" t="n">
        <v>0</v>
      </c>
      <c r="N540" t="n">
        <v>0</v>
      </c>
      <c r="O540" t="n">
        <v>0</v>
      </c>
      <c r="P540" t="n">
        <v>0</v>
      </c>
      <c r="Q540" t="n">
        <v>0</v>
      </c>
      <c r="R540" s="2" t="inlineStr"/>
    </row>
    <row r="541" ht="15" customHeight="1">
      <c r="A541" t="inlineStr">
        <is>
          <t>A 32091-2021</t>
        </is>
      </c>
      <c r="B541" s="1" t="n">
        <v>44370</v>
      </c>
      <c r="C541" s="1" t="n">
        <v>45998</v>
      </c>
      <c r="D541" t="inlineStr">
        <is>
          <t>VÄSTERNORRLANDS LÄN</t>
        </is>
      </c>
      <c r="E541" t="inlineStr">
        <is>
          <t>SOLLEFTEÅ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10309-2022</t>
        </is>
      </c>
      <c r="B542" s="1" t="n">
        <v>44622</v>
      </c>
      <c r="C542" s="1" t="n">
        <v>45998</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10310-2022</t>
        </is>
      </c>
      <c r="B543" s="1" t="n">
        <v>44622.94043981482</v>
      </c>
      <c r="C543" s="1" t="n">
        <v>45998</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14061-2022</t>
        </is>
      </c>
      <c r="B544" s="1" t="n">
        <v>44650.94005787037</v>
      </c>
      <c r="C544" s="1" t="n">
        <v>45998</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14302-2022</t>
        </is>
      </c>
      <c r="B545" s="1" t="n">
        <v>44651</v>
      </c>
      <c r="C545" s="1" t="n">
        <v>45998</v>
      </c>
      <c r="D545" t="inlineStr">
        <is>
          <t>VÄSTERNORRLANDS LÄN</t>
        </is>
      </c>
      <c r="E545" t="inlineStr">
        <is>
          <t>SOLLEFTEÅ</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48240-2022</t>
        </is>
      </c>
      <c r="B546" s="1" t="n">
        <v>44858</v>
      </c>
      <c r="C546" s="1" t="n">
        <v>45998</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45998</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27082-2022</t>
        </is>
      </c>
      <c r="B548" s="1" t="n">
        <v>44741</v>
      </c>
      <c r="C548" s="1" t="n">
        <v>45998</v>
      </c>
      <c r="D548" t="inlineStr">
        <is>
          <t>VÄSTERNORRLANDS LÄN</t>
        </is>
      </c>
      <c r="E548" t="inlineStr">
        <is>
          <t>SOLLEFTEÅ</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45998</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14477-2022</t>
        </is>
      </c>
      <c r="B550" s="1" t="n">
        <v>44654.93954861111</v>
      </c>
      <c r="C550" s="1" t="n">
        <v>45998</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25183-2021</t>
        </is>
      </c>
      <c r="B551" s="1" t="n">
        <v>44341</v>
      </c>
      <c r="C551" s="1" t="n">
        <v>45998</v>
      </c>
      <c r="D551" t="inlineStr">
        <is>
          <t>VÄSTERNORRLANDS LÄN</t>
        </is>
      </c>
      <c r="E551" t="inlineStr">
        <is>
          <t>SOLLEFTEÅ</t>
        </is>
      </c>
      <c r="G551" t="n">
        <v>1.8</v>
      </c>
      <c r="H551" t="n">
        <v>0</v>
      </c>
      <c r="I551" t="n">
        <v>0</v>
      </c>
      <c r="J551" t="n">
        <v>0</v>
      </c>
      <c r="K551" t="n">
        <v>0</v>
      </c>
      <c r="L551" t="n">
        <v>0</v>
      </c>
      <c r="M551" t="n">
        <v>0</v>
      </c>
      <c r="N551" t="n">
        <v>0</v>
      </c>
      <c r="O551" t="n">
        <v>0</v>
      </c>
      <c r="P551" t="n">
        <v>0</v>
      </c>
      <c r="Q551" t="n">
        <v>0</v>
      </c>
      <c r="R551" s="2" t="inlineStr"/>
    </row>
    <row r="552" ht="15" customHeight="1">
      <c r="A552" t="inlineStr">
        <is>
          <t>A 30236-2022</t>
        </is>
      </c>
      <c r="B552" s="1" t="n">
        <v>44757</v>
      </c>
      <c r="C552" s="1" t="n">
        <v>45998</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43442-2022</t>
        </is>
      </c>
      <c r="B553" s="1" t="n">
        <v>44834</v>
      </c>
      <c r="C553" s="1" t="n">
        <v>45998</v>
      </c>
      <c r="D553" t="inlineStr">
        <is>
          <t>VÄSTERNORRLANDS LÄN</t>
        </is>
      </c>
      <c r="E553" t="inlineStr">
        <is>
          <t>SOLLEFTEÅ</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45998</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67822-2021</t>
        </is>
      </c>
      <c r="B555" s="1" t="n">
        <v>44525.45137731481</v>
      </c>
      <c r="C555" s="1" t="n">
        <v>45998</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27283-2022</t>
        </is>
      </c>
      <c r="B556" s="1" t="n">
        <v>44741.94023148148</v>
      </c>
      <c r="C556" s="1" t="n">
        <v>45998</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29294-2022</t>
        </is>
      </c>
      <c r="B557" s="1" t="n">
        <v>44750.9431712963</v>
      </c>
      <c r="C557" s="1" t="n">
        <v>45998</v>
      </c>
      <c r="D557" t="inlineStr">
        <is>
          <t>VÄSTERNORRLANDS LÄN</t>
        </is>
      </c>
      <c r="E557" t="inlineStr">
        <is>
          <t>SOLLEFTEÅ</t>
        </is>
      </c>
      <c r="F557" t="inlineStr">
        <is>
          <t>SCA</t>
        </is>
      </c>
      <c r="G557" t="n">
        <v>6.7</v>
      </c>
      <c r="H557" t="n">
        <v>0</v>
      </c>
      <c r="I557" t="n">
        <v>0</v>
      </c>
      <c r="J557" t="n">
        <v>0</v>
      </c>
      <c r="K557" t="n">
        <v>0</v>
      </c>
      <c r="L557" t="n">
        <v>0</v>
      </c>
      <c r="M557" t="n">
        <v>0</v>
      </c>
      <c r="N557" t="n">
        <v>0</v>
      </c>
      <c r="O557" t="n">
        <v>0</v>
      </c>
      <c r="P557" t="n">
        <v>0</v>
      </c>
      <c r="Q557" t="n">
        <v>0</v>
      </c>
      <c r="R557" s="2" t="inlineStr"/>
    </row>
    <row r="558" ht="15" customHeight="1">
      <c r="A558" t="inlineStr">
        <is>
          <t>A 53289-2021</t>
        </is>
      </c>
      <c r="B558" s="1" t="n">
        <v>44467</v>
      </c>
      <c r="C558" s="1" t="n">
        <v>45998</v>
      </c>
      <c r="D558" t="inlineStr">
        <is>
          <t>VÄSTERNORRLANDS LÄN</t>
        </is>
      </c>
      <c r="E558" t="inlineStr">
        <is>
          <t>SOLLEFTEÅ</t>
        </is>
      </c>
      <c r="G558" t="n">
        <v>6.5</v>
      </c>
      <c r="H558" t="n">
        <v>0</v>
      </c>
      <c r="I558" t="n">
        <v>0</v>
      </c>
      <c r="J558" t="n">
        <v>0</v>
      </c>
      <c r="K558" t="n">
        <v>0</v>
      </c>
      <c r="L558" t="n">
        <v>0</v>
      </c>
      <c r="M558" t="n">
        <v>0</v>
      </c>
      <c r="N558" t="n">
        <v>0</v>
      </c>
      <c r="O558" t="n">
        <v>0</v>
      </c>
      <c r="P558" t="n">
        <v>0</v>
      </c>
      <c r="Q558" t="n">
        <v>0</v>
      </c>
      <c r="R558" s="2" t="inlineStr"/>
    </row>
    <row r="559" ht="15" customHeight="1">
      <c r="A559" t="inlineStr">
        <is>
          <t>A 40539-2021</t>
        </is>
      </c>
      <c r="B559" s="1" t="n">
        <v>44420</v>
      </c>
      <c r="C559" s="1" t="n">
        <v>45998</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21635-2022</t>
        </is>
      </c>
      <c r="B560" s="1" t="n">
        <v>44706.92628472222</v>
      </c>
      <c r="C560" s="1" t="n">
        <v>45998</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24734-2022</t>
        </is>
      </c>
      <c r="B561" s="1" t="n">
        <v>44727.94329861111</v>
      </c>
      <c r="C561" s="1" t="n">
        <v>45998</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34534-2022</t>
        </is>
      </c>
      <c r="B562" s="1" t="n">
        <v>44792.94587962963</v>
      </c>
      <c r="C562" s="1" t="n">
        <v>45998</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43124-2022</t>
        </is>
      </c>
      <c r="B563" s="1" t="n">
        <v>44833.92898148148</v>
      </c>
      <c r="C563" s="1" t="n">
        <v>45998</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73566-2021</t>
        </is>
      </c>
      <c r="B564" s="1" t="n">
        <v>44551.94106481481</v>
      </c>
      <c r="C564" s="1" t="n">
        <v>45998</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42634-2022</t>
        </is>
      </c>
      <c r="B565" s="1" t="n">
        <v>44831.94565972222</v>
      </c>
      <c r="C565" s="1" t="n">
        <v>45998</v>
      </c>
      <c r="D565" t="inlineStr">
        <is>
          <t>VÄSTERNORRLANDS LÄN</t>
        </is>
      </c>
      <c r="E565" t="inlineStr">
        <is>
          <t>SOLLEFTEÅ</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27809-2021</t>
        </is>
      </c>
      <c r="B566" s="1" t="n">
        <v>44354</v>
      </c>
      <c r="C566" s="1" t="n">
        <v>45998</v>
      </c>
      <c r="D566" t="inlineStr">
        <is>
          <t>VÄSTERNORRLANDS LÄN</t>
        </is>
      </c>
      <c r="E566" t="inlineStr">
        <is>
          <t>SOLLEFTEÅ</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68016-2020</t>
        </is>
      </c>
      <c r="B567" s="1" t="n">
        <v>44182</v>
      </c>
      <c r="C567" s="1" t="n">
        <v>45998</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39944-2022</t>
        </is>
      </c>
      <c r="B568" s="1" t="n">
        <v>44819</v>
      </c>
      <c r="C568" s="1" t="n">
        <v>45998</v>
      </c>
      <c r="D568" t="inlineStr">
        <is>
          <t>VÄSTERNORRLANDS LÄN</t>
        </is>
      </c>
      <c r="E568" t="inlineStr">
        <is>
          <t>SOLLEFTEÅ</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67602-2020</t>
        </is>
      </c>
      <c r="B569" s="1" t="n">
        <v>44181</v>
      </c>
      <c r="C569" s="1" t="n">
        <v>45998</v>
      </c>
      <c r="D569" t="inlineStr">
        <is>
          <t>VÄSTERNORRLANDS LÄN</t>
        </is>
      </c>
      <c r="E569" t="inlineStr">
        <is>
          <t>SOLLEFTEÅ</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30936-2022</t>
        </is>
      </c>
      <c r="B570" s="1" t="n">
        <v>44767.94028935185</v>
      </c>
      <c r="C570" s="1" t="n">
        <v>45998</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29829-2021</t>
        </is>
      </c>
      <c r="B571" s="1" t="n">
        <v>44362</v>
      </c>
      <c r="C571" s="1" t="n">
        <v>45998</v>
      </c>
      <c r="D571" t="inlineStr">
        <is>
          <t>VÄSTERNORRLANDS LÄN</t>
        </is>
      </c>
      <c r="E571" t="inlineStr">
        <is>
          <t>SOLLEFTEÅ</t>
        </is>
      </c>
      <c r="G571" t="n">
        <v>4</v>
      </c>
      <c r="H571" t="n">
        <v>0</v>
      </c>
      <c r="I571" t="n">
        <v>0</v>
      </c>
      <c r="J571" t="n">
        <v>0</v>
      </c>
      <c r="K571" t="n">
        <v>0</v>
      </c>
      <c r="L571" t="n">
        <v>0</v>
      </c>
      <c r="M571" t="n">
        <v>0</v>
      </c>
      <c r="N571" t="n">
        <v>0</v>
      </c>
      <c r="O571" t="n">
        <v>0</v>
      </c>
      <c r="P571" t="n">
        <v>0</v>
      </c>
      <c r="Q571" t="n">
        <v>0</v>
      </c>
      <c r="R571" s="2" t="inlineStr"/>
    </row>
    <row r="572" ht="15" customHeight="1">
      <c r="A572" t="inlineStr">
        <is>
          <t>A 12568-2022</t>
        </is>
      </c>
      <c r="B572" s="1" t="n">
        <v>44638.94277777777</v>
      </c>
      <c r="C572" s="1" t="n">
        <v>45998</v>
      </c>
      <c r="D572" t="inlineStr">
        <is>
          <t>VÄSTERNORRLANDS LÄN</t>
        </is>
      </c>
      <c r="E572" t="inlineStr">
        <is>
          <t>SOLLEFTEÅ</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40608-2022</t>
        </is>
      </c>
      <c r="B573" s="1" t="n">
        <v>44823.94972222222</v>
      </c>
      <c r="C573" s="1" t="n">
        <v>45998</v>
      </c>
      <c r="D573" t="inlineStr">
        <is>
          <t>VÄSTERNORRLANDS LÄN</t>
        </is>
      </c>
      <c r="E573" t="inlineStr">
        <is>
          <t>SOLLEFTEÅ</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12758-2022</t>
        </is>
      </c>
      <c r="B574" s="1" t="n">
        <v>44641</v>
      </c>
      <c r="C574" s="1" t="n">
        <v>45998</v>
      </c>
      <c r="D574" t="inlineStr">
        <is>
          <t>VÄSTERNORRLANDS LÄN</t>
        </is>
      </c>
      <c r="E574" t="inlineStr">
        <is>
          <t>SOLLEFTEÅ</t>
        </is>
      </c>
      <c r="G574" t="n">
        <v>0.1</v>
      </c>
      <c r="H574" t="n">
        <v>0</v>
      </c>
      <c r="I574" t="n">
        <v>0</v>
      </c>
      <c r="J574" t="n">
        <v>0</v>
      </c>
      <c r="K574" t="n">
        <v>0</v>
      </c>
      <c r="L574" t="n">
        <v>0</v>
      </c>
      <c r="M574" t="n">
        <v>0</v>
      </c>
      <c r="N574" t="n">
        <v>0</v>
      </c>
      <c r="O574" t="n">
        <v>0</v>
      </c>
      <c r="P574" t="n">
        <v>0</v>
      </c>
      <c r="Q574" t="n">
        <v>0</v>
      </c>
      <c r="R574" s="2" t="inlineStr"/>
    </row>
    <row r="575" ht="15" customHeight="1">
      <c r="A575" t="inlineStr">
        <is>
          <t>A 54573-2022</t>
        </is>
      </c>
      <c r="B575" s="1" t="n">
        <v>44882.95532407407</v>
      </c>
      <c r="C575" s="1" t="n">
        <v>45998</v>
      </c>
      <c r="D575" t="inlineStr">
        <is>
          <t>VÄSTERNORRLANDS LÄN</t>
        </is>
      </c>
      <c r="E575" t="inlineStr">
        <is>
          <t>SOLLEFTEÅ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45998</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18873-2021</t>
        </is>
      </c>
      <c r="B577" s="1" t="n">
        <v>44307.934375</v>
      </c>
      <c r="C577" s="1" t="n">
        <v>45998</v>
      </c>
      <c r="D577" t="inlineStr">
        <is>
          <t>VÄSTERNORRLANDS LÄN</t>
        </is>
      </c>
      <c r="E577" t="inlineStr">
        <is>
          <t>SOLLEFTEÅ</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50656-2022</t>
        </is>
      </c>
      <c r="B578" s="1" t="n">
        <v>44866</v>
      </c>
      <c r="C578" s="1" t="n">
        <v>45998</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25295-2022</t>
        </is>
      </c>
      <c r="B579" s="1" t="n">
        <v>44730.94094907407</v>
      </c>
      <c r="C579" s="1" t="n">
        <v>45998</v>
      </c>
      <c r="D579" t="inlineStr">
        <is>
          <t>VÄSTERNORRLANDS LÄN</t>
        </is>
      </c>
      <c r="E579" t="inlineStr">
        <is>
          <t>SOLLEFTEÅ</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45998</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25345-2021</t>
        </is>
      </c>
      <c r="B581" s="1" t="n">
        <v>44342</v>
      </c>
      <c r="C581" s="1" t="n">
        <v>45998</v>
      </c>
      <c r="D581" t="inlineStr">
        <is>
          <t>VÄSTERNORRLANDS LÄN</t>
        </is>
      </c>
      <c r="E581" t="inlineStr">
        <is>
          <t>SOLLEFTEÅ</t>
        </is>
      </c>
      <c r="G581" t="n">
        <v>0.2</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45998</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11133-2022</t>
        </is>
      </c>
      <c r="B583" s="1" t="n">
        <v>44628</v>
      </c>
      <c r="C583" s="1" t="n">
        <v>45998</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18570-2022</t>
        </is>
      </c>
      <c r="B584" s="1" t="n">
        <v>44686.94278935185</v>
      </c>
      <c r="C584" s="1" t="n">
        <v>45998</v>
      </c>
      <c r="D584" t="inlineStr">
        <is>
          <t>VÄSTERNORRLANDS LÄN</t>
        </is>
      </c>
      <c r="E584" t="inlineStr">
        <is>
          <t>SOLLEFTEÅ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68656-2020</t>
        </is>
      </c>
      <c r="B585" s="1" t="n">
        <v>44186</v>
      </c>
      <c r="C585" s="1" t="n">
        <v>45998</v>
      </c>
      <c r="D585" t="inlineStr">
        <is>
          <t>VÄSTERNORRLANDS LÄN</t>
        </is>
      </c>
      <c r="E585" t="inlineStr">
        <is>
          <t>SOLLEFTEÅ</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39947-2022</t>
        </is>
      </c>
      <c r="B586" s="1" t="n">
        <v>44819</v>
      </c>
      <c r="C586" s="1" t="n">
        <v>45998</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40610-2022</t>
        </is>
      </c>
      <c r="B587" s="1" t="n">
        <v>44823.94981481481</v>
      </c>
      <c r="C587" s="1" t="n">
        <v>45998</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45117-2022</t>
        </is>
      </c>
      <c r="B588" s="1" t="n">
        <v>44843.94648148148</v>
      </c>
      <c r="C588" s="1" t="n">
        <v>45998</v>
      </c>
      <c r="D588" t="inlineStr">
        <is>
          <t>VÄSTERNORRLANDS LÄN</t>
        </is>
      </c>
      <c r="E588" t="inlineStr">
        <is>
          <t>SOLLEFTEÅ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69916-2021</t>
        </is>
      </c>
      <c r="B589" s="1" t="n">
        <v>44532</v>
      </c>
      <c r="C589" s="1" t="n">
        <v>45998</v>
      </c>
      <c r="D589" t="inlineStr">
        <is>
          <t>VÄSTERNORRLANDS LÄN</t>
        </is>
      </c>
      <c r="E589" t="inlineStr">
        <is>
          <t>SOLLEFTEÅ</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69919-2021</t>
        </is>
      </c>
      <c r="B590" s="1" t="n">
        <v>44532.94325231481</v>
      </c>
      <c r="C590" s="1" t="n">
        <v>45998</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16088-2022</t>
        </is>
      </c>
      <c r="B591" s="1" t="n">
        <v>44665</v>
      </c>
      <c r="C591" s="1" t="n">
        <v>45998</v>
      </c>
      <c r="D591" t="inlineStr">
        <is>
          <t>VÄSTERNORRLANDS LÄN</t>
        </is>
      </c>
      <c r="E591" t="inlineStr">
        <is>
          <t>SOLLEFTEÅ</t>
        </is>
      </c>
      <c r="F591" t="inlineStr">
        <is>
          <t>Holmen skog AB</t>
        </is>
      </c>
      <c r="G591" t="n">
        <v>0.5</v>
      </c>
      <c r="H591" t="n">
        <v>0</v>
      </c>
      <c r="I591" t="n">
        <v>0</v>
      </c>
      <c r="J591" t="n">
        <v>0</v>
      </c>
      <c r="K591" t="n">
        <v>0</v>
      </c>
      <c r="L591" t="n">
        <v>0</v>
      </c>
      <c r="M591" t="n">
        <v>0</v>
      </c>
      <c r="N591" t="n">
        <v>0</v>
      </c>
      <c r="O591" t="n">
        <v>0</v>
      </c>
      <c r="P591" t="n">
        <v>0</v>
      </c>
      <c r="Q591" t="n">
        <v>0</v>
      </c>
      <c r="R591" s="2" t="inlineStr"/>
    </row>
    <row r="592" ht="15" customHeight="1">
      <c r="A592" t="inlineStr">
        <is>
          <t>A 11677-2022</t>
        </is>
      </c>
      <c r="B592" s="1" t="n">
        <v>44633</v>
      </c>
      <c r="C592" s="1" t="n">
        <v>45998</v>
      </c>
      <c r="D592" t="inlineStr">
        <is>
          <t>VÄSTERNORRLANDS LÄN</t>
        </is>
      </c>
      <c r="E592" t="inlineStr">
        <is>
          <t>SOLLEFTEÅ</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54146-2021</t>
        </is>
      </c>
      <c r="B593" s="1" t="n">
        <v>44469</v>
      </c>
      <c r="C593" s="1" t="n">
        <v>45998</v>
      </c>
      <c r="D593" t="inlineStr">
        <is>
          <t>VÄSTERNORRLANDS LÄN</t>
        </is>
      </c>
      <c r="E593" t="inlineStr">
        <is>
          <t>SOLLEFTEÅ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37242-2022</t>
        </is>
      </c>
      <c r="B594" s="1" t="n">
        <v>44806.94675925926</v>
      </c>
      <c r="C594" s="1" t="n">
        <v>45998</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9586-2022</t>
        </is>
      </c>
      <c r="B595" s="1" t="n">
        <v>44617</v>
      </c>
      <c r="C595" s="1" t="n">
        <v>45998</v>
      </c>
      <c r="D595" t="inlineStr">
        <is>
          <t>VÄSTERNORRLANDS LÄN</t>
        </is>
      </c>
      <c r="E595" t="inlineStr">
        <is>
          <t>SOLLEFTEÅ</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272-2021</t>
        </is>
      </c>
      <c r="B596" s="1" t="n">
        <v>44200</v>
      </c>
      <c r="C596" s="1" t="n">
        <v>45998</v>
      </c>
      <c r="D596" t="inlineStr">
        <is>
          <t>VÄSTERNORRLANDS LÄN</t>
        </is>
      </c>
      <c r="E596" t="inlineStr">
        <is>
          <t>SOLLEFTEÅ</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11653-2022</t>
        </is>
      </c>
      <c r="B597" s="1" t="n">
        <v>44631</v>
      </c>
      <c r="C597" s="1" t="n">
        <v>45998</v>
      </c>
      <c r="D597" t="inlineStr">
        <is>
          <t>VÄSTERNORRLANDS LÄN</t>
        </is>
      </c>
      <c r="E597" t="inlineStr">
        <is>
          <t>SOLLEFTEÅ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43220-2021</t>
        </is>
      </c>
      <c r="B598" s="1" t="n">
        <v>44431.9378125</v>
      </c>
      <c r="C598" s="1" t="n">
        <v>45998</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45998</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15241-2022</t>
        </is>
      </c>
      <c r="B600" s="1" t="n">
        <v>44658.9375</v>
      </c>
      <c r="C600" s="1" t="n">
        <v>45998</v>
      </c>
      <c r="D600" t="inlineStr">
        <is>
          <t>VÄSTERNORRLANDS LÄN</t>
        </is>
      </c>
      <c r="E600" t="inlineStr">
        <is>
          <t>SOLLEFTEÅ</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22447-2021</t>
        </is>
      </c>
      <c r="B601" s="1" t="n">
        <v>44323</v>
      </c>
      <c r="C601" s="1" t="n">
        <v>45998</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45998</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51020-2021</t>
        </is>
      </c>
      <c r="B603" s="1" t="n">
        <v>44460</v>
      </c>
      <c r="C603" s="1" t="n">
        <v>45998</v>
      </c>
      <c r="D603" t="inlineStr">
        <is>
          <t>VÄSTERNORRLANDS LÄN</t>
        </is>
      </c>
      <c r="E603" t="inlineStr">
        <is>
          <t>SOLLEFTEÅ</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44042-2022</t>
        </is>
      </c>
      <c r="B604" s="1" t="n">
        <v>44838.94877314815</v>
      </c>
      <c r="C604" s="1" t="n">
        <v>45998</v>
      </c>
      <c r="D604" t="inlineStr">
        <is>
          <t>VÄSTERNORRLANDS LÄN</t>
        </is>
      </c>
      <c r="E604" t="inlineStr">
        <is>
          <t>SOLLEFTEÅ</t>
        </is>
      </c>
      <c r="F604" t="inlineStr">
        <is>
          <t>SCA</t>
        </is>
      </c>
      <c r="G604" t="n">
        <v>5.6</v>
      </c>
      <c r="H604" t="n">
        <v>0</v>
      </c>
      <c r="I604" t="n">
        <v>0</v>
      </c>
      <c r="J604" t="n">
        <v>0</v>
      </c>
      <c r="K604" t="n">
        <v>0</v>
      </c>
      <c r="L604" t="n">
        <v>0</v>
      </c>
      <c r="M604" t="n">
        <v>0</v>
      </c>
      <c r="N604" t="n">
        <v>0</v>
      </c>
      <c r="O604" t="n">
        <v>0</v>
      </c>
      <c r="P604" t="n">
        <v>0</v>
      </c>
      <c r="Q604" t="n">
        <v>0</v>
      </c>
      <c r="R604" s="2" t="inlineStr"/>
    </row>
    <row r="605" ht="15" customHeight="1">
      <c r="A605" t="inlineStr">
        <is>
          <t>A 31452-2022</t>
        </is>
      </c>
      <c r="B605" s="1" t="n">
        <v>44774.9415162037</v>
      </c>
      <c r="C605" s="1" t="n">
        <v>45998</v>
      </c>
      <c r="D605" t="inlineStr">
        <is>
          <t>VÄSTERNORRLANDS LÄN</t>
        </is>
      </c>
      <c r="E605" t="inlineStr">
        <is>
          <t>SOLLEFTEÅ</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20702-2022</t>
        </is>
      </c>
      <c r="B606" s="1" t="n">
        <v>44700.92697916667</v>
      </c>
      <c r="C606" s="1" t="n">
        <v>45998</v>
      </c>
      <c r="D606" t="inlineStr">
        <is>
          <t>VÄSTERNORRLANDS LÄN</t>
        </is>
      </c>
      <c r="E606" t="inlineStr">
        <is>
          <t>SOLLEFTEÅ</t>
        </is>
      </c>
      <c r="G606" t="n">
        <v>5.1</v>
      </c>
      <c r="H606" t="n">
        <v>0</v>
      </c>
      <c r="I606" t="n">
        <v>0</v>
      </c>
      <c r="J606" t="n">
        <v>0</v>
      </c>
      <c r="K606" t="n">
        <v>0</v>
      </c>
      <c r="L606" t="n">
        <v>0</v>
      </c>
      <c r="M606" t="n">
        <v>0</v>
      </c>
      <c r="N606" t="n">
        <v>0</v>
      </c>
      <c r="O606" t="n">
        <v>0</v>
      </c>
      <c r="P606" t="n">
        <v>0</v>
      </c>
      <c r="Q606" t="n">
        <v>0</v>
      </c>
      <c r="R606" s="2" t="inlineStr"/>
    </row>
    <row r="607" ht="15" customHeight="1">
      <c r="A607" t="inlineStr">
        <is>
          <t>A 54249-2022</t>
        </is>
      </c>
      <c r="B607" s="1" t="n">
        <v>44881.95111111111</v>
      </c>
      <c r="C607" s="1" t="n">
        <v>45998</v>
      </c>
      <c r="D607" t="inlineStr">
        <is>
          <t>VÄSTERNORRLANDS LÄN</t>
        </is>
      </c>
      <c r="E607" t="inlineStr">
        <is>
          <t>SOLLEFTEÅ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31444-2022</t>
        </is>
      </c>
      <c r="B608" s="1" t="n">
        <v>44774</v>
      </c>
      <c r="C608" s="1" t="n">
        <v>45998</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20062-2022</t>
        </is>
      </c>
      <c r="B609" s="1" t="n">
        <v>44697</v>
      </c>
      <c r="C609" s="1" t="n">
        <v>45998</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46058-2021</t>
        </is>
      </c>
      <c r="B610" s="1" t="n">
        <v>44441.94364583334</v>
      </c>
      <c r="C610" s="1" t="n">
        <v>45998</v>
      </c>
      <c r="D610" t="inlineStr">
        <is>
          <t>VÄSTERNORRLANDS LÄN</t>
        </is>
      </c>
      <c r="E610" t="inlineStr">
        <is>
          <t>SOLLEFTEÅ</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60324-2021</t>
        </is>
      </c>
      <c r="B611" s="1" t="n">
        <v>44495.94048611111</v>
      </c>
      <c r="C611" s="1" t="n">
        <v>45998</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27926-2022</t>
        </is>
      </c>
      <c r="B612" s="1" t="n">
        <v>44743</v>
      </c>
      <c r="C612" s="1" t="n">
        <v>45998</v>
      </c>
      <c r="D612" t="inlineStr">
        <is>
          <t>VÄSTERNORRLANDS LÄN</t>
        </is>
      </c>
      <c r="E612" t="inlineStr">
        <is>
          <t>SOLLEFTEÅ</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19510-2021</t>
        </is>
      </c>
      <c r="B613" s="1" t="n">
        <v>44308</v>
      </c>
      <c r="C613" s="1" t="n">
        <v>45998</v>
      </c>
      <c r="D613" t="inlineStr">
        <is>
          <t>VÄSTERNORRLANDS LÄN</t>
        </is>
      </c>
      <c r="E613" t="inlineStr">
        <is>
          <t>SOLLEFTEÅ</t>
        </is>
      </c>
      <c r="F613" t="inlineStr">
        <is>
          <t>Kyrkan</t>
        </is>
      </c>
      <c r="G613" t="n">
        <v>19.6</v>
      </c>
      <c r="H613" t="n">
        <v>0</v>
      </c>
      <c r="I613" t="n">
        <v>0</v>
      </c>
      <c r="J613" t="n">
        <v>0</v>
      </c>
      <c r="K613" t="n">
        <v>0</v>
      </c>
      <c r="L613" t="n">
        <v>0</v>
      </c>
      <c r="M613" t="n">
        <v>0</v>
      </c>
      <c r="N613" t="n">
        <v>0</v>
      </c>
      <c r="O613" t="n">
        <v>0</v>
      </c>
      <c r="P613" t="n">
        <v>0</v>
      </c>
      <c r="Q613" t="n">
        <v>0</v>
      </c>
      <c r="R613" s="2" t="inlineStr"/>
    </row>
    <row r="614" ht="15" customHeight="1">
      <c r="A614" t="inlineStr">
        <is>
          <t>A 29292-2022</t>
        </is>
      </c>
      <c r="B614" s="1" t="n">
        <v>44750</v>
      </c>
      <c r="C614" s="1" t="n">
        <v>45998</v>
      </c>
      <c r="D614" t="inlineStr">
        <is>
          <t>VÄSTERNORRLANDS LÄN</t>
        </is>
      </c>
      <c r="E614" t="inlineStr">
        <is>
          <t>SOLLEFTEÅ</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41334-2021</t>
        </is>
      </c>
      <c r="B615" s="1" t="n">
        <v>44424</v>
      </c>
      <c r="C615" s="1" t="n">
        <v>45998</v>
      </c>
      <c r="D615" t="inlineStr">
        <is>
          <t>VÄSTERNORRLANDS LÄN</t>
        </is>
      </c>
      <c r="E615" t="inlineStr">
        <is>
          <t>SOLLEFTEÅ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22224-2021</t>
        </is>
      </c>
      <c r="B616" s="1" t="n">
        <v>44326</v>
      </c>
      <c r="C616" s="1" t="n">
        <v>45998</v>
      </c>
      <c r="D616" t="inlineStr">
        <is>
          <t>VÄSTERNORRLANDS LÄN</t>
        </is>
      </c>
      <c r="E616" t="inlineStr">
        <is>
          <t>SOLLEFTEÅ</t>
        </is>
      </c>
      <c r="F616" t="inlineStr">
        <is>
          <t>Kommuner</t>
        </is>
      </c>
      <c r="G616" t="n">
        <v>2.3</v>
      </c>
      <c r="H616" t="n">
        <v>0</v>
      </c>
      <c r="I616" t="n">
        <v>0</v>
      </c>
      <c r="J616" t="n">
        <v>0</v>
      </c>
      <c r="K616" t="n">
        <v>0</v>
      </c>
      <c r="L616" t="n">
        <v>0</v>
      </c>
      <c r="M616" t="n">
        <v>0</v>
      </c>
      <c r="N616" t="n">
        <v>0</v>
      </c>
      <c r="O616" t="n">
        <v>0</v>
      </c>
      <c r="P616" t="n">
        <v>0</v>
      </c>
      <c r="Q616" t="n">
        <v>0</v>
      </c>
      <c r="R616" s="2" t="inlineStr"/>
    </row>
    <row r="617" ht="15" customHeight="1">
      <c r="A617" t="inlineStr">
        <is>
          <t>A 20950-2022</t>
        </is>
      </c>
      <c r="B617" s="1" t="n">
        <v>44701</v>
      </c>
      <c r="C617" s="1" t="n">
        <v>45998</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59309-2021</t>
        </is>
      </c>
      <c r="B618" s="1" t="n">
        <v>44490.93883101852</v>
      </c>
      <c r="C618" s="1" t="n">
        <v>45998</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22342-2022</t>
        </is>
      </c>
      <c r="B619" s="1" t="n">
        <v>44712.94203703704</v>
      </c>
      <c r="C619" s="1" t="n">
        <v>45998</v>
      </c>
      <c r="D619" t="inlineStr">
        <is>
          <t>VÄSTERNORRLANDS LÄN</t>
        </is>
      </c>
      <c r="E619" t="inlineStr">
        <is>
          <t>SOLLEFTEÅ</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55898-2022</t>
        </is>
      </c>
      <c r="B620" s="1" t="n">
        <v>44888.95342592592</v>
      </c>
      <c r="C620" s="1" t="n">
        <v>45998</v>
      </c>
      <c r="D620" t="inlineStr">
        <is>
          <t>VÄSTERNORRLANDS LÄN</t>
        </is>
      </c>
      <c r="E620" t="inlineStr">
        <is>
          <t>SOLLEFTEÅ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37826-2022</t>
        </is>
      </c>
      <c r="B621" s="1" t="n">
        <v>44810.94175925926</v>
      </c>
      <c r="C621" s="1" t="n">
        <v>45998</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16083-2022</t>
        </is>
      </c>
      <c r="B622" s="1" t="n">
        <v>44665</v>
      </c>
      <c r="C622" s="1" t="n">
        <v>45998</v>
      </c>
      <c r="D622" t="inlineStr">
        <is>
          <t>VÄSTERNORRLANDS LÄN</t>
        </is>
      </c>
      <c r="E622" t="inlineStr">
        <is>
          <t>SOLLEFTEÅ</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33077-2022</t>
        </is>
      </c>
      <c r="B623" s="1" t="n">
        <v>44785</v>
      </c>
      <c r="C623" s="1" t="n">
        <v>45998</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45973-2023</t>
        </is>
      </c>
      <c r="B624" s="1" t="n">
        <v>45195</v>
      </c>
      <c r="C624" s="1" t="n">
        <v>45998</v>
      </c>
      <c r="D624" t="inlineStr">
        <is>
          <t>VÄSTERNORRLANDS LÄN</t>
        </is>
      </c>
      <c r="E624" t="inlineStr">
        <is>
          <t>SOLLEFTEÅ</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14712-2025</t>
        </is>
      </c>
      <c r="B625" s="1" t="n">
        <v>45742.61008101852</v>
      </c>
      <c r="C625" s="1" t="n">
        <v>45998</v>
      </c>
      <c r="D625" t="inlineStr">
        <is>
          <t>VÄSTERNORRLANDS LÄN</t>
        </is>
      </c>
      <c r="E625" t="inlineStr">
        <is>
          <t>SOLLEFTEÅ</t>
        </is>
      </c>
      <c r="G625" t="n">
        <v>4.5</v>
      </c>
      <c r="H625" t="n">
        <v>0</v>
      </c>
      <c r="I625" t="n">
        <v>0</v>
      </c>
      <c r="J625" t="n">
        <v>0</v>
      </c>
      <c r="K625" t="n">
        <v>0</v>
      </c>
      <c r="L625" t="n">
        <v>0</v>
      </c>
      <c r="M625" t="n">
        <v>0</v>
      </c>
      <c r="N625" t="n">
        <v>0</v>
      </c>
      <c r="O625" t="n">
        <v>0</v>
      </c>
      <c r="P625" t="n">
        <v>0</v>
      </c>
      <c r="Q625" t="n">
        <v>0</v>
      </c>
      <c r="R625" s="2" t="inlineStr"/>
    </row>
    <row r="626" ht="15" customHeight="1">
      <c r="A626" t="inlineStr">
        <is>
          <t>A 19682-2025</t>
        </is>
      </c>
      <c r="B626" s="1" t="n">
        <v>45770.85163194445</v>
      </c>
      <c r="C626" s="1" t="n">
        <v>45998</v>
      </c>
      <c r="D626" t="inlineStr">
        <is>
          <t>VÄSTERNORRLANDS LÄN</t>
        </is>
      </c>
      <c r="E626" t="inlineStr">
        <is>
          <t>SOLLEFTEÅ</t>
        </is>
      </c>
      <c r="G626" t="n">
        <v>2.7</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45998</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45998</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45998</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45998</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52136-2023</t>
        </is>
      </c>
      <c r="B631" s="1" t="n">
        <v>45223.96625</v>
      </c>
      <c r="C631" s="1" t="n">
        <v>45998</v>
      </c>
      <c r="D631" t="inlineStr">
        <is>
          <t>VÄSTERNORRLANDS LÄN</t>
        </is>
      </c>
      <c r="E631" t="inlineStr">
        <is>
          <t>SOLLEFTEÅ</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31477-2024</t>
        </is>
      </c>
      <c r="B632" s="1" t="n">
        <v>45505</v>
      </c>
      <c r="C632" s="1" t="n">
        <v>45998</v>
      </c>
      <c r="D632" t="inlineStr">
        <is>
          <t>VÄSTERNORRLANDS LÄN</t>
        </is>
      </c>
      <c r="E632" t="inlineStr">
        <is>
          <t>SOLLEFTEÅ</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18761-2023</t>
        </is>
      </c>
      <c r="B633" s="1" t="n">
        <v>45043</v>
      </c>
      <c r="C633" s="1" t="n">
        <v>45998</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18762-2023</t>
        </is>
      </c>
      <c r="B634" s="1" t="n">
        <v>45043</v>
      </c>
      <c r="C634" s="1" t="n">
        <v>45998</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4131-2025</t>
        </is>
      </c>
      <c r="B635" s="1" t="n">
        <v>45685.34508101852</v>
      </c>
      <c r="C635" s="1" t="n">
        <v>45998</v>
      </c>
      <c r="D635" t="inlineStr">
        <is>
          <t>VÄSTERNORRLANDS LÄN</t>
        </is>
      </c>
      <c r="E635" t="inlineStr">
        <is>
          <t>SOLLEFTEÅ</t>
        </is>
      </c>
      <c r="G635" t="n">
        <v>3.4</v>
      </c>
      <c r="H635" t="n">
        <v>0</v>
      </c>
      <c r="I635" t="n">
        <v>0</v>
      </c>
      <c r="J635" t="n">
        <v>0</v>
      </c>
      <c r="K635" t="n">
        <v>0</v>
      </c>
      <c r="L635" t="n">
        <v>0</v>
      </c>
      <c r="M635" t="n">
        <v>0</v>
      </c>
      <c r="N635" t="n">
        <v>0</v>
      </c>
      <c r="O635" t="n">
        <v>0</v>
      </c>
      <c r="P635" t="n">
        <v>0</v>
      </c>
      <c r="Q635" t="n">
        <v>0</v>
      </c>
      <c r="R635" s="2" t="inlineStr"/>
    </row>
    <row r="636" ht="15" customHeight="1">
      <c r="A636" t="inlineStr">
        <is>
          <t>A 1480-2025</t>
        </is>
      </c>
      <c r="B636" s="1" t="n">
        <v>45670.38575231482</v>
      </c>
      <c r="C636" s="1" t="n">
        <v>45998</v>
      </c>
      <c r="D636" t="inlineStr">
        <is>
          <t>VÄSTERNORRLANDS LÄN</t>
        </is>
      </c>
      <c r="E636" t="inlineStr">
        <is>
          <t>SOLLEFTEÅ</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13315-2025</t>
        </is>
      </c>
      <c r="B637" s="1" t="n">
        <v>45735.59418981482</v>
      </c>
      <c r="C637" s="1" t="n">
        <v>45998</v>
      </c>
      <c r="D637" t="inlineStr">
        <is>
          <t>VÄSTERNORRLANDS LÄN</t>
        </is>
      </c>
      <c r="E637" t="inlineStr">
        <is>
          <t>SOLLEFTEÅ</t>
        </is>
      </c>
      <c r="F637" t="inlineStr">
        <is>
          <t>SCA</t>
        </is>
      </c>
      <c r="G637" t="n">
        <v>7.2</v>
      </c>
      <c r="H637" t="n">
        <v>0</v>
      </c>
      <c r="I637" t="n">
        <v>0</v>
      </c>
      <c r="J637" t="n">
        <v>0</v>
      </c>
      <c r="K637" t="n">
        <v>0</v>
      </c>
      <c r="L637" t="n">
        <v>0</v>
      </c>
      <c r="M637" t="n">
        <v>0</v>
      </c>
      <c r="N637" t="n">
        <v>0</v>
      </c>
      <c r="O637" t="n">
        <v>0</v>
      </c>
      <c r="P637" t="n">
        <v>0</v>
      </c>
      <c r="Q637" t="n">
        <v>0</v>
      </c>
      <c r="R637" s="2" t="inlineStr"/>
    </row>
    <row r="638" ht="15" customHeight="1">
      <c r="A638" t="inlineStr">
        <is>
          <t>A 29336-2023</t>
        </is>
      </c>
      <c r="B638" s="1" t="n">
        <v>45105</v>
      </c>
      <c r="C638" s="1" t="n">
        <v>45998</v>
      </c>
      <c r="D638" t="inlineStr">
        <is>
          <t>VÄSTERNORRLANDS LÄN</t>
        </is>
      </c>
      <c r="E638" t="inlineStr">
        <is>
          <t>SOLLEFTEÅ</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14731-2025</t>
        </is>
      </c>
      <c r="B639" s="1" t="n">
        <v>45742.6360300926</v>
      </c>
      <c r="C639" s="1" t="n">
        <v>45998</v>
      </c>
      <c r="D639" t="inlineStr">
        <is>
          <t>VÄSTERNORRLANDS LÄN</t>
        </is>
      </c>
      <c r="E639" t="inlineStr">
        <is>
          <t>SOLLEFTEÅ</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14889-2025</t>
        </is>
      </c>
      <c r="B640" s="1" t="n">
        <v>45743.46898148148</v>
      </c>
      <c r="C640" s="1" t="n">
        <v>45998</v>
      </c>
      <c r="D640" t="inlineStr">
        <is>
          <t>VÄSTERNORRLANDS LÄN</t>
        </is>
      </c>
      <c r="E640" t="inlineStr">
        <is>
          <t>SOLLEFTEÅ</t>
        </is>
      </c>
      <c r="G640" t="n">
        <v>5.8</v>
      </c>
      <c r="H640" t="n">
        <v>0</v>
      </c>
      <c r="I640" t="n">
        <v>0</v>
      </c>
      <c r="J640" t="n">
        <v>0</v>
      </c>
      <c r="K640" t="n">
        <v>0</v>
      </c>
      <c r="L640" t="n">
        <v>0</v>
      </c>
      <c r="M640" t="n">
        <v>0</v>
      </c>
      <c r="N640" t="n">
        <v>0</v>
      </c>
      <c r="O640" t="n">
        <v>0</v>
      </c>
      <c r="P640" t="n">
        <v>0</v>
      </c>
      <c r="Q640" t="n">
        <v>0</v>
      </c>
      <c r="R640" s="2" t="inlineStr"/>
    </row>
    <row r="641" ht="15" customHeight="1">
      <c r="A641" t="inlineStr">
        <is>
          <t>A 45958-2023</t>
        </is>
      </c>
      <c r="B641" s="1" t="n">
        <v>45195</v>
      </c>
      <c r="C641" s="1" t="n">
        <v>45998</v>
      </c>
      <c r="D641" t="inlineStr">
        <is>
          <t>VÄSTERNORRLANDS LÄN</t>
        </is>
      </c>
      <c r="E641" t="inlineStr">
        <is>
          <t>SOLLEFTEÅ</t>
        </is>
      </c>
      <c r="F641" t="inlineStr">
        <is>
          <t>SCA</t>
        </is>
      </c>
      <c r="G641" t="n">
        <v>9.9</v>
      </c>
      <c r="H641" t="n">
        <v>0</v>
      </c>
      <c r="I641" t="n">
        <v>0</v>
      </c>
      <c r="J641" t="n">
        <v>0</v>
      </c>
      <c r="K641" t="n">
        <v>0</v>
      </c>
      <c r="L641" t="n">
        <v>0</v>
      </c>
      <c r="M641" t="n">
        <v>0</v>
      </c>
      <c r="N641" t="n">
        <v>0</v>
      </c>
      <c r="O641" t="n">
        <v>0</v>
      </c>
      <c r="P641" t="n">
        <v>0</v>
      </c>
      <c r="Q641" t="n">
        <v>0</v>
      </c>
      <c r="R641" s="2" t="inlineStr"/>
    </row>
    <row r="642" ht="15" customHeight="1">
      <c r="A642" t="inlineStr">
        <is>
          <t>A 9557-2024</t>
        </is>
      </c>
      <c r="B642" s="1" t="n">
        <v>45360</v>
      </c>
      <c r="C642" s="1" t="n">
        <v>45998</v>
      </c>
      <c r="D642" t="inlineStr">
        <is>
          <t>VÄSTERNORRLANDS LÄN</t>
        </is>
      </c>
      <c r="E642" t="inlineStr">
        <is>
          <t>SOLLEFTEÅ</t>
        </is>
      </c>
      <c r="F642" t="inlineStr">
        <is>
          <t>SCA</t>
        </is>
      </c>
      <c r="G642" t="n">
        <v>7.4</v>
      </c>
      <c r="H642" t="n">
        <v>0</v>
      </c>
      <c r="I642" t="n">
        <v>0</v>
      </c>
      <c r="J642" t="n">
        <v>0</v>
      </c>
      <c r="K642" t="n">
        <v>0</v>
      </c>
      <c r="L642" t="n">
        <v>0</v>
      </c>
      <c r="M642" t="n">
        <v>0</v>
      </c>
      <c r="N642" t="n">
        <v>0</v>
      </c>
      <c r="O642" t="n">
        <v>0</v>
      </c>
      <c r="P642" t="n">
        <v>0</v>
      </c>
      <c r="Q642" t="n">
        <v>0</v>
      </c>
      <c r="R642" s="2" t="inlineStr"/>
    </row>
    <row r="643" ht="15" customHeight="1">
      <c r="A643" t="inlineStr">
        <is>
          <t>A 31005-2022</t>
        </is>
      </c>
      <c r="B643" s="1" t="n">
        <v>44768</v>
      </c>
      <c r="C643" s="1" t="n">
        <v>45998</v>
      </c>
      <c r="D643" t="inlineStr">
        <is>
          <t>VÄSTERNORRLANDS LÄN</t>
        </is>
      </c>
      <c r="E643" t="inlineStr">
        <is>
          <t>SOLLEFTEÅ</t>
        </is>
      </c>
      <c r="G643" t="n">
        <v>1.3</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45998</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5034-2024</t>
        </is>
      </c>
      <c r="B645" s="1" t="n">
        <v>45329.86893518519</v>
      </c>
      <c r="C645" s="1" t="n">
        <v>45998</v>
      </c>
      <c r="D645" t="inlineStr">
        <is>
          <t>VÄSTERNORRLANDS LÄN</t>
        </is>
      </c>
      <c r="E645" t="inlineStr">
        <is>
          <t>SOLLEFTEÅ</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66178-2021</t>
        </is>
      </c>
      <c r="B646" s="1" t="n">
        <v>44517</v>
      </c>
      <c r="C646" s="1" t="n">
        <v>45998</v>
      </c>
      <c r="D646" t="inlineStr">
        <is>
          <t>VÄSTERNORRLANDS LÄN</t>
        </is>
      </c>
      <c r="E646" t="inlineStr">
        <is>
          <t>SOLLEFTEÅ</t>
        </is>
      </c>
      <c r="F646" t="inlineStr">
        <is>
          <t>SCA</t>
        </is>
      </c>
      <c r="G646" t="n">
        <v>31.7</v>
      </c>
      <c r="H646" t="n">
        <v>0</v>
      </c>
      <c r="I646" t="n">
        <v>0</v>
      </c>
      <c r="J646" t="n">
        <v>0</v>
      </c>
      <c r="K646" t="n">
        <v>0</v>
      </c>
      <c r="L646" t="n">
        <v>0</v>
      </c>
      <c r="M646" t="n">
        <v>0</v>
      </c>
      <c r="N646" t="n">
        <v>0</v>
      </c>
      <c r="O646" t="n">
        <v>0</v>
      </c>
      <c r="P646" t="n">
        <v>0</v>
      </c>
      <c r="Q646" t="n">
        <v>0</v>
      </c>
      <c r="R646" s="2" t="inlineStr"/>
    </row>
    <row r="647" ht="15" customHeight="1">
      <c r="A647" t="inlineStr">
        <is>
          <t>A 18456-2023</t>
        </is>
      </c>
      <c r="B647" s="1" t="n">
        <v>45041</v>
      </c>
      <c r="C647" s="1" t="n">
        <v>45998</v>
      </c>
      <c r="D647" t="inlineStr">
        <is>
          <t>VÄSTERNORRLANDS LÄN</t>
        </is>
      </c>
      <c r="E647" t="inlineStr">
        <is>
          <t>SOLLEFTEÅ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62260-2022</t>
        </is>
      </c>
      <c r="B648" s="1" t="n">
        <v>44922.94366898148</v>
      </c>
      <c r="C648" s="1" t="n">
        <v>45998</v>
      </c>
      <c r="D648" t="inlineStr">
        <is>
          <t>VÄSTERNORRLANDS LÄN</t>
        </is>
      </c>
      <c r="E648" t="inlineStr">
        <is>
          <t>SOLLEFTEÅ</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23445-2022</t>
        </is>
      </c>
      <c r="B649" s="1" t="n">
        <v>44720.94123842593</v>
      </c>
      <c r="C649" s="1" t="n">
        <v>45998</v>
      </c>
      <c r="D649" t="inlineStr">
        <is>
          <t>VÄSTERNORRLANDS LÄN</t>
        </is>
      </c>
      <c r="E649" t="inlineStr">
        <is>
          <t>SOLLEFTEÅ</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5254-2024</t>
        </is>
      </c>
      <c r="B650" s="1" t="n">
        <v>45330</v>
      </c>
      <c r="C650" s="1" t="n">
        <v>45998</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43512-2023</t>
        </is>
      </c>
      <c r="B651" s="1" t="n">
        <v>45181</v>
      </c>
      <c r="C651" s="1" t="n">
        <v>45998</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23286-2023</t>
        </is>
      </c>
      <c r="B652" s="1" t="n">
        <v>45075</v>
      </c>
      <c r="C652" s="1" t="n">
        <v>45998</v>
      </c>
      <c r="D652" t="inlineStr">
        <is>
          <t>VÄSTERNORRLANDS LÄN</t>
        </is>
      </c>
      <c r="E652" t="inlineStr">
        <is>
          <t>SOLLEFTEÅ</t>
        </is>
      </c>
      <c r="G652" t="n">
        <v>0.1</v>
      </c>
      <c r="H652" t="n">
        <v>0</v>
      </c>
      <c r="I652" t="n">
        <v>0</v>
      </c>
      <c r="J652" t="n">
        <v>0</v>
      </c>
      <c r="K652" t="n">
        <v>0</v>
      </c>
      <c r="L652" t="n">
        <v>0</v>
      </c>
      <c r="M652" t="n">
        <v>0</v>
      </c>
      <c r="N652" t="n">
        <v>0</v>
      </c>
      <c r="O652" t="n">
        <v>0</v>
      </c>
      <c r="P652" t="n">
        <v>0</v>
      </c>
      <c r="Q652" t="n">
        <v>0</v>
      </c>
      <c r="R652" s="2" t="inlineStr"/>
    </row>
    <row r="653" ht="15" customHeight="1">
      <c r="A653" t="inlineStr">
        <is>
          <t>A 23288-2023</t>
        </is>
      </c>
      <c r="B653" s="1" t="n">
        <v>45075</v>
      </c>
      <c r="C653" s="1" t="n">
        <v>45998</v>
      </c>
      <c r="D653" t="inlineStr">
        <is>
          <t>VÄSTERNORRLANDS LÄN</t>
        </is>
      </c>
      <c r="E653" t="inlineStr">
        <is>
          <t>SOLLEFTEÅ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48296-2022</t>
        </is>
      </c>
      <c r="B654" s="1" t="n">
        <v>44858.51815972223</v>
      </c>
      <c r="C654" s="1" t="n">
        <v>45998</v>
      </c>
      <c r="D654" t="inlineStr">
        <is>
          <t>VÄSTERNORRLANDS LÄN</t>
        </is>
      </c>
      <c r="E654" t="inlineStr">
        <is>
          <t>SOLLEFTEÅ</t>
        </is>
      </c>
      <c r="G654" t="n">
        <v>3.1</v>
      </c>
      <c r="H654" t="n">
        <v>0</v>
      </c>
      <c r="I654" t="n">
        <v>0</v>
      </c>
      <c r="J654" t="n">
        <v>0</v>
      </c>
      <c r="K654" t="n">
        <v>0</v>
      </c>
      <c r="L654" t="n">
        <v>0</v>
      </c>
      <c r="M654" t="n">
        <v>0</v>
      </c>
      <c r="N654" t="n">
        <v>0</v>
      </c>
      <c r="O654" t="n">
        <v>0</v>
      </c>
      <c r="P654" t="n">
        <v>0</v>
      </c>
      <c r="Q654" t="n">
        <v>0</v>
      </c>
      <c r="R654" s="2" t="inlineStr"/>
    </row>
    <row r="655" ht="15" customHeight="1">
      <c r="A655" t="inlineStr">
        <is>
          <t>A 23289-2023</t>
        </is>
      </c>
      <c r="B655" s="1" t="n">
        <v>45075</v>
      </c>
      <c r="C655" s="1" t="n">
        <v>45998</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18459-2021</t>
        </is>
      </c>
      <c r="B656" s="1" t="n">
        <v>44305.93701388889</v>
      </c>
      <c r="C656" s="1" t="n">
        <v>45998</v>
      </c>
      <c r="D656" t="inlineStr">
        <is>
          <t>VÄSTERNORRLANDS LÄN</t>
        </is>
      </c>
      <c r="E656" t="inlineStr">
        <is>
          <t>SOLLEFTEÅ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5874-2024</t>
        </is>
      </c>
      <c r="B657" s="1" t="n">
        <v>45335.6615625</v>
      </c>
      <c r="C657" s="1" t="n">
        <v>45998</v>
      </c>
      <c r="D657" t="inlineStr">
        <is>
          <t>VÄSTERNORRLANDS LÄN</t>
        </is>
      </c>
      <c r="E657" t="inlineStr">
        <is>
          <t>SOLLEFTEÅ</t>
        </is>
      </c>
      <c r="F657" t="inlineStr">
        <is>
          <t>Övriga Aktiebolag</t>
        </is>
      </c>
      <c r="G657" t="n">
        <v>5.3</v>
      </c>
      <c r="H657" t="n">
        <v>0</v>
      </c>
      <c r="I657" t="n">
        <v>0</v>
      </c>
      <c r="J657" t="n">
        <v>0</v>
      </c>
      <c r="K657" t="n">
        <v>0</v>
      </c>
      <c r="L657" t="n">
        <v>0</v>
      </c>
      <c r="M657" t="n">
        <v>0</v>
      </c>
      <c r="N657" t="n">
        <v>0</v>
      </c>
      <c r="O657" t="n">
        <v>0</v>
      </c>
      <c r="P657" t="n">
        <v>0</v>
      </c>
      <c r="Q657" t="n">
        <v>0</v>
      </c>
      <c r="R657" s="2" t="inlineStr"/>
    </row>
    <row r="658" ht="15" customHeight="1">
      <c r="A658" t="inlineStr">
        <is>
          <t>A 13858-2025</t>
        </is>
      </c>
      <c r="B658" s="1" t="n">
        <v>45737.57341435185</v>
      </c>
      <c r="C658" s="1" t="n">
        <v>45998</v>
      </c>
      <c r="D658" t="inlineStr">
        <is>
          <t>VÄSTERNORRLANDS LÄN</t>
        </is>
      </c>
      <c r="E658" t="inlineStr">
        <is>
          <t>SOLLEFTEÅ</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11746-2025</t>
        </is>
      </c>
      <c r="B659" s="1" t="n">
        <v>45727.63577546296</v>
      </c>
      <c r="C659" s="1" t="n">
        <v>45998</v>
      </c>
      <c r="D659" t="inlineStr">
        <is>
          <t>VÄSTERNORRLANDS LÄN</t>
        </is>
      </c>
      <c r="E659" t="inlineStr">
        <is>
          <t>SOLLEFTEÅ</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3194-2025</t>
        </is>
      </c>
      <c r="B660" s="1" t="n">
        <v>45679.42130787037</v>
      </c>
      <c r="C660" s="1" t="n">
        <v>45998</v>
      </c>
      <c r="D660" t="inlineStr">
        <is>
          <t>VÄSTERNORRLANDS LÄN</t>
        </is>
      </c>
      <c r="E660" t="inlineStr">
        <is>
          <t>SOLLEFTEÅ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57080-2023</t>
        </is>
      </c>
      <c r="B661" s="1" t="n">
        <v>45244</v>
      </c>
      <c r="C661" s="1" t="n">
        <v>45998</v>
      </c>
      <c r="D661" t="inlineStr">
        <is>
          <t>VÄSTERNORRLANDS LÄN</t>
        </is>
      </c>
      <c r="E661" t="inlineStr">
        <is>
          <t>SOLLEFTEÅ</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19936-2025</t>
        </is>
      </c>
      <c r="B662" s="1" t="n">
        <v>45771.64130787037</v>
      </c>
      <c r="C662" s="1" t="n">
        <v>45998</v>
      </c>
      <c r="D662" t="inlineStr">
        <is>
          <t>VÄSTERNORRLANDS LÄN</t>
        </is>
      </c>
      <c r="E662" t="inlineStr">
        <is>
          <t>SOLLEFTEÅ</t>
        </is>
      </c>
      <c r="G662" t="n">
        <v>1.1</v>
      </c>
      <c r="H662" t="n">
        <v>0</v>
      </c>
      <c r="I662" t="n">
        <v>0</v>
      </c>
      <c r="J662" t="n">
        <v>0</v>
      </c>
      <c r="K662" t="n">
        <v>0</v>
      </c>
      <c r="L662" t="n">
        <v>0</v>
      </c>
      <c r="M662" t="n">
        <v>0</v>
      </c>
      <c r="N662" t="n">
        <v>0</v>
      </c>
      <c r="O662" t="n">
        <v>0</v>
      </c>
      <c r="P662" t="n">
        <v>0</v>
      </c>
      <c r="Q662" t="n">
        <v>0</v>
      </c>
      <c r="R662" s="2" t="inlineStr"/>
    </row>
    <row r="663" ht="15" customHeight="1">
      <c r="A663" t="inlineStr">
        <is>
          <t>A 19949-2025</t>
        </is>
      </c>
      <c r="B663" s="1" t="n">
        <v>45771.65688657408</v>
      </c>
      <c r="C663" s="1" t="n">
        <v>45998</v>
      </c>
      <c r="D663" t="inlineStr">
        <is>
          <t>VÄSTERNORRLANDS LÄN</t>
        </is>
      </c>
      <c r="E663" t="inlineStr">
        <is>
          <t>SOLLEFTEÅ</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1679-2024</t>
        </is>
      </c>
      <c r="B664" s="1" t="n">
        <v>45306</v>
      </c>
      <c r="C664" s="1" t="n">
        <v>45998</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20334-2025</t>
        </is>
      </c>
      <c r="B665" s="1" t="n">
        <v>45775.36496527777</v>
      </c>
      <c r="C665" s="1" t="n">
        <v>45998</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59579-2023</t>
        </is>
      </c>
      <c r="B666" s="1" t="n">
        <v>45253</v>
      </c>
      <c r="C666" s="1" t="n">
        <v>45998</v>
      </c>
      <c r="D666" t="inlineStr">
        <is>
          <t>VÄSTERNORRLANDS LÄN</t>
        </is>
      </c>
      <c r="E666" t="inlineStr">
        <is>
          <t>SOLLEFTEÅ</t>
        </is>
      </c>
      <c r="G666" t="n">
        <v>6.2</v>
      </c>
      <c r="H666" t="n">
        <v>0</v>
      </c>
      <c r="I666" t="n">
        <v>0</v>
      </c>
      <c r="J666" t="n">
        <v>0</v>
      </c>
      <c r="K666" t="n">
        <v>0</v>
      </c>
      <c r="L666" t="n">
        <v>0</v>
      </c>
      <c r="M666" t="n">
        <v>0</v>
      </c>
      <c r="N666" t="n">
        <v>0</v>
      </c>
      <c r="O666" t="n">
        <v>0</v>
      </c>
      <c r="P666" t="n">
        <v>0</v>
      </c>
      <c r="Q666" t="n">
        <v>0</v>
      </c>
      <c r="R666" s="2" t="inlineStr"/>
    </row>
    <row r="667" ht="15" customHeight="1">
      <c r="A667" t="inlineStr">
        <is>
          <t>A 3096-2025</t>
        </is>
      </c>
      <c r="B667" s="1" t="n">
        <v>45678.66643518519</v>
      </c>
      <c r="C667" s="1" t="n">
        <v>45998</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42771-2022</t>
        </is>
      </c>
      <c r="B668" s="1" t="n">
        <v>44832</v>
      </c>
      <c r="C668" s="1" t="n">
        <v>45998</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7463-2024</t>
        </is>
      </c>
      <c r="B669" s="1" t="n">
        <v>45345.94887731481</v>
      </c>
      <c r="C669" s="1" t="n">
        <v>45998</v>
      </c>
      <c r="D669" t="inlineStr">
        <is>
          <t>VÄSTERNORRLANDS LÄN</t>
        </is>
      </c>
      <c r="E669" t="inlineStr">
        <is>
          <t>SOLLEFTEÅ</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5108-2022</t>
        </is>
      </c>
      <c r="B670" s="1" t="n">
        <v>44593.92135416667</v>
      </c>
      <c r="C670" s="1" t="n">
        <v>45998</v>
      </c>
      <c r="D670" t="inlineStr">
        <is>
          <t>VÄSTERNORRLANDS LÄN</t>
        </is>
      </c>
      <c r="E670" t="inlineStr">
        <is>
          <t>SOLLEFTEÅ</t>
        </is>
      </c>
      <c r="G670" t="n">
        <v>4.7</v>
      </c>
      <c r="H670" t="n">
        <v>0</v>
      </c>
      <c r="I670" t="n">
        <v>0</v>
      </c>
      <c r="J670" t="n">
        <v>0</v>
      </c>
      <c r="K670" t="n">
        <v>0</v>
      </c>
      <c r="L670" t="n">
        <v>0</v>
      </c>
      <c r="M670" t="n">
        <v>0</v>
      </c>
      <c r="N670" t="n">
        <v>0</v>
      </c>
      <c r="O670" t="n">
        <v>0</v>
      </c>
      <c r="P670" t="n">
        <v>0</v>
      </c>
      <c r="Q670" t="n">
        <v>0</v>
      </c>
      <c r="R670" s="2" t="inlineStr"/>
    </row>
    <row r="671" ht="15" customHeight="1">
      <c r="A671" t="inlineStr">
        <is>
          <t>A 49711-2021</t>
        </is>
      </c>
      <c r="B671" s="1" t="n">
        <v>44455</v>
      </c>
      <c r="C671" s="1" t="n">
        <v>45998</v>
      </c>
      <c r="D671" t="inlineStr">
        <is>
          <t>VÄSTERNORRLANDS LÄN</t>
        </is>
      </c>
      <c r="E671" t="inlineStr">
        <is>
          <t>SOLLEFTEÅ</t>
        </is>
      </c>
      <c r="G671" t="n">
        <v>3.7</v>
      </c>
      <c r="H671" t="n">
        <v>0</v>
      </c>
      <c r="I671" t="n">
        <v>0</v>
      </c>
      <c r="J671" t="n">
        <v>0</v>
      </c>
      <c r="K671" t="n">
        <v>0</v>
      </c>
      <c r="L671" t="n">
        <v>0</v>
      </c>
      <c r="M671" t="n">
        <v>0</v>
      </c>
      <c r="N671" t="n">
        <v>0</v>
      </c>
      <c r="O671" t="n">
        <v>0</v>
      </c>
      <c r="P671" t="n">
        <v>0</v>
      </c>
      <c r="Q671" t="n">
        <v>0</v>
      </c>
      <c r="R671" s="2" t="inlineStr"/>
    </row>
    <row r="672" ht="15" customHeight="1">
      <c r="A672" t="inlineStr">
        <is>
          <t>A 37977-2022</t>
        </is>
      </c>
      <c r="B672" s="1" t="n">
        <v>44811</v>
      </c>
      <c r="C672" s="1" t="n">
        <v>45998</v>
      </c>
      <c r="D672" t="inlineStr">
        <is>
          <t>VÄSTERNORRLANDS LÄN</t>
        </is>
      </c>
      <c r="E672" t="inlineStr">
        <is>
          <t>SOLLEFTEÅ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17172-2024</t>
        </is>
      </c>
      <c r="B673" s="1" t="n">
        <v>45412.97858796296</v>
      </c>
      <c r="C673" s="1" t="n">
        <v>45998</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16093-2022</t>
        </is>
      </c>
      <c r="B674" s="1" t="n">
        <v>44665</v>
      </c>
      <c r="C674" s="1" t="n">
        <v>45998</v>
      </c>
      <c r="D674" t="inlineStr">
        <is>
          <t>VÄSTERNORRLANDS LÄN</t>
        </is>
      </c>
      <c r="E674" t="inlineStr">
        <is>
          <t>SOLLEFTEÅ</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50655-2022</t>
        </is>
      </c>
      <c r="B675" s="1" t="n">
        <v>44866</v>
      </c>
      <c r="C675" s="1" t="n">
        <v>45998</v>
      </c>
      <c r="D675" t="inlineStr">
        <is>
          <t>VÄSTERNORRLANDS LÄN</t>
        </is>
      </c>
      <c r="E675" t="inlineStr">
        <is>
          <t>SOLLEFTEÅ</t>
        </is>
      </c>
      <c r="G675" t="n">
        <v>4.4</v>
      </c>
      <c r="H675" t="n">
        <v>0</v>
      </c>
      <c r="I675" t="n">
        <v>0</v>
      </c>
      <c r="J675" t="n">
        <v>0</v>
      </c>
      <c r="K675" t="n">
        <v>0</v>
      </c>
      <c r="L675" t="n">
        <v>0</v>
      </c>
      <c r="M675" t="n">
        <v>0</v>
      </c>
      <c r="N675" t="n">
        <v>0</v>
      </c>
      <c r="O675" t="n">
        <v>0</v>
      </c>
      <c r="P675" t="n">
        <v>0</v>
      </c>
      <c r="Q675" t="n">
        <v>0</v>
      </c>
      <c r="R675" s="2" t="inlineStr"/>
    </row>
    <row r="676" ht="15" customHeight="1">
      <c r="A676" t="inlineStr">
        <is>
          <t>A 6735-2025</t>
        </is>
      </c>
      <c r="B676" s="1" t="n">
        <v>45700.59434027778</v>
      </c>
      <c r="C676" s="1" t="n">
        <v>45998</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6737-2025</t>
        </is>
      </c>
      <c r="B677" s="1" t="n">
        <v>45700.59450231482</v>
      </c>
      <c r="C677" s="1" t="n">
        <v>45998</v>
      </c>
      <c r="D677" t="inlineStr">
        <is>
          <t>VÄSTERNORRLANDS LÄN</t>
        </is>
      </c>
      <c r="E677" t="inlineStr">
        <is>
          <t>SOLLEFTEÅ</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19205-2025</t>
        </is>
      </c>
      <c r="B678" s="1" t="n">
        <v>45769.42861111111</v>
      </c>
      <c r="C678" s="1" t="n">
        <v>45998</v>
      </c>
      <c r="D678" t="inlineStr">
        <is>
          <t>VÄSTERNORRLANDS LÄN</t>
        </is>
      </c>
      <c r="E678" t="inlineStr">
        <is>
          <t>SOLLEFTEÅ</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19207-2025</t>
        </is>
      </c>
      <c r="B679" s="1" t="n">
        <v>45769</v>
      </c>
      <c r="C679" s="1" t="n">
        <v>45998</v>
      </c>
      <c r="D679" t="inlineStr">
        <is>
          <t>VÄSTERNORRLANDS LÄN</t>
        </is>
      </c>
      <c r="E679" t="inlineStr">
        <is>
          <t>SOLLEFTEÅ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16238-2024</t>
        </is>
      </c>
      <c r="B680" s="1" t="n">
        <v>45407.05692129629</v>
      </c>
      <c r="C680" s="1" t="n">
        <v>45998</v>
      </c>
      <c r="D680" t="inlineStr">
        <is>
          <t>VÄSTERNORRLANDS LÄN</t>
        </is>
      </c>
      <c r="E680" t="inlineStr">
        <is>
          <t>SOLLEFTEÅ</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49036-2023</t>
        </is>
      </c>
      <c r="B681" s="1" t="n">
        <v>45209.95693287037</v>
      </c>
      <c r="C681" s="1" t="n">
        <v>45998</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16237-2024</t>
        </is>
      </c>
      <c r="B682" s="1" t="n">
        <v>45407.05681712963</v>
      </c>
      <c r="C682" s="1" t="n">
        <v>45998</v>
      </c>
      <c r="D682" t="inlineStr">
        <is>
          <t>VÄSTERNORRLANDS LÄN</t>
        </is>
      </c>
      <c r="E682" t="inlineStr">
        <is>
          <t>SOLLEFTEÅ</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6816-2024</t>
        </is>
      </c>
      <c r="B683" s="1" t="n">
        <v>45342</v>
      </c>
      <c r="C683" s="1" t="n">
        <v>45998</v>
      </c>
      <c r="D683" t="inlineStr">
        <is>
          <t>VÄSTERNORRLANDS LÄN</t>
        </is>
      </c>
      <c r="E683" t="inlineStr">
        <is>
          <t>SOLLEFTEÅ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54045-2023</t>
        </is>
      </c>
      <c r="B684" s="1" t="n">
        <v>45231.96743055555</v>
      </c>
      <c r="C684" s="1" t="n">
        <v>45998</v>
      </c>
      <c r="D684" t="inlineStr">
        <is>
          <t>VÄSTERNORRLANDS LÄN</t>
        </is>
      </c>
      <c r="E684" t="inlineStr">
        <is>
          <t>SOLLEFTEÅ</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9328-2024</t>
        </is>
      </c>
      <c r="B685" s="1" t="n">
        <v>45358.99144675926</v>
      </c>
      <c r="C685" s="1" t="n">
        <v>45998</v>
      </c>
      <c r="D685" t="inlineStr">
        <is>
          <t>VÄSTERNORRLANDS LÄN</t>
        </is>
      </c>
      <c r="E685" t="inlineStr">
        <is>
          <t>SOLLEFTEÅ</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52267-2023</t>
        </is>
      </c>
      <c r="B686" s="1" t="n">
        <v>45217</v>
      </c>
      <c r="C686" s="1" t="n">
        <v>45998</v>
      </c>
      <c r="D686" t="inlineStr">
        <is>
          <t>VÄSTERNORRLANDS LÄN</t>
        </is>
      </c>
      <c r="E686" t="inlineStr">
        <is>
          <t>SOLLEFTEÅ</t>
        </is>
      </c>
      <c r="G686" t="n">
        <v>6.2</v>
      </c>
      <c r="H686" t="n">
        <v>0</v>
      </c>
      <c r="I686" t="n">
        <v>0</v>
      </c>
      <c r="J686" t="n">
        <v>0</v>
      </c>
      <c r="K686" t="n">
        <v>0</v>
      </c>
      <c r="L686" t="n">
        <v>0</v>
      </c>
      <c r="M686" t="n">
        <v>0</v>
      </c>
      <c r="N686" t="n">
        <v>0</v>
      </c>
      <c r="O686" t="n">
        <v>0</v>
      </c>
      <c r="P686" t="n">
        <v>0</v>
      </c>
      <c r="Q686" t="n">
        <v>0</v>
      </c>
      <c r="R686" s="2" t="inlineStr"/>
    </row>
    <row r="687" ht="15" customHeight="1">
      <c r="A687" t="inlineStr">
        <is>
          <t>A 32924-2024</t>
        </is>
      </c>
      <c r="B687" s="1" t="n">
        <v>45516.95292824074</v>
      </c>
      <c r="C687" s="1" t="n">
        <v>45998</v>
      </c>
      <c r="D687" t="inlineStr">
        <is>
          <t>VÄSTERNORRLANDS LÄN</t>
        </is>
      </c>
      <c r="E687" t="inlineStr">
        <is>
          <t>SOLLEFTEÅ</t>
        </is>
      </c>
      <c r="F687" t="inlineStr">
        <is>
          <t>SCA</t>
        </is>
      </c>
      <c r="G687" t="n">
        <v>4.4</v>
      </c>
      <c r="H687" t="n">
        <v>0</v>
      </c>
      <c r="I687" t="n">
        <v>0</v>
      </c>
      <c r="J687" t="n">
        <v>0</v>
      </c>
      <c r="K687" t="n">
        <v>0</v>
      </c>
      <c r="L687" t="n">
        <v>0</v>
      </c>
      <c r="M687" t="n">
        <v>0</v>
      </c>
      <c r="N687" t="n">
        <v>0</v>
      </c>
      <c r="O687" t="n">
        <v>0</v>
      </c>
      <c r="P687" t="n">
        <v>0</v>
      </c>
      <c r="Q687" t="n">
        <v>0</v>
      </c>
      <c r="R687" s="2" t="inlineStr"/>
    </row>
    <row r="688" ht="15" customHeight="1">
      <c r="A688" t="inlineStr">
        <is>
          <t>A 9708-2025</t>
        </is>
      </c>
      <c r="B688" s="1" t="n">
        <v>45716.38607638889</v>
      </c>
      <c r="C688" s="1" t="n">
        <v>45998</v>
      </c>
      <c r="D688" t="inlineStr">
        <is>
          <t>VÄSTERNORRLANDS LÄN</t>
        </is>
      </c>
      <c r="E688" t="inlineStr">
        <is>
          <t>SOLLEFTEÅ</t>
        </is>
      </c>
      <c r="F688" t="inlineStr">
        <is>
          <t>SCA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42663-2022</t>
        </is>
      </c>
      <c r="B689" s="1" t="n">
        <v>44831</v>
      </c>
      <c r="C689" s="1" t="n">
        <v>45998</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42512-2023</t>
        </is>
      </c>
      <c r="B690" s="1" t="n">
        <v>45180.95953703704</v>
      </c>
      <c r="C690" s="1" t="n">
        <v>45998</v>
      </c>
      <c r="D690" t="inlineStr">
        <is>
          <t>VÄSTERNORRLANDS LÄN</t>
        </is>
      </c>
      <c r="E690" t="inlineStr">
        <is>
          <t>SOLLEFTEÅ</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31914-2023</t>
        </is>
      </c>
      <c r="B691" s="1" t="n">
        <v>45118</v>
      </c>
      <c r="C691" s="1" t="n">
        <v>45998</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20437-2025</t>
        </is>
      </c>
      <c r="B692" s="1" t="n">
        <v>45775</v>
      </c>
      <c r="C692" s="1" t="n">
        <v>45998</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17034-2025</t>
        </is>
      </c>
      <c r="B693" s="1" t="n">
        <v>45755.57385416667</v>
      </c>
      <c r="C693" s="1" t="n">
        <v>45998</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13637-2025</t>
        </is>
      </c>
      <c r="B694" s="1" t="n">
        <v>45736.65681712963</v>
      </c>
      <c r="C694" s="1" t="n">
        <v>45998</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11539-2024</t>
        </is>
      </c>
      <c r="B695" s="1" t="n">
        <v>45372.9560300926</v>
      </c>
      <c r="C695" s="1" t="n">
        <v>45998</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9831-2024</t>
        </is>
      </c>
      <c r="B696" s="1" t="n">
        <v>45363.04699074074</v>
      </c>
      <c r="C696" s="1" t="n">
        <v>45998</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42229-2021</t>
        </is>
      </c>
      <c r="B697" s="1" t="n">
        <v>44426.93474537037</v>
      </c>
      <c r="C697" s="1" t="n">
        <v>45998</v>
      </c>
      <c r="D697" t="inlineStr">
        <is>
          <t>VÄSTERNORRLANDS LÄN</t>
        </is>
      </c>
      <c r="E697" t="inlineStr">
        <is>
          <t>SOLLEFTEÅ</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20183-2025</t>
        </is>
      </c>
      <c r="B698" s="1" t="n">
        <v>45772.59440972222</v>
      </c>
      <c r="C698" s="1" t="n">
        <v>45998</v>
      </c>
      <c r="D698" t="inlineStr">
        <is>
          <t>VÄSTERNORRLANDS LÄN</t>
        </is>
      </c>
      <c r="E698" t="inlineStr">
        <is>
          <t>SOLLEFTEÅ</t>
        </is>
      </c>
      <c r="G698" t="n">
        <v>2.3</v>
      </c>
      <c r="H698" t="n">
        <v>0</v>
      </c>
      <c r="I698" t="n">
        <v>0</v>
      </c>
      <c r="J698" t="n">
        <v>0</v>
      </c>
      <c r="K698" t="n">
        <v>0</v>
      </c>
      <c r="L698" t="n">
        <v>0</v>
      </c>
      <c r="M698" t="n">
        <v>0</v>
      </c>
      <c r="N698" t="n">
        <v>0</v>
      </c>
      <c r="O698" t="n">
        <v>0</v>
      </c>
      <c r="P698" t="n">
        <v>0</v>
      </c>
      <c r="Q698" t="n">
        <v>0</v>
      </c>
      <c r="R698" s="2" t="inlineStr"/>
    </row>
    <row r="699" ht="15" customHeight="1">
      <c r="A699" t="inlineStr">
        <is>
          <t>A 18882-2021</t>
        </is>
      </c>
      <c r="B699" s="1" t="n">
        <v>44307.93505787037</v>
      </c>
      <c r="C699" s="1" t="n">
        <v>45998</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15273-2025</t>
        </is>
      </c>
      <c r="B700" s="1" t="n">
        <v>45744.67740740741</v>
      </c>
      <c r="C700" s="1" t="n">
        <v>45998</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14094-2025</t>
        </is>
      </c>
      <c r="B701" s="1" t="n">
        <v>45740.44827546296</v>
      </c>
      <c r="C701" s="1" t="n">
        <v>45998</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14096-2025</t>
        </is>
      </c>
      <c r="B702" s="1" t="n">
        <v>45740.44858796296</v>
      </c>
      <c r="C702" s="1" t="n">
        <v>45998</v>
      </c>
      <c r="D702" t="inlineStr">
        <is>
          <t>VÄSTERNORRLANDS LÄN</t>
        </is>
      </c>
      <c r="E702" t="inlineStr">
        <is>
          <t>SOLLEFTEÅ</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18149-2023</t>
        </is>
      </c>
      <c r="B703" s="1" t="n">
        <v>45040</v>
      </c>
      <c r="C703" s="1" t="n">
        <v>45998</v>
      </c>
      <c r="D703" t="inlineStr">
        <is>
          <t>VÄSTERNORRLANDS LÄN</t>
        </is>
      </c>
      <c r="E703" t="inlineStr">
        <is>
          <t>SOLLEFTEÅ</t>
        </is>
      </c>
      <c r="G703" t="n">
        <v>2.1</v>
      </c>
      <c r="H703" t="n">
        <v>0</v>
      </c>
      <c r="I703" t="n">
        <v>0</v>
      </c>
      <c r="J703" t="n">
        <v>0</v>
      </c>
      <c r="K703" t="n">
        <v>0</v>
      </c>
      <c r="L703" t="n">
        <v>0</v>
      </c>
      <c r="M703" t="n">
        <v>0</v>
      </c>
      <c r="N703" t="n">
        <v>0</v>
      </c>
      <c r="O703" t="n">
        <v>0</v>
      </c>
      <c r="P703" t="n">
        <v>0</v>
      </c>
      <c r="Q703" t="n">
        <v>0</v>
      </c>
      <c r="R703" s="2" t="inlineStr"/>
    </row>
    <row r="704" ht="15" customHeight="1">
      <c r="A704" t="inlineStr">
        <is>
          <t>A 12965-2025</t>
        </is>
      </c>
      <c r="B704" s="1" t="n">
        <v>45734.42753472222</v>
      </c>
      <c r="C704" s="1" t="n">
        <v>45998</v>
      </c>
      <c r="D704" t="inlineStr">
        <is>
          <t>VÄSTERNORRLANDS LÄN</t>
        </is>
      </c>
      <c r="E704" t="inlineStr">
        <is>
          <t>SOLLEFTEÅ</t>
        </is>
      </c>
      <c r="G704" t="n">
        <v>5.7</v>
      </c>
      <c r="H704" t="n">
        <v>0</v>
      </c>
      <c r="I704" t="n">
        <v>0</v>
      </c>
      <c r="J704" t="n">
        <v>0</v>
      </c>
      <c r="K704" t="n">
        <v>0</v>
      </c>
      <c r="L704" t="n">
        <v>0</v>
      </c>
      <c r="M704" t="n">
        <v>0</v>
      </c>
      <c r="N704" t="n">
        <v>0</v>
      </c>
      <c r="O704" t="n">
        <v>0</v>
      </c>
      <c r="P704" t="n">
        <v>0</v>
      </c>
      <c r="Q704" t="n">
        <v>0</v>
      </c>
      <c r="R704" s="2" t="inlineStr"/>
    </row>
    <row r="705" ht="15" customHeight="1">
      <c r="A705" t="inlineStr">
        <is>
          <t>A 1997-2022</t>
        </is>
      </c>
      <c r="B705" s="1" t="n">
        <v>44575</v>
      </c>
      <c r="C705" s="1" t="n">
        <v>45998</v>
      </c>
      <c r="D705" t="inlineStr">
        <is>
          <t>VÄSTERNORRLANDS LÄN</t>
        </is>
      </c>
      <c r="E705" t="inlineStr">
        <is>
          <t>SOLLEFTEÅ</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21031-2024</t>
        </is>
      </c>
      <c r="B706" s="1" t="n">
        <v>45439</v>
      </c>
      <c r="C706" s="1" t="n">
        <v>45998</v>
      </c>
      <c r="D706" t="inlineStr">
        <is>
          <t>VÄSTERNORRLANDS LÄN</t>
        </is>
      </c>
      <c r="E706" t="inlineStr">
        <is>
          <t>SOLLEFTEÅ</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14975-2024</t>
        </is>
      </c>
      <c r="B707" s="1" t="n">
        <v>45398.94100694444</v>
      </c>
      <c r="C707" s="1" t="n">
        <v>45998</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14983-2024</t>
        </is>
      </c>
      <c r="B708" s="1" t="n">
        <v>45398.94237268518</v>
      </c>
      <c r="C708" s="1" t="n">
        <v>45998</v>
      </c>
      <c r="D708" t="inlineStr">
        <is>
          <t>VÄSTERNORRLANDS LÄN</t>
        </is>
      </c>
      <c r="E708" t="inlineStr">
        <is>
          <t>SOLLEFTEÅ</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16726-2024</t>
        </is>
      </c>
      <c r="B709" s="1" t="n">
        <v>45409.98535879629</v>
      </c>
      <c r="C709" s="1" t="n">
        <v>45998</v>
      </c>
      <c r="D709" t="inlineStr">
        <is>
          <t>VÄSTERNORRLANDS LÄN</t>
        </is>
      </c>
      <c r="E709" t="inlineStr">
        <is>
          <t>SOLLEFTEÅ</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1466-2025</t>
        </is>
      </c>
      <c r="B710" s="1" t="n">
        <v>45670</v>
      </c>
      <c r="C710" s="1" t="n">
        <v>45998</v>
      </c>
      <c r="D710" t="inlineStr">
        <is>
          <t>VÄSTERNORRLANDS LÄN</t>
        </is>
      </c>
      <c r="E710" t="inlineStr">
        <is>
          <t>SOLLEFTEÅ</t>
        </is>
      </c>
      <c r="G710" t="n">
        <v>5.2</v>
      </c>
      <c r="H710" t="n">
        <v>0</v>
      </c>
      <c r="I710" t="n">
        <v>0</v>
      </c>
      <c r="J710" t="n">
        <v>0</v>
      </c>
      <c r="K710" t="n">
        <v>0</v>
      </c>
      <c r="L710" t="n">
        <v>0</v>
      </c>
      <c r="M710" t="n">
        <v>0</v>
      </c>
      <c r="N710" t="n">
        <v>0</v>
      </c>
      <c r="O710" t="n">
        <v>0</v>
      </c>
      <c r="P710" t="n">
        <v>0</v>
      </c>
      <c r="Q710" t="n">
        <v>0</v>
      </c>
      <c r="R710" s="2" t="inlineStr"/>
    </row>
    <row r="711" ht="15" customHeight="1">
      <c r="A711" t="inlineStr">
        <is>
          <t>A 35872-2024</t>
        </is>
      </c>
      <c r="B711" s="1" t="n">
        <v>45533</v>
      </c>
      <c r="C711" s="1" t="n">
        <v>45998</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53524-2021</t>
        </is>
      </c>
      <c r="B712" s="1" t="n">
        <v>44468</v>
      </c>
      <c r="C712" s="1" t="n">
        <v>45998</v>
      </c>
      <c r="D712" t="inlineStr">
        <is>
          <t>VÄSTERNORRLANDS LÄN</t>
        </is>
      </c>
      <c r="E712" t="inlineStr">
        <is>
          <t>SOLLEFTEÅ</t>
        </is>
      </c>
      <c r="F712" t="inlineStr">
        <is>
          <t>SCA</t>
        </is>
      </c>
      <c r="G712" t="n">
        <v>5.9</v>
      </c>
      <c r="H712" t="n">
        <v>0</v>
      </c>
      <c r="I712" t="n">
        <v>0</v>
      </c>
      <c r="J712" t="n">
        <v>0</v>
      </c>
      <c r="K712" t="n">
        <v>0</v>
      </c>
      <c r="L712" t="n">
        <v>0</v>
      </c>
      <c r="M712" t="n">
        <v>0</v>
      </c>
      <c r="N712" t="n">
        <v>0</v>
      </c>
      <c r="O712" t="n">
        <v>0</v>
      </c>
      <c r="P712" t="n">
        <v>0</v>
      </c>
      <c r="Q712" t="n">
        <v>0</v>
      </c>
      <c r="R712" s="2" t="inlineStr"/>
    </row>
    <row r="713" ht="15" customHeight="1">
      <c r="A713" t="inlineStr">
        <is>
          <t>A 56685-2023</t>
        </is>
      </c>
      <c r="B713" s="1" t="n">
        <v>45243.96600694444</v>
      </c>
      <c r="C713" s="1" t="n">
        <v>45998</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40355-2024</t>
        </is>
      </c>
      <c r="B714" s="1" t="n">
        <v>45555.36541666667</v>
      </c>
      <c r="C714" s="1" t="n">
        <v>45998</v>
      </c>
      <c r="D714" t="inlineStr">
        <is>
          <t>VÄSTERNORRLANDS LÄN</t>
        </is>
      </c>
      <c r="E714" t="inlineStr">
        <is>
          <t>SOLLEFTEÅ</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20133-2025</t>
        </is>
      </c>
      <c r="B715" s="1" t="n">
        <v>45772.51092592593</v>
      </c>
      <c r="C715" s="1" t="n">
        <v>45998</v>
      </c>
      <c r="D715" t="inlineStr">
        <is>
          <t>VÄSTERNORRLANDS LÄN</t>
        </is>
      </c>
      <c r="E715" t="inlineStr">
        <is>
          <t>SOLLEFTEÅ</t>
        </is>
      </c>
      <c r="F715" t="inlineStr">
        <is>
          <t>SCA</t>
        </is>
      </c>
      <c r="G715" t="n">
        <v>58.2</v>
      </c>
      <c r="H715" t="n">
        <v>0</v>
      </c>
      <c r="I715" t="n">
        <v>0</v>
      </c>
      <c r="J715" t="n">
        <v>0</v>
      </c>
      <c r="K715" t="n">
        <v>0</v>
      </c>
      <c r="L715" t="n">
        <v>0</v>
      </c>
      <c r="M715" t="n">
        <v>0</v>
      </c>
      <c r="N715" t="n">
        <v>0</v>
      </c>
      <c r="O715" t="n">
        <v>0</v>
      </c>
      <c r="P715" t="n">
        <v>0</v>
      </c>
      <c r="Q715" t="n">
        <v>0</v>
      </c>
      <c r="R715" s="2" t="inlineStr"/>
    </row>
    <row r="716" ht="15" customHeight="1">
      <c r="A716" t="inlineStr">
        <is>
          <t>A 20184-2025</t>
        </is>
      </c>
      <c r="B716" s="1" t="n">
        <v>45772.59458333333</v>
      </c>
      <c r="C716" s="1" t="n">
        <v>45998</v>
      </c>
      <c r="D716" t="inlineStr">
        <is>
          <t>VÄSTERNORRLANDS LÄN</t>
        </is>
      </c>
      <c r="E716" t="inlineStr">
        <is>
          <t>SOLLEFTEÅ</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54607-2023</t>
        </is>
      </c>
      <c r="B717" s="1" t="n">
        <v>45233.95748842593</v>
      </c>
      <c r="C717" s="1" t="n">
        <v>45998</v>
      </c>
      <c r="D717" t="inlineStr">
        <is>
          <t>VÄSTERNORRLANDS LÄN</t>
        </is>
      </c>
      <c r="E717" t="inlineStr">
        <is>
          <t>SOLLEFTEÅ</t>
        </is>
      </c>
      <c r="F717" t="inlineStr">
        <is>
          <t>SCA</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57019-2022</t>
        </is>
      </c>
      <c r="B718" s="1" t="n">
        <v>44894.95877314815</v>
      </c>
      <c r="C718" s="1" t="n">
        <v>45998</v>
      </c>
      <c r="D718" t="inlineStr">
        <is>
          <t>VÄSTERNORRLANDS LÄN</t>
        </is>
      </c>
      <c r="E718" t="inlineStr">
        <is>
          <t>SOLLEFTEÅ</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55912-2023</t>
        </is>
      </c>
      <c r="B719" s="1" t="n">
        <v>45239.92665509259</v>
      </c>
      <c r="C719" s="1" t="n">
        <v>45998</v>
      </c>
      <c r="D719" t="inlineStr">
        <is>
          <t>VÄSTERNORRLANDS LÄN</t>
        </is>
      </c>
      <c r="E719" t="inlineStr">
        <is>
          <t>SOLLEFTEÅ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47741-2023</t>
        </is>
      </c>
      <c r="B720" s="1" t="n">
        <v>45198</v>
      </c>
      <c r="C720" s="1" t="n">
        <v>45998</v>
      </c>
      <c r="D720" t="inlineStr">
        <is>
          <t>VÄSTERNORRLANDS LÄN</t>
        </is>
      </c>
      <c r="E720" t="inlineStr">
        <is>
          <t>SOLLEFTEÅ</t>
        </is>
      </c>
      <c r="G720" t="n">
        <v>5</v>
      </c>
      <c r="H720" t="n">
        <v>0</v>
      </c>
      <c r="I720" t="n">
        <v>0</v>
      </c>
      <c r="J720" t="n">
        <v>0</v>
      </c>
      <c r="K720" t="n">
        <v>0</v>
      </c>
      <c r="L720" t="n">
        <v>0</v>
      </c>
      <c r="M720" t="n">
        <v>0</v>
      </c>
      <c r="N720" t="n">
        <v>0</v>
      </c>
      <c r="O720" t="n">
        <v>0</v>
      </c>
      <c r="P720" t="n">
        <v>0</v>
      </c>
      <c r="Q720" t="n">
        <v>0</v>
      </c>
      <c r="R720" s="2" t="inlineStr"/>
    </row>
    <row r="721" ht="15" customHeight="1">
      <c r="A721" t="inlineStr">
        <is>
          <t>A 21349-2023</t>
        </is>
      </c>
      <c r="B721" s="1" t="n">
        <v>45062.9390625</v>
      </c>
      <c r="C721" s="1" t="n">
        <v>45998</v>
      </c>
      <c r="D721" t="inlineStr">
        <is>
          <t>VÄSTERNORRLANDS LÄN</t>
        </is>
      </c>
      <c r="E721" t="inlineStr">
        <is>
          <t>SOLLEFTEÅ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22668-2024</t>
        </is>
      </c>
      <c r="B722" s="1" t="n">
        <v>45447.94453703704</v>
      </c>
      <c r="C722" s="1" t="n">
        <v>45998</v>
      </c>
      <c r="D722" t="inlineStr">
        <is>
          <t>VÄSTERNORRLANDS LÄN</t>
        </is>
      </c>
      <c r="E722" t="inlineStr">
        <is>
          <t>SOLLEFTEÅ</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56260-2023</t>
        </is>
      </c>
      <c r="B723" s="1" t="n">
        <v>45240</v>
      </c>
      <c r="C723" s="1" t="n">
        <v>45998</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39230-2021</t>
        </is>
      </c>
      <c r="B724" s="1" t="n">
        <v>44413.43902777778</v>
      </c>
      <c r="C724" s="1" t="n">
        <v>45998</v>
      </c>
      <c r="D724" t="inlineStr">
        <is>
          <t>VÄSTERNORRLANDS LÄN</t>
        </is>
      </c>
      <c r="E724" t="inlineStr">
        <is>
          <t>SOLLEFTEÅ</t>
        </is>
      </c>
      <c r="G724" t="n">
        <v>13.6</v>
      </c>
      <c r="H724" t="n">
        <v>0</v>
      </c>
      <c r="I724" t="n">
        <v>0</v>
      </c>
      <c r="J724" t="n">
        <v>0</v>
      </c>
      <c r="K724" t="n">
        <v>0</v>
      </c>
      <c r="L724" t="n">
        <v>0</v>
      </c>
      <c r="M724" t="n">
        <v>0</v>
      </c>
      <c r="N724" t="n">
        <v>0</v>
      </c>
      <c r="O724" t="n">
        <v>0</v>
      </c>
      <c r="P724" t="n">
        <v>0</v>
      </c>
      <c r="Q724" t="n">
        <v>0</v>
      </c>
      <c r="R724" s="2" t="inlineStr"/>
    </row>
    <row r="725" ht="15" customHeight="1">
      <c r="A725" t="inlineStr">
        <is>
          <t>A 38102-2022</t>
        </is>
      </c>
      <c r="B725" s="1" t="n">
        <v>44811</v>
      </c>
      <c r="C725" s="1" t="n">
        <v>45998</v>
      </c>
      <c r="D725" t="inlineStr">
        <is>
          <t>VÄSTERNORRLANDS LÄN</t>
        </is>
      </c>
      <c r="E725" t="inlineStr">
        <is>
          <t>SOLLEFTEÅ</t>
        </is>
      </c>
      <c r="F725" t="inlineStr">
        <is>
          <t>SCA</t>
        </is>
      </c>
      <c r="G725" t="n">
        <v>4.9</v>
      </c>
      <c r="H725" t="n">
        <v>0</v>
      </c>
      <c r="I725" t="n">
        <v>0</v>
      </c>
      <c r="J725" t="n">
        <v>0</v>
      </c>
      <c r="K725" t="n">
        <v>0</v>
      </c>
      <c r="L725" t="n">
        <v>0</v>
      </c>
      <c r="M725" t="n">
        <v>0</v>
      </c>
      <c r="N725" t="n">
        <v>0</v>
      </c>
      <c r="O725" t="n">
        <v>0</v>
      </c>
      <c r="P725" t="n">
        <v>0</v>
      </c>
      <c r="Q725" t="n">
        <v>0</v>
      </c>
      <c r="R725" s="2" t="inlineStr"/>
      <c r="U725">
        <f>HYPERLINK("https://klasma.github.io/Logging_2283/knärot/A 38102-2022 karta knärot.png", "A 38102-2022")</f>
        <v/>
      </c>
      <c r="V725">
        <f>HYPERLINK("https://klasma.github.io/Logging_2283/klagomål/A 38102-2022 FSC-klagomål.docx", "A 38102-2022")</f>
        <v/>
      </c>
      <c r="W725">
        <f>HYPERLINK("https://klasma.github.io/Logging_2283/klagomålsmail/A 38102-2022 FSC-klagomål mail.docx", "A 38102-2022")</f>
        <v/>
      </c>
      <c r="X725">
        <f>HYPERLINK("https://klasma.github.io/Logging_2283/tillsyn/A 38102-2022 tillsynsbegäran.docx", "A 38102-2022")</f>
        <v/>
      </c>
      <c r="Y725">
        <f>HYPERLINK("https://klasma.github.io/Logging_2283/tillsynsmail/A 38102-2022 tillsynsbegäran mail.docx", "A 38102-2022")</f>
        <v/>
      </c>
    </row>
    <row r="726" ht="15" customHeight="1">
      <c r="A726" t="inlineStr">
        <is>
          <t>A 25986-2023</t>
        </is>
      </c>
      <c r="B726" s="1" t="n">
        <v>45090</v>
      </c>
      <c r="C726" s="1" t="n">
        <v>45998</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51847-2021</t>
        </is>
      </c>
      <c r="B727" s="1" t="n">
        <v>44462.69077546296</v>
      </c>
      <c r="C727" s="1" t="n">
        <v>45998</v>
      </c>
      <c r="D727" t="inlineStr">
        <is>
          <t>VÄSTERNORRLANDS LÄN</t>
        </is>
      </c>
      <c r="E727" t="inlineStr">
        <is>
          <t>SOLLEFTEÅ</t>
        </is>
      </c>
      <c r="F727" t="inlineStr">
        <is>
          <t>Holmen skog AB</t>
        </is>
      </c>
      <c r="G727" t="n">
        <v>1.6</v>
      </c>
      <c r="H727" t="n">
        <v>0</v>
      </c>
      <c r="I727" t="n">
        <v>0</v>
      </c>
      <c r="J727" t="n">
        <v>0</v>
      </c>
      <c r="K727" t="n">
        <v>0</v>
      </c>
      <c r="L727" t="n">
        <v>0</v>
      </c>
      <c r="M727" t="n">
        <v>0</v>
      </c>
      <c r="N727" t="n">
        <v>0</v>
      </c>
      <c r="O727" t="n">
        <v>0</v>
      </c>
      <c r="P727" t="n">
        <v>0</v>
      </c>
      <c r="Q727" t="n">
        <v>0</v>
      </c>
      <c r="R727" s="2" t="inlineStr"/>
    </row>
    <row r="728" ht="15" customHeight="1">
      <c r="A728" t="inlineStr">
        <is>
          <t>A 31179-2023</t>
        </is>
      </c>
      <c r="B728" s="1" t="n">
        <v>45113.92564814815</v>
      </c>
      <c r="C728" s="1" t="n">
        <v>45998</v>
      </c>
      <c r="D728" t="inlineStr">
        <is>
          <t>VÄSTERNORRLANDS LÄN</t>
        </is>
      </c>
      <c r="E728" t="inlineStr">
        <is>
          <t>SOLLEFTEÅ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16693-2024</t>
        </is>
      </c>
      <c r="B729" s="1" t="n">
        <v>45408</v>
      </c>
      <c r="C729" s="1" t="n">
        <v>45998</v>
      </c>
      <c r="D729" t="inlineStr">
        <is>
          <t>VÄSTERNORRLANDS LÄN</t>
        </is>
      </c>
      <c r="E729" t="inlineStr">
        <is>
          <t>SOLLEFTEÅ</t>
        </is>
      </c>
      <c r="G729" t="n">
        <v>2.1</v>
      </c>
      <c r="H729" t="n">
        <v>0</v>
      </c>
      <c r="I729" t="n">
        <v>0</v>
      </c>
      <c r="J729" t="n">
        <v>0</v>
      </c>
      <c r="K729" t="n">
        <v>0</v>
      </c>
      <c r="L729" t="n">
        <v>0</v>
      </c>
      <c r="M729" t="n">
        <v>0</v>
      </c>
      <c r="N729" t="n">
        <v>0</v>
      </c>
      <c r="O729" t="n">
        <v>0</v>
      </c>
      <c r="P729" t="n">
        <v>0</v>
      </c>
      <c r="Q729" t="n">
        <v>0</v>
      </c>
      <c r="R729" s="2" t="inlineStr"/>
    </row>
    <row r="730" ht="15" customHeight="1">
      <c r="A730" t="inlineStr">
        <is>
          <t>A 16710-2024</t>
        </is>
      </c>
      <c r="B730" s="1" t="n">
        <v>45409.07748842592</v>
      </c>
      <c r="C730" s="1" t="n">
        <v>45998</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57273-2022</t>
        </is>
      </c>
      <c r="B731" s="1" t="n">
        <v>44895.9487962963</v>
      </c>
      <c r="C731" s="1" t="n">
        <v>45998</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37354-2024</t>
        </is>
      </c>
      <c r="B732" s="1" t="n">
        <v>45540.54201388889</v>
      </c>
      <c r="C732" s="1" t="n">
        <v>45998</v>
      </c>
      <c r="D732" t="inlineStr">
        <is>
          <t>VÄSTERNORRLANDS LÄN</t>
        </is>
      </c>
      <c r="E732" t="inlineStr">
        <is>
          <t>SOLLEFTEÅ</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10618-2024</t>
        </is>
      </c>
      <c r="B733" s="1" t="n">
        <v>45367</v>
      </c>
      <c r="C733" s="1" t="n">
        <v>45998</v>
      </c>
      <c r="D733" t="inlineStr">
        <is>
          <t>VÄSTERNORRLANDS LÄN</t>
        </is>
      </c>
      <c r="E733" t="inlineStr">
        <is>
          <t>SOLLEFTEÅ</t>
        </is>
      </c>
      <c r="F733" t="inlineStr">
        <is>
          <t>SCA</t>
        </is>
      </c>
      <c r="G733" t="n">
        <v>21.1</v>
      </c>
      <c r="H733" t="n">
        <v>0</v>
      </c>
      <c r="I733" t="n">
        <v>0</v>
      </c>
      <c r="J733" t="n">
        <v>0</v>
      </c>
      <c r="K733" t="n">
        <v>0</v>
      </c>
      <c r="L733" t="n">
        <v>0</v>
      </c>
      <c r="M733" t="n">
        <v>0</v>
      </c>
      <c r="N733" t="n">
        <v>0</v>
      </c>
      <c r="O733" t="n">
        <v>0</v>
      </c>
      <c r="P733" t="n">
        <v>0</v>
      </c>
      <c r="Q733" t="n">
        <v>0</v>
      </c>
      <c r="R733" s="2" t="inlineStr"/>
    </row>
    <row r="734" ht="15" customHeight="1">
      <c r="A734" t="inlineStr">
        <is>
          <t>A 15154-2024</t>
        </is>
      </c>
      <c r="B734" s="1" t="n">
        <v>45399.94466435185</v>
      </c>
      <c r="C734" s="1" t="n">
        <v>45998</v>
      </c>
      <c r="D734" t="inlineStr">
        <is>
          <t>VÄSTERNORRLANDS LÄN</t>
        </is>
      </c>
      <c r="E734" t="inlineStr">
        <is>
          <t>SOLLEFTEÅ</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7330-2023</t>
        </is>
      </c>
      <c r="B735" s="1" t="n">
        <v>44970.97920138889</v>
      </c>
      <c r="C735" s="1" t="n">
        <v>45998</v>
      </c>
      <c r="D735" t="inlineStr">
        <is>
          <t>VÄSTERNORRLANDS LÄN</t>
        </is>
      </c>
      <c r="E735" t="inlineStr">
        <is>
          <t>SOLLEFTEÅ</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7333-2023</t>
        </is>
      </c>
      <c r="B736" s="1" t="n">
        <v>44970.97947916666</v>
      </c>
      <c r="C736" s="1" t="n">
        <v>45998</v>
      </c>
      <c r="D736" t="inlineStr">
        <is>
          <t>VÄSTERNORRLANDS LÄN</t>
        </is>
      </c>
      <c r="E736" t="inlineStr">
        <is>
          <t>SOLLEFTEÅ</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58179-2021</t>
        </is>
      </c>
      <c r="B737" s="1" t="n">
        <v>44487</v>
      </c>
      <c r="C737" s="1" t="n">
        <v>45998</v>
      </c>
      <c r="D737" t="inlineStr">
        <is>
          <t>VÄSTERNORRLANDS LÄN</t>
        </is>
      </c>
      <c r="E737" t="inlineStr">
        <is>
          <t>SOLLEFTEÅ</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29957-2023</t>
        </is>
      </c>
      <c r="B738" s="1" t="n">
        <v>45107</v>
      </c>
      <c r="C738" s="1" t="n">
        <v>45998</v>
      </c>
      <c r="D738" t="inlineStr">
        <is>
          <t>VÄSTERNORRLANDS LÄN</t>
        </is>
      </c>
      <c r="E738" t="inlineStr">
        <is>
          <t>SOLLEFTEÅ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38283-2021</t>
        </is>
      </c>
      <c r="B739" s="1" t="n">
        <v>44405</v>
      </c>
      <c r="C739" s="1" t="n">
        <v>45998</v>
      </c>
      <c r="D739" t="inlineStr">
        <is>
          <t>VÄSTERNORRLANDS LÄN</t>
        </is>
      </c>
      <c r="E739" t="inlineStr">
        <is>
          <t>SOLLEFTEÅ</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13009-2023</t>
        </is>
      </c>
      <c r="B740" s="1" t="n">
        <v>45002.03643518518</v>
      </c>
      <c r="C740" s="1" t="n">
        <v>45998</v>
      </c>
      <c r="D740" t="inlineStr">
        <is>
          <t>VÄSTERNORRLANDS LÄN</t>
        </is>
      </c>
      <c r="E740" t="inlineStr">
        <is>
          <t>SOLLEFTEÅ</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23287-2023</t>
        </is>
      </c>
      <c r="B741" s="1" t="n">
        <v>45075</v>
      </c>
      <c r="C741" s="1" t="n">
        <v>45998</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57395-2023</t>
        </is>
      </c>
      <c r="B742" s="1" t="n">
        <v>45245.9678125</v>
      </c>
      <c r="C742" s="1" t="n">
        <v>45998</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14169-2024</t>
        </is>
      </c>
      <c r="B743" s="1" t="n">
        <v>45392.95831018518</v>
      </c>
      <c r="C743" s="1" t="n">
        <v>45998</v>
      </c>
      <c r="D743" t="inlineStr">
        <is>
          <t>VÄSTERNORRLANDS LÄN</t>
        </is>
      </c>
      <c r="E743" t="inlineStr">
        <is>
          <t>SOLLEFTEÅ</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60328-2023</t>
        </is>
      </c>
      <c r="B744" s="1" t="n">
        <v>45258</v>
      </c>
      <c r="C744" s="1" t="n">
        <v>45998</v>
      </c>
      <c r="D744" t="inlineStr">
        <is>
          <t>VÄSTERNORRLANDS LÄN</t>
        </is>
      </c>
      <c r="E744" t="inlineStr">
        <is>
          <t>SOLLEFTEÅ</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18623-2024</t>
        </is>
      </c>
      <c r="B745" s="1" t="n">
        <v>45425.96378472223</v>
      </c>
      <c r="C745" s="1" t="n">
        <v>45998</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62662-2022</t>
        </is>
      </c>
      <c r="B746" s="1" t="n">
        <v>44917</v>
      </c>
      <c r="C746" s="1" t="n">
        <v>45998</v>
      </c>
      <c r="D746" t="inlineStr">
        <is>
          <t>VÄSTERNORRLANDS LÄN</t>
        </is>
      </c>
      <c r="E746" t="inlineStr">
        <is>
          <t>SOLLEFTEÅ</t>
        </is>
      </c>
      <c r="G746" t="n">
        <v>2.1</v>
      </c>
      <c r="H746" t="n">
        <v>0</v>
      </c>
      <c r="I746" t="n">
        <v>0</v>
      </c>
      <c r="J746" t="n">
        <v>0</v>
      </c>
      <c r="K746" t="n">
        <v>0</v>
      </c>
      <c r="L746" t="n">
        <v>0</v>
      </c>
      <c r="M746" t="n">
        <v>0</v>
      </c>
      <c r="N746" t="n">
        <v>0</v>
      </c>
      <c r="O746" t="n">
        <v>0</v>
      </c>
      <c r="P746" t="n">
        <v>0</v>
      </c>
      <c r="Q746" t="n">
        <v>0</v>
      </c>
      <c r="R746" s="2" t="inlineStr"/>
    </row>
    <row r="747" ht="15" customHeight="1">
      <c r="A747" t="inlineStr">
        <is>
          <t>A 19929-2025</t>
        </is>
      </c>
      <c r="B747" s="1" t="n">
        <v>45771.6359837963</v>
      </c>
      <c r="C747" s="1" t="n">
        <v>45998</v>
      </c>
      <c r="D747" t="inlineStr">
        <is>
          <t>VÄSTERNORRLANDS LÄN</t>
        </is>
      </c>
      <c r="E747" t="inlineStr">
        <is>
          <t>SOLLEFTEÅ</t>
        </is>
      </c>
      <c r="G747" t="n">
        <v>2.4</v>
      </c>
      <c r="H747" t="n">
        <v>0</v>
      </c>
      <c r="I747" t="n">
        <v>0</v>
      </c>
      <c r="J747" t="n">
        <v>0</v>
      </c>
      <c r="K747" t="n">
        <v>0</v>
      </c>
      <c r="L747" t="n">
        <v>0</v>
      </c>
      <c r="M747" t="n">
        <v>0</v>
      </c>
      <c r="N747" t="n">
        <v>0</v>
      </c>
      <c r="O747" t="n">
        <v>0</v>
      </c>
      <c r="P747" t="n">
        <v>0</v>
      </c>
      <c r="Q747" t="n">
        <v>0</v>
      </c>
      <c r="R747" s="2" t="inlineStr"/>
    </row>
    <row r="748" ht="15" customHeight="1">
      <c r="A748" t="inlineStr">
        <is>
          <t>A 19932-2025</t>
        </is>
      </c>
      <c r="B748" s="1" t="n">
        <v>45771.63940972222</v>
      </c>
      <c r="C748" s="1" t="n">
        <v>45998</v>
      </c>
      <c r="D748" t="inlineStr">
        <is>
          <t>VÄSTERNORRLANDS LÄN</t>
        </is>
      </c>
      <c r="E748" t="inlineStr">
        <is>
          <t>SOLLEFTEÅ</t>
        </is>
      </c>
      <c r="G748" t="n">
        <v>4</v>
      </c>
      <c r="H748" t="n">
        <v>0</v>
      </c>
      <c r="I748" t="n">
        <v>0</v>
      </c>
      <c r="J748" t="n">
        <v>0</v>
      </c>
      <c r="K748" t="n">
        <v>0</v>
      </c>
      <c r="L748" t="n">
        <v>0</v>
      </c>
      <c r="M748" t="n">
        <v>0</v>
      </c>
      <c r="N748" t="n">
        <v>0</v>
      </c>
      <c r="O748" t="n">
        <v>0</v>
      </c>
      <c r="P748" t="n">
        <v>0</v>
      </c>
      <c r="Q748" t="n">
        <v>0</v>
      </c>
      <c r="R748" s="2" t="inlineStr"/>
    </row>
    <row r="749" ht="15" customHeight="1">
      <c r="A749" t="inlineStr">
        <is>
          <t>A 36685-2024</t>
        </is>
      </c>
      <c r="B749" s="1" t="n">
        <v>45537.66467592592</v>
      </c>
      <c r="C749" s="1" t="n">
        <v>45998</v>
      </c>
      <c r="D749" t="inlineStr">
        <is>
          <t>VÄSTERNORRLANDS LÄN</t>
        </is>
      </c>
      <c r="E749" t="inlineStr">
        <is>
          <t>SOLLEFTEÅ</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42755-2022</t>
        </is>
      </c>
      <c r="B750" s="1" t="n">
        <v>44832</v>
      </c>
      <c r="C750" s="1" t="n">
        <v>45998</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54617-2023</t>
        </is>
      </c>
      <c r="B751" s="1" t="n">
        <v>45233.95835648148</v>
      </c>
      <c r="C751" s="1" t="n">
        <v>45998</v>
      </c>
      <c r="D751" t="inlineStr">
        <is>
          <t>VÄSTERNORRLANDS LÄN</t>
        </is>
      </c>
      <c r="E751" t="inlineStr">
        <is>
          <t>SOLLEFTEÅ</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20296-2022</t>
        </is>
      </c>
      <c r="B752" s="1" t="n">
        <v>44698</v>
      </c>
      <c r="C752" s="1" t="n">
        <v>45998</v>
      </c>
      <c r="D752" t="inlineStr">
        <is>
          <t>VÄSTERNORRLANDS LÄN</t>
        </is>
      </c>
      <c r="E752" t="inlineStr">
        <is>
          <t>SOLLEFTEÅ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34397-2021</t>
        </is>
      </c>
      <c r="B753" s="1" t="n">
        <v>44379</v>
      </c>
      <c r="C753" s="1" t="n">
        <v>45998</v>
      </c>
      <c r="D753" t="inlineStr">
        <is>
          <t>VÄSTERNORRLANDS LÄN</t>
        </is>
      </c>
      <c r="E753" t="inlineStr">
        <is>
          <t>SOLLEFTEÅ</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60420-2022</t>
        </is>
      </c>
      <c r="B754" s="1" t="n">
        <v>44910</v>
      </c>
      <c r="C754" s="1" t="n">
        <v>45998</v>
      </c>
      <c r="D754" t="inlineStr">
        <is>
          <t>VÄSTERNORRLANDS LÄN</t>
        </is>
      </c>
      <c r="E754" t="inlineStr">
        <is>
          <t>SOLLEFTEÅ</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35975-2023</t>
        </is>
      </c>
      <c r="B755" s="1" t="n">
        <v>45148</v>
      </c>
      <c r="C755" s="1" t="n">
        <v>45998</v>
      </c>
      <c r="D755" t="inlineStr">
        <is>
          <t>VÄSTERNORRLANDS LÄN</t>
        </is>
      </c>
      <c r="E755" t="inlineStr">
        <is>
          <t>SOLLEFTEÅ</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25847-2024</t>
        </is>
      </c>
      <c r="B756" s="1" t="n">
        <v>45467</v>
      </c>
      <c r="C756" s="1" t="n">
        <v>45998</v>
      </c>
      <c r="D756" t="inlineStr">
        <is>
          <t>VÄSTERNORRLANDS LÄN</t>
        </is>
      </c>
      <c r="E756" t="inlineStr">
        <is>
          <t>SOLLEFTEÅ</t>
        </is>
      </c>
      <c r="G756" t="n">
        <v>1.5</v>
      </c>
      <c r="H756" t="n">
        <v>0</v>
      </c>
      <c r="I756" t="n">
        <v>0</v>
      </c>
      <c r="J756" t="n">
        <v>0</v>
      </c>
      <c r="K756" t="n">
        <v>0</v>
      </c>
      <c r="L756" t="n">
        <v>0</v>
      </c>
      <c r="M756" t="n">
        <v>0</v>
      </c>
      <c r="N756" t="n">
        <v>0</v>
      </c>
      <c r="O756" t="n">
        <v>0</v>
      </c>
      <c r="P756" t="n">
        <v>0</v>
      </c>
      <c r="Q756" t="n">
        <v>0</v>
      </c>
      <c r="R756" s="2" t="inlineStr"/>
    </row>
    <row r="757" ht="15" customHeight="1">
      <c r="A757" t="inlineStr">
        <is>
          <t>A 25851-2024</t>
        </is>
      </c>
      <c r="B757" s="1" t="n">
        <v>45467.44688657407</v>
      </c>
      <c r="C757" s="1" t="n">
        <v>45998</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16564-2025</t>
        </is>
      </c>
      <c r="B758" s="1" t="n">
        <v>45752</v>
      </c>
      <c r="C758" s="1" t="n">
        <v>45998</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37042-2021</t>
        </is>
      </c>
      <c r="B759" s="1" t="n">
        <v>44393.93495370371</v>
      </c>
      <c r="C759" s="1" t="n">
        <v>45998</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31916-2023</t>
        </is>
      </c>
      <c r="B760" s="1" t="n">
        <v>45118.93978009259</v>
      </c>
      <c r="C760" s="1" t="n">
        <v>45998</v>
      </c>
      <c r="D760" t="inlineStr">
        <is>
          <t>VÄSTERNORRLANDS LÄN</t>
        </is>
      </c>
      <c r="E760" t="inlineStr">
        <is>
          <t>SOLLEFTEÅ</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31919-2023</t>
        </is>
      </c>
      <c r="B761" s="1" t="n">
        <v>45118</v>
      </c>
      <c r="C761" s="1" t="n">
        <v>45998</v>
      </c>
      <c r="D761" t="inlineStr">
        <is>
          <t>VÄSTERNORRLANDS LÄN</t>
        </is>
      </c>
      <c r="E761" t="inlineStr">
        <is>
          <t>SOLLEFTEÅ</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22666-2024</t>
        </is>
      </c>
      <c r="B762" s="1" t="n">
        <v>45447</v>
      </c>
      <c r="C762" s="1" t="n">
        <v>45998</v>
      </c>
      <c r="D762" t="inlineStr">
        <is>
          <t>VÄSTERNORRLANDS LÄN</t>
        </is>
      </c>
      <c r="E762" t="inlineStr">
        <is>
          <t>SOLLEFTEÅ</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22675-2024</t>
        </is>
      </c>
      <c r="B763" s="1" t="n">
        <v>45447.94508101852</v>
      </c>
      <c r="C763" s="1" t="n">
        <v>45998</v>
      </c>
      <c r="D763" t="inlineStr">
        <is>
          <t>VÄSTERNORRLANDS LÄN</t>
        </is>
      </c>
      <c r="E763" t="inlineStr">
        <is>
          <t>SOLLEFTEÅ</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62750-2022</t>
        </is>
      </c>
      <c r="B764" s="1" t="n">
        <v>44925.93922453704</v>
      </c>
      <c r="C764" s="1" t="n">
        <v>45998</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25703-2024</t>
        </is>
      </c>
      <c r="B765" s="1" t="n">
        <v>45463</v>
      </c>
      <c r="C765" s="1" t="n">
        <v>45998</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25704-2024</t>
        </is>
      </c>
      <c r="B766" s="1" t="n">
        <v>45463.94270833334</v>
      </c>
      <c r="C766" s="1" t="n">
        <v>45998</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17993-2025</t>
        </is>
      </c>
      <c r="B767" s="1" t="n">
        <v>45761.40673611111</v>
      </c>
      <c r="C767" s="1" t="n">
        <v>45998</v>
      </c>
      <c r="D767" t="inlineStr">
        <is>
          <t>VÄSTERNORRLANDS LÄN</t>
        </is>
      </c>
      <c r="E767" t="inlineStr">
        <is>
          <t>SOLLEFTEÅ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61391-2022</t>
        </is>
      </c>
      <c r="B768" s="1" t="n">
        <v>44915.94334490741</v>
      </c>
      <c r="C768" s="1" t="n">
        <v>45998</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53325-2024</t>
        </is>
      </c>
      <c r="B769" s="1" t="n">
        <v>45614.41177083334</v>
      </c>
      <c r="C769" s="1" t="n">
        <v>45998</v>
      </c>
      <c r="D769" t="inlineStr">
        <is>
          <t>VÄSTERNORRLANDS LÄN</t>
        </is>
      </c>
      <c r="E769" t="inlineStr">
        <is>
          <t>SOLLEFTEÅ</t>
        </is>
      </c>
      <c r="G769" t="n">
        <v>9.6</v>
      </c>
      <c r="H769" t="n">
        <v>0</v>
      </c>
      <c r="I769" t="n">
        <v>0</v>
      </c>
      <c r="J769" t="n">
        <v>0</v>
      </c>
      <c r="K769" t="n">
        <v>0</v>
      </c>
      <c r="L769" t="n">
        <v>0</v>
      </c>
      <c r="M769" t="n">
        <v>0</v>
      </c>
      <c r="N769" t="n">
        <v>0</v>
      </c>
      <c r="O769" t="n">
        <v>0</v>
      </c>
      <c r="P769" t="n">
        <v>0</v>
      </c>
      <c r="Q769" t="n">
        <v>0</v>
      </c>
      <c r="R769" s="2" t="inlineStr"/>
    </row>
    <row r="770" ht="15" customHeight="1">
      <c r="A770" t="inlineStr">
        <is>
          <t>A 48767-2023</t>
        </is>
      </c>
      <c r="B770" s="1" t="n">
        <v>45208</v>
      </c>
      <c r="C770" s="1" t="n">
        <v>45998</v>
      </c>
      <c r="D770" t="inlineStr">
        <is>
          <t>VÄSTERNORRLANDS LÄN</t>
        </is>
      </c>
      <c r="E770" t="inlineStr">
        <is>
          <t>SOLLEFTEÅ</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35417-2024</t>
        </is>
      </c>
      <c r="B771" s="1" t="n">
        <v>45531.40851851852</v>
      </c>
      <c r="C771" s="1" t="n">
        <v>45998</v>
      </c>
      <c r="D771" t="inlineStr">
        <is>
          <t>VÄSTERNORRLANDS LÄN</t>
        </is>
      </c>
      <c r="E771" t="inlineStr">
        <is>
          <t>SOLLEFTEÅ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35420-2024</t>
        </is>
      </c>
      <c r="B772" s="1" t="n">
        <v>45531</v>
      </c>
      <c r="C772" s="1" t="n">
        <v>45998</v>
      </c>
      <c r="D772" t="inlineStr">
        <is>
          <t>VÄSTERNORRLANDS LÄN</t>
        </is>
      </c>
      <c r="E772" t="inlineStr">
        <is>
          <t>SOLLEFTEÅ</t>
        </is>
      </c>
      <c r="F772" t="inlineStr">
        <is>
          <t>SCA</t>
        </is>
      </c>
      <c r="G772" t="n">
        <v>9.1</v>
      </c>
      <c r="H772" t="n">
        <v>0</v>
      </c>
      <c r="I772" t="n">
        <v>0</v>
      </c>
      <c r="J772" t="n">
        <v>0</v>
      </c>
      <c r="K772" t="n">
        <v>0</v>
      </c>
      <c r="L772" t="n">
        <v>0</v>
      </c>
      <c r="M772" t="n">
        <v>0</v>
      </c>
      <c r="N772" t="n">
        <v>0</v>
      </c>
      <c r="O772" t="n">
        <v>0</v>
      </c>
      <c r="P772" t="n">
        <v>0</v>
      </c>
      <c r="Q772" t="n">
        <v>0</v>
      </c>
      <c r="R772" s="2" t="inlineStr"/>
    </row>
    <row r="773" ht="15" customHeight="1">
      <c r="A773" t="inlineStr">
        <is>
          <t>A 25363-2024</t>
        </is>
      </c>
      <c r="B773" s="1" t="n">
        <v>45462.95833333334</v>
      </c>
      <c r="C773" s="1" t="n">
        <v>45998</v>
      </c>
      <c r="D773" t="inlineStr">
        <is>
          <t>VÄSTERNORRLANDS LÄN</t>
        </is>
      </c>
      <c r="E773" t="inlineStr">
        <is>
          <t>SOLLEFTEÅ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25384-2024</t>
        </is>
      </c>
      <c r="B774" s="1" t="n">
        <v>45462.96334490741</v>
      </c>
      <c r="C774" s="1" t="n">
        <v>45998</v>
      </c>
      <c r="D774" t="inlineStr">
        <is>
          <t>VÄSTERNORRLANDS LÄN</t>
        </is>
      </c>
      <c r="E774" t="inlineStr">
        <is>
          <t>SOLLEFTEÅ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61480-2021</t>
        </is>
      </c>
      <c r="B775" s="1" t="n">
        <v>44500</v>
      </c>
      <c r="C775" s="1" t="n">
        <v>45998</v>
      </c>
      <c r="D775" t="inlineStr">
        <is>
          <t>VÄSTERNORRLANDS LÄN</t>
        </is>
      </c>
      <c r="E775" t="inlineStr">
        <is>
          <t>SOLLEFTEÅ</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56176-2022</t>
        </is>
      </c>
      <c r="B776" s="1" t="n">
        <v>44889.94862268519</v>
      </c>
      <c r="C776" s="1" t="n">
        <v>45998</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34765-2024</t>
        </is>
      </c>
      <c r="B777" s="1" t="n">
        <v>45526</v>
      </c>
      <c r="C777" s="1" t="n">
        <v>45998</v>
      </c>
      <c r="D777" t="inlineStr">
        <is>
          <t>VÄSTERNORRLANDS LÄN</t>
        </is>
      </c>
      <c r="E777" t="inlineStr">
        <is>
          <t>SOLLEFTEÅ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47272-2022</t>
        </is>
      </c>
      <c r="B778" s="1" t="n">
        <v>44852.95016203704</v>
      </c>
      <c r="C778" s="1" t="n">
        <v>45998</v>
      </c>
      <c r="D778" t="inlineStr">
        <is>
          <t>VÄSTERNORRLANDS LÄN</t>
        </is>
      </c>
      <c r="E778" t="inlineStr">
        <is>
          <t>SOLLEFTEÅ</t>
        </is>
      </c>
      <c r="G778" t="n">
        <v>12.2</v>
      </c>
      <c r="H778" t="n">
        <v>0</v>
      </c>
      <c r="I778" t="n">
        <v>0</v>
      </c>
      <c r="J778" t="n">
        <v>0</v>
      </c>
      <c r="K778" t="n">
        <v>0</v>
      </c>
      <c r="L778" t="n">
        <v>0</v>
      </c>
      <c r="M778" t="n">
        <v>0</v>
      </c>
      <c r="N778" t="n">
        <v>0</v>
      </c>
      <c r="O778" t="n">
        <v>0</v>
      </c>
      <c r="P778" t="n">
        <v>0</v>
      </c>
      <c r="Q778" t="n">
        <v>0</v>
      </c>
      <c r="R778" s="2" t="inlineStr"/>
    </row>
    <row r="779" ht="15" customHeight="1">
      <c r="A779" t="inlineStr">
        <is>
          <t>A 22208-2024</t>
        </is>
      </c>
      <c r="B779" s="1" t="n">
        <v>45446.38181712963</v>
      </c>
      <c r="C779" s="1" t="n">
        <v>45998</v>
      </c>
      <c r="D779" t="inlineStr">
        <is>
          <t>VÄSTERNORRLANDS LÄN</t>
        </is>
      </c>
      <c r="E779" t="inlineStr">
        <is>
          <t>SOLLEFTEÅ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27314-2024</t>
        </is>
      </c>
      <c r="B780" s="1" t="n">
        <v>45471.94633101852</v>
      </c>
      <c r="C780" s="1" t="n">
        <v>45998</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c r="U780">
        <f>HYPERLINK("https://klasma.github.io/Logging_2283/knärot/A 27314-2024 karta knärot.png", "A 27314-2024")</f>
        <v/>
      </c>
      <c r="V780">
        <f>HYPERLINK("https://klasma.github.io/Logging_2283/klagomål/A 27314-2024 FSC-klagomål.docx", "A 27314-2024")</f>
        <v/>
      </c>
      <c r="W780">
        <f>HYPERLINK("https://klasma.github.io/Logging_2283/klagomålsmail/A 27314-2024 FSC-klagomål mail.docx", "A 27314-2024")</f>
        <v/>
      </c>
      <c r="X780">
        <f>HYPERLINK("https://klasma.github.io/Logging_2283/tillsyn/A 27314-2024 tillsynsbegäran.docx", "A 27314-2024")</f>
        <v/>
      </c>
      <c r="Y780">
        <f>HYPERLINK("https://klasma.github.io/Logging_2283/tillsynsmail/A 27314-2024 tillsynsbegäran mail.docx", "A 27314-2024")</f>
        <v/>
      </c>
    </row>
    <row r="781" ht="15" customHeight="1">
      <c r="A781" t="inlineStr">
        <is>
          <t>A 49665-2022</t>
        </is>
      </c>
      <c r="B781" s="1" t="n">
        <v>44862</v>
      </c>
      <c r="C781" s="1" t="n">
        <v>45998</v>
      </c>
      <c r="D781" t="inlineStr">
        <is>
          <t>VÄSTERNORRLANDS LÄN</t>
        </is>
      </c>
      <c r="E781" t="inlineStr">
        <is>
          <t>SOLLEFTEÅ</t>
        </is>
      </c>
      <c r="F781" t="inlineStr">
        <is>
          <t>Holmen skog AB</t>
        </is>
      </c>
      <c r="G781" t="n">
        <v>3</v>
      </c>
      <c r="H781" t="n">
        <v>0</v>
      </c>
      <c r="I781" t="n">
        <v>0</v>
      </c>
      <c r="J781" t="n">
        <v>0</v>
      </c>
      <c r="K781" t="n">
        <v>0</v>
      </c>
      <c r="L781" t="n">
        <v>0</v>
      </c>
      <c r="M781" t="n">
        <v>0</v>
      </c>
      <c r="N781" t="n">
        <v>0</v>
      </c>
      <c r="O781" t="n">
        <v>0</v>
      </c>
      <c r="P781" t="n">
        <v>0</v>
      </c>
      <c r="Q781" t="n">
        <v>0</v>
      </c>
      <c r="R781" s="2" t="inlineStr"/>
    </row>
    <row r="782" ht="15" customHeight="1">
      <c r="A782" t="inlineStr">
        <is>
          <t>A 25702-2024</t>
        </is>
      </c>
      <c r="B782" s="1" t="n">
        <v>45463</v>
      </c>
      <c r="C782" s="1" t="n">
        <v>45998</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25259-2023</t>
        </is>
      </c>
      <c r="B783" s="1" t="n">
        <v>45079</v>
      </c>
      <c r="C783" s="1" t="n">
        <v>45998</v>
      </c>
      <c r="D783" t="inlineStr">
        <is>
          <t>VÄSTERNORRLANDS LÄN</t>
        </is>
      </c>
      <c r="E783" t="inlineStr">
        <is>
          <t>SOLLEFTEÅ</t>
        </is>
      </c>
      <c r="G783" t="n">
        <v>5.4</v>
      </c>
      <c r="H783" t="n">
        <v>0</v>
      </c>
      <c r="I783" t="n">
        <v>0</v>
      </c>
      <c r="J783" t="n">
        <v>0</v>
      </c>
      <c r="K783" t="n">
        <v>0</v>
      </c>
      <c r="L783" t="n">
        <v>0</v>
      </c>
      <c r="M783" t="n">
        <v>0</v>
      </c>
      <c r="N783" t="n">
        <v>0</v>
      </c>
      <c r="O783" t="n">
        <v>0</v>
      </c>
      <c r="P783" t="n">
        <v>0</v>
      </c>
      <c r="Q783" t="n">
        <v>0</v>
      </c>
      <c r="R783" s="2" t="inlineStr"/>
    </row>
    <row r="784" ht="15" customHeight="1">
      <c r="A784" t="inlineStr">
        <is>
          <t>A 25711-2024</t>
        </is>
      </c>
      <c r="B784" s="1" t="n">
        <v>45463</v>
      </c>
      <c r="C784" s="1" t="n">
        <v>45998</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59473-2024</t>
        </is>
      </c>
      <c r="B785" s="1" t="n">
        <v>45638.50436342593</v>
      </c>
      <c r="C785" s="1" t="n">
        <v>45998</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24731-2021</t>
        </is>
      </c>
      <c r="B786" s="1" t="n">
        <v>44340</v>
      </c>
      <c r="C786" s="1" t="n">
        <v>45998</v>
      </c>
      <c r="D786" t="inlineStr">
        <is>
          <t>VÄSTERNORRLANDS LÄN</t>
        </is>
      </c>
      <c r="E786" t="inlineStr">
        <is>
          <t>SOLLEFTEÅ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34284-2023</t>
        </is>
      </c>
      <c r="B787" s="1" t="n">
        <v>45128</v>
      </c>
      <c r="C787" s="1" t="n">
        <v>45998</v>
      </c>
      <c r="D787" t="inlineStr">
        <is>
          <t>VÄSTERNORRLANDS LÄN</t>
        </is>
      </c>
      <c r="E787" t="inlineStr">
        <is>
          <t>SOLLEFTEÅ</t>
        </is>
      </c>
      <c r="G787" t="n">
        <v>6.6</v>
      </c>
      <c r="H787" t="n">
        <v>0</v>
      </c>
      <c r="I787" t="n">
        <v>0</v>
      </c>
      <c r="J787" t="n">
        <v>0</v>
      </c>
      <c r="K787" t="n">
        <v>0</v>
      </c>
      <c r="L787" t="n">
        <v>0</v>
      </c>
      <c r="M787" t="n">
        <v>0</v>
      </c>
      <c r="N787" t="n">
        <v>0</v>
      </c>
      <c r="O787" t="n">
        <v>0</v>
      </c>
      <c r="P787" t="n">
        <v>0</v>
      </c>
      <c r="Q787" t="n">
        <v>0</v>
      </c>
      <c r="R787" s="2" t="inlineStr"/>
    </row>
    <row r="788" ht="15" customHeight="1">
      <c r="A788" t="inlineStr">
        <is>
          <t>A 34311-2023</t>
        </is>
      </c>
      <c r="B788" s="1" t="n">
        <v>45138.92317129629</v>
      </c>
      <c r="C788" s="1" t="n">
        <v>45998</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34329-2023</t>
        </is>
      </c>
      <c r="B789" s="1" t="n">
        <v>45138.94997685185</v>
      </c>
      <c r="C789" s="1" t="n">
        <v>45998</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24199-2024</t>
        </is>
      </c>
      <c r="B790" s="1" t="n">
        <v>45456.96634259259</v>
      </c>
      <c r="C790" s="1" t="n">
        <v>45998</v>
      </c>
      <c r="D790" t="inlineStr">
        <is>
          <t>VÄSTERNORRLANDS LÄN</t>
        </is>
      </c>
      <c r="E790" t="inlineStr">
        <is>
          <t>SOLLEFTEÅ</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25799-2024</t>
        </is>
      </c>
      <c r="B791" s="1" t="n">
        <v>45463</v>
      </c>
      <c r="C791" s="1" t="n">
        <v>45998</v>
      </c>
      <c r="D791" t="inlineStr">
        <is>
          <t>VÄSTERNORRLANDS LÄN</t>
        </is>
      </c>
      <c r="E791" t="inlineStr">
        <is>
          <t>SOLLEFTEÅ</t>
        </is>
      </c>
      <c r="F791" t="inlineStr">
        <is>
          <t>Kommuner</t>
        </is>
      </c>
      <c r="G791" t="n">
        <v>1.2</v>
      </c>
      <c r="H791" t="n">
        <v>0</v>
      </c>
      <c r="I791" t="n">
        <v>0</v>
      </c>
      <c r="J791" t="n">
        <v>0</v>
      </c>
      <c r="K791" t="n">
        <v>0</v>
      </c>
      <c r="L791" t="n">
        <v>0</v>
      </c>
      <c r="M791" t="n">
        <v>0</v>
      </c>
      <c r="N791" t="n">
        <v>0</v>
      </c>
      <c r="O791" t="n">
        <v>0</v>
      </c>
      <c r="P791" t="n">
        <v>0</v>
      </c>
      <c r="Q791" t="n">
        <v>0</v>
      </c>
      <c r="R791" s="2" t="inlineStr"/>
    </row>
    <row r="792" ht="15" customHeight="1">
      <c r="A792" t="inlineStr">
        <is>
          <t>A 55643-2021</t>
        </is>
      </c>
      <c r="B792" s="1" t="n">
        <v>44475</v>
      </c>
      <c r="C792" s="1" t="n">
        <v>45998</v>
      </c>
      <c r="D792" t="inlineStr">
        <is>
          <t>VÄSTERNORRLANDS LÄN</t>
        </is>
      </c>
      <c r="E792" t="inlineStr">
        <is>
          <t>SOLLEFTEÅ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57010-2023</t>
        </is>
      </c>
      <c r="B793" s="1" t="n">
        <v>45239</v>
      </c>
      <c r="C793" s="1" t="n">
        <v>45998</v>
      </c>
      <c r="D793" t="inlineStr">
        <is>
          <t>VÄSTERNORRLANDS LÄN</t>
        </is>
      </c>
      <c r="E793" t="inlineStr">
        <is>
          <t>SOLLEFTEÅ</t>
        </is>
      </c>
      <c r="G793" t="n">
        <v>1.6</v>
      </c>
      <c r="H793" t="n">
        <v>0</v>
      </c>
      <c r="I793" t="n">
        <v>0</v>
      </c>
      <c r="J793" t="n">
        <v>0</v>
      </c>
      <c r="K793" t="n">
        <v>0</v>
      </c>
      <c r="L793" t="n">
        <v>0</v>
      </c>
      <c r="M793" t="n">
        <v>0</v>
      </c>
      <c r="N793" t="n">
        <v>0</v>
      </c>
      <c r="O793" t="n">
        <v>0</v>
      </c>
      <c r="P793" t="n">
        <v>0</v>
      </c>
      <c r="Q793" t="n">
        <v>0</v>
      </c>
      <c r="R793" s="2" t="inlineStr"/>
      <c r="U793">
        <f>HYPERLINK("https://klasma.github.io/Logging_2283/knärot/A 57010-2023 karta knärot.png", "A 57010-2023")</f>
        <v/>
      </c>
      <c r="V793">
        <f>HYPERLINK("https://klasma.github.io/Logging_2283/klagomål/A 57010-2023 FSC-klagomål.docx", "A 57010-2023")</f>
        <v/>
      </c>
      <c r="W793">
        <f>HYPERLINK("https://klasma.github.io/Logging_2283/klagomålsmail/A 57010-2023 FSC-klagomål mail.docx", "A 57010-2023")</f>
        <v/>
      </c>
      <c r="X793">
        <f>HYPERLINK("https://klasma.github.io/Logging_2283/tillsyn/A 57010-2023 tillsynsbegäran.docx", "A 57010-2023")</f>
        <v/>
      </c>
      <c r="Y793">
        <f>HYPERLINK("https://klasma.github.io/Logging_2283/tillsynsmail/A 57010-2023 tillsynsbegäran mail.docx", "A 57010-2023")</f>
        <v/>
      </c>
    </row>
    <row r="794" ht="15" customHeight="1">
      <c r="A794" t="inlineStr">
        <is>
          <t>A 29197-2023</t>
        </is>
      </c>
      <c r="B794" s="1" t="n">
        <v>45097</v>
      </c>
      <c r="C794" s="1" t="n">
        <v>45998</v>
      </c>
      <c r="D794" t="inlineStr">
        <is>
          <t>VÄSTERNORRLANDS LÄN</t>
        </is>
      </c>
      <c r="E794" t="inlineStr">
        <is>
          <t>SOLLEFTEÅ</t>
        </is>
      </c>
      <c r="G794" t="n">
        <v>6.7</v>
      </c>
      <c r="H794" t="n">
        <v>0</v>
      </c>
      <c r="I794" t="n">
        <v>0</v>
      </c>
      <c r="J794" t="n">
        <v>0</v>
      </c>
      <c r="K794" t="n">
        <v>0</v>
      </c>
      <c r="L794" t="n">
        <v>0</v>
      </c>
      <c r="M794" t="n">
        <v>0</v>
      </c>
      <c r="N794" t="n">
        <v>0</v>
      </c>
      <c r="O794" t="n">
        <v>0</v>
      </c>
      <c r="P794" t="n">
        <v>0</v>
      </c>
      <c r="Q794" t="n">
        <v>0</v>
      </c>
      <c r="R794" s="2" t="inlineStr"/>
    </row>
    <row r="795" ht="15" customHeight="1">
      <c r="A795" t="inlineStr">
        <is>
          <t>A 29210-2023</t>
        </is>
      </c>
      <c r="B795" s="1" t="n">
        <v>45097</v>
      </c>
      <c r="C795" s="1" t="n">
        <v>45998</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51314-2022</t>
        </is>
      </c>
      <c r="B796" s="1" t="n">
        <v>44868.950625</v>
      </c>
      <c r="C796" s="1" t="n">
        <v>45998</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63652-2023</t>
        </is>
      </c>
      <c r="B797" s="1" t="n">
        <v>45275</v>
      </c>
      <c r="C797" s="1" t="n">
        <v>45998</v>
      </c>
      <c r="D797" t="inlineStr">
        <is>
          <t>VÄSTERNORRLANDS LÄN</t>
        </is>
      </c>
      <c r="E797" t="inlineStr">
        <is>
          <t>SOLLEFTEÅ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29070-2023</t>
        </is>
      </c>
      <c r="B798" s="1" t="n">
        <v>45104.94119212963</v>
      </c>
      <c r="C798" s="1" t="n">
        <v>45998</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33083-2022</t>
        </is>
      </c>
      <c r="B799" s="1" t="n">
        <v>44785</v>
      </c>
      <c r="C799" s="1" t="n">
        <v>45998</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38234-2024</t>
        </is>
      </c>
      <c r="B800" s="1" t="n">
        <v>45545.56025462963</v>
      </c>
      <c r="C800" s="1" t="n">
        <v>45998</v>
      </c>
      <c r="D800" t="inlineStr">
        <is>
          <t>VÄSTERNORRLANDS LÄN</t>
        </is>
      </c>
      <c r="E800" t="inlineStr">
        <is>
          <t>SOLLEFTEÅ</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34313-2024</t>
        </is>
      </c>
      <c r="B801" s="1" t="n">
        <v>45524</v>
      </c>
      <c r="C801" s="1" t="n">
        <v>45998</v>
      </c>
      <c r="D801" t="inlineStr">
        <is>
          <t>VÄSTERNORRLANDS LÄN</t>
        </is>
      </c>
      <c r="E801" t="inlineStr">
        <is>
          <t>SOLLEFTEÅ</t>
        </is>
      </c>
      <c r="F801" t="inlineStr">
        <is>
          <t>Övriga statliga verk och myndigheter</t>
        </is>
      </c>
      <c r="G801" t="n">
        <v>0.6</v>
      </c>
      <c r="H801" t="n">
        <v>0</v>
      </c>
      <c r="I801" t="n">
        <v>0</v>
      </c>
      <c r="J801" t="n">
        <v>0</v>
      </c>
      <c r="K801" t="n">
        <v>0</v>
      </c>
      <c r="L801" t="n">
        <v>0</v>
      </c>
      <c r="M801" t="n">
        <v>0</v>
      </c>
      <c r="N801" t="n">
        <v>0</v>
      </c>
      <c r="O801" t="n">
        <v>0</v>
      </c>
      <c r="P801" t="n">
        <v>0</v>
      </c>
      <c r="Q801" t="n">
        <v>0</v>
      </c>
      <c r="R801" s="2" t="inlineStr"/>
    </row>
    <row r="802" ht="15" customHeight="1">
      <c r="A802" t="inlineStr">
        <is>
          <t>A 34318-2024</t>
        </is>
      </c>
      <c r="B802" s="1" t="n">
        <v>45524</v>
      </c>
      <c r="C802" s="1" t="n">
        <v>45998</v>
      </c>
      <c r="D802" t="inlineStr">
        <is>
          <t>VÄSTERNORRLANDS LÄN</t>
        </is>
      </c>
      <c r="E802" t="inlineStr">
        <is>
          <t>SOLLEFTEÅ</t>
        </is>
      </c>
      <c r="F802" t="inlineStr">
        <is>
          <t>Övriga statliga verk och myndigheter</t>
        </is>
      </c>
      <c r="G802" t="n">
        <v>0.3</v>
      </c>
      <c r="H802" t="n">
        <v>0</v>
      </c>
      <c r="I802" t="n">
        <v>0</v>
      </c>
      <c r="J802" t="n">
        <v>0</v>
      </c>
      <c r="K802" t="n">
        <v>0</v>
      </c>
      <c r="L802" t="n">
        <v>0</v>
      </c>
      <c r="M802" t="n">
        <v>0</v>
      </c>
      <c r="N802" t="n">
        <v>0</v>
      </c>
      <c r="O802" t="n">
        <v>0</v>
      </c>
      <c r="P802" t="n">
        <v>0</v>
      </c>
      <c r="Q802" t="n">
        <v>0</v>
      </c>
      <c r="R802" s="2" t="inlineStr"/>
    </row>
    <row r="803" ht="15" customHeight="1">
      <c r="A803" t="inlineStr">
        <is>
          <t>A 43469-2022</t>
        </is>
      </c>
      <c r="B803" s="1" t="n">
        <v>44836.80145833334</v>
      </c>
      <c r="C803" s="1" t="n">
        <v>45998</v>
      </c>
      <c r="D803" t="inlineStr">
        <is>
          <t>VÄSTERNORRLANDS LÄN</t>
        </is>
      </c>
      <c r="E803" t="inlineStr">
        <is>
          <t>SOLLEFTEÅ</t>
        </is>
      </c>
      <c r="G803" t="n">
        <v>2.8</v>
      </c>
      <c r="H803" t="n">
        <v>0</v>
      </c>
      <c r="I803" t="n">
        <v>0</v>
      </c>
      <c r="J803" t="n">
        <v>0</v>
      </c>
      <c r="K803" t="n">
        <v>0</v>
      </c>
      <c r="L803" t="n">
        <v>0</v>
      </c>
      <c r="M803" t="n">
        <v>0</v>
      </c>
      <c r="N803" t="n">
        <v>0</v>
      </c>
      <c r="O803" t="n">
        <v>0</v>
      </c>
      <c r="P803" t="n">
        <v>0</v>
      </c>
      <c r="Q803" t="n">
        <v>0</v>
      </c>
      <c r="R803" s="2" t="inlineStr"/>
    </row>
    <row r="804" ht="15" customHeight="1">
      <c r="A804" t="inlineStr">
        <is>
          <t>A 656-2024</t>
        </is>
      </c>
      <c r="B804" s="1" t="n">
        <v>45299</v>
      </c>
      <c r="C804" s="1" t="n">
        <v>45998</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58155-2023</t>
        </is>
      </c>
      <c r="B805" s="1" t="n">
        <v>45250</v>
      </c>
      <c r="C805" s="1" t="n">
        <v>45998</v>
      </c>
      <c r="D805" t="inlineStr">
        <is>
          <t>VÄSTERNORRLANDS LÄN</t>
        </is>
      </c>
      <c r="E805" t="inlineStr">
        <is>
          <t>SOLLEFTEÅ</t>
        </is>
      </c>
      <c r="G805" t="n">
        <v>4.1</v>
      </c>
      <c r="H805" t="n">
        <v>0</v>
      </c>
      <c r="I805" t="n">
        <v>0</v>
      </c>
      <c r="J805" t="n">
        <v>0</v>
      </c>
      <c r="K805" t="n">
        <v>0</v>
      </c>
      <c r="L805" t="n">
        <v>0</v>
      </c>
      <c r="M805" t="n">
        <v>0</v>
      </c>
      <c r="N805" t="n">
        <v>0</v>
      </c>
      <c r="O805" t="n">
        <v>0</v>
      </c>
      <c r="P805" t="n">
        <v>0</v>
      </c>
      <c r="Q805" t="n">
        <v>0</v>
      </c>
      <c r="R805" s="2" t="inlineStr"/>
    </row>
    <row r="806" ht="15" customHeight="1">
      <c r="A806" t="inlineStr">
        <is>
          <t>A 59346-2023</t>
        </is>
      </c>
      <c r="B806" s="1" t="n">
        <v>45253</v>
      </c>
      <c r="C806" s="1" t="n">
        <v>45998</v>
      </c>
      <c r="D806" t="inlineStr">
        <is>
          <t>VÄSTERNORRLANDS LÄN</t>
        </is>
      </c>
      <c r="E806" t="inlineStr">
        <is>
          <t>SOLLEFTEÅ</t>
        </is>
      </c>
      <c r="F806" t="inlineStr">
        <is>
          <t>Holmen skog AB</t>
        </is>
      </c>
      <c r="G806" t="n">
        <v>6.3</v>
      </c>
      <c r="H806" t="n">
        <v>0</v>
      </c>
      <c r="I806" t="n">
        <v>0</v>
      </c>
      <c r="J806" t="n">
        <v>0</v>
      </c>
      <c r="K806" t="n">
        <v>0</v>
      </c>
      <c r="L806" t="n">
        <v>0</v>
      </c>
      <c r="M806" t="n">
        <v>0</v>
      </c>
      <c r="N806" t="n">
        <v>0</v>
      </c>
      <c r="O806" t="n">
        <v>0</v>
      </c>
      <c r="P806" t="n">
        <v>0</v>
      </c>
      <c r="Q806" t="n">
        <v>0</v>
      </c>
      <c r="R806" s="2" t="inlineStr"/>
    </row>
    <row r="807" ht="15" customHeight="1">
      <c r="A807" t="inlineStr">
        <is>
          <t>A 56684-2023</t>
        </is>
      </c>
      <c r="B807" s="1" t="n">
        <v>45243.96592592593</v>
      </c>
      <c r="C807" s="1" t="n">
        <v>45998</v>
      </c>
      <c r="D807" t="inlineStr">
        <is>
          <t>VÄSTERNORRLANDS LÄN</t>
        </is>
      </c>
      <c r="E807" t="inlineStr">
        <is>
          <t>SOLLEFTEÅ</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63712-2023</t>
        </is>
      </c>
      <c r="B808" s="1" t="n">
        <v>45275.95094907407</v>
      </c>
      <c r="C808" s="1" t="n">
        <v>45998</v>
      </c>
      <c r="D808" t="inlineStr">
        <is>
          <t>VÄSTERNORRLANDS LÄN</t>
        </is>
      </c>
      <c r="E808" t="inlineStr">
        <is>
          <t>SOLLEFTEÅ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39177-2024</t>
        </is>
      </c>
      <c r="B809" s="1" t="n">
        <v>45548.65681712963</v>
      </c>
      <c r="C809" s="1" t="n">
        <v>45998</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22471-2024</t>
        </is>
      </c>
      <c r="B810" s="1" t="n">
        <v>45446</v>
      </c>
      <c r="C810" s="1" t="n">
        <v>45998</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27908-2024</t>
        </is>
      </c>
      <c r="B811" s="1" t="n">
        <v>45475.94615740741</v>
      </c>
      <c r="C811" s="1" t="n">
        <v>45998</v>
      </c>
      <c r="D811" t="inlineStr">
        <is>
          <t>VÄSTERNORRLANDS LÄN</t>
        </is>
      </c>
      <c r="E811" t="inlineStr">
        <is>
          <t>SOLLEFTEÅ</t>
        </is>
      </c>
      <c r="F811" t="inlineStr">
        <is>
          <t>SCA</t>
        </is>
      </c>
      <c r="G811" t="n">
        <v>6.8</v>
      </c>
      <c r="H811" t="n">
        <v>0</v>
      </c>
      <c r="I811" t="n">
        <v>0</v>
      </c>
      <c r="J811" t="n">
        <v>0</v>
      </c>
      <c r="K811" t="n">
        <v>0</v>
      </c>
      <c r="L811" t="n">
        <v>0</v>
      </c>
      <c r="M811" t="n">
        <v>0</v>
      </c>
      <c r="N811" t="n">
        <v>0</v>
      </c>
      <c r="O811" t="n">
        <v>0</v>
      </c>
      <c r="P811" t="n">
        <v>0</v>
      </c>
      <c r="Q811" t="n">
        <v>0</v>
      </c>
      <c r="R811" s="2" t="inlineStr"/>
    </row>
    <row r="812" ht="15" customHeight="1">
      <c r="A812" t="inlineStr">
        <is>
          <t>A 41146-2023</t>
        </is>
      </c>
      <c r="B812" s="1" t="n">
        <v>45173.94277777777</v>
      </c>
      <c r="C812" s="1" t="n">
        <v>45998</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41532-2024</t>
        </is>
      </c>
      <c r="B813" s="1" t="n">
        <v>45560.49050925926</v>
      </c>
      <c r="C813" s="1" t="n">
        <v>45998</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31554-2024</t>
        </is>
      </c>
      <c r="B814" s="1" t="n">
        <v>45505.96472222222</v>
      </c>
      <c r="C814" s="1" t="n">
        <v>45998</v>
      </c>
      <c r="D814" t="inlineStr">
        <is>
          <t>VÄSTERNORRLANDS LÄN</t>
        </is>
      </c>
      <c r="E814" t="inlineStr">
        <is>
          <t>SOLLEFTEÅ</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31556-2024</t>
        </is>
      </c>
      <c r="B815" s="1" t="n">
        <v>45505</v>
      </c>
      <c r="C815" s="1" t="n">
        <v>45998</v>
      </c>
      <c r="D815" t="inlineStr">
        <is>
          <t>VÄSTERNORRLANDS LÄN</t>
        </is>
      </c>
      <c r="E815" t="inlineStr">
        <is>
          <t>SOLLEFTEÅ</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22341-2022</t>
        </is>
      </c>
      <c r="B816" s="1" t="n">
        <v>44712.94197916667</v>
      </c>
      <c r="C816" s="1" t="n">
        <v>45998</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29869-2024</t>
        </is>
      </c>
      <c r="B817" s="1" t="n">
        <v>45485.94493055555</v>
      </c>
      <c r="C817" s="1" t="n">
        <v>45998</v>
      </c>
      <c r="D817" t="inlineStr">
        <is>
          <t>VÄSTERNORRLANDS LÄN</t>
        </is>
      </c>
      <c r="E817" t="inlineStr">
        <is>
          <t>SOLLEFTEÅ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51573-2024</t>
        </is>
      </c>
      <c r="B818" s="1" t="n">
        <v>45604</v>
      </c>
      <c r="C818" s="1" t="n">
        <v>45998</v>
      </c>
      <c r="D818" t="inlineStr">
        <is>
          <t>VÄSTERNORRLANDS LÄN</t>
        </is>
      </c>
      <c r="E818" t="inlineStr">
        <is>
          <t>SOLLEFTEÅ</t>
        </is>
      </c>
      <c r="G818" t="n">
        <v>1.8</v>
      </c>
      <c r="H818" t="n">
        <v>0</v>
      </c>
      <c r="I818" t="n">
        <v>0</v>
      </c>
      <c r="J818" t="n">
        <v>0</v>
      </c>
      <c r="K818" t="n">
        <v>0</v>
      </c>
      <c r="L818" t="n">
        <v>0</v>
      </c>
      <c r="M818" t="n">
        <v>0</v>
      </c>
      <c r="N818" t="n">
        <v>0</v>
      </c>
      <c r="O818" t="n">
        <v>0</v>
      </c>
      <c r="P818" t="n">
        <v>0</v>
      </c>
      <c r="Q818" t="n">
        <v>0</v>
      </c>
      <c r="R818" s="2" t="inlineStr"/>
    </row>
    <row r="819" ht="15" customHeight="1">
      <c r="A819" t="inlineStr">
        <is>
          <t>A 35793-2024</t>
        </is>
      </c>
      <c r="B819" s="1" t="n">
        <v>45532</v>
      </c>
      <c r="C819" s="1" t="n">
        <v>45998</v>
      </c>
      <c r="D819" t="inlineStr">
        <is>
          <t>VÄSTERNORRLANDS LÄN</t>
        </is>
      </c>
      <c r="E819" t="inlineStr">
        <is>
          <t>SOLLEFTEÅ</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35794-2024</t>
        </is>
      </c>
      <c r="B820" s="1" t="n">
        <v>45532.62974537037</v>
      </c>
      <c r="C820" s="1" t="n">
        <v>45998</v>
      </c>
      <c r="D820" t="inlineStr">
        <is>
          <t>VÄSTERNORRLANDS LÄN</t>
        </is>
      </c>
      <c r="E820" t="inlineStr">
        <is>
          <t>SOLLEFTEÅ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35795-2024</t>
        </is>
      </c>
      <c r="B821" s="1" t="n">
        <v>45532</v>
      </c>
      <c r="C821" s="1" t="n">
        <v>45998</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35803-2024</t>
        </is>
      </c>
      <c r="B822" s="1" t="n">
        <v>45532.64506944444</v>
      </c>
      <c r="C822" s="1" t="n">
        <v>45998</v>
      </c>
      <c r="D822" t="inlineStr">
        <is>
          <t>VÄSTERNORRLANDS LÄN</t>
        </is>
      </c>
      <c r="E822" t="inlineStr">
        <is>
          <t>SOLLEFTEÅ</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38100-2023</t>
        </is>
      </c>
      <c r="B823" s="1" t="n">
        <v>45160.9647800926</v>
      </c>
      <c r="C823" s="1" t="n">
        <v>45998</v>
      </c>
      <c r="D823" t="inlineStr">
        <is>
          <t>VÄSTERNORRLANDS LÄN</t>
        </is>
      </c>
      <c r="E823" t="inlineStr">
        <is>
          <t>SOLLEFTEÅ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71580-2021</t>
        </is>
      </c>
      <c r="B824" s="1" t="n">
        <v>44540</v>
      </c>
      <c r="C824" s="1" t="n">
        <v>45998</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18111-2025</t>
        </is>
      </c>
      <c r="B825" s="1" t="n">
        <v>45761.57334490741</v>
      </c>
      <c r="C825" s="1" t="n">
        <v>45998</v>
      </c>
      <c r="D825" t="inlineStr">
        <is>
          <t>VÄSTERNORRLANDS LÄN</t>
        </is>
      </c>
      <c r="E825" t="inlineStr">
        <is>
          <t>SOLLEFTEÅ</t>
        </is>
      </c>
      <c r="F825" t="inlineStr">
        <is>
          <t>SCA</t>
        </is>
      </c>
      <c r="G825" t="n">
        <v>41.6</v>
      </c>
      <c r="H825" t="n">
        <v>0</v>
      </c>
      <c r="I825" t="n">
        <v>0</v>
      </c>
      <c r="J825" t="n">
        <v>0</v>
      </c>
      <c r="K825" t="n">
        <v>0</v>
      </c>
      <c r="L825" t="n">
        <v>0</v>
      </c>
      <c r="M825" t="n">
        <v>0</v>
      </c>
      <c r="N825" t="n">
        <v>0</v>
      </c>
      <c r="O825" t="n">
        <v>0</v>
      </c>
      <c r="P825" t="n">
        <v>0</v>
      </c>
      <c r="Q825" t="n">
        <v>0</v>
      </c>
      <c r="R825" s="2" t="inlineStr"/>
    </row>
    <row r="826" ht="15" customHeight="1">
      <c r="A826" t="inlineStr">
        <is>
          <t>A 27377-2024</t>
        </is>
      </c>
      <c r="B826" s="1" t="n">
        <v>45473.88317129629</v>
      </c>
      <c r="C826" s="1" t="n">
        <v>45998</v>
      </c>
      <c r="D826" t="inlineStr">
        <is>
          <t>VÄSTERNORRLANDS LÄN</t>
        </is>
      </c>
      <c r="E826" t="inlineStr">
        <is>
          <t>SOLLEFTEÅ</t>
        </is>
      </c>
      <c r="G826" t="n">
        <v>9.1</v>
      </c>
      <c r="H826" t="n">
        <v>0</v>
      </c>
      <c r="I826" t="n">
        <v>0</v>
      </c>
      <c r="J826" t="n">
        <v>0</v>
      </c>
      <c r="K826" t="n">
        <v>0</v>
      </c>
      <c r="L826" t="n">
        <v>0</v>
      </c>
      <c r="M826" t="n">
        <v>0</v>
      </c>
      <c r="N826" t="n">
        <v>0</v>
      </c>
      <c r="O826" t="n">
        <v>0</v>
      </c>
      <c r="P826" t="n">
        <v>0</v>
      </c>
      <c r="Q826" t="n">
        <v>0</v>
      </c>
      <c r="R826" s="2" t="inlineStr"/>
    </row>
    <row r="827" ht="15" customHeight="1">
      <c r="A827" t="inlineStr">
        <is>
          <t>A 25131-2024</t>
        </is>
      </c>
      <c r="B827" s="1" t="n">
        <v>45462.46725694444</v>
      </c>
      <c r="C827" s="1" t="n">
        <v>45998</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19489-2025</t>
        </is>
      </c>
      <c r="B828" s="1" t="n">
        <v>45770.38847222222</v>
      </c>
      <c r="C828" s="1" t="n">
        <v>45998</v>
      </c>
      <c r="D828" t="inlineStr">
        <is>
          <t>VÄSTERNORRLANDS LÄN</t>
        </is>
      </c>
      <c r="E828" t="inlineStr">
        <is>
          <t>SOLLEFTEÅ</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27916-2024</t>
        </is>
      </c>
      <c r="B829" s="1" t="n">
        <v>45475.94834490741</v>
      </c>
      <c r="C829" s="1" t="n">
        <v>45998</v>
      </c>
      <c r="D829" t="inlineStr">
        <is>
          <t>VÄSTERNORRLANDS LÄN</t>
        </is>
      </c>
      <c r="E829" t="inlineStr">
        <is>
          <t>SOLLEFTEÅ</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13292-2023</t>
        </is>
      </c>
      <c r="B830" s="1" t="n">
        <v>45004</v>
      </c>
      <c r="C830" s="1" t="n">
        <v>45998</v>
      </c>
      <c r="D830" t="inlineStr">
        <is>
          <t>VÄSTERNORRLANDS LÄN</t>
        </is>
      </c>
      <c r="E830" t="inlineStr">
        <is>
          <t>SOLLEFTEÅ</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22462-2024</t>
        </is>
      </c>
      <c r="B831" s="1" t="n">
        <v>45446</v>
      </c>
      <c r="C831" s="1" t="n">
        <v>45998</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3323-2025</t>
        </is>
      </c>
      <c r="B832" s="1" t="n">
        <v>45679.69921296297</v>
      </c>
      <c r="C832" s="1" t="n">
        <v>45998</v>
      </c>
      <c r="D832" t="inlineStr">
        <is>
          <t>VÄSTERNORRLANDS LÄN</t>
        </is>
      </c>
      <c r="E832" t="inlineStr">
        <is>
          <t>SOLLEFTEÅ</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50757-2023</t>
        </is>
      </c>
      <c r="B833" s="1" t="n">
        <v>45217</v>
      </c>
      <c r="C833" s="1" t="n">
        <v>45998</v>
      </c>
      <c r="D833" t="inlineStr">
        <is>
          <t>VÄSTERNORRLANDS LÄN</t>
        </is>
      </c>
      <c r="E833" t="inlineStr">
        <is>
          <t>SOLLEFTEÅ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72958-2021</t>
        </is>
      </c>
      <c r="B834" s="1" t="n">
        <v>44547</v>
      </c>
      <c r="C834" s="1" t="n">
        <v>45998</v>
      </c>
      <c r="D834" t="inlineStr">
        <is>
          <t>VÄSTERNORRLANDS LÄN</t>
        </is>
      </c>
      <c r="E834" t="inlineStr">
        <is>
          <t>SOLLEFTEÅ</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58276-2021</t>
        </is>
      </c>
      <c r="B835" s="1" t="n">
        <v>44487.94453703704</v>
      </c>
      <c r="C835" s="1" t="n">
        <v>45998</v>
      </c>
      <c r="D835" t="inlineStr">
        <is>
          <t>VÄSTERNORRLANDS LÄN</t>
        </is>
      </c>
      <c r="E835" t="inlineStr">
        <is>
          <t>SOLLEFTEÅ</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35747-2022</t>
        </is>
      </c>
      <c r="B836" s="1" t="n">
        <v>44799</v>
      </c>
      <c r="C836" s="1" t="n">
        <v>45998</v>
      </c>
      <c r="D836" t="inlineStr">
        <is>
          <t>VÄSTERNORRLANDS LÄN</t>
        </is>
      </c>
      <c r="E836" t="inlineStr">
        <is>
          <t>SOLLEFTEÅ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63529-2023</t>
        </is>
      </c>
      <c r="B837" s="1" t="n">
        <v>45274.94859953703</v>
      </c>
      <c r="C837" s="1" t="n">
        <v>45998</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6066-2024</t>
        </is>
      </c>
      <c r="B838" s="1" t="n">
        <v>45336.88386574074</v>
      </c>
      <c r="C838" s="1" t="n">
        <v>45998</v>
      </c>
      <c r="D838" t="inlineStr">
        <is>
          <t>VÄSTERNORRLANDS LÄN</t>
        </is>
      </c>
      <c r="E838" t="inlineStr">
        <is>
          <t>SOLLEFTEÅ</t>
        </is>
      </c>
      <c r="F838" t="inlineStr">
        <is>
          <t>Övriga Aktiebolag</t>
        </is>
      </c>
      <c r="G838" t="n">
        <v>14.8</v>
      </c>
      <c r="H838" t="n">
        <v>0</v>
      </c>
      <c r="I838" t="n">
        <v>0</v>
      </c>
      <c r="J838" t="n">
        <v>0</v>
      </c>
      <c r="K838" t="n">
        <v>0</v>
      </c>
      <c r="L838" t="n">
        <v>0</v>
      </c>
      <c r="M838" t="n">
        <v>0</v>
      </c>
      <c r="N838" t="n">
        <v>0</v>
      </c>
      <c r="O838" t="n">
        <v>0</v>
      </c>
      <c r="P838" t="n">
        <v>0</v>
      </c>
      <c r="Q838" t="n">
        <v>0</v>
      </c>
      <c r="R838" s="2" t="inlineStr"/>
    </row>
    <row r="839" ht="15" customHeight="1">
      <c r="A839" t="inlineStr">
        <is>
          <t>A 16511-2025</t>
        </is>
      </c>
      <c r="B839" s="1" t="n">
        <v>45751</v>
      </c>
      <c r="C839" s="1" t="n">
        <v>45998</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21711-2022</t>
        </is>
      </c>
      <c r="B840" s="1" t="n">
        <v>44707</v>
      </c>
      <c r="C840" s="1" t="n">
        <v>45998</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3211-2024</t>
        </is>
      </c>
      <c r="B841" s="1" t="n">
        <v>45316</v>
      </c>
      <c r="C841" s="1" t="n">
        <v>45998</v>
      </c>
      <c r="D841" t="inlineStr">
        <is>
          <t>VÄSTERNORRLANDS LÄN</t>
        </is>
      </c>
      <c r="E841" t="inlineStr">
        <is>
          <t>SOLLEFTEÅ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3231-2024</t>
        </is>
      </c>
      <c r="B842" s="1" t="n">
        <v>45316</v>
      </c>
      <c r="C842" s="1" t="n">
        <v>45998</v>
      </c>
      <c r="D842" t="inlineStr">
        <is>
          <t>VÄSTERNORRLANDS LÄN</t>
        </is>
      </c>
      <c r="E842" t="inlineStr">
        <is>
          <t>SOLLEFTEÅ</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3252-2024</t>
        </is>
      </c>
      <c r="B843" s="1" t="n">
        <v>45316</v>
      </c>
      <c r="C843" s="1" t="n">
        <v>45998</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5255-2024</t>
        </is>
      </c>
      <c r="B844" s="1" t="n">
        <v>45330</v>
      </c>
      <c r="C844" s="1" t="n">
        <v>45998</v>
      </c>
      <c r="D844" t="inlineStr">
        <is>
          <t>VÄSTERNORRLANDS LÄN</t>
        </is>
      </c>
      <c r="E844" t="inlineStr">
        <is>
          <t>SOLLEFTEÅ</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48235-2024</t>
        </is>
      </c>
      <c r="B845" s="1" t="n">
        <v>45590</v>
      </c>
      <c r="C845" s="1" t="n">
        <v>45998</v>
      </c>
      <c r="D845" t="inlineStr">
        <is>
          <t>VÄSTERNORRLANDS LÄN</t>
        </is>
      </c>
      <c r="E845" t="inlineStr">
        <is>
          <t>SOLLEFTEÅ</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20507-2024</t>
        </is>
      </c>
      <c r="B846" s="1" t="n">
        <v>45435</v>
      </c>
      <c r="C846" s="1" t="n">
        <v>45998</v>
      </c>
      <c r="D846" t="inlineStr">
        <is>
          <t>VÄSTERNORRLANDS LÄN</t>
        </is>
      </c>
      <c r="E846" t="inlineStr">
        <is>
          <t>SOLLEFTEÅ</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35277-2023</t>
        </is>
      </c>
      <c r="B847" s="1" t="n">
        <v>45145</v>
      </c>
      <c r="C847" s="1" t="n">
        <v>45998</v>
      </c>
      <c r="D847" t="inlineStr">
        <is>
          <t>VÄSTERNORRLANDS LÄN</t>
        </is>
      </c>
      <c r="E847" t="inlineStr">
        <is>
          <t>SOLLEFTEÅ</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13598-2022</t>
        </is>
      </c>
      <c r="B848" s="1" t="n">
        <v>44648</v>
      </c>
      <c r="C848" s="1" t="n">
        <v>45998</v>
      </c>
      <c r="D848" t="inlineStr">
        <is>
          <t>VÄSTERNORRLANDS LÄN</t>
        </is>
      </c>
      <c r="E848" t="inlineStr">
        <is>
          <t>SOLLEFTEÅ</t>
        </is>
      </c>
      <c r="G848" t="n">
        <v>2.5</v>
      </c>
      <c r="H848" t="n">
        <v>0</v>
      </c>
      <c r="I848" t="n">
        <v>0</v>
      </c>
      <c r="J848" t="n">
        <v>0</v>
      </c>
      <c r="K848" t="n">
        <v>0</v>
      </c>
      <c r="L848" t="n">
        <v>0</v>
      </c>
      <c r="M848" t="n">
        <v>0</v>
      </c>
      <c r="N848" t="n">
        <v>0</v>
      </c>
      <c r="O848" t="n">
        <v>0</v>
      </c>
      <c r="P848" t="n">
        <v>0</v>
      </c>
      <c r="Q848" t="n">
        <v>0</v>
      </c>
      <c r="R848" s="2" t="inlineStr"/>
    </row>
    <row r="849" ht="15" customHeight="1">
      <c r="A849" t="inlineStr">
        <is>
          <t>A 8244-2024</t>
        </is>
      </c>
      <c r="B849" s="1" t="n">
        <v>45351</v>
      </c>
      <c r="C849" s="1" t="n">
        <v>45998</v>
      </c>
      <c r="D849" t="inlineStr">
        <is>
          <t>VÄSTERNORRLANDS LÄN</t>
        </is>
      </c>
      <c r="E849" t="inlineStr">
        <is>
          <t>SOLLEFTEÅ</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6067-2024</t>
        </is>
      </c>
      <c r="B850" s="1" t="n">
        <v>45336.89018518518</v>
      </c>
      <c r="C850" s="1" t="n">
        <v>45998</v>
      </c>
      <c r="D850" t="inlineStr">
        <is>
          <t>VÄSTERNORRLANDS LÄN</t>
        </is>
      </c>
      <c r="E850" t="inlineStr">
        <is>
          <t>SOLLEFTEÅ</t>
        </is>
      </c>
      <c r="F850" t="inlineStr">
        <is>
          <t>Övriga Aktiebolag</t>
        </is>
      </c>
      <c r="G850" t="n">
        <v>2.3</v>
      </c>
      <c r="H850" t="n">
        <v>0</v>
      </c>
      <c r="I850" t="n">
        <v>0</v>
      </c>
      <c r="J850" t="n">
        <v>0</v>
      </c>
      <c r="K850" t="n">
        <v>0</v>
      </c>
      <c r="L850" t="n">
        <v>0</v>
      </c>
      <c r="M850" t="n">
        <v>0</v>
      </c>
      <c r="N850" t="n">
        <v>0</v>
      </c>
      <c r="O850" t="n">
        <v>0</v>
      </c>
      <c r="P850" t="n">
        <v>0</v>
      </c>
      <c r="Q850" t="n">
        <v>0</v>
      </c>
      <c r="R850" s="2" t="inlineStr"/>
    </row>
    <row r="851" ht="15" customHeight="1">
      <c r="A851" t="inlineStr">
        <is>
          <t>A 62507-2022</t>
        </is>
      </c>
      <c r="B851" s="1" t="n">
        <v>44924</v>
      </c>
      <c r="C851" s="1" t="n">
        <v>45998</v>
      </c>
      <c r="D851" t="inlineStr">
        <is>
          <t>VÄSTERNORRLANDS LÄN</t>
        </is>
      </c>
      <c r="E851" t="inlineStr">
        <is>
          <t>SOLLEFTEÅ</t>
        </is>
      </c>
      <c r="F851" t="inlineStr">
        <is>
          <t>Holmen skog AB</t>
        </is>
      </c>
      <c r="G851" t="n">
        <v>4.8</v>
      </c>
      <c r="H851" t="n">
        <v>0</v>
      </c>
      <c r="I851" t="n">
        <v>0</v>
      </c>
      <c r="J851" t="n">
        <v>0</v>
      </c>
      <c r="K851" t="n">
        <v>0</v>
      </c>
      <c r="L851" t="n">
        <v>0</v>
      </c>
      <c r="M851" t="n">
        <v>0</v>
      </c>
      <c r="N851" t="n">
        <v>0</v>
      </c>
      <c r="O851" t="n">
        <v>0</v>
      </c>
      <c r="P851" t="n">
        <v>0</v>
      </c>
      <c r="Q851" t="n">
        <v>0</v>
      </c>
      <c r="R851" s="2" t="inlineStr"/>
    </row>
    <row r="852" ht="15" customHeight="1">
      <c r="A852" t="inlineStr">
        <is>
          <t>A 19814-2022</t>
        </is>
      </c>
      <c r="B852" s="1" t="n">
        <v>44694.93945601852</v>
      </c>
      <c r="C852" s="1" t="n">
        <v>45998</v>
      </c>
      <c r="D852" t="inlineStr">
        <is>
          <t>VÄSTERNORRLANDS LÄN</t>
        </is>
      </c>
      <c r="E852" t="inlineStr">
        <is>
          <t>SOLLEFTEÅ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46130-2022</t>
        </is>
      </c>
      <c r="B853" s="1" t="n">
        <v>44844</v>
      </c>
      <c r="C853" s="1" t="n">
        <v>45998</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4061-2024</t>
        </is>
      </c>
      <c r="B854" s="1" t="n">
        <v>45323</v>
      </c>
      <c r="C854" s="1" t="n">
        <v>45998</v>
      </c>
      <c r="D854" t="inlineStr">
        <is>
          <t>VÄSTERNORRLANDS LÄN</t>
        </is>
      </c>
      <c r="E854" t="inlineStr">
        <is>
          <t>SOLLEFTEÅ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5001-2023</t>
        </is>
      </c>
      <c r="B855" s="1" t="n">
        <v>44956</v>
      </c>
      <c r="C855" s="1" t="n">
        <v>45998</v>
      </c>
      <c r="D855" t="inlineStr">
        <is>
          <t>VÄSTERNORRLANDS LÄN</t>
        </is>
      </c>
      <c r="E855" t="inlineStr">
        <is>
          <t>SOLLEFTEÅ</t>
        </is>
      </c>
      <c r="G855" t="n">
        <v>1.4</v>
      </c>
      <c r="H855" t="n">
        <v>0</v>
      </c>
      <c r="I855" t="n">
        <v>0</v>
      </c>
      <c r="J855" t="n">
        <v>0</v>
      </c>
      <c r="K855" t="n">
        <v>0</v>
      </c>
      <c r="L855" t="n">
        <v>0</v>
      </c>
      <c r="M855" t="n">
        <v>0</v>
      </c>
      <c r="N855" t="n">
        <v>0</v>
      </c>
      <c r="O855" t="n">
        <v>0</v>
      </c>
      <c r="P855" t="n">
        <v>0</v>
      </c>
      <c r="Q855" t="n">
        <v>0</v>
      </c>
      <c r="R855" s="2" t="inlineStr"/>
    </row>
    <row r="856" ht="15" customHeight="1">
      <c r="A856" t="inlineStr">
        <is>
          <t>A 21362-2021</t>
        </is>
      </c>
      <c r="B856" s="1" t="n">
        <v>44320.95611111111</v>
      </c>
      <c r="C856" s="1" t="n">
        <v>45998</v>
      </c>
      <c r="D856" t="inlineStr">
        <is>
          <t>VÄSTERNORRLANDS LÄN</t>
        </is>
      </c>
      <c r="E856" t="inlineStr">
        <is>
          <t>SOLLEFTEÅ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27633-2024</t>
        </is>
      </c>
      <c r="B857" s="1" t="n">
        <v>45474.94590277778</v>
      </c>
      <c r="C857" s="1" t="n">
        <v>45998</v>
      </c>
      <c r="D857" t="inlineStr">
        <is>
          <t>VÄSTERNORRLANDS LÄN</t>
        </is>
      </c>
      <c r="E857" t="inlineStr">
        <is>
          <t>SOLLEFTEÅ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27634-2024</t>
        </is>
      </c>
      <c r="B858" s="1" t="n">
        <v>45474.94599537037</v>
      </c>
      <c r="C858" s="1" t="n">
        <v>45998</v>
      </c>
      <c r="D858" t="inlineStr">
        <is>
          <t>VÄSTERNORRLANDS LÄN</t>
        </is>
      </c>
      <c r="E858" t="inlineStr">
        <is>
          <t>SOLLEFTEÅ</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27641-2024</t>
        </is>
      </c>
      <c r="B859" s="1" t="n">
        <v>45474.94694444445</v>
      </c>
      <c r="C859" s="1" t="n">
        <v>45998</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29459-2024</t>
        </is>
      </c>
      <c r="B860" s="1" t="n">
        <v>45483.96939814815</v>
      </c>
      <c r="C860" s="1" t="n">
        <v>45998</v>
      </c>
      <c r="D860" t="inlineStr">
        <is>
          <t>VÄSTERNORRLANDS LÄN</t>
        </is>
      </c>
      <c r="E860" t="inlineStr">
        <is>
          <t>SOLLEFTEÅ</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18696-2025</t>
        </is>
      </c>
      <c r="B861" s="1" t="n">
        <v>45763.61578703704</v>
      </c>
      <c r="C861" s="1" t="n">
        <v>45998</v>
      </c>
      <c r="D861" t="inlineStr">
        <is>
          <t>VÄSTERNORRLANDS LÄN</t>
        </is>
      </c>
      <c r="E861" t="inlineStr">
        <is>
          <t>SOLLEFTEÅ</t>
        </is>
      </c>
      <c r="F861" t="inlineStr">
        <is>
          <t>SCA</t>
        </is>
      </c>
      <c r="G861" t="n">
        <v>11.4</v>
      </c>
      <c r="H861" t="n">
        <v>0</v>
      </c>
      <c r="I861" t="n">
        <v>0</v>
      </c>
      <c r="J861" t="n">
        <v>0</v>
      </c>
      <c r="K861" t="n">
        <v>0</v>
      </c>
      <c r="L861" t="n">
        <v>0</v>
      </c>
      <c r="M861" t="n">
        <v>0</v>
      </c>
      <c r="N861" t="n">
        <v>0</v>
      </c>
      <c r="O861" t="n">
        <v>0</v>
      </c>
      <c r="P861" t="n">
        <v>0</v>
      </c>
      <c r="Q861" t="n">
        <v>0</v>
      </c>
      <c r="R861" s="2" t="inlineStr"/>
    </row>
    <row r="862" ht="15" customHeight="1">
      <c r="A862" t="inlineStr">
        <is>
          <t>A 8880-2023</t>
        </is>
      </c>
      <c r="B862" s="1" t="n">
        <v>44978.94346064814</v>
      </c>
      <c r="C862" s="1" t="n">
        <v>45998</v>
      </c>
      <c r="D862" t="inlineStr">
        <is>
          <t>VÄSTERNORRLANDS LÄN</t>
        </is>
      </c>
      <c r="E862" t="inlineStr">
        <is>
          <t>SOLLEFTEÅ</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6068-2024</t>
        </is>
      </c>
      <c r="B863" s="1" t="n">
        <v>45336.89725694444</v>
      </c>
      <c r="C863" s="1" t="n">
        <v>45998</v>
      </c>
      <c r="D863" t="inlineStr">
        <is>
          <t>VÄSTERNORRLANDS LÄN</t>
        </is>
      </c>
      <c r="E863" t="inlineStr">
        <is>
          <t>SOLLEFTEÅ</t>
        </is>
      </c>
      <c r="F863" t="inlineStr">
        <is>
          <t>Övriga Aktiebolag</t>
        </is>
      </c>
      <c r="G863" t="n">
        <v>12.6</v>
      </c>
      <c r="H863" t="n">
        <v>0</v>
      </c>
      <c r="I863" t="n">
        <v>0</v>
      </c>
      <c r="J863" t="n">
        <v>0</v>
      </c>
      <c r="K863" t="n">
        <v>0</v>
      </c>
      <c r="L863" t="n">
        <v>0</v>
      </c>
      <c r="M863" t="n">
        <v>0</v>
      </c>
      <c r="N863" t="n">
        <v>0</v>
      </c>
      <c r="O863" t="n">
        <v>0</v>
      </c>
      <c r="P863" t="n">
        <v>0</v>
      </c>
      <c r="Q863" t="n">
        <v>0</v>
      </c>
      <c r="R863" s="2" t="inlineStr"/>
    </row>
    <row r="864" ht="15" customHeight="1">
      <c r="A864" t="inlineStr">
        <is>
          <t>A 51107-2023</t>
        </is>
      </c>
      <c r="B864" s="1" t="n">
        <v>45218.92530092593</v>
      </c>
      <c r="C864" s="1" t="n">
        <v>45998</v>
      </c>
      <c r="D864" t="inlineStr">
        <is>
          <t>VÄSTERNORRLANDS LÄN</t>
        </is>
      </c>
      <c r="E864" t="inlineStr">
        <is>
          <t>SOLLEFTEÅ</t>
        </is>
      </c>
      <c r="G864" t="n">
        <v>4.6</v>
      </c>
      <c r="H864" t="n">
        <v>0</v>
      </c>
      <c r="I864" t="n">
        <v>0</v>
      </c>
      <c r="J864" t="n">
        <v>0</v>
      </c>
      <c r="K864" t="n">
        <v>0</v>
      </c>
      <c r="L864" t="n">
        <v>0</v>
      </c>
      <c r="M864" t="n">
        <v>0</v>
      </c>
      <c r="N864" t="n">
        <v>0</v>
      </c>
      <c r="O864" t="n">
        <v>0</v>
      </c>
      <c r="P864" t="n">
        <v>0</v>
      </c>
      <c r="Q864" t="n">
        <v>0</v>
      </c>
      <c r="R864" s="2" t="inlineStr"/>
    </row>
    <row r="865" ht="15" customHeight="1">
      <c r="A865" t="inlineStr">
        <is>
          <t>A 53955-2021</t>
        </is>
      </c>
      <c r="B865" s="1" t="n">
        <v>44469</v>
      </c>
      <c r="C865" s="1" t="n">
        <v>45998</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44407-2023</t>
        </is>
      </c>
      <c r="B866" s="1" t="n">
        <v>45188.9465625</v>
      </c>
      <c r="C866" s="1" t="n">
        <v>45998</v>
      </c>
      <c r="D866" t="inlineStr">
        <is>
          <t>VÄSTERNORRLANDS LÄN</t>
        </is>
      </c>
      <c r="E866" t="inlineStr">
        <is>
          <t>SOLLEFTEÅ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44408-2023</t>
        </is>
      </c>
      <c r="B867" s="1" t="n">
        <v>45188.94663194445</v>
      </c>
      <c r="C867" s="1" t="n">
        <v>45998</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17682-2025</t>
        </is>
      </c>
      <c r="B868" s="1" t="n">
        <v>45758</v>
      </c>
      <c r="C868" s="1" t="n">
        <v>45998</v>
      </c>
      <c r="D868" t="inlineStr">
        <is>
          <t>VÄSTERNORRLANDS LÄN</t>
        </is>
      </c>
      <c r="E868" t="inlineStr">
        <is>
          <t>SOLLEFTEÅ</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36078-2022</t>
        </is>
      </c>
      <c r="B869" s="1" t="n">
        <v>44802.9459375</v>
      </c>
      <c r="C869" s="1" t="n">
        <v>45998</v>
      </c>
      <c r="D869" t="inlineStr">
        <is>
          <t>VÄSTERNORRLANDS LÄN</t>
        </is>
      </c>
      <c r="E869" t="inlineStr">
        <is>
          <t>SOLLEFTEÅ</t>
        </is>
      </c>
      <c r="F869" t="inlineStr">
        <is>
          <t>SCA</t>
        </is>
      </c>
      <c r="G869" t="n">
        <v>12.5</v>
      </c>
      <c r="H869" t="n">
        <v>0</v>
      </c>
      <c r="I869" t="n">
        <v>0</v>
      </c>
      <c r="J869" t="n">
        <v>0</v>
      </c>
      <c r="K869" t="n">
        <v>0</v>
      </c>
      <c r="L869" t="n">
        <v>0</v>
      </c>
      <c r="M869" t="n">
        <v>0</v>
      </c>
      <c r="N869" t="n">
        <v>0</v>
      </c>
      <c r="O869" t="n">
        <v>0</v>
      </c>
      <c r="P869" t="n">
        <v>0</v>
      </c>
      <c r="Q869" t="n">
        <v>0</v>
      </c>
      <c r="R869" s="2" t="inlineStr"/>
    </row>
    <row r="870" ht="15" customHeight="1">
      <c r="A870" t="inlineStr">
        <is>
          <t>A 7003-2025</t>
        </is>
      </c>
      <c r="B870" s="1" t="n">
        <v>45701</v>
      </c>
      <c r="C870" s="1" t="n">
        <v>45998</v>
      </c>
      <c r="D870" t="inlineStr">
        <is>
          <t>VÄSTERNORRLANDS LÄN</t>
        </is>
      </c>
      <c r="E870" t="inlineStr">
        <is>
          <t>SOLLEFTEÅ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41434-2024</t>
        </is>
      </c>
      <c r="B871" s="1" t="n">
        <v>45560</v>
      </c>
      <c r="C871" s="1" t="n">
        <v>45998</v>
      </c>
      <c r="D871" t="inlineStr">
        <is>
          <t>VÄSTERNORRLANDS LÄN</t>
        </is>
      </c>
      <c r="E871" t="inlineStr">
        <is>
          <t>SOLLEFTEÅ</t>
        </is>
      </c>
      <c r="G871" t="n">
        <v>3.7</v>
      </c>
      <c r="H871" t="n">
        <v>0</v>
      </c>
      <c r="I871" t="n">
        <v>0</v>
      </c>
      <c r="J871" t="n">
        <v>0</v>
      </c>
      <c r="K871" t="n">
        <v>0</v>
      </c>
      <c r="L871" t="n">
        <v>0</v>
      </c>
      <c r="M871" t="n">
        <v>0</v>
      </c>
      <c r="N871" t="n">
        <v>0</v>
      </c>
      <c r="O871" t="n">
        <v>0</v>
      </c>
      <c r="P871" t="n">
        <v>0</v>
      </c>
      <c r="Q871" t="n">
        <v>0</v>
      </c>
      <c r="R871" s="2" t="inlineStr"/>
    </row>
    <row r="872" ht="15" customHeight="1">
      <c r="A872" t="inlineStr">
        <is>
          <t>A 16253-2024</t>
        </is>
      </c>
      <c r="B872" s="1" t="n">
        <v>45407.0587962963</v>
      </c>
      <c r="C872" s="1" t="n">
        <v>45998</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6474-2023</t>
        </is>
      </c>
      <c r="B873" s="1" t="n">
        <v>44965.94128472222</v>
      </c>
      <c r="C873" s="1" t="n">
        <v>45998</v>
      </c>
      <c r="D873" t="inlineStr">
        <is>
          <t>VÄSTERNORRLANDS LÄN</t>
        </is>
      </c>
      <c r="E873" t="inlineStr">
        <is>
          <t>SOLLEFTEÅ</t>
        </is>
      </c>
      <c r="F873" t="inlineStr">
        <is>
          <t>SCA</t>
        </is>
      </c>
      <c r="G873" t="n">
        <v>47.3</v>
      </c>
      <c r="H873" t="n">
        <v>0</v>
      </c>
      <c r="I873" t="n">
        <v>0</v>
      </c>
      <c r="J873" t="n">
        <v>0</v>
      </c>
      <c r="K873" t="n">
        <v>0</v>
      </c>
      <c r="L873" t="n">
        <v>0</v>
      </c>
      <c r="M873" t="n">
        <v>0</v>
      </c>
      <c r="N873" t="n">
        <v>0</v>
      </c>
      <c r="O873" t="n">
        <v>0</v>
      </c>
      <c r="P873" t="n">
        <v>0</v>
      </c>
      <c r="Q873" t="n">
        <v>0</v>
      </c>
      <c r="R873" s="2" t="inlineStr"/>
    </row>
    <row r="874" ht="15" customHeight="1">
      <c r="A874" t="inlineStr">
        <is>
          <t>A 8652-2024</t>
        </is>
      </c>
      <c r="B874" s="1" t="n">
        <v>45356</v>
      </c>
      <c r="C874" s="1" t="n">
        <v>45998</v>
      </c>
      <c r="D874" t="inlineStr">
        <is>
          <t>VÄSTERNORRLANDS LÄN</t>
        </is>
      </c>
      <c r="E874" t="inlineStr">
        <is>
          <t>SOLLEFTEÅ</t>
        </is>
      </c>
      <c r="F874" t="inlineStr">
        <is>
          <t>SCA</t>
        </is>
      </c>
      <c r="G874" t="n">
        <v>38.6</v>
      </c>
      <c r="H874" t="n">
        <v>0</v>
      </c>
      <c r="I874" t="n">
        <v>0</v>
      </c>
      <c r="J874" t="n">
        <v>0</v>
      </c>
      <c r="K874" t="n">
        <v>0</v>
      </c>
      <c r="L874" t="n">
        <v>0</v>
      </c>
      <c r="M874" t="n">
        <v>0</v>
      </c>
      <c r="N874" t="n">
        <v>0</v>
      </c>
      <c r="O874" t="n">
        <v>0</v>
      </c>
      <c r="P874" t="n">
        <v>0</v>
      </c>
      <c r="Q874" t="n">
        <v>0</v>
      </c>
      <c r="R874" s="2" t="inlineStr"/>
    </row>
    <row r="875" ht="15" customHeight="1">
      <c r="A875" t="inlineStr">
        <is>
          <t>A 50615-2023</t>
        </is>
      </c>
      <c r="B875" s="1" t="n">
        <v>45217</v>
      </c>
      <c r="C875" s="1" t="n">
        <v>45998</v>
      </c>
      <c r="D875" t="inlineStr">
        <is>
          <t>VÄSTERNORRLANDS LÄN</t>
        </is>
      </c>
      <c r="E875" t="inlineStr">
        <is>
          <t>SOLLEFTEÅ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25314-2023</t>
        </is>
      </c>
      <c r="B876" s="1" t="n">
        <v>45086</v>
      </c>
      <c r="C876" s="1" t="n">
        <v>45998</v>
      </c>
      <c r="D876" t="inlineStr">
        <is>
          <t>VÄSTERNORRLANDS LÄN</t>
        </is>
      </c>
      <c r="E876" t="inlineStr">
        <is>
          <t>SOLLEFTEÅ</t>
        </is>
      </c>
      <c r="G876" t="n">
        <v>3.2</v>
      </c>
      <c r="H876" t="n">
        <v>0</v>
      </c>
      <c r="I876" t="n">
        <v>0</v>
      </c>
      <c r="J876" t="n">
        <v>0</v>
      </c>
      <c r="K876" t="n">
        <v>0</v>
      </c>
      <c r="L876" t="n">
        <v>0</v>
      </c>
      <c r="M876" t="n">
        <v>0</v>
      </c>
      <c r="N876" t="n">
        <v>0</v>
      </c>
      <c r="O876" t="n">
        <v>0</v>
      </c>
      <c r="P876" t="n">
        <v>0</v>
      </c>
      <c r="Q876" t="n">
        <v>0</v>
      </c>
      <c r="R876" s="2" t="inlineStr"/>
    </row>
    <row r="877" ht="15" customHeight="1">
      <c r="A877" t="inlineStr">
        <is>
          <t>A 61081-2023</t>
        </is>
      </c>
      <c r="B877" s="1" t="n">
        <v>45261</v>
      </c>
      <c r="C877" s="1" t="n">
        <v>45998</v>
      </c>
      <c r="D877" t="inlineStr">
        <is>
          <t>VÄSTERNORRLANDS LÄN</t>
        </is>
      </c>
      <c r="E877" t="inlineStr">
        <is>
          <t>SOLLEFTEÅ</t>
        </is>
      </c>
      <c r="F877" t="inlineStr">
        <is>
          <t>Holmen skog AB</t>
        </is>
      </c>
      <c r="G877" t="n">
        <v>3</v>
      </c>
      <c r="H877" t="n">
        <v>0</v>
      </c>
      <c r="I877" t="n">
        <v>0</v>
      </c>
      <c r="J877" t="n">
        <v>0</v>
      </c>
      <c r="K877" t="n">
        <v>0</v>
      </c>
      <c r="L877" t="n">
        <v>0</v>
      </c>
      <c r="M877" t="n">
        <v>0</v>
      </c>
      <c r="N877" t="n">
        <v>0</v>
      </c>
      <c r="O877" t="n">
        <v>0</v>
      </c>
      <c r="P877" t="n">
        <v>0</v>
      </c>
      <c r="Q877" t="n">
        <v>0</v>
      </c>
      <c r="R877" s="2" t="inlineStr"/>
    </row>
    <row r="878" ht="15" customHeight="1">
      <c r="A878" t="inlineStr">
        <is>
          <t>A 26500-2024</t>
        </is>
      </c>
      <c r="B878" s="1" t="n">
        <v>45469.57174768519</v>
      </c>
      <c r="C878" s="1" t="n">
        <v>45998</v>
      </c>
      <c r="D878" t="inlineStr">
        <is>
          <t>VÄSTERNORRLANDS LÄN</t>
        </is>
      </c>
      <c r="E878" t="inlineStr">
        <is>
          <t>SOLLEFTEÅ</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22690-2024</t>
        </is>
      </c>
      <c r="B879" s="1" t="n">
        <v>45448.31293981482</v>
      </c>
      <c r="C879" s="1" t="n">
        <v>45998</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282-2023</t>
        </is>
      </c>
      <c r="B880" s="1" t="n">
        <v>44928</v>
      </c>
      <c r="C880" s="1" t="n">
        <v>45998</v>
      </c>
      <c r="D880" t="inlineStr">
        <is>
          <t>VÄSTERNORRLANDS LÄN</t>
        </is>
      </c>
      <c r="E880" t="inlineStr">
        <is>
          <t>SOLLEFTEÅ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53939-2023</t>
        </is>
      </c>
      <c r="B881" s="1" t="n">
        <v>45224</v>
      </c>
      <c r="C881" s="1" t="n">
        <v>45998</v>
      </c>
      <c r="D881" t="inlineStr">
        <is>
          <t>VÄSTERNORRLANDS LÄN</t>
        </is>
      </c>
      <c r="E881" t="inlineStr">
        <is>
          <t>SOLLEFTEÅ</t>
        </is>
      </c>
      <c r="G881" t="n">
        <v>1.6</v>
      </c>
      <c r="H881" t="n">
        <v>0</v>
      </c>
      <c r="I881" t="n">
        <v>0</v>
      </c>
      <c r="J881" t="n">
        <v>0</v>
      </c>
      <c r="K881" t="n">
        <v>0</v>
      </c>
      <c r="L881" t="n">
        <v>0</v>
      </c>
      <c r="M881" t="n">
        <v>0</v>
      </c>
      <c r="N881" t="n">
        <v>0</v>
      </c>
      <c r="O881" t="n">
        <v>0</v>
      </c>
      <c r="P881" t="n">
        <v>0</v>
      </c>
      <c r="Q881" t="n">
        <v>0</v>
      </c>
      <c r="R881" s="2" t="inlineStr"/>
    </row>
    <row r="882" ht="15" customHeight="1">
      <c r="A882" t="inlineStr">
        <is>
          <t>A 41456-2022</t>
        </is>
      </c>
      <c r="B882" s="1" t="n">
        <v>44826</v>
      </c>
      <c r="C882" s="1" t="n">
        <v>45998</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52471-2024</t>
        </is>
      </c>
      <c r="B883" s="1" t="n">
        <v>45609.53076388889</v>
      </c>
      <c r="C883" s="1" t="n">
        <v>45998</v>
      </c>
      <c r="D883" t="inlineStr">
        <is>
          <t>VÄSTERNORRLANDS LÄN</t>
        </is>
      </c>
      <c r="E883" t="inlineStr">
        <is>
          <t>SOLLEFTEÅ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29914-2024</t>
        </is>
      </c>
      <c r="B884" s="1" t="n">
        <v>45487.92814814814</v>
      </c>
      <c r="C884" s="1" t="n">
        <v>45998</v>
      </c>
      <c r="D884" t="inlineStr">
        <is>
          <t>VÄSTERNORRLANDS LÄN</t>
        </is>
      </c>
      <c r="E884" t="inlineStr">
        <is>
          <t>SOLLEFTEÅ</t>
        </is>
      </c>
      <c r="G884" t="n">
        <v>6.3</v>
      </c>
      <c r="H884" t="n">
        <v>0</v>
      </c>
      <c r="I884" t="n">
        <v>0</v>
      </c>
      <c r="J884" t="n">
        <v>0</v>
      </c>
      <c r="K884" t="n">
        <v>0</v>
      </c>
      <c r="L884" t="n">
        <v>0</v>
      </c>
      <c r="M884" t="n">
        <v>0</v>
      </c>
      <c r="N884" t="n">
        <v>0</v>
      </c>
      <c r="O884" t="n">
        <v>0</v>
      </c>
      <c r="P884" t="n">
        <v>0</v>
      </c>
      <c r="Q884" t="n">
        <v>0</v>
      </c>
      <c r="R884" s="2" t="inlineStr"/>
    </row>
    <row r="885" ht="15" customHeight="1">
      <c r="A885" t="inlineStr">
        <is>
          <t>A 17032-2025</t>
        </is>
      </c>
      <c r="B885" s="1" t="n">
        <v>45755</v>
      </c>
      <c r="C885" s="1" t="n">
        <v>45998</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62363-2023</t>
        </is>
      </c>
      <c r="B886" s="1" t="n">
        <v>45267</v>
      </c>
      <c r="C886" s="1" t="n">
        <v>45998</v>
      </c>
      <c r="D886" t="inlineStr">
        <is>
          <t>VÄSTERNORRLANDS LÄN</t>
        </is>
      </c>
      <c r="E886" t="inlineStr">
        <is>
          <t>SOLLEFTEÅ</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52034-2022</t>
        </is>
      </c>
      <c r="B887" s="1" t="n">
        <v>44872</v>
      </c>
      <c r="C887" s="1" t="n">
        <v>45998</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8414-2024</t>
        </is>
      </c>
      <c r="B888" s="1" t="n">
        <v>45352</v>
      </c>
      <c r="C888" s="1" t="n">
        <v>45998</v>
      </c>
      <c r="D888" t="inlineStr">
        <is>
          <t>VÄSTERNORRLANDS LÄN</t>
        </is>
      </c>
      <c r="E888" t="inlineStr">
        <is>
          <t>SOLLEFTEÅ</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58085-2023</t>
        </is>
      </c>
      <c r="B889" s="1" t="n">
        <v>45247</v>
      </c>
      <c r="C889" s="1" t="n">
        <v>45998</v>
      </c>
      <c r="D889" t="inlineStr">
        <is>
          <t>VÄSTERNORRLANDS LÄN</t>
        </is>
      </c>
      <c r="E889" t="inlineStr">
        <is>
          <t>SOLLEFTEÅ</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64120-2023</t>
        </is>
      </c>
      <c r="B890" s="1" t="n">
        <v>45279</v>
      </c>
      <c r="C890" s="1" t="n">
        <v>45998</v>
      </c>
      <c r="D890" t="inlineStr">
        <is>
          <t>VÄSTERNORRLANDS LÄN</t>
        </is>
      </c>
      <c r="E890" t="inlineStr">
        <is>
          <t>SOLLEFTEÅ</t>
        </is>
      </c>
      <c r="G890" t="n">
        <v>3.5</v>
      </c>
      <c r="H890" t="n">
        <v>0</v>
      </c>
      <c r="I890" t="n">
        <v>0</v>
      </c>
      <c r="J890" t="n">
        <v>0</v>
      </c>
      <c r="K890" t="n">
        <v>0</v>
      </c>
      <c r="L890" t="n">
        <v>0</v>
      </c>
      <c r="M890" t="n">
        <v>0</v>
      </c>
      <c r="N890" t="n">
        <v>0</v>
      </c>
      <c r="O890" t="n">
        <v>0</v>
      </c>
      <c r="P890" t="n">
        <v>0</v>
      </c>
      <c r="Q890" t="n">
        <v>0</v>
      </c>
      <c r="R890" s="2" t="inlineStr"/>
    </row>
    <row r="891" ht="15" customHeight="1">
      <c r="A891" t="inlineStr">
        <is>
          <t>A 63138-2023</t>
        </is>
      </c>
      <c r="B891" s="1" t="n">
        <v>45272</v>
      </c>
      <c r="C891" s="1" t="n">
        <v>45998</v>
      </c>
      <c r="D891" t="inlineStr">
        <is>
          <t>VÄSTERNORRLANDS LÄN</t>
        </is>
      </c>
      <c r="E891" t="inlineStr">
        <is>
          <t>SOLLEFTEÅ</t>
        </is>
      </c>
      <c r="G891" t="n">
        <v>6.2</v>
      </c>
      <c r="H891" t="n">
        <v>0</v>
      </c>
      <c r="I891" t="n">
        <v>0</v>
      </c>
      <c r="J891" t="n">
        <v>0</v>
      </c>
      <c r="K891" t="n">
        <v>0</v>
      </c>
      <c r="L891" t="n">
        <v>0</v>
      </c>
      <c r="M891" t="n">
        <v>0</v>
      </c>
      <c r="N891" t="n">
        <v>0</v>
      </c>
      <c r="O891" t="n">
        <v>0</v>
      </c>
      <c r="P891" t="n">
        <v>0</v>
      </c>
      <c r="Q891" t="n">
        <v>0</v>
      </c>
      <c r="R891" s="2" t="inlineStr"/>
    </row>
    <row r="892" ht="15" customHeight="1">
      <c r="A892" t="inlineStr">
        <is>
          <t>A 12706-2025</t>
        </is>
      </c>
      <c r="B892" s="1" t="n">
        <v>45733.46958333333</v>
      </c>
      <c r="C892" s="1" t="n">
        <v>45998</v>
      </c>
      <c r="D892" t="inlineStr">
        <is>
          <t>VÄSTERNORRLANDS LÄN</t>
        </is>
      </c>
      <c r="E892" t="inlineStr">
        <is>
          <t>SOLLEFTEÅ</t>
        </is>
      </c>
      <c r="F892" t="inlineStr">
        <is>
          <t>SCA</t>
        </is>
      </c>
      <c r="G892" t="n">
        <v>21.7</v>
      </c>
      <c r="H892" t="n">
        <v>0</v>
      </c>
      <c r="I892" t="n">
        <v>0</v>
      </c>
      <c r="J892" t="n">
        <v>0</v>
      </c>
      <c r="K892" t="n">
        <v>0</v>
      </c>
      <c r="L892" t="n">
        <v>0</v>
      </c>
      <c r="M892" t="n">
        <v>0</v>
      </c>
      <c r="N892" t="n">
        <v>0</v>
      </c>
      <c r="O892" t="n">
        <v>0</v>
      </c>
      <c r="P892" t="n">
        <v>0</v>
      </c>
      <c r="Q892" t="n">
        <v>0</v>
      </c>
      <c r="R892" s="2" t="inlineStr"/>
    </row>
    <row r="893" ht="15" customHeight="1">
      <c r="A893" t="inlineStr">
        <is>
          <t>A 19749-2025</t>
        </is>
      </c>
      <c r="B893" s="1" t="n">
        <v>45771.38582175926</v>
      </c>
      <c r="C893" s="1" t="n">
        <v>45998</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62827-2023</t>
        </is>
      </c>
      <c r="B894" s="1" t="n">
        <v>45271.92690972222</v>
      </c>
      <c r="C894" s="1" t="n">
        <v>45998</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5036-2024</t>
        </is>
      </c>
      <c r="B895" s="1" t="n">
        <v>45329.87555555555</v>
      </c>
      <c r="C895" s="1" t="n">
        <v>45998</v>
      </c>
      <c r="D895" t="inlineStr">
        <is>
          <t>VÄSTERNORRLANDS LÄN</t>
        </is>
      </c>
      <c r="E895" t="inlineStr">
        <is>
          <t>SOLLEFTEÅ</t>
        </is>
      </c>
      <c r="F895" t="inlineStr">
        <is>
          <t>Övriga Aktiebolag</t>
        </is>
      </c>
      <c r="G895" t="n">
        <v>0.8</v>
      </c>
      <c r="H895" t="n">
        <v>0</v>
      </c>
      <c r="I895" t="n">
        <v>0</v>
      </c>
      <c r="J895" t="n">
        <v>0</v>
      </c>
      <c r="K895" t="n">
        <v>0</v>
      </c>
      <c r="L895" t="n">
        <v>0</v>
      </c>
      <c r="M895" t="n">
        <v>0</v>
      </c>
      <c r="N895" t="n">
        <v>0</v>
      </c>
      <c r="O895" t="n">
        <v>0</v>
      </c>
      <c r="P895" t="n">
        <v>0</v>
      </c>
      <c r="Q895" t="n">
        <v>0</v>
      </c>
      <c r="R895" s="2" t="inlineStr"/>
    </row>
    <row r="896" ht="15" customHeight="1">
      <c r="A896" t="inlineStr">
        <is>
          <t>A 59583-2023</t>
        </is>
      </c>
      <c r="B896" s="1" t="n">
        <v>45254.60587962963</v>
      </c>
      <c r="C896" s="1" t="n">
        <v>45998</v>
      </c>
      <c r="D896" t="inlineStr">
        <is>
          <t>VÄSTERNORRLANDS LÄN</t>
        </is>
      </c>
      <c r="E896" t="inlineStr">
        <is>
          <t>SOLLEFTEÅ</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15621-2025</t>
        </is>
      </c>
      <c r="B897" s="1" t="n">
        <v>45748.35635416667</v>
      </c>
      <c r="C897" s="1" t="n">
        <v>45998</v>
      </c>
      <c r="D897" t="inlineStr">
        <is>
          <t>VÄSTERNORRLANDS LÄN</t>
        </is>
      </c>
      <c r="E897" t="inlineStr">
        <is>
          <t>SOLLEFTEÅ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33628-2024</t>
        </is>
      </c>
      <c r="B898" s="1" t="n">
        <v>45520.4302662037</v>
      </c>
      <c r="C898" s="1" t="n">
        <v>45998</v>
      </c>
      <c r="D898" t="inlineStr">
        <is>
          <t>VÄSTERNORRLANDS LÄN</t>
        </is>
      </c>
      <c r="E898" t="inlineStr">
        <is>
          <t>SOLLEFTEÅ</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4857-2024</t>
        </is>
      </c>
      <c r="B899" s="1" t="n">
        <v>45329</v>
      </c>
      <c r="C899" s="1" t="n">
        <v>45998</v>
      </c>
      <c r="D899" t="inlineStr">
        <is>
          <t>VÄSTERNORRLANDS LÄN</t>
        </is>
      </c>
      <c r="E899" t="inlineStr">
        <is>
          <t>SOLLEFTEÅ</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49829-2024</t>
        </is>
      </c>
      <c r="B900" s="1" t="n">
        <v>45597</v>
      </c>
      <c r="C900" s="1" t="n">
        <v>45998</v>
      </c>
      <c r="D900" t="inlineStr">
        <is>
          <t>VÄSTERNORRLANDS LÄN</t>
        </is>
      </c>
      <c r="E900" t="inlineStr">
        <is>
          <t>SOLLEFTEÅ</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4897-2025</t>
        </is>
      </c>
      <c r="B901" s="1" t="n">
        <v>45688.67913194445</v>
      </c>
      <c r="C901" s="1" t="n">
        <v>45998</v>
      </c>
      <c r="D901" t="inlineStr">
        <is>
          <t>VÄSTERNORRLANDS LÄN</t>
        </is>
      </c>
      <c r="E901" t="inlineStr">
        <is>
          <t>SOLLEFTEÅ</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6736-2025</t>
        </is>
      </c>
      <c r="B902" s="1" t="n">
        <v>45700.59442129629</v>
      </c>
      <c r="C902" s="1" t="n">
        <v>45998</v>
      </c>
      <c r="D902" t="inlineStr">
        <is>
          <t>VÄSTERNORRLANDS LÄN</t>
        </is>
      </c>
      <c r="E902" t="inlineStr">
        <is>
          <t>SOLLEFTEÅ</t>
        </is>
      </c>
      <c r="F902" t="inlineStr">
        <is>
          <t>SCA</t>
        </is>
      </c>
      <c r="G902" t="n">
        <v>0.2</v>
      </c>
      <c r="H902" t="n">
        <v>0</v>
      </c>
      <c r="I902" t="n">
        <v>0</v>
      </c>
      <c r="J902" t="n">
        <v>0</v>
      </c>
      <c r="K902" t="n">
        <v>0</v>
      </c>
      <c r="L902" t="n">
        <v>0</v>
      </c>
      <c r="M902" t="n">
        <v>0</v>
      </c>
      <c r="N902" t="n">
        <v>0</v>
      </c>
      <c r="O902" t="n">
        <v>0</v>
      </c>
      <c r="P902" t="n">
        <v>0</v>
      </c>
      <c r="Q902" t="n">
        <v>0</v>
      </c>
      <c r="R902" s="2" t="inlineStr"/>
    </row>
    <row r="903" ht="15" customHeight="1">
      <c r="A903" t="inlineStr">
        <is>
          <t>A 19407-2025</t>
        </is>
      </c>
      <c r="B903" s="1" t="n">
        <v>45769.67832175926</v>
      </c>
      <c r="C903" s="1" t="n">
        <v>45998</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51006-2022</t>
        </is>
      </c>
      <c r="B904" s="1" t="n">
        <v>44867</v>
      </c>
      <c r="C904" s="1" t="n">
        <v>45998</v>
      </c>
      <c r="D904" t="inlineStr">
        <is>
          <t>VÄSTERNORRLANDS LÄN</t>
        </is>
      </c>
      <c r="E904" t="inlineStr">
        <is>
          <t>SOLLEFTEÅ</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13584-2025</t>
        </is>
      </c>
      <c r="B905" s="1" t="n">
        <v>45736.59193287037</v>
      </c>
      <c r="C905" s="1" t="n">
        <v>45998</v>
      </c>
      <c r="D905" t="inlineStr">
        <is>
          <t>VÄSTERNORRLANDS LÄN</t>
        </is>
      </c>
      <c r="E905" t="inlineStr">
        <is>
          <t>SOLLEFTEÅ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27025-2024</t>
        </is>
      </c>
      <c r="B906" s="1" t="n">
        <v>45471.42071759259</v>
      </c>
      <c r="C906" s="1" t="n">
        <v>45998</v>
      </c>
      <c r="D906" t="inlineStr">
        <is>
          <t>VÄSTERNORRLANDS LÄN</t>
        </is>
      </c>
      <c r="E906" t="inlineStr">
        <is>
          <t>SOLLEFTEÅ</t>
        </is>
      </c>
      <c r="F906" t="inlineStr">
        <is>
          <t>Holmen skog AB</t>
        </is>
      </c>
      <c r="G906" t="n">
        <v>4.5</v>
      </c>
      <c r="H906" t="n">
        <v>0</v>
      </c>
      <c r="I906" t="n">
        <v>0</v>
      </c>
      <c r="J906" t="n">
        <v>0</v>
      </c>
      <c r="K906" t="n">
        <v>0</v>
      </c>
      <c r="L906" t="n">
        <v>0</v>
      </c>
      <c r="M906" t="n">
        <v>0</v>
      </c>
      <c r="N906" t="n">
        <v>0</v>
      </c>
      <c r="O906" t="n">
        <v>0</v>
      </c>
      <c r="P906" t="n">
        <v>0</v>
      </c>
      <c r="Q906" t="n">
        <v>0</v>
      </c>
      <c r="R906" s="2" t="inlineStr"/>
    </row>
    <row r="907" ht="15" customHeight="1">
      <c r="A907" t="inlineStr">
        <is>
          <t>A 28893-2022</t>
        </is>
      </c>
      <c r="B907" s="1" t="n">
        <v>44749.53978009259</v>
      </c>
      <c r="C907" s="1" t="n">
        <v>45998</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72315-2021</t>
        </is>
      </c>
      <c r="B908" s="1" t="n">
        <v>44545</v>
      </c>
      <c r="C908" s="1" t="n">
        <v>45998</v>
      </c>
      <c r="D908" t="inlineStr">
        <is>
          <t>VÄSTERNORRLANDS LÄN</t>
        </is>
      </c>
      <c r="E908" t="inlineStr">
        <is>
          <t>SOLLEFTEÅ</t>
        </is>
      </c>
      <c r="F908" t="inlineStr">
        <is>
          <t>SCA</t>
        </is>
      </c>
      <c r="G908" t="n">
        <v>6.6</v>
      </c>
      <c r="H908" t="n">
        <v>0</v>
      </c>
      <c r="I908" t="n">
        <v>0</v>
      </c>
      <c r="J908" t="n">
        <v>0</v>
      </c>
      <c r="K908" t="n">
        <v>0</v>
      </c>
      <c r="L908" t="n">
        <v>0</v>
      </c>
      <c r="M908" t="n">
        <v>0</v>
      </c>
      <c r="N908" t="n">
        <v>0</v>
      </c>
      <c r="O908" t="n">
        <v>0</v>
      </c>
      <c r="P908" t="n">
        <v>0</v>
      </c>
      <c r="Q908" t="n">
        <v>0</v>
      </c>
      <c r="R908" s="2" t="inlineStr"/>
    </row>
    <row r="909" ht="15" customHeight="1">
      <c r="A909" t="inlineStr">
        <is>
          <t>A 13252-2023</t>
        </is>
      </c>
      <c r="B909" s="1" t="n">
        <v>45002</v>
      </c>
      <c r="C909" s="1" t="n">
        <v>45998</v>
      </c>
      <c r="D909" t="inlineStr">
        <is>
          <t>VÄSTERNORRLANDS LÄN</t>
        </is>
      </c>
      <c r="E909" t="inlineStr">
        <is>
          <t>SOLLEFTEÅ</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68317-2021</t>
        </is>
      </c>
      <c r="B910" s="1" t="n">
        <v>44526.94339120371</v>
      </c>
      <c r="C910" s="1" t="n">
        <v>45998</v>
      </c>
      <c r="D910" t="inlineStr">
        <is>
          <t>VÄSTERNORRLANDS LÄN</t>
        </is>
      </c>
      <c r="E910" t="inlineStr">
        <is>
          <t>SOLLEFTEÅ</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60856-2022</t>
        </is>
      </c>
      <c r="B911" s="1" t="n">
        <v>44907</v>
      </c>
      <c r="C911" s="1" t="n">
        <v>45998</v>
      </c>
      <c r="D911" t="inlineStr">
        <is>
          <t>VÄSTERNORRLANDS LÄN</t>
        </is>
      </c>
      <c r="E911" t="inlineStr">
        <is>
          <t>SOLLEFTEÅ</t>
        </is>
      </c>
      <c r="G911" t="n">
        <v>3.1</v>
      </c>
      <c r="H911" t="n">
        <v>0</v>
      </c>
      <c r="I911" t="n">
        <v>0</v>
      </c>
      <c r="J911" t="n">
        <v>0</v>
      </c>
      <c r="K911" t="n">
        <v>0</v>
      </c>
      <c r="L911" t="n">
        <v>0</v>
      </c>
      <c r="M911" t="n">
        <v>0</v>
      </c>
      <c r="N911" t="n">
        <v>0</v>
      </c>
      <c r="O911" t="n">
        <v>0</v>
      </c>
      <c r="P911" t="n">
        <v>0</v>
      </c>
      <c r="Q911" t="n">
        <v>0</v>
      </c>
      <c r="R911" s="2" t="inlineStr"/>
    </row>
    <row r="912" ht="15" customHeight="1">
      <c r="A912" t="inlineStr">
        <is>
          <t>A 2816-2024</t>
        </is>
      </c>
      <c r="B912" s="1" t="n">
        <v>45314</v>
      </c>
      <c r="C912" s="1" t="n">
        <v>45998</v>
      </c>
      <c r="D912" t="inlineStr">
        <is>
          <t>VÄSTERNORRLANDS LÄN</t>
        </is>
      </c>
      <c r="E912" t="inlineStr">
        <is>
          <t>SOLLEFTEÅ</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26955-2024</t>
        </is>
      </c>
      <c r="B913" s="1" t="n">
        <v>45470.97040509259</v>
      </c>
      <c r="C913" s="1" t="n">
        <v>45998</v>
      </c>
      <c r="D913" t="inlineStr">
        <is>
          <t>VÄSTERNORRLANDS LÄN</t>
        </is>
      </c>
      <c r="E913" t="inlineStr">
        <is>
          <t>SOLLEFTEÅ</t>
        </is>
      </c>
      <c r="F913" t="inlineStr">
        <is>
          <t>SCA</t>
        </is>
      </c>
      <c r="G913" t="n">
        <v>5.1</v>
      </c>
      <c r="H913" t="n">
        <v>0</v>
      </c>
      <c r="I913" t="n">
        <v>0</v>
      </c>
      <c r="J913" t="n">
        <v>0</v>
      </c>
      <c r="K913" t="n">
        <v>0</v>
      </c>
      <c r="L913" t="n">
        <v>0</v>
      </c>
      <c r="M913" t="n">
        <v>0</v>
      </c>
      <c r="N913" t="n">
        <v>0</v>
      </c>
      <c r="O913" t="n">
        <v>0</v>
      </c>
      <c r="P913" t="n">
        <v>0</v>
      </c>
      <c r="Q913" t="n">
        <v>0</v>
      </c>
      <c r="R913" s="2" t="inlineStr"/>
    </row>
    <row r="914" ht="15" customHeight="1">
      <c r="A914" t="inlineStr">
        <is>
          <t>A 5134-2022</t>
        </is>
      </c>
      <c r="B914" s="1" t="n">
        <v>44594</v>
      </c>
      <c r="C914" s="1" t="n">
        <v>45998</v>
      </c>
      <c r="D914" t="inlineStr">
        <is>
          <t>VÄSTERNORRLANDS LÄN</t>
        </is>
      </c>
      <c r="E914" t="inlineStr">
        <is>
          <t>SOLLEFTEÅ</t>
        </is>
      </c>
      <c r="G914" t="n">
        <v>20.4</v>
      </c>
      <c r="H914" t="n">
        <v>0</v>
      </c>
      <c r="I914" t="n">
        <v>0</v>
      </c>
      <c r="J914" t="n">
        <v>0</v>
      </c>
      <c r="K914" t="n">
        <v>0</v>
      </c>
      <c r="L914" t="n">
        <v>0</v>
      </c>
      <c r="M914" t="n">
        <v>0</v>
      </c>
      <c r="N914" t="n">
        <v>0</v>
      </c>
      <c r="O914" t="n">
        <v>0</v>
      </c>
      <c r="P914" t="n">
        <v>0</v>
      </c>
      <c r="Q914" t="n">
        <v>0</v>
      </c>
      <c r="R914" s="2" t="inlineStr"/>
    </row>
    <row r="915" ht="15" customHeight="1">
      <c r="A915" t="inlineStr">
        <is>
          <t>A 14554-2024</t>
        </is>
      </c>
      <c r="B915" s="1" t="n">
        <v>45394</v>
      </c>
      <c r="C915" s="1" t="n">
        <v>45998</v>
      </c>
      <c r="D915" t="inlineStr">
        <is>
          <t>VÄSTERNORRLANDS LÄN</t>
        </is>
      </c>
      <c r="E915" t="inlineStr">
        <is>
          <t>SOLLEFTEÅ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72949-2021</t>
        </is>
      </c>
      <c r="B916" s="1" t="n">
        <v>44547.92181712963</v>
      </c>
      <c r="C916" s="1" t="n">
        <v>45998</v>
      </c>
      <c r="D916" t="inlineStr">
        <is>
          <t>VÄSTERNORRLANDS LÄN</t>
        </is>
      </c>
      <c r="E916" t="inlineStr">
        <is>
          <t>SOLLEFTEÅ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66856-2021</t>
        </is>
      </c>
      <c r="B917" s="1" t="n">
        <v>44522</v>
      </c>
      <c r="C917" s="1" t="n">
        <v>45998</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53379-2023</t>
        </is>
      </c>
      <c r="B918" s="1" t="n">
        <v>45222</v>
      </c>
      <c r="C918" s="1" t="n">
        <v>45998</v>
      </c>
      <c r="D918" t="inlineStr">
        <is>
          <t>VÄSTERNORRLANDS LÄN</t>
        </is>
      </c>
      <c r="E918" t="inlineStr">
        <is>
          <t>SOLLEFTEÅ</t>
        </is>
      </c>
      <c r="G918" t="n">
        <v>3.2</v>
      </c>
      <c r="H918" t="n">
        <v>0</v>
      </c>
      <c r="I918" t="n">
        <v>0</v>
      </c>
      <c r="J918" t="n">
        <v>0</v>
      </c>
      <c r="K918" t="n">
        <v>0</v>
      </c>
      <c r="L918" t="n">
        <v>0</v>
      </c>
      <c r="M918" t="n">
        <v>0</v>
      </c>
      <c r="N918" t="n">
        <v>0</v>
      </c>
      <c r="O918" t="n">
        <v>0</v>
      </c>
      <c r="P918" t="n">
        <v>0</v>
      </c>
      <c r="Q918" t="n">
        <v>0</v>
      </c>
      <c r="R918" s="2" t="inlineStr"/>
    </row>
    <row r="919" ht="15" customHeight="1">
      <c r="A919" t="inlineStr">
        <is>
          <t>A 12191-2022</t>
        </is>
      </c>
      <c r="B919" s="1" t="n">
        <v>44636.9250925926</v>
      </c>
      <c r="C919" s="1" t="n">
        <v>45998</v>
      </c>
      <c r="D919" t="inlineStr">
        <is>
          <t>VÄSTERNORRLANDS LÄN</t>
        </is>
      </c>
      <c r="E919" t="inlineStr">
        <is>
          <t>SOLLEFTEÅ</t>
        </is>
      </c>
      <c r="G919" t="n">
        <v>0.6</v>
      </c>
      <c r="H919" t="n">
        <v>0</v>
      </c>
      <c r="I919" t="n">
        <v>0</v>
      </c>
      <c r="J919" t="n">
        <v>0</v>
      </c>
      <c r="K919" t="n">
        <v>0</v>
      </c>
      <c r="L919" t="n">
        <v>0</v>
      </c>
      <c r="M919" t="n">
        <v>0</v>
      </c>
      <c r="N919" t="n">
        <v>0</v>
      </c>
      <c r="O919" t="n">
        <v>0</v>
      </c>
      <c r="P919" t="n">
        <v>0</v>
      </c>
      <c r="Q919" t="n">
        <v>0</v>
      </c>
      <c r="R919" s="2" t="inlineStr"/>
    </row>
    <row r="920" ht="15" customHeight="1">
      <c r="A920" t="inlineStr">
        <is>
          <t>A 26444-2024</t>
        </is>
      </c>
      <c r="B920" s="1" t="n">
        <v>45469.50122685185</v>
      </c>
      <c r="C920" s="1" t="n">
        <v>45998</v>
      </c>
      <c r="D920" t="inlineStr">
        <is>
          <t>VÄSTERNORRLANDS LÄN</t>
        </is>
      </c>
      <c r="E920" t="inlineStr">
        <is>
          <t>SOLLEFTEÅ</t>
        </is>
      </c>
      <c r="F920" t="inlineStr">
        <is>
          <t>Holmen skog AB</t>
        </is>
      </c>
      <c r="G920" t="n">
        <v>3.5</v>
      </c>
      <c r="H920" t="n">
        <v>0</v>
      </c>
      <c r="I920" t="n">
        <v>0</v>
      </c>
      <c r="J920" t="n">
        <v>0</v>
      </c>
      <c r="K920" t="n">
        <v>0</v>
      </c>
      <c r="L920" t="n">
        <v>0</v>
      </c>
      <c r="M920" t="n">
        <v>0</v>
      </c>
      <c r="N920" t="n">
        <v>0</v>
      </c>
      <c r="O920" t="n">
        <v>0</v>
      </c>
      <c r="P920" t="n">
        <v>0</v>
      </c>
      <c r="Q920" t="n">
        <v>0</v>
      </c>
      <c r="R920" s="2" t="inlineStr"/>
    </row>
    <row r="921" ht="15" customHeight="1">
      <c r="A921" t="inlineStr">
        <is>
          <t>A 10139-2022</t>
        </is>
      </c>
      <c r="B921" s="1" t="n">
        <v>44621</v>
      </c>
      <c r="C921" s="1" t="n">
        <v>45998</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59593-2023</t>
        </is>
      </c>
      <c r="B922" s="1" t="n">
        <v>45254.61885416666</v>
      </c>
      <c r="C922" s="1" t="n">
        <v>45998</v>
      </c>
      <c r="D922" t="inlineStr">
        <is>
          <t>VÄSTERNORRLANDS LÄN</t>
        </is>
      </c>
      <c r="E922" t="inlineStr">
        <is>
          <t>SOLLEFTEÅ</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63144-2023</t>
        </is>
      </c>
      <c r="B923" s="1" t="n">
        <v>45272</v>
      </c>
      <c r="C923" s="1" t="n">
        <v>45998</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13567-2023</t>
        </is>
      </c>
      <c r="B924" s="1" t="n">
        <v>45005</v>
      </c>
      <c r="C924" s="1" t="n">
        <v>45998</v>
      </c>
      <c r="D924" t="inlineStr">
        <is>
          <t>VÄSTERNORRLANDS LÄN</t>
        </is>
      </c>
      <c r="E924" t="inlineStr">
        <is>
          <t>SOLLEFTEÅ</t>
        </is>
      </c>
      <c r="G924" t="n">
        <v>6.9</v>
      </c>
      <c r="H924" t="n">
        <v>0</v>
      </c>
      <c r="I924" t="n">
        <v>0</v>
      </c>
      <c r="J924" t="n">
        <v>0</v>
      </c>
      <c r="K924" t="n">
        <v>0</v>
      </c>
      <c r="L924" t="n">
        <v>0</v>
      </c>
      <c r="M924" t="n">
        <v>0</v>
      </c>
      <c r="N924" t="n">
        <v>0</v>
      </c>
      <c r="O924" t="n">
        <v>0</v>
      </c>
      <c r="P924" t="n">
        <v>0</v>
      </c>
      <c r="Q924" t="n">
        <v>0</v>
      </c>
      <c r="R924" s="2" t="inlineStr"/>
    </row>
    <row r="925" ht="15" customHeight="1">
      <c r="A925" t="inlineStr">
        <is>
          <t>A 13570-2023</t>
        </is>
      </c>
      <c r="B925" s="1" t="n">
        <v>45005</v>
      </c>
      <c r="C925" s="1" t="n">
        <v>45998</v>
      </c>
      <c r="D925" t="inlineStr">
        <is>
          <t>VÄSTERNORRLANDS LÄN</t>
        </is>
      </c>
      <c r="E925" t="inlineStr">
        <is>
          <t>SOLLEFTEÅ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44172-2024</t>
        </is>
      </c>
      <c r="B926" s="1" t="n">
        <v>45572.74454861111</v>
      </c>
      <c r="C926" s="1" t="n">
        <v>45998</v>
      </c>
      <c r="D926" t="inlineStr">
        <is>
          <t>VÄSTERNORRLANDS LÄN</t>
        </is>
      </c>
      <c r="E926" t="inlineStr">
        <is>
          <t>SOLLEFTEÅ</t>
        </is>
      </c>
      <c r="G926" t="n">
        <v>3.5</v>
      </c>
      <c r="H926" t="n">
        <v>0</v>
      </c>
      <c r="I926" t="n">
        <v>0</v>
      </c>
      <c r="J926" t="n">
        <v>0</v>
      </c>
      <c r="K926" t="n">
        <v>0</v>
      </c>
      <c r="L926" t="n">
        <v>0</v>
      </c>
      <c r="M926" t="n">
        <v>0</v>
      </c>
      <c r="N926" t="n">
        <v>0</v>
      </c>
      <c r="O926" t="n">
        <v>0</v>
      </c>
      <c r="P926" t="n">
        <v>0</v>
      </c>
      <c r="Q926" t="n">
        <v>0</v>
      </c>
      <c r="R926" s="2" t="inlineStr"/>
    </row>
    <row r="927" ht="15" customHeight="1">
      <c r="A927" t="inlineStr">
        <is>
          <t>A 295-2025</t>
        </is>
      </c>
      <c r="B927" s="1" t="n">
        <v>45660.53206018519</v>
      </c>
      <c r="C927" s="1" t="n">
        <v>45998</v>
      </c>
      <c r="D927" t="inlineStr">
        <is>
          <t>VÄSTERNORRLANDS LÄN</t>
        </is>
      </c>
      <c r="E927" t="inlineStr">
        <is>
          <t>SOLLEFTEÅ</t>
        </is>
      </c>
      <c r="F927" t="inlineStr">
        <is>
          <t>SCA</t>
        </is>
      </c>
      <c r="G927" t="n">
        <v>30.7</v>
      </c>
      <c r="H927" t="n">
        <v>0</v>
      </c>
      <c r="I927" t="n">
        <v>0</v>
      </c>
      <c r="J927" t="n">
        <v>0</v>
      </c>
      <c r="K927" t="n">
        <v>0</v>
      </c>
      <c r="L927" t="n">
        <v>0</v>
      </c>
      <c r="M927" t="n">
        <v>0</v>
      </c>
      <c r="N927" t="n">
        <v>0</v>
      </c>
      <c r="O927" t="n">
        <v>0</v>
      </c>
      <c r="P927" t="n">
        <v>0</v>
      </c>
      <c r="Q927" t="n">
        <v>0</v>
      </c>
      <c r="R927" s="2" t="inlineStr"/>
    </row>
    <row r="928" ht="15" customHeight="1">
      <c r="A928" t="inlineStr">
        <is>
          <t>A 51029-2021</t>
        </is>
      </c>
      <c r="B928" s="1" t="n">
        <v>44460.94086805556</v>
      </c>
      <c r="C928" s="1" t="n">
        <v>45998</v>
      </c>
      <c r="D928" t="inlineStr">
        <is>
          <t>VÄSTERNORRLANDS LÄN</t>
        </is>
      </c>
      <c r="E928" t="inlineStr">
        <is>
          <t>SOLLEFTEÅ</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51341-2024</t>
        </is>
      </c>
      <c r="B929" s="1" t="n">
        <v>45604.34481481482</v>
      </c>
      <c r="C929" s="1" t="n">
        <v>45998</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13942-2024</t>
        </is>
      </c>
      <c r="B930" s="1" t="n">
        <v>45391.9540162037</v>
      </c>
      <c r="C930" s="1" t="n">
        <v>45998</v>
      </c>
      <c r="D930" t="inlineStr">
        <is>
          <t>VÄSTERNORRLANDS LÄN</t>
        </is>
      </c>
      <c r="E930" t="inlineStr">
        <is>
          <t>SOLLEFTEÅ</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55149-2024</t>
        </is>
      </c>
      <c r="B931" s="1" t="n">
        <v>45621.49055555555</v>
      </c>
      <c r="C931" s="1" t="n">
        <v>45998</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21364-2024</t>
        </is>
      </c>
      <c r="B932" s="1" t="n">
        <v>45440.95248842592</v>
      </c>
      <c r="C932" s="1" t="n">
        <v>45998</v>
      </c>
      <c r="D932" t="inlineStr">
        <is>
          <t>VÄSTERNORRLANDS LÄN</t>
        </is>
      </c>
      <c r="E932" t="inlineStr">
        <is>
          <t>SOLLEFTEÅ</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36211-2023</t>
        </is>
      </c>
      <c r="B933" s="1" t="n">
        <v>45149.95234953704</v>
      </c>
      <c r="C933" s="1" t="n">
        <v>45998</v>
      </c>
      <c r="D933" t="inlineStr">
        <is>
          <t>VÄSTERNORRLANDS LÄN</t>
        </is>
      </c>
      <c r="E933" t="inlineStr">
        <is>
          <t>SOLLEFTEÅ</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12590-2024</t>
        </is>
      </c>
      <c r="B934" s="1" t="n">
        <v>45379.93686342592</v>
      </c>
      <c r="C934" s="1" t="n">
        <v>45998</v>
      </c>
      <c r="D934" t="inlineStr">
        <is>
          <t>VÄSTERNORRLANDS LÄN</t>
        </is>
      </c>
      <c r="E934" t="inlineStr">
        <is>
          <t>SOLLEFTEÅ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18263-2025</t>
        </is>
      </c>
      <c r="B935" s="1" t="n">
        <v>45762.36509259259</v>
      </c>
      <c r="C935" s="1" t="n">
        <v>45998</v>
      </c>
      <c r="D935" t="inlineStr">
        <is>
          <t>VÄSTERNORRLANDS LÄN</t>
        </is>
      </c>
      <c r="E935" t="inlineStr">
        <is>
          <t>SOLLEFTEÅ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19577-2024</t>
        </is>
      </c>
      <c r="B936" s="1" t="n">
        <v>45429</v>
      </c>
      <c r="C936" s="1" t="n">
        <v>45998</v>
      </c>
      <c r="D936" t="inlineStr">
        <is>
          <t>VÄSTERNORRLANDS LÄN</t>
        </is>
      </c>
      <c r="E936" t="inlineStr">
        <is>
          <t>SOLLEFTEÅ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43487-2023</t>
        </is>
      </c>
      <c r="B937" s="1" t="n">
        <v>45181</v>
      </c>
      <c r="C937" s="1" t="n">
        <v>45998</v>
      </c>
      <c r="D937" t="inlineStr">
        <is>
          <t>VÄSTERNORRLANDS LÄN</t>
        </is>
      </c>
      <c r="E937" t="inlineStr">
        <is>
          <t>SOLLEFTEÅ</t>
        </is>
      </c>
      <c r="G937" t="n">
        <v>2.7</v>
      </c>
      <c r="H937" t="n">
        <v>0</v>
      </c>
      <c r="I937" t="n">
        <v>0</v>
      </c>
      <c r="J937" t="n">
        <v>0</v>
      </c>
      <c r="K937" t="n">
        <v>0</v>
      </c>
      <c r="L937" t="n">
        <v>0</v>
      </c>
      <c r="M937" t="n">
        <v>0</v>
      </c>
      <c r="N937" t="n">
        <v>0</v>
      </c>
      <c r="O937" t="n">
        <v>0</v>
      </c>
      <c r="P937" t="n">
        <v>0</v>
      </c>
      <c r="Q937" t="n">
        <v>0</v>
      </c>
      <c r="R937" s="2" t="inlineStr"/>
    </row>
    <row r="938" ht="15" customHeight="1">
      <c r="A938" t="inlineStr">
        <is>
          <t>A 2883-2025</t>
        </is>
      </c>
      <c r="B938" s="1" t="n">
        <v>45677</v>
      </c>
      <c r="C938" s="1" t="n">
        <v>45998</v>
      </c>
      <c r="D938" t="inlineStr">
        <is>
          <t>VÄSTERNORRLANDS LÄN</t>
        </is>
      </c>
      <c r="E938" t="inlineStr">
        <is>
          <t>SOLLEFTEÅ</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8105-2025</t>
        </is>
      </c>
      <c r="B939" s="1" t="n">
        <v>45707.6990625</v>
      </c>
      <c r="C939" s="1" t="n">
        <v>45998</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46973-2024</t>
        </is>
      </c>
      <c r="B940" s="1" t="n">
        <v>45586.34424768519</v>
      </c>
      <c r="C940" s="1" t="n">
        <v>45998</v>
      </c>
      <c r="D940" t="inlineStr">
        <is>
          <t>VÄSTERNORRLANDS LÄN</t>
        </is>
      </c>
      <c r="E940" t="inlineStr">
        <is>
          <t>SOLLEFTEÅ</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13150-2025</t>
        </is>
      </c>
      <c r="B941" s="1" t="n">
        <v>45735.34439814815</v>
      </c>
      <c r="C941" s="1" t="n">
        <v>45998</v>
      </c>
      <c r="D941" t="inlineStr">
        <is>
          <t>VÄSTERNORRLANDS LÄN</t>
        </is>
      </c>
      <c r="E941" t="inlineStr">
        <is>
          <t>SOLLEFTEÅ</t>
        </is>
      </c>
      <c r="F941" t="inlineStr">
        <is>
          <t>SCA</t>
        </is>
      </c>
      <c r="G941" t="n">
        <v>8.1</v>
      </c>
      <c r="H941" t="n">
        <v>0</v>
      </c>
      <c r="I941" t="n">
        <v>0</v>
      </c>
      <c r="J941" t="n">
        <v>0</v>
      </c>
      <c r="K941" t="n">
        <v>0</v>
      </c>
      <c r="L941" t="n">
        <v>0</v>
      </c>
      <c r="M941" t="n">
        <v>0</v>
      </c>
      <c r="N941" t="n">
        <v>0</v>
      </c>
      <c r="O941" t="n">
        <v>0</v>
      </c>
      <c r="P941" t="n">
        <v>0</v>
      </c>
      <c r="Q941" t="n">
        <v>0</v>
      </c>
      <c r="R941" s="2" t="inlineStr"/>
    </row>
    <row r="942" ht="15" customHeight="1">
      <c r="A942" t="inlineStr">
        <is>
          <t>A 9070-2025</t>
        </is>
      </c>
      <c r="B942" s="1" t="n">
        <v>45713.65658564815</v>
      </c>
      <c r="C942" s="1" t="n">
        <v>45998</v>
      </c>
      <c r="D942" t="inlineStr">
        <is>
          <t>VÄSTERNORRLANDS LÄN</t>
        </is>
      </c>
      <c r="E942" t="inlineStr">
        <is>
          <t>SOLLEFTEÅ</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8476-2025</t>
        </is>
      </c>
      <c r="B943" s="1" t="n">
        <v>45709.47894675926</v>
      </c>
      <c r="C943" s="1" t="n">
        <v>45998</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50720-2024</t>
        </is>
      </c>
      <c r="B944" s="1" t="n">
        <v>45602.38631944444</v>
      </c>
      <c r="C944" s="1" t="n">
        <v>45998</v>
      </c>
      <c r="D944" t="inlineStr">
        <is>
          <t>VÄSTERNORRLANDS LÄN</t>
        </is>
      </c>
      <c r="E944" t="inlineStr">
        <is>
          <t>SOLLEFTEÅ</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3548-2022</t>
        </is>
      </c>
      <c r="B945" s="1" t="n">
        <v>44585.93784722222</v>
      </c>
      <c r="C945" s="1" t="n">
        <v>45998</v>
      </c>
      <c r="D945" t="inlineStr">
        <is>
          <t>VÄSTERNORRLANDS LÄN</t>
        </is>
      </c>
      <c r="E945" t="inlineStr">
        <is>
          <t>SOLLEFTEÅ</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2045-2025</t>
        </is>
      </c>
      <c r="B946" s="1" t="n">
        <v>45672.51086805556</v>
      </c>
      <c r="C946" s="1" t="n">
        <v>45998</v>
      </c>
      <c r="D946" t="inlineStr">
        <is>
          <t>VÄSTERNORRLANDS LÄN</t>
        </is>
      </c>
      <c r="E946" t="inlineStr">
        <is>
          <t>SOLLEFTEÅ</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16562-2023</t>
        </is>
      </c>
      <c r="B947" s="1" t="n">
        <v>45029</v>
      </c>
      <c r="C947" s="1" t="n">
        <v>45998</v>
      </c>
      <c r="D947" t="inlineStr">
        <is>
          <t>VÄSTERNORRLANDS LÄN</t>
        </is>
      </c>
      <c r="E947" t="inlineStr">
        <is>
          <t>SOLLEFTEÅ</t>
        </is>
      </c>
      <c r="F947" t="inlineStr">
        <is>
          <t>SCA</t>
        </is>
      </c>
      <c r="G947" t="n">
        <v>7.9</v>
      </c>
      <c r="H947" t="n">
        <v>0</v>
      </c>
      <c r="I947" t="n">
        <v>0</v>
      </c>
      <c r="J947" t="n">
        <v>0</v>
      </c>
      <c r="K947" t="n">
        <v>0</v>
      </c>
      <c r="L947" t="n">
        <v>0</v>
      </c>
      <c r="M947" t="n">
        <v>0</v>
      </c>
      <c r="N947" t="n">
        <v>0</v>
      </c>
      <c r="O947" t="n">
        <v>0</v>
      </c>
      <c r="P947" t="n">
        <v>0</v>
      </c>
      <c r="Q947" t="n">
        <v>0</v>
      </c>
      <c r="R947" s="2" t="inlineStr"/>
    </row>
    <row r="948" ht="15" customHeight="1">
      <c r="A948" t="inlineStr">
        <is>
          <t>A 59339-2023</t>
        </is>
      </c>
      <c r="B948" s="1" t="n">
        <v>45253</v>
      </c>
      <c r="C948" s="1" t="n">
        <v>45998</v>
      </c>
      <c r="D948" t="inlineStr">
        <is>
          <t>VÄSTERNORRLANDS LÄN</t>
        </is>
      </c>
      <c r="E948" t="inlineStr">
        <is>
          <t>SOLLEFTEÅ</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40569-2024</t>
        </is>
      </c>
      <c r="B949" s="1" t="n">
        <v>45555.67744212963</v>
      </c>
      <c r="C949" s="1" t="n">
        <v>45998</v>
      </c>
      <c r="D949" t="inlineStr">
        <is>
          <t>VÄSTERNORRLANDS LÄN</t>
        </is>
      </c>
      <c r="E949" t="inlineStr">
        <is>
          <t>SOLLEFTEÅ</t>
        </is>
      </c>
      <c r="F949" t="inlineStr">
        <is>
          <t>SCA</t>
        </is>
      </c>
      <c r="G949" t="n">
        <v>0.2</v>
      </c>
      <c r="H949" t="n">
        <v>0</v>
      </c>
      <c r="I949" t="n">
        <v>0</v>
      </c>
      <c r="J949" t="n">
        <v>0</v>
      </c>
      <c r="K949" t="n">
        <v>0</v>
      </c>
      <c r="L949" t="n">
        <v>0</v>
      </c>
      <c r="M949" t="n">
        <v>0</v>
      </c>
      <c r="N949" t="n">
        <v>0</v>
      </c>
      <c r="O949" t="n">
        <v>0</v>
      </c>
      <c r="P949" t="n">
        <v>0</v>
      </c>
      <c r="Q949" t="n">
        <v>0</v>
      </c>
      <c r="R949" s="2" t="inlineStr"/>
    </row>
    <row r="950" ht="15" customHeight="1">
      <c r="A950" t="inlineStr">
        <is>
          <t>A 44554-2024</t>
        </is>
      </c>
      <c r="B950" s="1" t="n">
        <v>45574.46940972222</v>
      </c>
      <c r="C950" s="1" t="n">
        <v>45998</v>
      </c>
      <c r="D950" t="inlineStr">
        <is>
          <t>VÄSTERNORRLANDS LÄN</t>
        </is>
      </c>
      <c r="E950" t="inlineStr">
        <is>
          <t>SOLLEFTEÅ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44591-2024</t>
        </is>
      </c>
      <c r="B951" s="1" t="n">
        <v>45574</v>
      </c>
      <c r="C951" s="1" t="n">
        <v>45998</v>
      </c>
      <c r="D951" t="inlineStr">
        <is>
          <t>VÄSTERNORRLANDS LÄN</t>
        </is>
      </c>
      <c r="E951" t="inlineStr">
        <is>
          <t>SOLLEFTEÅ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5447-2025</t>
        </is>
      </c>
      <c r="B952" s="1" t="n">
        <v>45692</v>
      </c>
      <c r="C952" s="1" t="n">
        <v>45998</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37197-2024</t>
        </is>
      </c>
      <c r="B953" s="1" t="n">
        <v>45539</v>
      </c>
      <c r="C953" s="1" t="n">
        <v>45998</v>
      </c>
      <c r="D953" t="inlineStr">
        <is>
          <t>VÄSTERNORRLANDS LÄN</t>
        </is>
      </c>
      <c r="E953" t="inlineStr">
        <is>
          <t>SOLLEFTEÅ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44662-2024</t>
        </is>
      </c>
      <c r="B954" s="1" t="n">
        <v>45574.53189814815</v>
      </c>
      <c r="C954" s="1" t="n">
        <v>45998</v>
      </c>
      <c r="D954" t="inlineStr">
        <is>
          <t>VÄSTERNORRLANDS LÄN</t>
        </is>
      </c>
      <c r="E954" t="inlineStr">
        <is>
          <t>SOLLEFTEÅ</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1269-2024</t>
        </is>
      </c>
      <c r="B955" s="1" t="n">
        <v>45302</v>
      </c>
      <c r="C955" s="1" t="n">
        <v>45998</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53929-2022</t>
        </is>
      </c>
      <c r="B956" s="1" t="n">
        <v>44880</v>
      </c>
      <c r="C956" s="1" t="n">
        <v>45998</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53947-2022</t>
        </is>
      </c>
      <c r="B957" s="1" t="n">
        <v>44880.95685185185</v>
      </c>
      <c r="C957" s="1" t="n">
        <v>45998</v>
      </c>
      <c r="D957" t="inlineStr">
        <is>
          <t>VÄSTERNORRLANDS LÄN</t>
        </is>
      </c>
      <c r="E957" t="inlineStr">
        <is>
          <t>SOLLEFTEÅ</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23542-2024</t>
        </is>
      </c>
      <c r="B958" s="1" t="n">
        <v>45453.95262731481</v>
      </c>
      <c r="C958" s="1" t="n">
        <v>45998</v>
      </c>
      <c r="D958" t="inlineStr">
        <is>
          <t>VÄSTERNORRLANDS LÄN</t>
        </is>
      </c>
      <c r="E958" t="inlineStr">
        <is>
          <t>SOLLEFTEÅ</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50557-2024</t>
        </is>
      </c>
      <c r="B959" s="1" t="n">
        <v>45601</v>
      </c>
      <c r="C959" s="1" t="n">
        <v>45998</v>
      </c>
      <c r="D959" t="inlineStr">
        <is>
          <t>VÄSTERNORRLANDS LÄN</t>
        </is>
      </c>
      <c r="E959" t="inlineStr">
        <is>
          <t>SOLLEFTEÅ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46101-2024</t>
        </is>
      </c>
      <c r="B960" s="1" t="n">
        <v>45581</v>
      </c>
      <c r="C960" s="1" t="n">
        <v>45998</v>
      </c>
      <c r="D960" t="inlineStr">
        <is>
          <t>VÄSTERNORRLANDS LÄN</t>
        </is>
      </c>
      <c r="E960" t="inlineStr">
        <is>
          <t>SOLLEFTEÅ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35673-2024</t>
        </is>
      </c>
      <c r="B961" s="1" t="n">
        <v>45532.39119212963</v>
      </c>
      <c r="C961" s="1" t="n">
        <v>45998</v>
      </c>
      <c r="D961" t="inlineStr">
        <is>
          <t>VÄSTERNORRLANDS LÄN</t>
        </is>
      </c>
      <c r="E961" t="inlineStr">
        <is>
          <t>SOLLEFTEÅ</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43843-2024</t>
        </is>
      </c>
      <c r="B962" s="1" t="n">
        <v>45572</v>
      </c>
      <c r="C962" s="1" t="n">
        <v>45998</v>
      </c>
      <c r="D962" t="inlineStr">
        <is>
          <t>VÄSTERNORRLANDS LÄN</t>
        </is>
      </c>
      <c r="E962" t="inlineStr">
        <is>
          <t>SOLLEFTEÅ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31918-2023</t>
        </is>
      </c>
      <c r="B963" s="1" t="n">
        <v>45118</v>
      </c>
      <c r="C963" s="1" t="n">
        <v>45998</v>
      </c>
      <c r="D963" t="inlineStr">
        <is>
          <t>VÄSTERNORRLANDS LÄN</t>
        </is>
      </c>
      <c r="E963" t="inlineStr">
        <is>
          <t>SOLLEFTEÅ</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31922-2023</t>
        </is>
      </c>
      <c r="B964" s="1" t="n">
        <v>45118.94021990741</v>
      </c>
      <c r="C964" s="1" t="n">
        <v>45998</v>
      </c>
      <c r="D964" t="inlineStr">
        <is>
          <t>VÄSTERNORRLANDS LÄN</t>
        </is>
      </c>
      <c r="E964" t="inlineStr">
        <is>
          <t>SOLLEFTEÅ</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8195-2025</t>
        </is>
      </c>
      <c r="B965" s="1" t="n">
        <v>45708</v>
      </c>
      <c r="C965" s="1" t="n">
        <v>45998</v>
      </c>
      <c r="D965" t="inlineStr">
        <is>
          <t>VÄSTERNORRLANDS LÄN</t>
        </is>
      </c>
      <c r="E965" t="inlineStr">
        <is>
          <t>SOLLEFTEÅ</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51193-2024</t>
        </is>
      </c>
      <c r="B966" s="1" t="n">
        <v>45603.61511574074</v>
      </c>
      <c r="C966" s="1" t="n">
        <v>45998</v>
      </c>
      <c r="D966" t="inlineStr">
        <is>
          <t>VÄSTERNORRLANDS LÄN</t>
        </is>
      </c>
      <c r="E966" t="inlineStr">
        <is>
          <t>SOLLEFTEÅ</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15875-2024</t>
        </is>
      </c>
      <c r="B967" s="1" t="n">
        <v>45405.32438657407</v>
      </c>
      <c r="C967" s="1" t="n">
        <v>45998</v>
      </c>
      <c r="D967" t="inlineStr">
        <is>
          <t>VÄSTERNORRLANDS LÄN</t>
        </is>
      </c>
      <c r="E967" t="inlineStr">
        <is>
          <t>SOLLEFTEÅ</t>
        </is>
      </c>
      <c r="G967" t="n">
        <v>7.1</v>
      </c>
      <c r="H967" t="n">
        <v>0</v>
      </c>
      <c r="I967" t="n">
        <v>0</v>
      </c>
      <c r="J967" t="n">
        <v>0</v>
      </c>
      <c r="K967" t="n">
        <v>0</v>
      </c>
      <c r="L967" t="n">
        <v>0</v>
      </c>
      <c r="M967" t="n">
        <v>0</v>
      </c>
      <c r="N967" t="n">
        <v>0</v>
      </c>
      <c r="O967" t="n">
        <v>0</v>
      </c>
      <c r="P967" t="n">
        <v>0</v>
      </c>
      <c r="Q967" t="n">
        <v>0</v>
      </c>
      <c r="R967" s="2" t="inlineStr"/>
    </row>
    <row r="968" ht="15" customHeight="1">
      <c r="A968" t="inlineStr">
        <is>
          <t>A 57991-2022</t>
        </is>
      </c>
      <c r="B968" s="1" t="n">
        <v>44900.48915509259</v>
      </c>
      <c r="C968" s="1" t="n">
        <v>45998</v>
      </c>
      <c r="D968" t="inlineStr">
        <is>
          <t>VÄSTERNORRLANDS LÄN</t>
        </is>
      </c>
      <c r="E968" t="inlineStr">
        <is>
          <t>SOLLEFTEÅ</t>
        </is>
      </c>
      <c r="G968" t="n">
        <v>14.2</v>
      </c>
      <c r="H968" t="n">
        <v>0</v>
      </c>
      <c r="I968" t="n">
        <v>0</v>
      </c>
      <c r="J968" t="n">
        <v>0</v>
      </c>
      <c r="K968" t="n">
        <v>0</v>
      </c>
      <c r="L968" t="n">
        <v>0</v>
      </c>
      <c r="M968" t="n">
        <v>0</v>
      </c>
      <c r="N968" t="n">
        <v>0</v>
      </c>
      <c r="O968" t="n">
        <v>0</v>
      </c>
      <c r="P968" t="n">
        <v>0</v>
      </c>
      <c r="Q968" t="n">
        <v>0</v>
      </c>
      <c r="R968" s="2" t="inlineStr"/>
    </row>
    <row r="969" ht="15" customHeight="1">
      <c r="A969" t="inlineStr">
        <is>
          <t>A 51440-2021</t>
        </is>
      </c>
      <c r="B969" s="1" t="n">
        <v>44461</v>
      </c>
      <c r="C969" s="1" t="n">
        <v>45998</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42963-2024</t>
        </is>
      </c>
      <c r="B970" s="1" t="n">
        <v>45567.37240740741</v>
      </c>
      <c r="C970" s="1" t="n">
        <v>45998</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50007-2024</t>
        </is>
      </c>
      <c r="B971" s="1" t="n">
        <v>45598.57574074074</v>
      </c>
      <c r="C971" s="1" t="n">
        <v>45998</v>
      </c>
      <c r="D971" t="inlineStr">
        <is>
          <t>VÄSTERNORRLANDS LÄN</t>
        </is>
      </c>
      <c r="E971" t="inlineStr">
        <is>
          <t>SOLLEFTEÅ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25795-2023</t>
        </is>
      </c>
      <c r="B972" s="1" t="n">
        <v>45085</v>
      </c>
      <c r="C972" s="1" t="n">
        <v>45998</v>
      </c>
      <c r="D972" t="inlineStr">
        <is>
          <t>VÄSTERNORRLANDS LÄN</t>
        </is>
      </c>
      <c r="E972" t="inlineStr">
        <is>
          <t>SOLLEFTEÅ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58172-2022</t>
        </is>
      </c>
      <c r="B973" s="1" t="n">
        <v>44900.95525462963</v>
      </c>
      <c r="C973" s="1" t="n">
        <v>45998</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6271-2023</t>
        </is>
      </c>
      <c r="B974" s="1" t="n">
        <v>44959</v>
      </c>
      <c r="C974" s="1" t="n">
        <v>45998</v>
      </c>
      <c r="D974" t="inlineStr">
        <is>
          <t>VÄSTERNORRLANDS LÄN</t>
        </is>
      </c>
      <c r="E974" t="inlineStr">
        <is>
          <t>SOLLEFTEÅ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394-2024</t>
        </is>
      </c>
      <c r="B975" s="1" t="n">
        <v>45296</v>
      </c>
      <c r="C975" s="1" t="n">
        <v>45998</v>
      </c>
      <c r="D975" t="inlineStr">
        <is>
          <t>VÄSTERNORRLANDS LÄN</t>
        </is>
      </c>
      <c r="E975" t="inlineStr">
        <is>
          <t>SOLLEFTEÅ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62098-2023</t>
        </is>
      </c>
      <c r="B976" s="1" t="n">
        <v>45266</v>
      </c>
      <c r="C976" s="1" t="n">
        <v>45998</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62100-2023</t>
        </is>
      </c>
      <c r="B977" s="1" t="n">
        <v>45266.92689814815</v>
      </c>
      <c r="C977" s="1" t="n">
        <v>45998</v>
      </c>
      <c r="D977" t="inlineStr">
        <is>
          <t>VÄSTERNORRLANDS LÄN</t>
        </is>
      </c>
      <c r="E977" t="inlineStr">
        <is>
          <t>SOLLEFTEÅ</t>
        </is>
      </c>
      <c r="G977" t="n">
        <v>16.6</v>
      </c>
      <c r="H977" t="n">
        <v>0</v>
      </c>
      <c r="I977" t="n">
        <v>0</v>
      </c>
      <c r="J977" t="n">
        <v>0</v>
      </c>
      <c r="K977" t="n">
        <v>0</v>
      </c>
      <c r="L977" t="n">
        <v>0</v>
      </c>
      <c r="M977" t="n">
        <v>0</v>
      </c>
      <c r="N977" t="n">
        <v>0</v>
      </c>
      <c r="O977" t="n">
        <v>0</v>
      </c>
      <c r="P977" t="n">
        <v>0</v>
      </c>
      <c r="Q977" t="n">
        <v>0</v>
      </c>
      <c r="R977" s="2" t="inlineStr"/>
    </row>
    <row r="978" ht="15" customHeight="1">
      <c r="A978" t="inlineStr">
        <is>
          <t>A 33591-2023</t>
        </is>
      </c>
      <c r="B978" s="1" t="n">
        <v>45131</v>
      </c>
      <c r="C978" s="1" t="n">
        <v>45998</v>
      </c>
      <c r="D978" t="inlineStr">
        <is>
          <t>VÄSTERNORRLANDS LÄN</t>
        </is>
      </c>
      <c r="E978" t="inlineStr">
        <is>
          <t>SOLLEFTEÅ</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10549-2023</t>
        </is>
      </c>
      <c r="B979" s="1" t="n">
        <v>44987</v>
      </c>
      <c r="C979" s="1" t="n">
        <v>45998</v>
      </c>
      <c r="D979" t="inlineStr">
        <is>
          <t>VÄSTERNORRLANDS LÄN</t>
        </is>
      </c>
      <c r="E979" t="inlineStr">
        <is>
          <t>SOLLEFTEÅ</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10438-2025</t>
        </is>
      </c>
      <c r="B980" s="1" t="n">
        <v>45720.67761574074</v>
      </c>
      <c r="C980" s="1" t="n">
        <v>45998</v>
      </c>
      <c r="D980" t="inlineStr">
        <is>
          <t>VÄSTERNORRLANDS LÄN</t>
        </is>
      </c>
      <c r="E980" t="inlineStr">
        <is>
          <t>SOLLEFTEÅ</t>
        </is>
      </c>
      <c r="F980" t="inlineStr">
        <is>
          <t>SCA</t>
        </is>
      </c>
      <c r="G980" t="n">
        <v>14.6</v>
      </c>
      <c r="H980" t="n">
        <v>0</v>
      </c>
      <c r="I980" t="n">
        <v>0</v>
      </c>
      <c r="J980" t="n">
        <v>0</v>
      </c>
      <c r="K980" t="n">
        <v>0</v>
      </c>
      <c r="L980" t="n">
        <v>0</v>
      </c>
      <c r="M980" t="n">
        <v>0</v>
      </c>
      <c r="N980" t="n">
        <v>0</v>
      </c>
      <c r="O980" t="n">
        <v>0</v>
      </c>
      <c r="P980" t="n">
        <v>0</v>
      </c>
      <c r="Q980" t="n">
        <v>0</v>
      </c>
      <c r="R980" s="2" t="inlineStr"/>
    </row>
    <row r="981" ht="15" customHeight="1">
      <c r="A981" t="inlineStr">
        <is>
          <t>A 8851-2025</t>
        </is>
      </c>
      <c r="B981" s="1" t="n">
        <v>45713.34465277778</v>
      </c>
      <c r="C981" s="1" t="n">
        <v>45998</v>
      </c>
      <c r="D981" t="inlineStr">
        <is>
          <t>VÄSTERNORRLANDS LÄN</t>
        </is>
      </c>
      <c r="E981" t="inlineStr">
        <is>
          <t>SOLLEFTEÅ</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9121-2024</t>
        </is>
      </c>
      <c r="B982" s="1" t="n">
        <v>45358.04099537037</v>
      </c>
      <c r="C982" s="1" t="n">
        <v>45998</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17258-2025</t>
        </is>
      </c>
      <c r="B983" s="1" t="n">
        <v>45756.53278935186</v>
      </c>
      <c r="C983" s="1" t="n">
        <v>45998</v>
      </c>
      <c r="D983" t="inlineStr">
        <is>
          <t>VÄSTERNORRLANDS LÄN</t>
        </is>
      </c>
      <c r="E983" t="inlineStr">
        <is>
          <t>SOLLEFTEÅ</t>
        </is>
      </c>
      <c r="G983" t="n">
        <v>6.8</v>
      </c>
      <c r="H983" t="n">
        <v>0</v>
      </c>
      <c r="I983" t="n">
        <v>0</v>
      </c>
      <c r="J983" t="n">
        <v>0</v>
      </c>
      <c r="K983" t="n">
        <v>0</v>
      </c>
      <c r="L983" t="n">
        <v>0</v>
      </c>
      <c r="M983" t="n">
        <v>0</v>
      </c>
      <c r="N983" t="n">
        <v>0</v>
      </c>
      <c r="O983" t="n">
        <v>0</v>
      </c>
      <c r="P983" t="n">
        <v>0</v>
      </c>
      <c r="Q983" t="n">
        <v>0</v>
      </c>
      <c r="R983" s="2" t="inlineStr"/>
    </row>
    <row r="984" ht="15" customHeight="1">
      <c r="A984" t="inlineStr">
        <is>
          <t>A 55859-2023</t>
        </is>
      </c>
      <c r="B984" s="1" t="n">
        <v>45239</v>
      </c>
      <c r="C984" s="1" t="n">
        <v>45998</v>
      </c>
      <c r="D984" t="inlineStr">
        <is>
          <t>VÄSTERNORRLANDS LÄN</t>
        </is>
      </c>
      <c r="E984" t="inlineStr">
        <is>
          <t>SOLLEFTEÅ</t>
        </is>
      </c>
      <c r="F984" t="inlineStr">
        <is>
          <t>Kommuner</t>
        </is>
      </c>
      <c r="G984" t="n">
        <v>0.1</v>
      </c>
      <c r="H984" t="n">
        <v>0</v>
      </c>
      <c r="I984" t="n">
        <v>0</v>
      </c>
      <c r="J984" t="n">
        <v>0</v>
      </c>
      <c r="K984" t="n">
        <v>0</v>
      </c>
      <c r="L984" t="n">
        <v>0</v>
      </c>
      <c r="M984" t="n">
        <v>0</v>
      </c>
      <c r="N984" t="n">
        <v>0</v>
      </c>
      <c r="O984" t="n">
        <v>0</v>
      </c>
      <c r="P984" t="n">
        <v>0</v>
      </c>
      <c r="Q984" t="n">
        <v>0</v>
      </c>
      <c r="R984" s="2" t="inlineStr"/>
    </row>
    <row r="985" ht="15" customHeight="1">
      <c r="A985" t="inlineStr">
        <is>
          <t>A 33739-2024</t>
        </is>
      </c>
      <c r="B985" s="1" t="n">
        <v>45520.55943287037</v>
      </c>
      <c r="C985" s="1" t="n">
        <v>45998</v>
      </c>
      <c r="D985" t="inlineStr">
        <is>
          <t>VÄSTERNORRLANDS LÄN</t>
        </is>
      </c>
      <c r="E985" t="inlineStr">
        <is>
          <t>SOLLEFTEÅ</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18364-2024</t>
        </is>
      </c>
      <c r="B986" s="1" t="n">
        <v>45422</v>
      </c>
      <c r="C986" s="1" t="n">
        <v>45998</v>
      </c>
      <c r="D986" t="inlineStr">
        <is>
          <t>VÄSTERNORRLANDS LÄN</t>
        </is>
      </c>
      <c r="E986" t="inlineStr">
        <is>
          <t>SOLLEFTEÅ</t>
        </is>
      </c>
      <c r="G986" t="n">
        <v>4.9</v>
      </c>
      <c r="H986" t="n">
        <v>0</v>
      </c>
      <c r="I986" t="n">
        <v>0</v>
      </c>
      <c r="J986" t="n">
        <v>0</v>
      </c>
      <c r="K986" t="n">
        <v>0</v>
      </c>
      <c r="L986" t="n">
        <v>0</v>
      </c>
      <c r="M986" t="n">
        <v>0</v>
      </c>
      <c r="N986" t="n">
        <v>0</v>
      </c>
      <c r="O986" t="n">
        <v>0</v>
      </c>
      <c r="P986" t="n">
        <v>0</v>
      </c>
      <c r="Q986" t="n">
        <v>0</v>
      </c>
      <c r="R986" s="2" t="inlineStr"/>
    </row>
    <row r="987" ht="15" customHeight="1">
      <c r="A987" t="inlineStr">
        <is>
          <t>A 12632-2025</t>
        </is>
      </c>
      <c r="B987" s="1" t="n">
        <v>45733.37693287037</v>
      </c>
      <c r="C987" s="1" t="n">
        <v>45998</v>
      </c>
      <c r="D987" t="inlineStr">
        <is>
          <t>VÄSTERNORRLANDS LÄN</t>
        </is>
      </c>
      <c r="E987" t="inlineStr">
        <is>
          <t>SOLLEFTEÅ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7585-2024</t>
        </is>
      </c>
      <c r="B988" s="1" t="n">
        <v>45348</v>
      </c>
      <c r="C988" s="1" t="n">
        <v>45998</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14134-2023</t>
        </is>
      </c>
      <c r="B989" s="1" t="n">
        <v>45008</v>
      </c>
      <c r="C989" s="1" t="n">
        <v>45998</v>
      </c>
      <c r="D989" t="inlineStr">
        <is>
          <t>VÄSTERNORRLANDS LÄN</t>
        </is>
      </c>
      <c r="E989" t="inlineStr">
        <is>
          <t>SOLLEFTEÅ</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32140-2024</t>
        </is>
      </c>
      <c r="B990" s="1" t="n">
        <v>45511.54391203704</v>
      </c>
      <c r="C990" s="1" t="n">
        <v>45998</v>
      </c>
      <c r="D990" t="inlineStr">
        <is>
          <t>VÄSTERNORRLANDS LÄN</t>
        </is>
      </c>
      <c r="E990" t="inlineStr">
        <is>
          <t>SOLLEFTEÅ</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54233-2024</t>
        </is>
      </c>
      <c r="B991" s="1" t="n">
        <v>45616.67791666667</v>
      </c>
      <c r="C991" s="1" t="n">
        <v>45998</v>
      </c>
      <c r="D991" t="inlineStr">
        <is>
          <t>VÄSTERNORRLANDS LÄN</t>
        </is>
      </c>
      <c r="E991" t="inlineStr">
        <is>
          <t>SOLLEFTEÅ</t>
        </is>
      </c>
      <c r="F991" t="inlineStr">
        <is>
          <t>SCA</t>
        </is>
      </c>
      <c r="G991" t="n">
        <v>5.3</v>
      </c>
      <c r="H991" t="n">
        <v>0</v>
      </c>
      <c r="I991" t="n">
        <v>0</v>
      </c>
      <c r="J991" t="n">
        <v>0</v>
      </c>
      <c r="K991" t="n">
        <v>0</v>
      </c>
      <c r="L991" t="n">
        <v>0</v>
      </c>
      <c r="M991" t="n">
        <v>0</v>
      </c>
      <c r="N991" t="n">
        <v>0</v>
      </c>
      <c r="O991" t="n">
        <v>0</v>
      </c>
      <c r="P991" t="n">
        <v>0</v>
      </c>
      <c r="Q991" t="n">
        <v>0</v>
      </c>
      <c r="R991" s="2" t="inlineStr"/>
    </row>
    <row r="992" ht="15" customHeight="1">
      <c r="A992" t="inlineStr">
        <is>
          <t>A 54235-2024</t>
        </is>
      </c>
      <c r="B992" s="1" t="n">
        <v>45616.67806712963</v>
      </c>
      <c r="C992" s="1" t="n">
        <v>45998</v>
      </c>
      <c r="D992" t="inlineStr">
        <is>
          <t>VÄSTERNORRLANDS LÄN</t>
        </is>
      </c>
      <c r="E992" t="inlineStr">
        <is>
          <t>SOLLEFTEÅ</t>
        </is>
      </c>
      <c r="F992" t="inlineStr">
        <is>
          <t>SCA</t>
        </is>
      </c>
      <c r="G992" t="n">
        <v>0.1</v>
      </c>
      <c r="H992" t="n">
        <v>0</v>
      </c>
      <c r="I992" t="n">
        <v>0</v>
      </c>
      <c r="J992" t="n">
        <v>0</v>
      </c>
      <c r="K992" t="n">
        <v>0</v>
      </c>
      <c r="L992" t="n">
        <v>0</v>
      </c>
      <c r="M992" t="n">
        <v>0</v>
      </c>
      <c r="N992" t="n">
        <v>0</v>
      </c>
      <c r="O992" t="n">
        <v>0</v>
      </c>
      <c r="P992" t="n">
        <v>0</v>
      </c>
      <c r="Q992" t="n">
        <v>0</v>
      </c>
      <c r="R992" s="2" t="inlineStr"/>
    </row>
    <row r="993" ht="15" customHeight="1">
      <c r="A993" t="inlineStr">
        <is>
          <t>A 7257-2024</t>
        </is>
      </c>
      <c r="B993" s="1" t="n">
        <v>45344.7371412037</v>
      </c>
      <c r="C993" s="1" t="n">
        <v>45998</v>
      </c>
      <c r="D993" t="inlineStr">
        <is>
          <t>VÄSTERNORRLANDS LÄN</t>
        </is>
      </c>
      <c r="E993" t="inlineStr">
        <is>
          <t>SOLLEFTEÅ</t>
        </is>
      </c>
      <c r="G993" t="n">
        <v>9.1</v>
      </c>
      <c r="H993" t="n">
        <v>0</v>
      </c>
      <c r="I993" t="n">
        <v>0</v>
      </c>
      <c r="J993" t="n">
        <v>0</v>
      </c>
      <c r="K993" t="n">
        <v>0</v>
      </c>
      <c r="L993" t="n">
        <v>0</v>
      </c>
      <c r="M993" t="n">
        <v>0</v>
      </c>
      <c r="N993" t="n">
        <v>0</v>
      </c>
      <c r="O993" t="n">
        <v>0</v>
      </c>
      <c r="P993" t="n">
        <v>0</v>
      </c>
      <c r="Q993" t="n">
        <v>0</v>
      </c>
      <c r="R993" s="2" t="inlineStr"/>
    </row>
    <row r="994" ht="15" customHeight="1">
      <c r="A994" t="inlineStr">
        <is>
          <t>A 61345-2022</t>
        </is>
      </c>
      <c r="B994" s="1" t="n">
        <v>44915</v>
      </c>
      <c r="C994" s="1" t="n">
        <v>45998</v>
      </c>
      <c r="D994" t="inlineStr">
        <is>
          <t>VÄSTERNORRLANDS LÄN</t>
        </is>
      </c>
      <c r="E994" t="inlineStr">
        <is>
          <t>SOLLEFTEÅ</t>
        </is>
      </c>
      <c r="G994" t="n">
        <v>0.5</v>
      </c>
      <c r="H994" t="n">
        <v>0</v>
      </c>
      <c r="I994" t="n">
        <v>0</v>
      </c>
      <c r="J994" t="n">
        <v>0</v>
      </c>
      <c r="K994" t="n">
        <v>0</v>
      </c>
      <c r="L994" t="n">
        <v>0</v>
      </c>
      <c r="M994" t="n">
        <v>0</v>
      </c>
      <c r="N994" t="n">
        <v>0</v>
      </c>
      <c r="O994" t="n">
        <v>0</v>
      </c>
      <c r="P994" t="n">
        <v>0</v>
      </c>
      <c r="Q994" t="n">
        <v>0</v>
      </c>
      <c r="R994" s="2" t="inlineStr"/>
    </row>
    <row r="995" ht="15" customHeight="1">
      <c r="A995" t="inlineStr">
        <is>
          <t>A 61383-2022</t>
        </is>
      </c>
      <c r="B995" s="1" t="n">
        <v>44915</v>
      </c>
      <c r="C995" s="1" t="n">
        <v>45998</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37046-2024</t>
        </is>
      </c>
      <c r="B996" s="1" t="n">
        <v>45539.42739583334</v>
      </c>
      <c r="C996" s="1" t="n">
        <v>45998</v>
      </c>
      <c r="D996" t="inlineStr">
        <is>
          <t>VÄSTERNORRLANDS LÄN</t>
        </is>
      </c>
      <c r="E996" t="inlineStr">
        <is>
          <t>SOLLEFTEÅ</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48785-2024</t>
        </is>
      </c>
      <c r="B997" s="1" t="n">
        <v>45593</v>
      </c>
      <c r="C997" s="1" t="n">
        <v>45998</v>
      </c>
      <c r="D997" t="inlineStr">
        <is>
          <t>VÄSTERNORRLANDS LÄN</t>
        </is>
      </c>
      <c r="E997" t="inlineStr">
        <is>
          <t>SOLLEFTEÅ</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61784-2023</t>
        </is>
      </c>
      <c r="B998" s="1" t="n">
        <v>45265</v>
      </c>
      <c r="C998" s="1" t="n">
        <v>45998</v>
      </c>
      <c r="D998" t="inlineStr">
        <is>
          <t>VÄSTERNORRLANDS LÄN</t>
        </is>
      </c>
      <c r="E998" t="inlineStr">
        <is>
          <t>SOLLEFTEÅ</t>
        </is>
      </c>
      <c r="F998" t="inlineStr">
        <is>
          <t>SCA</t>
        </is>
      </c>
      <c r="G998" t="n">
        <v>9.1</v>
      </c>
      <c r="H998" t="n">
        <v>0</v>
      </c>
      <c r="I998" t="n">
        <v>0</v>
      </c>
      <c r="J998" t="n">
        <v>0</v>
      </c>
      <c r="K998" t="n">
        <v>0</v>
      </c>
      <c r="L998" t="n">
        <v>0</v>
      </c>
      <c r="M998" t="n">
        <v>0</v>
      </c>
      <c r="N998" t="n">
        <v>0</v>
      </c>
      <c r="O998" t="n">
        <v>0</v>
      </c>
      <c r="P998" t="n">
        <v>0</v>
      </c>
      <c r="Q998" t="n">
        <v>0</v>
      </c>
      <c r="R998" s="2" t="inlineStr"/>
    </row>
    <row r="999" ht="15" customHeight="1">
      <c r="A999" t="inlineStr">
        <is>
          <t>A 15978-2023</t>
        </is>
      </c>
      <c r="B999" s="1" t="n">
        <v>45022.94188657407</v>
      </c>
      <c r="C999" s="1" t="n">
        <v>45998</v>
      </c>
      <c r="D999" t="inlineStr">
        <is>
          <t>VÄSTERNORRLANDS LÄN</t>
        </is>
      </c>
      <c r="E999" t="inlineStr">
        <is>
          <t>SOLLEFTEÅ</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9950-2025</t>
        </is>
      </c>
      <c r="B1000" s="1" t="n">
        <v>45719.34416666667</v>
      </c>
      <c r="C1000" s="1" t="n">
        <v>45998</v>
      </c>
      <c r="D1000" t="inlineStr">
        <is>
          <t>VÄSTERNORRLANDS LÄN</t>
        </is>
      </c>
      <c r="E1000" t="inlineStr">
        <is>
          <t>SOLLEFTEÅ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9966-2025</t>
        </is>
      </c>
      <c r="B1001" s="1" t="n">
        <v>45719</v>
      </c>
      <c r="C1001" s="1" t="n">
        <v>45998</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1402-2022</t>
        </is>
      </c>
      <c r="B1002" s="1" t="n">
        <v>44573</v>
      </c>
      <c r="C1002" s="1" t="n">
        <v>45998</v>
      </c>
      <c r="D1002" t="inlineStr">
        <is>
          <t>VÄSTERNORRLANDS LÄN</t>
        </is>
      </c>
      <c r="E1002" t="inlineStr">
        <is>
          <t>SOLLEFTEÅ</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41655-2023</t>
        </is>
      </c>
      <c r="B1003" s="1" t="n">
        <v>45175.95751157407</v>
      </c>
      <c r="C1003" s="1" t="n">
        <v>45998</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3319-2025</t>
        </is>
      </c>
      <c r="B1004" s="1" t="n">
        <v>45679</v>
      </c>
      <c r="C1004" s="1" t="n">
        <v>45998</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19556-2024</t>
        </is>
      </c>
      <c r="B1005" s="1" t="n">
        <v>45429</v>
      </c>
      <c r="C1005" s="1" t="n">
        <v>45998</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8221-2022</t>
        </is>
      </c>
      <c r="B1006" s="1" t="n">
        <v>44609.93001157408</v>
      </c>
      <c r="C1006" s="1" t="n">
        <v>45998</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33709-2023</t>
        </is>
      </c>
      <c r="B1007" s="1" t="n">
        <v>45132.92300925926</v>
      </c>
      <c r="C1007" s="1" t="n">
        <v>45998</v>
      </c>
      <c r="D1007" t="inlineStr">
        <is>
          <t>VÄSTERNORRLANDS LÄN</t>
        </is>
      </c>
      <c r="E1007" t="inlineStr">
        <is>
          <t>SOLLEFTEÅ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43772-2022</t>
        </is>
      </c>
      <c r="B1008" s="1" t="n">
        <v>44837</v>
      </c>
      <c r="C1008" s="1" t="n">
        <v>45998</v>
      </c>
      <c r="D1008" t="inlineStr">
        <is>
          <t>VÄSTERNORRLANDS LÄN</t>
        </is>
      </c>
      <c r="E1008" t="inlineStr">
        <is>
          <t>SOLLEFTEÅ</t>
        </is>
      </c>
      <c r="F1008" t="inlineStr">
        <is>
          <t>Kyrkan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68030-2020</t>
        </is>
      </c>
      <c r="B1009" s="1" t="n">
        <v>44182</v>
      </c>
      <c r="C1009" s="1" t="n">
        <v>45998</v>
      </c>
      <c r="D1009" t="inlineStr">
        <is>
          <t>VÄSTERNORRLANDS LÄN</t>
        </is>
      </c>
      <c r="E1009" t="inlineStr">
        <is>
          <t>SOLLEFTEÅ</t>
        </is>
      </c>
      <c r="F1009" t="inlineStr">
        <is>
          <t>SCA</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68037-2020</t>
        </is>
      </c>
      <c r="B1010" s="1" t="n">
        <v>44182</v>
      </c>
      <c r="C1010" s="1" t="n">
        <v>45998</v>
      </c>
      <c r="D1010" t="inlineStr">
        <is>
          <t>VÄSTERNORRLANDS LÄN</t>
        </is>
      </c>
      <c r="E1010" t="inlineStr">
        <is>
          <t>SOLLEFTEÅ</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47175-2024</t>
        </is>
      </c>
      <c r="B1011" s="1" t="n">
        <v>45586</v>
      </c>
      <c r="C1011" s="1" t="n">
        <v>45998</v>
      </c>
      <c r="D1011" t="inlineStr">
        <is>
          <t>VÄSTERNORRLANDS LÄN</t>
        </is>
      </c>
      <c r="E1011" t="inlineStr">
        <is>
          <t>SOLLEFTEÅ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47179-2024</t>
        </is>
      </c>
      <c r="B1012" s="1" t="n">
        <v>45586.61634259259</v>
      </c>
      <c r="C1012" s="1" t="n">
        <v>45998</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31547-2024</t>
        </is>
      </c>
      <c r="B1013" s="1" t="n">
        <v>45505.96362268519</v>
      </c>
      <c r="C1013" s="1" t="n">
        <v>45998</v>
      </c>
      <c r="D1013" t="inlineStr">
        <is>
          <t>VÄSTERNORRLANDS LÄN</t>
        </is>
      </c>
      <c r="E1013" t="inlineStr">
        <is>
          <t>SOLLEFTEÅ</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31562-2024</t>
        </is>
      </c>
      <c r="B1014" s="1" t="n">
        <v>45505</v>
      </c>
      <c r="C1014" s="1" t="n">
        <v>45998</v>
      </c>
      <c r="D1014" t="inlineStr">
        <is>
          <t>VÄSTERNORRLANDS LÄN</t>
        </is>
      </c>
      <c r="E1014" t="inlineStr">
        <is>
          <t>SOLLEFTEÅ</t>
        </is>
      </c>
      <c r="F1014" t="inlineStr">
        <is>
          <t>SCA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60177-2024</t>
        </is>
      </c>
      <c r="B1015" s="1" t="n">
        <v>45642.63850694444</v>
      </c>
      <c r="C1015" s="1" t="n">
        <v>45998</v>
      </c>
      <c r="D1015" t="inlineStr">
        <is>
          <t>VÄSTERNORRLANDS LÄN</t>
        </is>
      </c>
      <c r="E1015" t="inlineStr">
        <is>
          <t>SOLLEFTEÅ</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44453.94021990741</v>
      </c>
      <c r="C1016" s="1" t="n">
        <v>45998</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4261-2025</t>
        </is>
      </c>
      <c r="B1017" s="1" t="n">
        <v>45685.61785879629</v>
      </c>
      <c r="C1017" s="1" t="n">
        <v>45998</v>
      </c>
      <c r="D1017" t="inlineStr">
        <is>
          <t>VÄSTERNORRLANDS LÄN</t>
        </is>
      </c>
      <c r="E1017" t="inlineStr">
        <is>
          <t>SOLLEFTEÅ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12834-2025</t>
        </is>
      </c>
      <c r="B1018" s="1" t="n">
        <v>45733.63612268519</v>
      </c>
      <c r="C1018" s="1" t="n">
        <v>45998</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2536-2022</t>
        </is>
      </c>
      <c r="B1019" s="1" t="n">
        <v>44579</v>
      </c>
      <c r="C1019" s="1" t="n">
        <v>45998</v>
      </c>
      <c r="D1019" t="inlineStr">
        <is>
          <t>VÄSTERNORRLANDS LÄN</t>
        </is>
      </c>
      <c r="E1019" t="inlineStr">
        <is>
          <t>SOLLEFTEÅ</t>
        </is>
      </c>
      <c r="F1019" t="inlineStr">
        <is>
          <t>Övriga Aktiebolag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41413-2024</t>
        </is>
      </c>
      <c r="B1020" s="1" t="n">
        <v>45560.345</v>
      </c>
      <c r="C1020" s="1" t="n">
        <v>45998</v>
      </c>
      <c r="D1020" t="inlineStr">
        <is>
          <t>VÄSTERNORRLANDS LÄN</t>
        </is>
      </c>
      <c r="E1020" t="inlineStr">
        <is>
          <t>SOLLEFTEÅ</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41420-2024</t>
        </is>
      </c>
      <c r="B1021" s="1" t="n">
        <v>45560.34616898148</v>
      </c>
      <c r="C1021" s="1" t="n">
        <v>45998</v>
      </c>
      <c r="D1021" t="inlineStr">
        <is>
          <t>VÄSTERNORRLANDS LÄN</t>
        </is>
      </c>
      <c r="E1021" t="inlineStr">
        <is>
          <t>SOLLEFTEÅ</t>
        </is>
      </c>
      <c r="F1021" t="inlineStr">
        <is>
          <t>SCA</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36771-2023</t>
        </is>
      </c>
      <c r="B1022" s="1" t="n">
        <v>45153</v>
      </c>
      <c r="C1022" s="1" t="n">
        <v>45998</v>
      </c>
      <c r="D1022" t="inlineStr">
        <is>
          <t>VÄSTERNORRLANDS LÄN</t>
        </is>
      </c>
      <c r="E1022" t="inlineStr">
        <is>
          <t>SOLLEFTEÅ</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35276-2023</t>
        </is>
      </c>
      <c r="B1023" s="1" t="n">
        <v>45145.95409722222</v>
      </c>
      <c r="C1023" s="1" t="n">
        <v>45998</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10428-2023</t>
        </is>
      </c>
      <c r="B1024" s="1" t="n">
        <v>44981</v>
      </c>
      <c r="C1024" s="1" t="n">
        <v>45998</v>
      </c>
      <c r="D1024" t="inlineStr">
        <is>
          <t>VÄSTERNORRLANDS LÄN</t>
        </is>
      </c>
      <c r="E1024" t="inlineStr">
        <is>
          <t>SOLLEFTEÅ</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42970-2024</t>
        </is>
      </c>
      <c r="B1025" s="1" t="n">
        <v>45567.37322916667</v>
      </c>
      <c r="C1025" s="1" t="n">
        <v>45998</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42981-2024</t>
        </is>
      </c>
      <c r="B1026" s="1" t="n">
        <v>45567.37460648148</v>
      </c>
      <c r="C1026" s="1" t="n">
        <v>45998</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32733-2023</t>
        </is>
      </c>
      <c r="B1027" s="1" t="n">
        <v>45121</v>
      </c>
      <c r="C1027" s="1" t="n">
        <v>45998</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38231-2024</t>
        </is>
      </c>
      <c r="B1028" s="1" t="n">
        <v>45545.55601851852</v>
      </c>
      <c r="C1028" s="1" t="n">
        <v>45998</v>
      </c>
      <c r="D1028" t="inlineStr">
        <is>
          <t>VÄSTERNORRLANDS LÄN</t>
        </is>
      </c>
      <c r="E1028" t="inlineStr">
        <is>
          <t>SOLLEFTEÅ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28366-2023</t>
        </is>
      </c>
      <c r="B1029" s="1" t="n">
        <v>45099</v>
      </c>
      <c r="C1029" s="1" t="n">
        <v>45998</v>
      </c>
      <c r="D1029" t="inlineStr">
        <is>
          <t>VÄSTERNORRLANDS LÄN</t>
        </is>
      </c>
      <c r="E1029" t="inlineStr">
        <is>
          <t>SOLLEFTEÅ</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45334-2024</t>
        </is>
      </c>
      <c r="B1030" s="1" t="n">
        <v>45576</v>
      </c>
      <c r="C1030" s="1" t="n">
        <v>45998</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9124-2022</t>
        </is>
      </c>
      <c r="B1031" s="1" t="n">
        <v>44615.58287037037</v>
      </c>
      <c r="C1031" s="1" t="n">
        <v>45998</v>
      </c>
      <c r="D1031" t="inlineStr">
        <is>
          <t>VÄSTERNORRLANDS LÄN</t>
        </is>
      </c>
      <c r="E1031" t="inlineStr">
        <is>
          <t>SOLLEFTEÅ</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31680-2024</t>
        </is>
      </c>
      <c r="B1032" s="1" t="n">
        <v>45506.94894675926</v>
      </c>
      <c r="C1032" s="1" t="n">
        <v>45998</v>
      </c>
      <c r="D1032" t="inlineStr">
        <is>
          <t>VÄSTERNORRLANDS LÄN</t>
        </is>
      </c>
      <c r="E1032" t="inlineStr">
        <is>
          <t>SOLLEFTEÅ</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63413-2023</t>
        </is>
      </c>
      <c r="B1033" s="1" t="n">
        <v>45274</v>
      </c>
      <c r="C1033" s="1" t="n">
        <v>45998</v>
      </c>
      <c r="D1033" t="inlineStr">
        <is>
          <t>VÄSTERNORRLANDS LÄN</t>
        </is>
      </c>
      <c r="E1033" t="inlineStr">
        <is>
          <t>SOLLEFTEÅ</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63422-2023</t>
        </is>
      </c>
      <c r="B1034" s="1" t="n">
        <v>45274</v>
      </c>
      <c r="C1034" s="1" t="n">
        <v>45998</v>
      </c>
      <c r="D1034" t="inlineStr">
        <is>
          <t>VÄSTERNORRLANDS LÄN</t>
        </is>
      </c>
      <c r="E1034" t="inlineStr">
        <is>
          <t>SOLLEFTEÅ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35470-2023</t>
        </is>
      </c>
      <c r="B1035" s="1" t="n">
        <v>45146</v>
      </c>
      <c r="C1035" s="1" t="n">
        <v>45998</v>
      </c>
      <c r="D1035" t="inlineStr">
        <is>
          <t>VÄSTERNORRLANDS LÄN</t>
        </is>
      </c>
      <c r="E1035" t="inlineStr">
        <is>
          <t>SOLLEFTEÅ</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42482-2024</t>
        </is>
      </c>
      <c r="B1036" s="1" t="n">
        <v>45565</v>
      </c>
      <c r="C1036" s="1" t="n">
        <v>45998</v>
      </c>
      <c r="D1036" t="inlineStr">
        <is>
          <t>VÄSTERNORRLANDS LÄN</t>
        </is>
      </c>
      <c r="E1036" t="inlineStr">
        <is>
          <t>SOLLEFTEÅ</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68022-2020</t>
        </is>
      </c>
      <c r="B1037" s="1" t="n">
        <v>44182</v>
      </c>
      <c r="C1037" s="1" t="n">
        <v>45998</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15080-2023</t>
        </is>
      </c>
      <c r="B1038" s="1" t="n">
        <v>45016.07525462963</v>
      </c>
      <c r="C1038" s="1" t="n">
        <v>45998</v>
      </c>
      <c r="D1038" t="inlineStr">
        <is>
          <t>VÄSTERNORRLANDS LÄN</t>
        </is>
      </c>
      <c r="E1038" t="inlineStr">
        <is>
          <t>SOLLEFTEÅ</t>
        </is>
      </c>
      <c r="F1038" t="inlineStr">
        <is>
          <t>SCA</t>
        </is>
      </c>
      <c r="G1038" t="n">
        <v>33.6</v>
      </c>
      <c r="H1038" t="n">
        <v>0</v>
      </c>
      <c r="I1038" t="n">
        <v>0</v>
      </c>
      <c r="J1038" t="n">
        <v>0</v>
      </c>
      <c r="K1038" t="n">
        <v>0</v>
      </c>
      <c r="L1038" t="n">
        <v>0</v>
      </c>
      <c r="M1038" t="n">
        <v>0</v>
      </c>
      <c r="N1038" t="n">
        <v>0</v>
      </c>
      <c r="O1038" t="n">
        <v>0</v>
      </c>
      <c r="P1038" t="n">
        <v>0</v>
      </c>
      <c r="Q1038" t="n">
        <v>0</v>
      </c>
      <c r="R1038" s="2" t="inlineStr"/>
    </row>
    <row r="1039" ht="15" customHeight="1">
      <c r="A1039" t="inlineStr">
        <is>
          <t>A 18741-2021</t>
        </is>
      </c>
      <c r="B1039" s="1" t="n">
        <v>44306</v>
      </c>
      <c r="C1039" s="1" t="n">
        <v>45998</v>
      </c>
      <c r="D1039" t="inlineStr">
        <is>
          <t>VÄSTERNORRLANDS LÄN</t>
        </is>
      </c>
      <c r="E1039" t="inlineStr">
        <is>
          <t>SOLLEFTEÅ</t>
        </is>
      </c>
      <c r="F1039" t="inlineStr">
        <is>
          <t>Kyrkan</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57078-2024</t>
        </is>
      </c>
      <c r="B1040" s="1" t="n">
        <v>45629.35518518519</v>
      </c>
      <c r="C1040" s="1" t="n">
        <v>45998</v>
      </c>
      <c r="D1040" t="inlineStr">
        <is>
          <t>VÄSTERNORRLANDS LÄN</t>
        </is>
      </c>
      <c r="E1040" t="inlineStr">
        <is>
          <t>SOLLEFTEÅ</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47471-2024</t>
        </is>
      </c>
      <c r="B1041" s="1" t="n">
        <v>45587.57324074074</v>
      </c>
      <c r="C1041" s="1" t="n">
        <v>45998</v>
      </c>
      <c r="D1041" t="inlineStr">
        <is>
          <t>VÄSTERNORRLANDS LÄN</t>
        </is>
      </c>
      <c r="E1041" t="inlineStr">
        <is>
          <t>SOLLEFTEÅ</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58478-2021</t>
        </is>
      </c>
      <c r="B1042" s="1" t="n">
        <v>44488</v>
      </c>
      <c r="C1042" s="1" t="n">
        <v>45998</v>
      </c>
      <c r="D1042" t="inlineStr">
        <is>
          <t>VÄSTERNORRLANDS LÄN</t>
        </is>
      </c>
      <c r="E1042" t="inlineStr">
        <is>
          <t>SOLLEFTEÅ</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50721-2024</t>
        </is>
      </c>
      <c r="B1043" s="1" t="n">
        <v>45602.3863425926</v>
      </c>
      <c r="C1043" s="1" t="n">
        <v>45998</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31965-2022</t>
        </is>
      </c>
      <c r="B1044" s="1" t="n">
        <v>44777.95460648148</v>
      </c>
      <c r="C1044" s="1" t="n">
        <v>45998</v>
      </c>
      <c r="D1044" t="inlineStr">
        <is>
          <t>VÄSTERNORRLANDS LÄN</t>
        </is>
      </c>
      <c r="E1044" t="inlineStr">
        <is>
          <t>SOLLEFTEÅ</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9253-2025</t>
        </is>
      </c>
      <c r="B1045" s="1" t="n">
        <v>45714.59430555555</v>
      </c>
      <c r="C1045" s="1" t="n">
        <v>45998</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45940-2024</t>
        </is>
      </c>
      <c r="B1046" s="1" t="n">
        <v>45580.53167824074</v>
      </c>
      <c r="C1046" s="1" t="n">
        <v>45998</v>
      </c>
      <c r="D1046" t="inlineStr">
        <is>
          <t>VÄSTERNORRLANDS LÄN</t>
        </is>
      </c>
      <c r="E1046" t="inlineStr">
        <is>
          <t>SOLLEFTEÅ</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45975-2024</t>
        </is>
      </c>
      <c r="B1047" s="1" t="n">
        <v>45580.59425925926</v>
      </c>
      <c r="C1047" s="1" t="n">
        <v>45998</v>
      </c>
      <c r="D1047" t="inlineStr">
        <is>
          <t>VÄSTERNORRLANDS LÄN</t>
        </is>
      </c>
      <c r="E1047" t="inlineStr">
        <is>
          <t>SOLLEFTEÅ</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48021-2024</t>
        </is>
      </c>
      <c r="B1048" s="1" t="n">
        <v>45589.47032407407</v>
      </c>
      <c r="C1048" s="1" t="n">
        <v>45998</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58463-2024</t>
        </is>
      </c>
      <c r="B1049" s="1" t="n">
        <v>45635.36650462963</v>
      </c>
      <c r="C1049" s="1" t="n">
        <v>45998</v>
      </c>
      <c r="D1049" t="inlineStr">
        <is>
          <t>VÄSTERNORRLANDS LÄN</t>
        </is>
      </c>
      <c r="E1049" t="inlineStr">
        <is>
          <t>SOLLEFTEÅ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3555-2022</t>
        </is>
      </c>
      <c r="B1050" s="1" t="n">
        <v>44585.93820601852</v>
      </c>
      <c r="C1050" s="1" t="n">
        <v>45998</v>
      </c>
      <c r="D1050" t="inlineStr">
        <is>
          <t>VÄSTERNORRLANDS LÄN</t>
        </is>
      </c>
      <c r="E1050" t="inlineStr">
        <is>
          <t>SOLLEFTEÅ</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5111-2022</t>
        </is>
      </c>
      <c r="B1051" s="1" t="n">
        <v>44593.92144675926</v>
      </c>
      <c r="C1051" s="1" t="n">
        <v>45998</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35905-2024</t>
        </is>
      </c>
      <c r="B1052" s="1" t="n">
        <v>45533.40674768519</v>
      </c>
      <c r="C1052" s="1" t="n">
        <v>45998</v>
      </c>
      <c r="D1052" t="inlineStr">
        <is>
          <t>VÄSTERNORRLANDS LÄN</t>
        </is>
      </c>
      <c r="E1052" t="inlineStr">
        <is>
          <t>SOLLEFTEÅ</t>
        </is>
      </c>
      <c r="F1052" t="inlineStr">
        <is>
          <t>SCA</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10140-2022</t>
        </is>
      </c>
      <c r="B1053" s="1" t="n">
        <v>44621</v>
      </c>
      <c r="C1053" s="1" t="n">
        <v>45998</v>
      </c>
      <c r="D1053" t="inlineStr">
        <is>
          <t>VÄSTERNORRLANDS LÄN</t>
        </is>
      </c>
      <c r="E1053" t="inlineStr">
        <is>
          <t>SOLLEFTEÅ</t>
        </is>
      </c>
      <c r="F1053" t="inlineStr">
        <is>
          <t>SCA</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32812-2024</t>
        </is>
      </c>
      <c r="B1054" s="1" t="n">
        <v>45516</v>
      </c>
      <c r="C1054" s="1" t="n">
        <v>45998</v>
      </c>
      <c r="D1054" t="inlineStr">
        <is>
          <t>VÄSTERNORRLANDS LÄN</t>
        </is>
      </c>
      <c r="E1054" t="inlineStr">
        <is>
          <t>SOLLEFTEÅ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14875-2023</t>
        </is>
      </c>
      <c r="B1055" s="1" t="n">
        <v>45015.07292824074</v>
      </c>
      <c r="C1055" s="1" t="n">
        <v>45998</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20066-2024</t>
        </is>
      </c>
      <c r="B1056" s="1" t="n">
        <v>45434</v>
      </c>
      <c r="C1056" s="1" t="n">
        <v>45998</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10256-2023</t>
        </is>
      </c>
      <c r="B1057" s="1" t="n">
        <v>44980</v>
      </c>
      <c r="C1057" s="1" t="n">
        <v>45998</v>
      </c>
      <c r="D1057" t="inlineStr">
        <is>
          <t>VÄSTERNORRLANDS LÄN</t>
        </is>
      </c>
      <c r="E1057" t="inlineStr">
        <is>
          <t>SOLLEFTEÅ</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51735-2024</t>
        </is>
      </c>
      <c r="B1058" s="1" t="n">
        <v>45607.40127314815</v>
      </c>
      <c r="C1058" s="1" t="n">
        <v>45998</v>
      </c>
      <c r="D1058" t="inlineStr">
        <is>
          <t>VÄSTERNORRLANDS LÄN</t>
        </is>
      </c>
      <c r="E1058" t="inlineStr">
        <is>
          <t>SOLLEFTEÅ</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39399-2023</t>
        </is>
      </c>
      <c r="B1059" s="1" t="n">
        <v>45163</v>
      </c>
      <c r="C1059" s="1" t="n">
        <v>45998</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18304-2022</t>
        </is>
      </c>
      <c r="B1060" s="1" t="n">
        <v>44685</v>
      </c>
      <c r="C1060" s="1" t="n">
        <v>45998</v>
      </c>
      <c r="D1060" t="inlineStr">
        <is>
          <t>VÄSTERNORRLANDS LÄN</t>
        </is>
      </c>
      <c r="E1060" t="inlineStr">
        <is>
          <t>SOLLEFTEÅ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45778-2024</t>
        </is>
      </c>
      <c r="B1061" s="1" t="n">
        <v>45579.66471064815</v>
      </c>
      <c r="C1061" s="1" t="n">
        <v>45998</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45801-2024</t>
        </is>
      </c>
      <c r="B1062" s="1" t="n">
        <v>45579.67798611111</v>
      </c>
      <c r="C1062" s="1" t="n">
        <v>45998</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45802-2024</t>
        </is>
      </c>
      <c r="B1063" s="1" t="n">
        <v>45579.67818287037</v>
      </c>
      <c r="C1063" s="1" t="n">
        <v>45998</v>
      </c>
      <c r="D1063" t="inlineStr">
        <is>
          <t>VÄSTERNORRLANDS LÄN</t>
        </is>
      </c>
      <c r="E1063" t="inlineStr">
        <is>
          <t>SOLLEFTEÅ</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13639-2025</t>
        </is>
      </c>
      <c r="B1064" s="1" t="n">
        <v>45736.65710648148</v>
      </c>
      <c r="C1064" s="1" t="n">
        <v>45998</v>
      </c>
      <c r="D1064" t="inlineStr">
        <is>
          <t>VÄSTERNORRLANDS LÄN</t>
        </is>
      </c>
      <c r="E1064" t="inlineStr">
        <is>
          <t>SOLLEFTEÅ</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21195-2023</t>
        </is>
      </c>
      <c r="B1065" s="1" t="n">
        <v>45057</v>
      </c>
      <c r="C1065" s="1" t="n">
        <v>45998</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21230-2023</t>
        </is>
      </c>
      <c r="B1066" s="1" t="n">
        <v>45057</v>
      </c>
      <c r="C1066" s="1" t="n">
        <v>45998</v>
      </c>
      <c r="D1066" t="inlineStr">
        <is>
          <t>VÄSTERNORRLANDS LÄN</t>
        </is>
      </c>
      <c r="E1066" t="inlineStr">
        <is>
          <t>SOLLEFTEÅ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31537-2024</t>
        </is>
      </c>
      <c r="B1067" s="1" t="n">
        <v>45505.96146990741</v>
      </c>
      <c r="C1067" s="1" t="n">
        <v>45998</v>
      </c>
      <c r="D1067" t="inlineStr">
        <is>
          <t>VÄSTERNORRLANDS LÄN</t>
        </is>
      </c>
      <c r="E1067" t="inlineStr">
        <is>
          <t>SOLLEFTEÅ</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218-2025</t>
        </is>
      </c>
      <c r="B1068" s="1" t="n">
        <v>45660</v>
      </c>
      <c r="C1068" s="1" t="n">
        <v>45998</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8729-2024</t>
        </is>
      </c>
      <c r="B1069" s="1" t="n">
        <v>45356.43958333333</v>
      </c>
      <c r="C1069" s="1" t="n">
        <v>45998</v>
      </c>
      <c r="D1069" t="inlineStr">
        <is>
          <t>VÄSTERNORRLANDS LÄN</t>
        </is>
      </c>
      <c r="E1069" t="inlineStr">
        <is>
          <t>SOLLEFTEÅ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49171-2022</t>
        </is>
      </c>
      <c r="B1070" s="1" t="n">
        <v>44860.9269212963</v>
      </c>
      <c r="C1070" s="1" t="n">
        <v>45998</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7942-2025</t>
        </is>
      </c>
      <c r="B1071" s="1" t="n">
        <v>45707</v>
      </c>
      <c r="C1071" s="1" t="n">
        <v>45998</v>
      </c>
      <c r="D1071" t="inlineStr">
        <is>
          <t>VÄSTERNORRLANDS LÄN</t>
        </is>
      </c>
      <c r="E1071" t="inlineStr">
        <is>
          <t>SOLLEFTEÅ</t>
        </is>
      </c>
      <c r="F1071" t="inlineStr">
        <is>
          <t>SCA</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37691-2023</t>
        </is>
      </c>
      <c r="B1072" s="1" t="n">
        <v>45156</v>
      </c>
      <c r="C1072" s="1" t="n">
        <v>45998</v>
      </c>
      <c r="D1072" t="inlineStr">
        <is>
          <t>VÄSTERNORRLANDS LÄN</t>
        </is>
      </c>
      <c r="E1072" t="inlineStr">
        <is>
          <t>SOLLEFTEÅ</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5035-2024</t>
        </is>
      </c>
      <c r="B1073" s="1" t="n">
        <v>45329.86893518519</v>
      </c>
      <c r="C1073" s="1" t="n">
        <v>45998</v>
      </c>
      <c r="D1073" t="inlineStr">
        <is>
          <t>VÄSTERNORRLANDS LÄN</t>
        </is>
      </c>
      <c r="E1073" t="inlineStr">
        <is>
          <t>SOLLEFTEÅ</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5059-2024</t>
        </is>
      </c>
      <c r="B1074" s="1" t="n">
        <v>45329</v>
      </c>
      <c r="C1074" s="1" t="n">
        <v>45998</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1465-2025</t>
        </is>
      </c>
      <c r="B1075" s="1" t="n">
        <v>45670.36513888889</v>
      </c>
      <c r="C1075" s="1" t="n">
        <v>45998</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64013-2023</t>
        </is>
      </c>
      <c r="B1076" s="1" t="n">
        <v>45278</v>
      </c>
      <c r="C1076" s="1" t="n">
        <v>45998</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12355-2025</t>
        </is>
      </c>
      <c r="B1077" s="1" t="n">
        <v>45730.36490740741</v>
      </c>
      <c r="C1077" s="1" t="n">
        <v>45998</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27572-2022</t>
        </is>
      </c>
      <c r="B1078" s="1" t="n">
        <v>44742.94329861111</v>
      </c>
      <c r="C1078" s="1" t="n">
        <v>45998</v>
      </c>
      <c r="D1078" t="inlineStr">
        <is>
          <t>VÄSTERNORRLANDS LÄN</t>
        </is>
      </c>
      <c r="E1078" t="inlineStr">
        <is>
          <t>SOLLEFTEÅ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49673-2024</t>
        </is>
      </c>
      <c r="B1079" s="1" t="n">
        <v>45596.65657407408</v>
      </c>
      <c r="C1079" s="1" t="n">
        <v>45998</v>
      </c>
      <c r="D1079" t="inlineStr">
        <is>
          <t>VÄSTERNORRLANDS LÄN</t>
        </is>
      </c>
      <c r="E1079" t="inlineStr">
        <is>
          <t>SOLLEFTEÅ</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17173-2024</t>
        </is>
      </c>
      <c r="B1080" s="1" t="n">
        <v>45412.97866898148</v>
      </c>
      <c r="C1080" s="1" t="n">
        <v>45998</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50674-2023</t>
        </is>
      </c>
      <c r="B1081" s="1" t="n">
        <v>45210</v>
      </c>
      <c r="C1081" s="1" t="n">
        <v>45998</v>
      </c>
      <c r="D1081" t="inlineStr">
        <is>
          <t>VÄSTERNORRLANDS LÄN</t>
        </is>
      </c>
      <c r="E1081" t="inlineStr">
        <is>
          <t>SOLLEFTEÅ</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50688-2023</t>
        </is>
      </c>
      <c r="B1082" s="1" t="n">
        <v>45210</v>
      </c>
      <c r="C1082" s="1" t="n">
        <v>45998</v>
      </c>
      <c r="D1082" t="inlineStr">
        <is>
          <t>VÄSTERNORRLANDS LÄN</t>
        </is>
      </c>
      <c r="E1082" t="inlineStr">
        <is>
          <t>SOLLEFTEÅ</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50745-2023</t>
        </is>
      </c>
      <c r="B1083" s="1" t="n">
        <v>45210</v>
      </c>
      <c r="C1083" s="1" t="n">
        <v>45998</v>
      </c>
      <c r="D1083" t="inlineStr">
        <is>
          <t>VÄSTERNORRLANDS LÄN</t>
        </is>
      </c>
      <c r="E1083" t="inlineStr">
        <is>
          <t>SOLLEFTEÅ</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3081-2025</t>
        </is>
      </c>
      <c r="B1084" s="1" t="n">
        <v>45678.644375</v>
      </c>
      <c r="C1084" s="1" t="n">
        <v>45998</v>
      </c>
      <c r="D1084" t="inlineStr">
        <is>
          <t>VÄSTERNORRLANDS LÄN</t>
        </is>
      </c>
      <c r="E1084" t="inlineStr">
        <is>
          <t>SOLLEFTEÅ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19892-2025</t>
        </is>
      </c>
      <c r="B1085" s="1" t="n">
        <v>45771.57461805556</v>
      </c>
      <c r="C1085" s="1" t="n">
        <v>45998</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19051-2022</t>
        </is>
      </c>
      <c r="B1086" s="1" t="n">
        <v>44691.41167824074</v>
      </c>
      <c r="C1086" s="1" t="n">
        <v>45998</v>
      </c>
      <c r="D1086" t="inlineStr">
        <is>
          <t>VÄSTERNORRLANDS LÄN</t>
        </is>
      </c>
      <c r="E1086" t="inlineStr">
        <is>
          <t>SOLLEFTEÅ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11117-2022</t>
        </is>
      </c>
      <c r="B1087" s="1" t="n">
        <v>44628.94248842593</v>
      </c>
      <c r="C1087" s="1" t="n">
        <v>45998</v>
      </c>
      <c r="D1087" t="inlineStr">
        <is>
          <t>VÄSTERNORRLANDS LÄN</t>
        </is>
      </c>
      <c r="E1087" t="inlineStr">
        <is>
          <t>SOLLEFTEÅ</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25877-2021</t>
        </is>
      </c>
      <c r="B1088" s="1" t="n">
        <v>44344</v>
      </c>
      <c r="C1088" s="1" t="n">
        <v>45998</v>
      </c>
      <c r="D1088" t="inlineStr">
        <is>
          <t>VÄSTERNORRLANDS LÄN</t>
        </is>
      </c>
      <c r="E1088" t="inlineStr">
        <is>
          <t>SOLLEFTEÅ</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43049-2024</t>
        </is>
      </c>
      <c r="B1089" s="1" t="n">
        <v>45567</v>
      </c>
      <c r="C1089" s="1" t="n">
        <v>45998</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21924-2021</t>
        </is>
      </c>
      <c r="B1090" s="1" t="n">
        <v>44322.91836805556</v>
      </c>
      <c r="C1090" s="1" t="n">
        <v>45998</v>
      </c>
      <c r="D1090" t="inlineStr">
        <is>
          <t>VÄSTERNORRLANDS LÄN</t>
        </is>
      </c>
      <c r="E1090" t="inlineStr">
        <is>
          <t>SOLLEFTEÅ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19326-2024</t>
        </is>
      </c>
      <c r="B1091" s="1" t="n">
        <v>45428</v>
      </c>
      <c r="C1091" s="1" t="n">
        <v>45998</v>
      </c>
      <c r="D1091" t="inlineStr">
        <is>
          <t>VÄSTERNORRLANDS LÄN</t>
        </is>
      </c>
      <c r="E1091" t="inlineStr">
        <is>
          <t>SOLLEFTEÅ</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49403-2024</t>
        </is>
      </c>
      <c r="B1092" s="1" t="n">
        <v>45595.67730324074</v>
      </c>
      <c r="C1092" s="1" t="n">
        <v>45998</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10240-2025</t>
        </is>
      </c>
      <c r="B1093" s="1" t="n">
        <v>45720.34508101852</v>
      </c>
      <c r="C1093" s="1" t="n">
        <v>45998</v>
      </c>
      <c r="D1093" t="inlineStr">
        <is>
          <t>VÄSTERNORRLANDS LÄN</t>
        </is>
      </c>
      <c r="E1093" t="inlineStr">
        <is>
          <t>SOLLEFTEÅ</t>
        </is>
      </c>
      <c r="F1093" t="inlineStr">
        <is>
          <t>SCA</t>
        </is>
      </c>
      <c r="G1093" t="n">
        <v>18.8</v>
      </c>
      <c r="H1093" t="n">
        <v>0</v>
      </c>
      <c r="I1093" t="n">
        <v>0</v>
      </c>
      <c r="J1093" t="n">
        <v>0</v>
      </c>
      <c r="K1093" t="n">
        <v>0</v>
      </c>
      <c r="L1093" t="n">
        <v>0</v>
      </c>
      <c r="M1093" t="n">
        <v>0</v>
      </c>
      <c r="N1093" t="n">
        <v>0</v>
      </c>
      <c r="O1093" t="n">
        <v>0</v>
      </c>
      <c r="P1093" t="n">
        <v>0</v>
      </c>
      <c r="Q1093" t="n">
        <v>0</v>
      </c>
      <c r="R1093" s="2" t="inlineStr"/>
    </row>
    <row r="1094" ht="15" customHeight="1">
      <c r="A1094" t="inlineStr">
        <is>
          <t>A 12683-2025</t>
        </is>
      </c>
      <c r="B1094" s="1" t="n">
        <v>45733.44483796296</v>
      </c>
      <c r="C1094" s="1" t="n">
        <v>45998</v>
      </c>
      <c r="D1094" t="inlineStr">
        <is>
          <t>VÄSTERNORRLANDS LÄN</t>
        </is>
      </c>
      <c r="E1094" t="inlineStr">
        <is>
          <t>SOLLEFTEÅ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44393-2023</t>
        </is>
      </c>
      <c r="B1095" s="1" t="n">
        <v>45188.94534722222</v>
      </c>
      <c r="C1095" s="1" t="n">
        <v>45998</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51681-2023</t>
        </is>
      </c>
      <c r="B1096" s="1" t="n">
        <v>45215</v>
      </c>
      <c r="C1096" s="1" t="n">
        <v>45998</v>
      </c>
      <c r="D1096" t="inlineStr">
        <is>
          <t>VÄSTERNORRLANDS LÄN</t>
        </is>
      </c>
      <c r="E1096" t="inlineStr">
        <is>
          <t>SOLLEFTEÅ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32157-2024</t>
        </is>
      </c>
      <c r="B1097" s="1" t="n">
        <v>45511.57340277778</v>
      </c>
      <c r="C1097" s="1" t="n">
        <v>45998</v>
      </c>
      <c r="D1097" t="inlineStr">
        <is>
          <t>VÄSTERNORRLANDS LÄN</t>
        </is>
      </c>
      <c r="E1097" t="inlineStr">
        <is>
          <t>SOLLEFTEÅ</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15955-2025</t>
        </is>
      </c>
      <c r="B1098" s="1" t="n">
        <v>45749.5113425926</v>
      </c>
      <c r="C1098" s="1" t="n">
        <v>45998</v>
      </c>
      <c r="D1098" t="inlineStr">
        <is>
          <t>VÄSTERNORRLANDS LÄN</t>
        </is>
      </c>
      <c r="E1098" t="inlineStr">
        <is>
          <t>SOLLEFTEÅ</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55440-2024</t>
        </is>
      </c>
      <c r="B1099" s="1" t="n">
        <v>45622.40679398148</v>
      </c>
      <c r="C1099" s="1" t="n">
        <v>45998</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6282-2024</t>
        </is>
      </c>
      <c r="B1100" s="1" t="n">
        <v>45337</v>
      </c>
      <c r="C1100" s="1" t="n">
        <v>45998</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64617-2023</t>
        </is>
      </c>
      <c r="B1101" s="1" t="n">
        <v>45281</v>
      </c>
      <c r="C1101" s="1" t="n">
        <v>45998</v>
      </c>
      <c r="D1101" t="inlineStr">
        <is>
          <t>VÄSTERNORRLANDS LÄN</t>
        </is>
      </c>
      <c r="E1101" t="inlineStr">
        <is>
          <t>SOLLEFTEÅ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37381-2023</t>
        </is>
      </c>
      <c r="B1102" s="1" t="n">
        <v>45155</v>
      </c>
      <c r="C1102" s="1" t="n">
        <v>45998</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35509-2024</t>
        </is>
      </c>
      <c r="B1103" s="1" t="n">
        <v>45531</v>
      </c>
      <c r="C1103" s="1" t="n">
        <v>45998</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35513-2024</t>
        </is>
      </c>
      <c r="B1104" s="1" t="n">
        <v>45531</v>
      </c>
      <c r="C1104" s="1" t="n">
        <v>45998</v>
      </c>
      <c r="D1104" t="inlineStr">
        <is>
          <t>VÄSTERNORRLANDS LÄN</t>
        </is>
      </c>
      <c r="E1104" t="inlineStr">
        <is>
          <t>SOLLEFTEÅ</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8914-2025</t>
        </is>
      </c>
      <c r="B1105" s="1" t="n">
        <v>45713.42743055556</v>
      </c>
      <c r="C1105" s="1" t="n">
        <v>45998</v>
      </c>
      <c r="D1105" t="inlineStr">
        <is>
          <t>VÄSTERNORRLANDS LÄN</t>
        </is>
      </c>
      <c r="E1105" t="inlineStr">
        <is>
          <t>SOLLEFTEÅ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61845-2024</t>
        </is>
      </c>
      <c r="B1106" s="1" t="n">
        <v>45646</v>
      </c>
      <c r="C1106" s="1" t="n">
        <v>45998</v>
      </c>
      <c r="D1106" t="inlineStr">
        <is>
          <t>VÄSTERNORRLANDS LÄN</t>
        </is>
      </c>
      <c r="E1106" t="inlineStr">
        <is>
          <t>SOLLEFTEÅ</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61849-2024</t>
        </is>
      </c>
      <c r="B1107" s="1" t="n">
        <v>45646</v>
      </c>
      <c r="C1107" s="1" t="n">
        <v>45998</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3633-2024</t>
        </is>
      </c>
      <c r="B1108" s="1" t="n">
        <v>45320</v>
      </c>
      <c r="C1108" s="1" t="n">
        <v>45998</v>
      </c>
      <c r="D1108" t="inlineStr">
        <is>
          <t>VÄSTERNORRLANDS LÄN</t>
        </is>
      </c>
      <c r="E1108" t="inlineStr">
        <is>
          <t>SOLLEFTEÅ</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3556-2022</t>
        </is>
      </c>
      <c r="B1109" s="1" t="n">
        <v>44585</v>
      </c>
      <c r="C1109" s="1" t="n">
        <v>45998</v>
      </c>
      <c r="D1109" t="inlineStr">
        <is>
          <t>VÄSTERNORRLANDS LÄN</t>
        </is>
      </c>
      <c r="E1109" t="inlineStr">
        <is>
          <t>SOLLEFTEÅ</t>
        </is>
      </c>
      <c r="F1109" t="inlineStr">
        <is>
          <t>SCA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19055-2022</t>
        </is>
      </c>
      <c r="B1110" s="1" t="n">
        <v>44691.42189814815</v>
      </c>
      <c r="C1110" s="1" t="n">
        <v>45998</v>
      </c>
      <c r="D1110" t="inlineStr">
        <is>
          <t>VÄSTERNORRLANDS LÄN</t>
        </is>
      </c>
      <c r="E1110" t="inlineStr">
        <is>
          <t>SOLLEFTEÅ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13860-2025</t>
        </is>
      </c>
      <c r="B1111" s="1" t="n">
        <v>45737.57387731481</v>
      </c>
      <c r="C1111" s="1" t="n">
        <v>45998</v>
      </c>
      <c r="D1111" t="inlineStr">
        <is>
          <t>VÄSTERNORRLANDS LÄN</t>
        </is>
      </c>
      <c r="E1111" t="inlineStr">
        <is>
          <t>SOLLEFTEÅ</t>
        </is>
      </c>
      <c r="F1111" t="inlineStr">
        <is>
          <t>SCA</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50844-2023</t>
        </is>
      </c>
      <c r="B1112" s="1" t="n">
        <v>45217</v>
      </c>
      <c r="C1112" s="1" t="n">
        <v>45998</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5038-2024</t>
        </is>
      </c>
      <c r="B1113" s="1" t="n">
        <v>45329.88456018519</v>
      </c>
      <c r="C1113" s="1" t="n">
        <v>45998</v>
      </c>
      <c r="D1113" t="inlineStr">
        <is>
          <t>VÄSTERNORRLANDS LÄN</t>
        </is>
      </c>
      <c r="E1113" t="inlineStr">
        <is>
          <t>SOLLEFTEÅ</t>
        </is>
      </c>
      <c r="F1113" t="inlineStr">
        <is>
          <t>Övriga Aktiebolag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53278-2021</t>
        </is>
      </c>
      <c r="B1114" s="1" t="n">
        <v>44467</v>
      </c>
      <c r="C1114" s="1" t="n">
        <v>45998</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1848-2024</t>
        </is>
      </c>
      <c r="B1115" s="1" t="n">
        <v>45307</v>
      </c>
      <c r="C1115" s="1" t="n">
        <v>45998</v>
      </c>
      <c r="D1115" t="inlineStr">
        <is>
          <t>VÄSTERNORRLANDS LÄN</t>
        </is>
      </c>
      <c r="E1115" t="inlineStr">
        <is>
          <t>SOLLEFTEÅ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51249-2022</t>
        </is>
      </c>
      <c r="B1116" s="1" t="n">
        <v>44866</v>
      </c>
      <c r="C1116" s="1" t="n">
        <v>45998</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34281-2022</t>
        </is>
      </c>
      <c r="B1117" s="1" t="n">
        <v>44791</v>
      </c>
      <c r="C1117" s="1" t="n">
        <v>45998</v>
      </c>
      <c r="D1117" t="inlineStr">
        <is>
          <t>VÄSTERNORRLANDS LÄN</t>
        </is>
      </c>
      <c r="E1117" t="inlineStr">
        <is>
          <t>SOLLEFTEÅ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40921-2024</t>
        </is>
      </c>
      <c r="B1118" s="1" t="n">
        <v>45558.6358912037</v>
      </c>
      <c r="C1118" s="1" t="n">
        <v>45998</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17664-2023</t>
        </is>
      </c>
      <c r="B1119" s="1" t="n">
        <v>45036.94416666667</v>
      </c>
      <c r="C1119" s="1" t="n">
        <v>45998</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14353-2025</t>
        </is>
      </c>
      <c r="B1120" s="1" t="n">
        <v>45741.36502314815</v>
      </c>
      <c r="C1120" s="1" t="n">
        <v>45998</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2580-2025</t>
        </is>
      </c>
      <c r="B1121" s="1" t="n">
        <v>45674</v>
      </c>
      <c r="C1121" s="1" t="n">
        <v>45998</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55872-2024</t>
        </is>
      </c>
      <c r="B1122" s="1" t="n">
        <v>45623</v>
      </c>
      <c r="C1122" s="1" t="n">
        <v>45998</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39446-2024</t>
        </is>
      </c>
      <c r="B1123" s="1" t="n">
        <v>45551</v>
      </c>
      <c r="C1123" s="1" t="n">
        <v>45998</v>
      </c>
      <c r="D1123" t="inlineStr">
        <is>
          <t>VÄSTERNORRLANDS LÄN</t>
        </is>
      </c>
      <c r="E1123" t="inlineStr">
        <is>
          <t>SOLLEFTEÅ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13697-2023</t>
        </is>
      </c>
      <c r="B1124" s="1" t="n">
        <v>45006.94445601852</v>
      </c>
      <c r="C1124" s="1" t="n">
        <v>45998</v>
      </c>
      <c r="D1124" t="inlineStr">
        <is>
          <t>VÄSTERNORRLANDS LÄN</t>
        </is>
      </c>
      <c r="E1124" t="inlineStr">
        <is>
          <t>SOLLEFTEÅ</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4935-2025</t>
        </is>
      </c>
      <c r="B1125" s="1" t="n">
        <v>45688.68496527777</v>
      </c>
      <c r="C1125" s="1" t="n">
        <v>45998</v>
      </c>
      <c r="D1125" t="inlineStr">
        <is>
          <t>VÄSTERNORRLANDS LÄN</t>
        </is>
      </c>
      <c r="E1125" t="inlineStr">
        <is>
          <t>SOLLEFTEÅ</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13499-2023</t>
        </is>
      </c>
      <c r="B1126" s="1" t="n">
        <v>45005</v>
      </c>
      <c r="C1126" s="1" t="n">
        <v>45998</v>
      </c>
      <c r="D1126" t="inlineStr">
        <is>
          <t>VÄSTERNORRLANDS LÄN</t>
        </is>
      </c>
      <c r="E1126" t="inlineStr">
        <is>
          <t>SOLLEFTEÅ</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59563-2024</t>
        </is>
      </c>
      <c r="B1127" s="1" t="n">
        <v>45638.63733796297</v>
      </c>
      <c r="C1127" s="1" t="n">
        <v>45998</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9608-2025</t>
        </is>
      </c>
      <c r="B1128" s="1" t="n">
        <v>45715.65699074074</v>
      </c>
      <c r="C1128" s="1" t="n">
        <v>45998</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35469-2024</t>
        </is>
      </c>
      <c r="B1129" s="1" t="n">
        <v>45531</v>
      </c>
      <c r="C1129" s="1" t="n">
        <v>45998</v>
      </c>
      <c r="D1129" t="inlineStr">
        <is>
          <t>VÄSTERNORRLANDS LÄN</t>
        </is>
      </c>
      <c r="E1129" t="inlineStr">
        <is>
          <t>SOLLEFTEÅ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20638-2025</t>
        </is>
      </c>
      <c r="B1130" s="1" t="n">
        <v>45776.36480324074</v>
      </c>
      <c r="C1130" s="1" t="n">
        <v>45998</v>
      </c>
      <c r="D1130" t="inlineStr">
        <is>
          <t>VÄSTERNORRLANDS LÄN</t>
        </is>
      </c>
      <c r="E1130" t="inlineStr">
        <is>
          <t>SOLLEFTEÅ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20725-2025</t>
        </is>
      </c>
      <c r="B1131" s="1" t="n">
        <v>45776.51074074074</v>
      </c>
      <c r="C1131" s="1" t="n">
        <v>45998</v>
      </c>
      <c r="D1131" t="inlineStr">
        <is>
          <t>VÄSTERNORRLANDS LÄN</t>
        </is>
      </c>
      <c r="E1131" t="inlineStr">
        <is>
          <t>SOLLEFTEÅ</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44661-2024</t>
        </is>
      </c>
      <c r="B1132" s="1" t="n">
        <v>45574.53180555555</v>
      </c>
      <c r="C1132" s="1" t="n">
        <v>45998</v>
      </c>
      <c r="D1132" t="inlineStr">
        <is>
          <t>VÄSTERNORRLANDS LÄN</t>
        </is>
      </c>
      <c r="E1132" t="inlineStr">
        <is>
          <t>SOLLEFTEÅ</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60757-2021</t>
        </is>
      </c>
      <c r="B1133" s="1" t="n">
        <v>44496.92101851852</v>
      </c>
      <c r="C1133" s="1" t="n">
        <v>45998</v>
      </c>
      <c r="D1133" t="inlineStr">
        <is>
          <t>VÄSTERNORRLANDS LÄN</t>
        </is>
      </c>
      <c r="E1133" t="inlineStr">
        <is>
          <t>SOLLEFTEÅ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53545-2024</t>
        </is>
      </c>
      <c r="B1134" s="1" t="n">
        <v>45614.6370949074</v>
      </c>
      <c r="C1134" s="1" t="n">
        <v>45998</v>
      </c>
      <c r="D1134" t="inlineStr">
        <is>
          <t>VÄSTERNORRLANDS LÄN</t>
        </is>
      </c>
      <c r="E1134" t="inlineStr">
        <is>
          <t>SOLLEFTEÅ</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40354-2024</t>
        </is>
      </c>
      <c r="B1135" s="1" t="n">
        <v>45555.36525462963</v>
      </c>
      <c r="C1135" s="1" t="n">
        <v>45998</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6236-2023</t>
        </is>
      </c>
      <c r="B1136" s="1" t="n">
        <v>44964</v>
      </c>
      <c r="C1136" s="1" t="n">
        <v>45998</v>
      </c>
      <c r="D1136" t="inlineStr">
        <is>
          <t>VÄSTERNORRLANDS LÄN</t>
        </is>
      </c>
      <c r="E1136" t="inlineStr">
        <is>
          <t>SOLLEFTEÅ</t>
        </is>
      </c>
      <c r="F1136" t="inlineStr">
        <is>
          <t>SCA</t>
        </is>
      </c>
      <c r="G1136" t="n">
        <v>0.1</v>
      </c>
      <c r="H1136" t="n">
        <v>0</v>
      </c>
      <c r="I1136" t="n">
        <v>0</v>
      </c>
      <c r="J1136" t="n">
        <v>0</v>
      </c>
      <c r="K1136" t="n">
        <v>0</v>
      </c>
      <c r="L1136" t="n">
        <v>0</v>
      </c>
      <c r="M1136" t="n">
        <v>0</v>
      </c>
      <c r="N1136" t="n">
        <v>0</v>
      </c>
      <c r="O1136" t="n">
        <v>0</v>
      </c>
      <c r="P1136" t="n">
        <v>0</v>
      </c>
      <c r="Q1136" t="n">
        <v>0</v>
      </c>
      <c r="R1136" s="2" t="inlineStr"/>
      <c r="U1136">
        <f>HYPERLINK("https://klasma.github.io/Logging_2283/knärot/A 6236-2023 karta knärot.png", "A 6236-2023")</f>
        <v/>
      </c>
      <c r="V1136">
        <f>HYPERLINK("https://klasma.github.io/Logging_2283/klagomål/A 6236-2023 FSC-klagomål.docx", "A 6236-2023")</f>
        <v/>
      </c>
      <c r="W1136">
        <f>HYPERLINK("https://klasma.github.io/Logging_2283/klagomålsmail/A 6236-2023 FSC-klagomål mail.docx", "A 6236-2023")</f>
        <v/>
      </c>
      <c r="X1136">
        <f>HYPERLINK("https://klasma.github.io/Logging_2283/tillsyn/A 6236-2023 tillsynsbegäran.docx", "A 6236-2023")</f>
        <v/>
      </c>
      <c r="Y1136">
        <f>HYPERLINK("https://klasma.github.io/Logging_2283/tillsynsmail/A 6236-2023 tillsynsbegäran mail.docx", "A 6236-2023")</f>
        <v/>
      </c>
    </row>
    <row r="1137" ht="15" customHeight="1">
      <c r="A1137" t="inlineStr">
        <is>
          <t>A 7332-2023</t>
        </is>
      </c>
      <c r="B1137" s="1" t="n">
        <v>44970</v>
      </c>
      <c r="C1137" s="1" t="n">
        <v>45998</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48606-2024</t>
        </is>
      </c>
      <c r="B1138" s="1" t="n">
        <v>45593.4485300926</v>
      </c>
      <c r="C1138" s="1" t="n">
        <v>45998</v>
      </c>
      <c r="D1138" t="inlineStr">
        <is>
          <t>VÄSTERNORRLANDS LÄN</t>
        </is>
      </c>
      <c r="E1138" t="inlineStr">
        <is>
          <t>SOLLEFTEÅ</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58694-2024</t>
        </is>
      </c>
      <c r="B1139" s="1" t="n">
        <v>45635.63575231482</v>
      </c>
      <c r="C1139" s="1" t="n">
        <v>45998</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53212-2024</t>
        </is>
      </c>
      <c r="B1140" s="1" t="n">
        <v>45612.63576388889</v>
      </c>
      <c r="C1140" s="1" t="n">
        <v>45998</v>
      </c>
      <c r="D1140" t="inlineStr">
        <is>
          <t>VÄSTERNORRLANDS LÄN</t>
        </is>
      </c>
      <c r="E1140" t="inlineStr">
        <is>
          <t>SOLLEFTEÅ</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20793-2025</t>
        </is>
      </c>
      <c r="B1141" s="1" t="n">
        <v>45776</v>
      </c>
      <c r="C1141" s="1" t="n">
        <v>45998</v>
      </c>
      <c r="D1141" t="inlineStr">
        <is>
          <t>VÄSTERNORRLANDS LÄN</t>
        </is>
      </c>
      <c r="E1141" t="inlineStr">
        <is>
          <t>SOLLEFTEÅ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14308-2022</t>
        </is>
      </c>
      <c r="B1142" s="1" t="n">
        <v>44651.93954861111</v>
      </c>
      <c r="C1142" s="1" t="n">
        <v>45998</v>
      </c>
      <c r="D1142" t="inlineStr">
        <is>
          <t>VÄSTERNORRLANDS LÄN</t>
        </is>
      </c>
      <c r="E1142" t="inlineStr">
        <is>
          <t>SOLLEFTEÅ</t>
        </is>
      </c>
      <c r="F1142" t="inlineStr">
        <is>
          <t>SCA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29693-2024</t>
        </is>
      </c>
      <c r="B1143" s="1" t="n">
        <v>45484.94490740741</v>
      </c>
      <c r="C1143" s="1" t="n">
        <v>45998</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20867-2025</t>
        </is>
      </c>
      <c r="B1144" s="1" t="n">
        <v>45777.34471064815</v>
      </c>
      <c r="C1144" s="1" t="n">
        <v>45998</v>
      </c>
      <c r="D1144" t="inlineStr">
        <is>
          <t>VÄSTERNORRLANDS LÄN</t>
        </is>
      </c>
      <c r="E1144" t="inlineStr">
        <is>
          <t>SOLLEFTEÅ</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55692-2024</t>
        </is>
      </c>
      <c r="B1145" s="1" t="n">
        <v>45622</v>
      </c>
      <c r="C1145" s="1" t="n">
        <v>45998</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55792-2024</t>
        </is>
      </c>
      <c r="B1146" s="1" t="n">
        <v>45623</v>
      </c>
      <c r="C1146" s="1" t="n">
        <v>45998</v>
      </c>
      <c r="D1146" t="inlineStr">
        <is>
          <t>VÄSTERNORRLANDS LÄN</t>
        </is>
      </c>
      <c r="E1146" t="inlineStr">
        <is>
          <t>SOLLEFTEÅ</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32735-2023</t>
        </is>
      </c>
      <c r="B1147" s="1" t="n">
        <v>45121</v>
      </c>
      <c r="C1147" s="1" t="n">
        <v>45998</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3001-2022</t>
        </is>
      </c>
      <c r="B1148" s="1" t="n">
        <v>44581</v>
      </c>
      <c r="C1148" s="1" t="n">
        <v>45998</v>
      </c>
      <c r="D1148" t="inlineStr">
        <is>
          <t>VÄSTERNORRLANDS LÄN</t>
        </is>
      </c>
      <c r="E1148" t="inlineStr">
        <is>
          <t>SOLLEFTEÅ</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24461-2024</t>
        </is>
      </c>
      <c r="B1149" s="1" t="n">
        <v>45457.96806712963</v>
      </c>
      <c r="C1149" s="1" t="n">
        <v>45998</v>
      </c>
      <c r="D1149" t="inlineStr">
        <is>
          <t>VÄSTERNORRLANDS LÄN</t>
        </is>
      </c>
      <c r="E1149" t="inlineStr">
        <is>
          <t>SOLLEFTEÅ</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31670-2024</t>
        </is>
      </c>
      <c r="B1150" s="1" t="n">
        <v>45506.94805555556</v>
      </c>
      <c r="C1150" s="1" t="n">
        <v>45998</v>
      </c>
      <c r="D1150" t="inlineStr">
        <is>
          <t>VÄSTERNORRLANDS LÄN</t>
        </is>
      </c>
      <c r="E1150" t="inlineStr">
        <is>
          <t>SOLLEFTEÅ</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31681-2024</t>
        </is>
      </c>
      <c r="B1151" s="1" t="n">
        <v>45506.94902777778</v>
      </c>
      <c r="C1151" s="1" t="n">
        <v>45998</v>
      </c>
      <c r="D1151" t="inlineStr">
        <is>
          <t>VÄSTERNORRLANDS LÄN</t>
        </is>
      </c>
      <c r="E1151" t="inlineStr">
        <is>
          <t>SOLLEFTEÅ</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57487-2024</t>
        </is>
      </c>
      <c r="B1152" s="1" t="n">
        <v>45630.36166666666</v>
      </c>
      <c r="C1152" s="1" t="n">
        <v>45998</v>
      </c>
      <c r="D1152" t="inlineStr">
        <is>
          <t>VÄSTERNORRLANDS LÄN</t>
        </is>
      </c>
      <c r="E1152" t="inlineStr">
        <is>
          <t>SOLLEFTEÅ</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60170-2022</t>
        </is>
      </c>
      <c r="B1153" s="1" t="n">
        <v>44909</v>
      </c>
      <c r="C1153" s="1" t="n">
        <v>45998</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10138-2022</t>
        </is>
      </c>
      <c r="B1154" s="1" t="n">
        <v>44621.94612268519</v>
      </c>
      <c r="C1154" s="1" t="n">
        <v>45998</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49771-2024</t>
        </is>
      </c>
      <c r="B1155" s="1" t="n">
        <v>45597.34481481482</v>
      </c>
      <c r="C1155" s="1" t="n">
        <v>45998</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49772-2024</t>
        </is>
      </c>
      <c r="B1156" s="1" t="n">
        <v>45597.34483796296</v>
      </c>
      <c r="C1156" s="1" t="n">
        <v>45998</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21088-2025</t>
        </is>
      </c>
      <c r="B1157" s="1" t="n">
        <v>45777.61498842593</v>
      </c>
      <c r="C1157" s="1" t="n">
        <v>45998</v>
      </c>
      <c r="D1157" t="inlineStr">
        <is>
          <t>VÄSTERNORRLANDS LÄN</t>
        </is>
      </c>
      <c r="E1157" t="inlineStr">
        <is>
          <t>SOLLEFTEÅ</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12730-2023</t>
        </is>
      </c>
      <c r="B1158" s="1" t="n">
        <v>45000.92381944445</v>
      </c>
      <c r="C1158" s="1" t="n">
        <v>45998</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12733-2023</t>
        </is>
      </c>
      <c r="B1159" s="1" t="n">
        <v>45000</v>
      </c>
      <c r="C1159" s="1" t="n">
        <v>45998</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12752-2023</t>
        </is>
      </c>
      <c r="B1160" s="1" t="n">
        <v>45000.94854166666</v>
      </c>
      <c r="C1160" s="1" t="n">
        <v>45998</v>
      </c>
      <c r="D1160" t="inlineStr">
        <is>
          <t>VÄSTERNORRLANDS LÄN</t>
        </is>
      </c>
      <c r="E1160" t="inlineStr">
        <is>
          <t>SOLLEFTEÅ</t>
        </is>
      </c>
      <c r="F1160" t="inlineStr">
        <is>
          <t>SCA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48396-2024</t>
        </is>
      </c>
      <c r="B1161" s="1" t="n">
        <v>45590.61503472222</v>
      </c>
      <c r="C1161" s="1" t="n">
        <v>45998</v>
      </c>
      <c r="D1161" t="inlineStr">
        <is>
          <t>VÄSTERNORRLANDS LÄN</t>
        </is>
      </c>
      <c r="E1161" t="inlineStr">
        <is>
          <t>SOLLEFTEÅ</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18187-2022</t>
        </is>
      </c>
      <c r="B1162" s="1" t="n">
        <v>44684</v>
      </c>
      <c r="C1162" s="1" t="n">
        <v>45998</v>
      </c>
      <c r="D1162" t="inlineStr">
        <is>
          <t>VÄSTERNORRLANDS LÄN</t>
        </is>
      </c>
      <c r="E1162" t="inlineStr">
        <is>
          <t>SOLLEFTEÅ</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29290-2022</t>
        </is>
      </c>
      <c r="B1163" s="1" t="n">
        <v>44750</v>
      </c>
      <c r="C1163" s="1" t="n">
        <v>45998</v>
      </c>
      <c r="D1163" t="inlineStr">
        <is>
          <t>VÄSTERNORRLANDS LÄN</t>
        </is>
      </c>
      <c r="E1163" t="inlineStr">
        <is>
          <t>SOLLEFTEÅ</t>
        </is>
      </c>
      <c r="F1163" t="inlineStr">
        <is>
          <t>SCA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21109-2025</t>
        </is>
      </c>
      <c r="B1164" s="1" t="n">
        <v>45777.67744212963</v>
      </c>
      <c r="C1164" s="1" t="n">
        <v>45998</v>
      </c>
      <c r="D1164" t="inlineStr">
        <is>
          <t>VÄSTERNORRLANDS LÄN</t>
        </is>
      </c>
      <c r="E1164" t="inlineStr">
        <is>
          <t>SOLLEFTEÅ</t>
        </is>
      </c>
      <c r="F1164" t="inlineStr">
        <is>
          <t>SCA</t>
        </is>
      </c>
      <c r="G1164" t="n">
        <v>38.2</v>
      </c>
      <c r="H1164" t="n">
        <v>0</v>
      </c>
      <c r="I1164" t="n">
        <v>0</v>
      </c>
      <c r="J1164" t="n">
        <v>0</v>
      </c>
      <c r="K1164" t="n">
        <v>0</v>
      </c>
      <c r="L1164" t="n">
        <v>0</v>
      </c>
      <c r="M1164" t="n">
        <v>0</v>
      </c>
      <c r="N1164" t="n">
        <v>0</v>
      </c>
      <c r="O1164" t="n">
        <v>0</v>
      </c>
      <c r="P1164" t="n">
        <v>0</v>
      </c>
      <c r="Q1164" t="n">
        <v>0</v>
      </c>
      <c r="R1164" s="2" t="inlineStr"/>
    </row>
    <row r="1165" ht="15" customHeight="1">
      <c r="A1165" t="inlineStr">
        <is>
          <t>A 52035-2022</t>
        </is>
      </c>
      <c r="B1165" s="1" t="n">
        <v>44872</v>
      </c>
      <c r="C1165" s="1" t="n">
        <v>45998</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3990-2024</t>
        </is>
      </c>
      <c r="B1166" s="1" t="n">
        <v>45322.94880787037</v>
      </c>
      <c r="C1166" s="1" t="n">
        <v>45998</v>
      </c>
      <c r="D1166" t="inlineStr">
        <is>
          <t>VÄSTERNORRLANDS LÄN</t>
        </is>
      </c>
      <c r="E1166" t="inlineStr">
        <is>
          <t>SOLLEFTEÅ</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10554-2022</t>
        </is>
      </c>
      <c r="B1167" s="1" t="n">
        <v>44623.93775462963</v>
      </c>
      <c r="C1167" s="1" t="n">
        <v>45998</v>
      </c>
      <c r="D1167" t="inlineStr">
        <is>
          <t>VÄSTERNORRLANDS LÄN</t>
        </is>
      </c>
      <c r="E1167" t="inlineStr">
        <is>
          <t>SOLLEFTEÅ</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52087-2023</t>
        </is>
      </c>
      <c r="B1168" s="1" t="n">
        <v>45223</v>
      </c>
      <c r="C1168" s="1" t="n">
        <v>45998</v>
      </c>
      <c r="D1168" t="inlineStr">
        <is>
          <t>VÄSTERNORRLANDS LÄN</t>
        </is>
      </c>
      <c r="E1168" t="inlineStr">
        <is>
          <t>SOLLEFTEÅ</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22672-2024</t>
        </is>
      </c>
      <c r="B1169" s="1" t="n">
        <v>45447.94486111111</v>
      </c>
      <c r="C1169" s="1" t="n">
        <v>45998</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40429-2024</t>
        </is>
      </c>
      <c r="B1170" s="1" t="n">
        <v>45555</v>
      </c>
      <c r="C1170" s="1" t="n">
        <v>45998</v>
      </c>
      <c r="D1170" t="inlineStr">
        <is>
          <t>VÄSTERNORRLANDS LÄN</t>
        </is>
      </c>
      <c r="E1170" t="inlineStr">
        <is>
          <t>SOLLEFTEÅ</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21553-2025</t>
        </is>
      </c>
      <c r="B1171" s="1" t="n">
        <v>45782.67805555555</v>
      </c>
      <c r="C1171" s="1" t="n">
        <v>45998</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21555-2025</t>
        </is>
      </c>
      <c r="B1172" s="1" t="n">
        <v>45782.67828703704</v>
      </c>
      <c r="C1172" s="1" t="n">
        <v>45998</v>
      </c>
      <c r="D1172" t="inlineStr">
        <is>
          <t>VÄSTERNORRLANDS LÄN</t>
        </is>
      </c>
      <c r="E1172" t="inlineStr">
        <is>
          <t>SOLLEFTEÅ</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21564-2025</t>
        </is>
      </c>
      <c r="B1173" s="1" t="n">
        <v>45782.69837962963</v>
      </c>
      <c r="C1173" s="1" t="n">
        <v>45998</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21348-2025</t>
        </is>
      </c>
      <c r="B1174" s="1" t="n">
        <v>45782.40679398148</v>
      </c>
      <c r="C1174" s="1" t="n">
        <v>45998</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21346-2025</t>
        </is>
      </c>
      <c r="B1175" s="1" t="n">
        <v>45782.40670138889</v>
      </c>
      <c r="C1175" s="1" t="n">
        <v>45998</v>
      </c>
      <c r="D1175" t="inlineStr">
        <is>
          <t>VÄSTERNORRLANDS LÄN</t>
        </is>
      </c>
      <c r="E1175" t="inlineStr">
        <is>
          <t>SOLLEFTEÅ</t>
        </is>
      </c>
      <c r="F1175" t="inlineStr">
        <is>
          <t>SCA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21429-2025</t>
        </is>
      </c>
      <c r="B1176" s="1" t="n">
        <v>45782.51084490741</v>
      </c>
      <c r="C1176" s="1" t="n">
        <v>45998</v>
      </c>
      <c r="D1176" t="inlineStr">
        <is>
          <t>VÄSTERNORRLANDS LÄN</t>
        </is>
      </c>
      <c r="E1176" t="inlineStr">
        <is>
          <t>SOLLEFTEÅ</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6058-2024</t>
        </is>
      </c>
      <c r="B1177" s="1" t="n">
        <v>45336.75866898148</v>
      </c>
      <c r="C1177" s="1" t="n">
        <v>45998</v>
      </c>
      <c r="D1177" t="inlineStr">
        <is>
          <t>VÄSTERNORRLANDS LÄN</t>
        </is>
      </c>
      <c r="E1177" t="inlineStr">
        <is>
          <t>SOLLEFTEÅ</t>
        </is>
      </c>
      <c r="F1177" t="inlineStr">
        <is>
          <t>Övriga Aktiebolag</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44410-2023</t>
        </is>
      </c>
      <c r="B1178" s="1" t="n">
        <v>45188.94677083333</v>
      </c>
      <c r="C1178" s="1" t="n">
        <v>45998</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21455-2025</t>
        </is>
      </c>
      <c r="B1179" s="1" t="n">
        <v>45782.55332175926</v>
      </c>
      <c r="C1179" s="1" t="n">
        <v>45998</v>
      </c>
      <c r="D1179" t="inlineStr">
        <is>
          <t>VÄSTERNORRLANDS LÄN</t>
        </is>
      </c>
      <c r="E1179" t="inlineStr">
        <is>
          <t>SOLLEFTEÅ</t>
        </is>
      </c>
      <c r="F1179" t="inlineStr">
        <is>
          <t>SCA</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21491-2025</t>
        </is>
      </c>
      <c r="B1180" s="1" t="n">
        <v>45782.59578703704</v>
      </c>
      <c r="C1180" s="1" t="n">
        <v>45998</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51527-2024</t>
        </is>
      </c>
      <c r="B1181" s="1" t="n">
        <v>45604</v>
      </c>
      <c r="C1181" s="1" t="n">
        <v>45998</v>
      </c>
      <c r="D1181" t="inlineStr">
        <is>
          <t>VÄSTERNORRLANDS LÄN</t>
        </is>
      </c>
      <c r="E1181" t="inlineStr">
        <is>
          <t>SOLLEFTEÅ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21565-2025</t>
        </is>
      </c>
      <c r="B1182" s="1" t="n">
        <v>45782</v>
      </c>
      <c r="C1182" s="1" t="n">
        <v>45998</v>
      </c>
      <c r="D1182" t="inlineStr">
        <is>
          <t>VÄSTERNORRLANDS LÄN</t>
        </is>
      </c>
      <c r="E1182" t="inlineStr">
        <is>
          <t>SOLLEFTEÅ</t>
        </is>
      </c>
      <c r="F1182" t="inlineStr">
        <is>
          <t>SCA</t>
        </is>
      </c>
      <c r="G1182" t="n">
        <v>17.4</v>
      </c>
      <c r="H1182" t="n">
        <v>0</v>
      </c>
      <c r="I1182" t="n">
        <v>0</v>
      </c>
      <c r="J1182" t="n">
        <v>0</v>
      </c>
      <c r="K1182" t="n">
        <v>0</v>
      </c>
      <c r="L1182" t="n">
        <v>0</v>
      </c>
      <c r="M1182" t="n">
        <v>0</v>
      </c>
      <c r="N1182" t="n">
        <v>0</v>
      </c>
      <c r="O1182" t="n">
        <v>0</v>
      </c>
      <c r="P1182" t="n">
        <v>0</v>
      </c>
      <c r="Q1182" t="n">
        <v>0</v>
      </c>
      <c r="R1182" s="2" t="inlineStr"/>
    </row>
    <row r="1183" ht="15" customHeight="1">
      <c r="A1183" t="inlineStr">
        <is>
          <t>A 61997-2022</t>
        </is>
      </c>
      <c r="B1183" s="1" t="n">
        <v>44914</v>
      </c>
      <c r="C1183" s="1" t="n">
        <v>45998</v>
      </c>
      <c r="D1183" t="inlineStr">
        <is>
          <t>VÄSTERNORRLANDS LÄN</t>
        </is>
      </c>
      <c r="E1183" t="inlineStr">
        <is>
          <t>SOLLEFTEÅ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20799-2024</t>
        </is>
      </c>
      <c r="B1184" s="1" t="n">
        <v>45438</v>
      </c>
      <c r="C1184" s="1" t="n">
        <v>45998</v>
      </c>
      <c r="D1184" t="inlineStr">
        <is>
          <t>VÄSTERNORRLANDS LÄN</t>
        </is>
      </c>
      <c r="E1184" t="inlineStr">
        <is>
          <t>SOLLEFTEÅ</t>
        </is>
      </c>
      <c r="F1184" t="inlineStr">
        <is>
          <t>SCA</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45719-2022</t>
        </is>
      </c>
      <c r="B1185" s="1" t="n">
        <v>44845.95533564815</v>
      </c>
      <c r="C1185" s="1" t="n">
        <v>45998</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21481-2025</t>
        </is>
      </c>
      <c r="B1186" s="1" t="n">
        <v>45782.59451388889</v>
      </c>
      <c r="C1186" s="1" t="n">
        <v>45998</v>
      </c>
      <c r="D1186" t="inlineStr">
        <is>
          <t>VÄSTERNORRLANDS LÄN</t>
        </is>
      </c>
      <c r="E1186" t="inlineStr">
        <is>
          <t>SOLLEFTEÅ</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2044-2025</t>
        </is>
      </c>
      <c r="B1187" s="1" t="n">
        <v>45672</v>
      </c>
      <c r="C1187" s="1" t="n">
        <v>45998</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44627.9444212963</v>
      </c>
      <c r="C1188" s="1" t="n">
        <v>45998</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10926-2022</t>
        </is>
      </c>
      <c r="B1189" s="1" t="n">
        <v>44627.94447916667</v>
      </c>
      <c r="C1189" s="1" t="n">
        <v>45998</v>
      </c>
      <c r="D1189" t="inlineStr">
        <is>
          <t>VÄSTERNORRLANDS LÄN</t>
        </is>
      </c>
      <c r="E1189" t="inlineStr">
        <is>
          <t>SOLLEFTEÅ</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21489-2025</t>
        </is>
      </c>
      <c r="B1190" s="1" t="n">
        <v>45782.59555555556</v>
      </c>
      <c r="C1190" s="1" t="n">
        <v>45998</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47955-2024</t>
        </is>
      </c>
      <c r="B1191" s="1" t="n">
        <v>45589.3703125</v>
      </c>
      <c r="C1191" s="1" t="n">
        <v>45998</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1416-2025</t>
        </is>
      </c>
      <c r="B1192" s="1" t="n">
        <v>45668</v>
      </c>
      <c r="C1192" s="1" t="n">
        <v>45998</v>
      </c>
      <c r="D1192" t="inlineStr">
        <is>
          <t>VÄSTERNORRLANDS LÄN</t>
        </is>
      </c>
      <c r="E1192" t="inlineStr">
        <is>
          <t>SOLLEFTEÅ</t>
        </is>
      </c>
      <c r="G1192" t="n">
        <v>21.3</v>
      </c>
      <c r="H1192" t="n">
        <v>0</v>
      </c>
      <c r="I1192" t="n">
        <v>0</v>
      </c>
      <c r="J1192" t="n">
        <v>0</v>
      </c>
      <c r="K1192" t="n">
        <v>0</v>
      </c>
      <c r="L1192" t="n">
        <v>0</v>
      </c>
      <c r="M1192" t="n">
        <v>0</v>
      </c>
      <c r="N1192" t="n">
        <v>0</v>
      </c>
      <c r="O1192" t="n">
        <v>0</v>
      </c>
      <c r="P1192" t="n">
        <v>0</v>
      </c>
      <c r="Q1192" t="n">
        <v>0</v>
      </c>
      <c r="R1192" s="2" t="inlineStr"/>
    </row>
    <row r="1193" ht="15" customHeight="1">
      <c r="A1193" t="inlineStr">
        <is>
          <t>A 3080-2025</t>
        </is>
      </c>
      <c r="B1193" s="1" t="n">
        <v>45678</v>
      </c>
      <c r="C1193" s="1" t="n">
        <v>45998</v>
      </c>
      <c r="D1193" t="inlineStr">
        <is>
          <t>VÄSTERNORRLANDS LÄN</t>
        </is>
      </c>
      <c r="E1193" t="inlineStr">
        <is>
          <t>SOLLEFTEÅ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30060-2024</t>
        </is>
      </c>
      <c r="B1194" s="1" t="n">
        <v>45488.94813657407</v>
      </c>
      <c r="C1194" s="1" t="n">
        <v>45998</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1082-2025</t>
        </is>
      </c>
      <c r="B1195" s="1" t="n">
        <v>45666.61646990741</v>
      </c>
      <c r="C1195" s="1" t="n">
        <v>45998</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23285-2023</t>
        </is>
      </c>
      <c r="B1196" s="1" t="n">
        <v>45075</v>
      </c>
      <c r="C1196" s="1" t="n">
        <v>45998</v>
      </c>
      <c r="D1196" t="inlineStr">
        <is>
          <t>VÄSTERNORRLANDS LÄN</t>
        </is>
      </c>
      <c r="E1196" t="inlineStr">
        <is>
          <t>SOLLEFTEÅ</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27789-2024</t>
        </is>
      </c>
      <c r="B1197" s="1" t="n">
        <v>45475</v>
      </c>
      <c r="C1197" s="1" t="n">
        <v>45998</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1096-2025</t>
        </is>
      </c>
      <c r="B1198" s="1" t="n">
        <v>45666</v>
      </c>
      <c r="C1198" s="1" t="n">
        <v>45998</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21269-2025</t>
        </is>
      </c>
      <c r="B1199" s="1" t="n">
        <v>45779.62265046296</v>
      </c>
      <c r="C1199" s="1" t="n">
        <v>45998</v>
      </c>
      <c r="D1199" t="inlineStr">
        <is>
          <t>VÄSTERNORRLANDS LÄN</t>
        </is>
      </c>
      <c r="E1199" t="inlineStr">
        <is>
          <t>SOLLEFTEÅ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3324-2025</t>
        </is>
      </c>
      <c r="B1200" s="1" t="n">
        <v>45679.69924768519</v>
      </c>
      <c r="C1200" s="1" t="n">
        <v>45998</v>
      </c>
      <c r="D1200" t="inlineStr">
        <is>
          <t>VÄSTERNORRLANDS LÄN</t>
        </is>
      </c>
      <c r="E1200" t="inlineStr">
        <is>
          <t>SOLLEFTEÅ</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46212-2023</t>
        </is>
      </c>
      <c r="B1201" s="1" t="n">
        <v>45190</v>
      </c>
      <c r="C1201" s="1" t="n">
        <v>45998</v>
      </c>
      <c r="D1201" t="inlineStr">
        <is>
          <t>VÄSTERNORRLANDS LÄN</t>
        </is>
      </c>
      <c r="E1201" t="inlineStr">
        <is>
          <t>SOLLEFTEÅ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21897-2025</t>
        </is>
      </c>
      <c r="B1202" s="1" t="n">
        <v>45784.45376157408</v>
      </c>
      <c r="C1202" s="1" t="n">
        <v>45998</v>
      </c>
      <c r="D1202" t="inlineStr">
        <is>
          <t>VÄSTERNORRLANDS LÄN</t>
        </is>
      </c>
      <c r="E1202" t="inlineStr">
        <is>
          <t>SOLLEFTEÅ</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59474-2024</t>
        </is>
      </c>
      <c r="B1203" s="1" t="n">
        <v>45638.504375</v>
      </c>
      <c r="C1203" s="1" t="n">
        <v>45998</v>
      </c>
      <c r="D1203" t="inlineStr">
        <is>
          <t>VÄSTERNORRLANDS LÄN</t>
        </is>
      </c>
      <c r="E1203" t="inlineStr">
        <is>
          <t>SOLLEFTEÅ</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8337-2025</t>
        </is>
      </c>
      <c r="B1204" s="1" t="n">
        <v>45708.6597337963</v>
      </c>
      <c r="C1204" s="1" t="n">
        <v>45998</v>
      </c>
      <c r="D1204" t="inlineStr">
        <is>
          <t>VÄSTERNORRLANDS LÄN</t>
        </is>
      </c>
      <c r="E1204" t="inlineStr">
        <is>
          <t>SOLLEFTEÅ</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37696-2023</t>
        </is>
      </c>
      <c r="B1205" s="1" t="n">
        <v>45156</v>
      </c>
      <c r="C1205" s="1" t="n">
        <v>45998</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48490-2024</t>
        </is>
      </c>
      <c r="B1206" s="1" t="n">
        <v>45592</v>
      </c>
      <c r="C1206" s="1" t="n">
        <v>45998</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48491-2024</t>
        </is>
      </c>
      <c r="B1207" s="1" t="n">
        <v>45592</v>
      </c>
      <c r="C1207" s="1" t="n">
        <v>45998</v>
      </c>
      <c r="D1207" t="inlineStr">
        <is>
          <t>VÄSTERNORRLANDS LÄN</t>
        </is>
      </c>
      <c r="E1207" t="inlineStr">
        <is>
          <t>SOLLEFTEÅ</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21983-2025</t>
        </is>
      </c>
      <c r="B1208" s="1" t="n">
        <v>45784.65678240741</v>
      </c>
      <c r="C1208" s="1" t="n">
        <v>45998</v>
      </c>
      <c r="D1208" t="inlineStr">
        <is>
          <t>VÄSTERNORRLANDS LÄN</t>
        </is>
      </c>
      <c r="E1208" t="inlineStr">
        <is>
          <t>SOLLEFTEÅ</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4253-2025</t>
        </is>
      </c>
      <c r="B1209" s="1" t="n">
        <v>45685.61232638889</v>
      </c>
      <c r="C1209" s="1" t="n">
        <v>45998</v>
      </c>
      <c r="D1209" t="inlineStr">
        <is>
          <t>VÄSTERNORRLANDS LÄN</t>
        </is>
      </c>
      <c r="E1209" t="inlineStr">
        <is>
          <t>SOLLEFTEÅ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18621-2024</t>
        </is>
      </c>
      <c r="B1210" s="1" t="n">
        <v>45425</v>
      </c>
      <c r="C1210" s="1" t="n">
        <v>45998</v>
      </c>
      <c r="D1210" t="inlineStr">
        <is>
          <t>VÄSTERNORRLANDS LÄN</t>
        </is>
      </c>
      <c r="E1210" t="inlineStr">
        <is>
          <t>SOLLEFTEÅ</t>
        </is>
      </c>
      <c r="F1210" t="inlineStr">
        <is>
          <t>SCA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18622-2024</t>
        </is>
      </c>
      <c r="B1211" s="1" t="n">
        <v>45425.96364583333</v>
      </c>
      <c r="C1211" s="1" t="n">
        <v>45998</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2456-2025</t>
        </is>
      </c>
      <c r="B1212" s="1" t="n">
        <v>45673</v>
      </c>
      <c r="C1212" s="1" t="n">
        <v>45998</v>
      </c>
      <c r="D1212" t="inlineStr">
        <is>
          <t>VÄSTERNORRLANDS LÄN</t>
        </is>
      </c>
      <c r="E1212" t="inlineStr">
        <is>
          <t>SOLLEFTEÅ</t>
        </is>
      </c>
      <c r="F1212" t="inlineStr">
        <is>
          <t>Kommuner</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33134-2024</t>
        </is>
      </c>
      <c r="B1213" s="1" t="n">
        <v>45518</v>
      </c>
      <c r="C1213" s="1" t="n">
        <v>45998</v>
      </c>
      <c r="D1213" t="inlineStr">
        <is>
          <t>VÄSTERNORRLANDS LÄN</t>
        </is>
      </c>
      <c r="E1213" t="inlineStr">
        <is>
          <t>SOLLEFTEÅ</t>
        </is>
      </c>
      <c r="F1213" t="inlineStr">
        <is>
          <t>Holmen skog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33141-2024</t>
        </is>
      </c>
      <c r="B1214" s="1" t="n">
        <v>45518</v>
      </c>
      <c r="C1214" s="1" t="n">
        <v>45998</v>
      </c>
      <c r="D1214" t="inlineStr">
        <is>
          <t>VÄSTERNORRLANDS LÄN</t>
        </is>
      </c>
      <c r="E1214" t="inlineStr">
        <is>
          <t>SOLLEFTEÅ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1464-2025</t>
        </is>
      </c>
      <c r="B1215" s="1" t="n">
        <v>45670.365</v>
      </c>
      <c r="C1215" s="1" t="n">
        <v>45998</v>
      </c>
      <c r="D1215" t="inlineStr">
        <is>
          <t>VÄSTERNORRLANDS LÄN</t>
        </is>
      </c>
      <c r="E1215" t="inlineStr">
        <is>
          <t>SOLLEFTEÅ</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13554-2023</t>
        </is>
      </c>
      <c r="B1216" s="1" t="n">
        <v>45005</v>
      </c>
      <c r="C1216" s="1" t="n">
        <v>45998</v>
      </c>
      <c r="D1216" t="inlineStr">
        <is>
          <t>VÄSTERNORRLANDS LÄN</t>
        </is>
      </c>
      <c r="E1216" t="inlineStr">
        <is>
          <t>SOLLEFTEÅ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40655-2024</t>
        </is>
      </c>
      <c r="B1217" s="1" t="n">
        <v>45558.34414351852</v>
      </c>
      <c r="C1217" s="1" t="n">
        <v>45998</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7107-2024</t>
        </is>
      </c>
      <c r="B1218" s="1" t="n">
        <v>45343</v>
      </c>
      <c r="C1218" s="1" t="n">
        <v>45998</v>
      </c>
      <c r="D1218" t="inlineStr">
        <is>
          <t>VÄSTERNORRLANDS LÄN</t>
        </is>
      </c>
      <c r="E1218" t="inlineStr">
        <is>
          <t>SOLLEFTEÅ</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600-2025</t>
        </is>
      </c>
      <c r="B1219" s="1" t="n">
        <v>45664.59428240741</v>
      </c>
      <c r="C1219" s="1" t="n">
        <v>45998</v>
      </c>
      <c r="D1219" t="inlineStr">
        <is>
          <t>VÄSTERNORRLANDS LÄN</t>
        </is>
      </c>
      <c r="E1219" t="inlineStr">
        <is>
          <t>SOLLEFTEÅ</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43177-2023</t>
        </is>
      </c>
      <c r="B1220" s="1" t="n">
        <v>45181</v>
      </c>
      <c r="C1220" s="1" t="n">
        <v>45998</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21898-2025</t>
        </is>
      </c>
      <c r="B1221" s="1" t="n">
        <v>45784.45386574074</v>
      </c>
      <c r="C1221" s="1" t="n">
        <v>45998</v>
      </c>
      <c r="D1221" t="inlineStr">
        <is>
          <t>VÄSTERNORRLANDS LÄN</t>
        </is>
      </c>
      <c r="E1221" t="inlineStr">
        <is>
          <t>SOLLEFTEÅ</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33312-2024</t>
        </is>
      </c>
      <c r="B1222" s="1" t="n">
        <v>45518.97113425926</v>
      </c>
      <c r="C1222" s="1" t="n">
        <v>45998</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21896-2025</t>
        </is>
      </c>
      <c r="B1223" s="1" t="n">
        <v>45784.45366898148</v>
      </c>
      <c r="C1223" s="1" t="n">
        <v>45998</v>
      </c>
      <c r="D1223" t="inlineStr">
        <is>
          <t>VÄSTERNORRLANDS LÄN</t>
        </is>
      </c>
      <c r="E1223" t="inlineStr">
        <is>
          <t>SOLLEFTEÅ</t>
        </is>
      </c>
      <c r="G1223" t="n">
        <v>16.1</v>
      </c>
      <c r="H1223" t="n">
        <v>0</v>
      </c>
      <c r="I1223" t="n">
        <v>0</v>
      </c>
      <c r="J1223" t="n">
        <v>0</v>
      </c>
      <c r="K1223" t="n">
        <v>0</v>
      </c>
      <c r="L1223" t="n">
        <v>0</v>
      </c>
      <c r="M1223" t="n">
        <v>0</v>
      </c>
      <c r="N1223" t="n">
        <v>0</v>
      </c>
      <c r="O1223" t="n">
        <v>0</v>
      </c>
      <c r="P1223" t="n">
        <v>0</v>
      </c>
      <c r="Q1223" t="n">
        <v>0</v>
      </c>
      <c r="R1223" s="2" t="inlineStr"/>
    </row>
    <row r="1224" ht="15" customHeight="1">
      <c r="A1224" t="inlineStr">
        <is>
          <t>A 279-2023</t>
        </is>
      </c>
      <c r="B1224" s="1" t="n">
        <v>44928</v>
      </c>
      <c r="C1224" s="1" t="n">
        <v>45998</v>
      </c>
      <c r="D1224" t="inlineStr">
        <is>
          <t>VÄSTERNORRLANDS LÄN</t>
        </is>
      </c>
      <c r="E1224" t="inlineStr">
        <is>
          <t>SOLLEFTEÅ</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8656-2024</t>
        </is>
      </c>
      <c r="B1225" s="1" t="n">
        <v>45356</v>
      </c>
      <c r="C1225" s="1" t="n">
        <v>45998</v>
      </c>
      <c r="D1225" t="inlineStr">
        <is>
          <t>VÄSTERNORRLANDS LÄN</t>
        </is>
      </c>
      <c r="E1225" t="inlineStr">
        <is>
          <t>SOLLEFTEÅ</t>
        </is>
      </c>
      <c r="F1225" t="inlineStr">
        <is>
          <t>SCA</t>
        </is>
      </c>
      <c r="G1225" t="n">
        <v>18.4</v>
      </c>
      <c r="H1225" t="n">
        <v>0</v>
      </c>
      <c r="I1225" t="n">
        <v>0</v>
      </c>
      <c r="J1225" t="n">
        <v>0</v>
      </c>
      <c r="K1225" t="n">
        <v>0</v>
      </c>
      <c r="L1225" t="n">
        <v>0</v>
      </c>
      <c r="M1225" t="n">
        <v>0</v>
      </c>
      <c r="N1225" t="n">
        <v>0</v>
      </c>
      <c r="O1225" t="n">
        <v>0</v>
      </c>
      <c r="P1225" t="n">
        <v>0</v>
      </c>
      <c r="Q1225" t="n">
        <v>0</v>
      </c>
      <c r="R1225" s="2" t="inlineStr"/>
    </row>
    <row r="1226" ht="15" customHeight="1">
      <c r="A1226" t="inlineStr">
        <is>
          <t>A 20628-2023</t>
        </is>
      </c>
      <c r="B1226" s="1" t="n">
        <v>45057.94373842593</v>
      </c>
      <c r="C1226" s="1" t="n">
        <v>45998</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19295-2022</t>
        </is>
      </c>
      <c r="B1227" s="1" t="n">
        <v>44692</v>
      </c>
      <c r="C1227" s="1" t="n">
        <v>45998</v>
      </c>
      <c r="D1227" t="inlineStr">
        <is>
          <t>VÄSTERNORRLANDS LÄN</t>
        </is>
      </c>
      <c r="E1227" t="inlineStr">
        <is>
          <t>SOLLEFTEÅ</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35147-2023</t>
        </is>
      </c>
      <c r="B1228" s="1" t="n">
        <v>45142</v>
      </c>
      <c r="C1228" s="1" t="n">
        <v>45998</v>
      </c>
      <c r="D1228" t="inlineStr">
        <is>
          <t>VÄSTERNORRLANDS LÄN</t>
        </is>
      </c>
      <c r="E1228" t="inlineStr">
        <is>
          <t>SOLLEFTEÅ</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1986-2025</t>
        </is>
      </c>
      <c r="B1229" s="1" t="n">
        <v>45672.40684027778</v>
      </c>
      <c r="C1229" s="1" t="n">
        <v>45998</v>
      </c>
      <c r="D1229" t="inlineStr">
        <is>
          <t>VÄSTERNORRLANDS LÄN</t>
        </is>
      </c>
      <c r="E1229" t="inlineStr">
        <is>
          <t>SOLLEFTEÅ</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55272-2024</t>
        </is>
      </c>
      <c r="B1230" s="1" t="n">
        <v>45621</v>
      </c>
      <c r="C1230" s="1" t="n">
        <v>45998</v>
      </c>
      <c r="D1230" t="inlineStr">
        <is>
          <t>VÄSTERNORRLANDS LÄN</t>
        </is>
      </c>
      <c r="E1230" t="inlineStr">
        <is>
          <t>SOLLEFTEÅ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5359-2025</t>
        </is>
      </c>
      <c r="B1231" s="1" t="n">
        <v>45692</v>
      </c>
      <c r="C1231" s="1" t="n">
        <v>45998</v>
      </c>
      <c r="D1231" t="inlineStr">
        <is>
          <t>VÄSTERNORRLANDS LÄN</t>
        </is>
      </c>
      <c r="E1231" t="inlineStr">
        <is>
          <t>SOLLEFTEÅ</t>
        </is>
      </c>
      <c r="F1231" t="inlineStr">
        <is>
          <t>Övriga statliga verk och myndigheter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51942-2024</t>
        </is>
      </c>
      <c r="B1232" s="1" t="n">
        <v>45607.63592592593</v>
      </c>
      <c r="C1232" s="1" t="n">
        <v>45998</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17481-2025</t>
        </is>
      </c>
      <c r="B1233" s="1" t="n">
        <v>45757.48979166667</v>
      </c>
      <c r="C1233" s="1" t="n">
        <v>45998</v>
      </c>
      <c r="D1233" t="inlineStr">
        <is>
          <t>VÄSTERNORRLANDS LÄN</t>
        </is>
      </c>
      <c r="E1233" t="inlineStr">
        <is>
          <t>SOLLEFTEÅ</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59434-2024</t>
        </is>
      </c>
      <c r="B1234" s="1" t="n">
        <v>45638.43040509259</v>
      </c>
      <c r="C1234" s="1" t="n">
        <v>45998</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57518-2023</t>
        </is>
      </c>
      <c r="B1235" s="1" t="n">
        <v>45242</v>
      </c>
      <c r="C1235" s="1" t="n">
        <v>45998</v>
      </c>
      <c r="D1235" t="inlineStr">
        <is>
          <t>VÄSTERNORRLANDS LÄN</t>
        </is>
      </c>
      <c r="E1235" t="inlineStr">
        <is>
          <t>SOLLEFTEÅ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12064-2025</t>
        </is>
      </c>
      <c r="B1236" s="1" t="n">
        <v>45728.69861111111</v>
      </c>
      <c r="C1236" s="1" t="n">
        <v>45998</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2431-2025</t>
        </is>
      </c>
      <c r="B1237" s="1" t="n">
        <v>45674.40692129629</v>
      </c>
      <c r="C1237" s="1" t="n">
        <v>45998</v>
      </c>
      <c r="D1237" t="inlineStr">
        <is>
          <t>VÄSTERNORRLANDS LÄN</t>
        </is>
      </c>
      <c r="E1237" t="inlineStr">
        <is>
          <t>SOLLEFTEÅ</t>
        </is>
      </c>
      <c r="F1237" t="inlineStr">
        <is>
          <t>SCA</t>
        </is>
      </c>
      <c r="G1237" t="n">
        <v>19.2</v>
      </c>
      <c r="H1237" t="n">
        <v>0</v>
      </c>
      <c r="I1237" t="n">
        <v>0</v>
      </c>
      <c r="J1237" t="n">
        <v>0</v>
      </c>
      <c r="K1237" t="n">
        <v>0</v>
      </c>
      <c r="L1237" t="n">
        <v>0</v>
      </c>
      <c r="M1237" t="n">
        <v>0</v>
      </c>
      <c r="N1237" t="n">
        <v>0</v>
      </c>
      <c r="O1237" t="n">
        <v>0</v>
      </c>
      <c r="P1237" t="n">
        <v>0</v>
      </c>
      <c r="Q1237" t="n">
        <v>0</v>
      </c>
      <c r="R1237" s="2" t="inlineStr"/>
    </row>
    <row r="1238" ht="15" customHeight="1">
      <c r="A1238" t="inlineStr">
        <is>
          <t>A 50698-2023</t>
        </is>
      </c>
      <c r="B1238" s="1" t="n">
        <v>45210</v>
      </c>
      <c r="C1238" s="1" t="n">
        <v>45998</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59424-2024</t>
        </is>
      </c>
      <c r="B1239" s="1" t="n">
        <v>45638</v>
      </c>
      <c r="C1239" s="1" t="n">
        <v>45998</v>
      </c>
      <c r="D1239" t="inlineStr">
        <is>
          <t>VÄSTERNORRLANDS LÄN</t>
        </is>
      </c>
      <c r="E1239" t="inlineStr">
        <is>
          <t>SOLLEFTEÅ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52709-2024</t>
        </is>
      </c>
      <c r="B1240" s="1" t="n">
        <v>45610.42753472222</v>
      </c>
      <c r="C1240" s="1" t="n">
        <v>45998</v>
      </c>
      <c r="D1240" t="inlineStr">
        <is>
          <t>VÄSTERNORRLANDS LÄN</t>
        </is>
      </c>
      <c r="E1240" t="inlineStr">
        <is>
          <t>SOLLEFTEÅ</t>
        </is>
      </c>
      <c r="F1240" t="inlineStr">
        <is>
          <t>SCA</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45644-2023</t>
        </is>
      </c>
      <c r="B1241" s="1" t="n">
        <v>45188</v>
      </c>
      <c r="C1241" s="1" t="n">
        <v>45998</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c r="U1241">
        <f>HYPERLINK("https://klasma.github.io/Logging_2283/knärot/A 45644-2023 karta knärot.png", "A 45644-2023")</f>
        <v/>
      </c>
      <c r="V1241">
        <f>HYPERLINK("https://klasma.github.io/Logging_2283/klagomål/A 45644-2023 FSC-klagomål.docx", "A 45644-2023")</f>
        <v/>
      </c>
      <c r="W1241">
        <f>HYPERLINK("https://klasma.github.io/Logging_2283/klagomålsmail/A 45644-2023 FSC-klagomål mail.docx", "A 45644-2023")</f>
        <v/>
      </c>
      <c r="X1241">
        <f>HYPERLINK("https://klasma.github.io/Logging_2283/tillsyn/A 45644-2023 tillsynsbegäran.docx", "A 45644-2023")</f>
        <v/>
      </c>
      <c r="Y1241">
        <f>HYPERLINK("https://klasma.github.io/Logging_2283/tillsynsmail/A 45644-2023 tillsynsbegäran mail.docx", "A 45644-2023")</f>
        <v/>
      </c>
    </row>
    <row r="1242" ht="15" customHeight="1">
      <c r="A1242" t="inlineStr">
        <is>
          <t>A 53477-2024</t>
        </is>
      </c>
      <c r="B1242" s="1" t="n">
        <v>45611</v>
      </c>
      <c r="C1242" s="1" t="n">
        <v>45998</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48083-2023</t>
        </is>
      </c>
      <c r="B1243" s="1" t="n">
        <v>45204</v>
      </c>
      <c r="C1243" s="1" t="n">
        <v>45998</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40115-2023</t>
        </is>
      </c>
      <c r="B1244" s="1" t="n">
        <v>45168.93859953704</v>
      </c>
      <c r="C1244" s="1" t="n">
        <v>45998</v>
      </c>
      <c r="D1244" t="inlineStr">
        <is>
          <t>VÄSTERNORRLANDS LÄN</t>
        </is>
      </c>
      <c r="E1244" t="inlineStr">
        <is>
          <t>SOLLEFTEÅ</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52461-2024</t>
        </is>
      </c>
      <c r="B1245" s="1" t="n">
        <v>45609.51947916667</v>
      </c>
      <c r="C1245" s="1" t="n">
        <v>45998</v>
      </c>
      <c r="D1245" t="inlineStr">
        <is>
          <t>VÄSTERNORRLANDS LÄN</t>
        </is>
      </c>
      <c r="E1245" t="inlineStr">
        <is>
          <t>SOLLEFTEÅ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31925-2023</t>
        </is>
      </c>
      <c r="B1246" s="1" t="n">
        <v>45118</v>
      </c>
      <c r="C1246" s="1" t="n">
        <v>45998</v>
      </c>
      <c r="D1246" t="inlineStr">
        <is>
          <t>VÄSTERNORRLANDS LÄN</t>
        </is>
      </c>
      <c r="E1246" t="inlineStr">
        <is>
          <t>SOLLEFTEÅ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12164-2023</t>
        </is>
      </c>
      <c r="B1247" s="1" t="n">
        <v>44995</v>
      </c>
      <c r="C1247" s="1" t="n">
        <v>45998</v>
      </c>
      <c r="D1247" t="inlineStr">
        <is>
          <t>VÄSTERNORRLANDS LÄN</t>
        </is>
      </c>
      <c r="E1247" t="inlineStr">
        <is>
          <t>SOLLEFTEÅ</t>
        </is>
      </c>
      <c r="G1247" t="n">
        <v>18.3</v>
      </c>
      <c r="H1247" t="n">
        <v>0</v>
      </c>
      <c r="I1247" t="n">
        <v>0</v>
      </c>
      <c r="J1247" t="n">
        <v>0</v>
      </c>
      <c r="K1247" t="n">
        <v>0</v>
      </c>
      <c r="L1247" t="n">
        <v>0</v>
      </c>
      <c r="M1247" t="n">
        <v>0</v>
      </c>
      <c r="N1247" t="n">
        <v>0</v>
      </c>
      <c r="O1247" t="n">
        <v>0</v>
      </c>
      <c r="P1247" t="n">
        <v>0</v>
      </c>
      <c r="Q1247" t="n">
        <v>0</v>
      </c>
      <c r="R1247" s="2" t="inlineStr"/>
    </row>
    <row r="1248" ht="15" customHeight="1">
      <c r="A1248" t="inlineStr">
        <is>
          <t>A 66844-2020</t>
        </is>
      </c>
      <c r="B1248" s="1" t="n">
        <v>44179</v>
      </c>
      <c r="C1248" s="1" t="n">
        <v>45998</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4895-2025</t>
        </is>
      </c>
      <c r="B1249" s="1" t="n">
        <v>45688.67891203704</v>
      </c>
      <c r="C1249" s="1" t="n">
        <v>45998</v>
      </c>
      <c r="D1249" t="inlineStr">
        <is>
          <t>VÄSTERNORRLANDS LÄN</t>
        </is>
      </c>
      <c r="E1249" t="inlineStr">
        <is>
          <t>SOLLEFTEÅ</t>
        </is>
      </c>
      <c r="F1249" t="inlineStr">
        <is>
          <t>SCA</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9632-2025</t>
        </is>
      </c>
      <c r="B1250" s="1" t="n">
        <v>45715.71921296296</v>
      </c>
      <c r="C1250" s="1" t="n">
        <v>45998</v>
      </c>
      <c r="D1250" t="inlineStr">
        <is>
          <t>VÄSTERNORRLANDS LÄN</t>
        </is>
      </c>
      <c r="E1250" t="inlineStr">
        <is>
          <t>SOLLEFTEÅ</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13138-2024</t>
        </is>
      </c>
      <c r="B1251" s="1" t="n">
        <v>45386</v>
      </c>
      <c r="C1251" s="1" t="n">
        <v>45998</v>
      </c>
      <c r="D1251" t="inlineStr">
        <is>
          <t>VÄSTERNORRLANDS LÄN</t>
        </is>
      </c>
      <c r="E1251" t="inlineStr">
        <is>
          <t>SOLLEFTEÅ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12561-2022</t>
        </is>
      </c>
      <c r="B1252" s="1" t="n">
        <v>44638</v>
      </c>
      <c r="C1252" s="1" t="n">
        <v>45998</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27392-2023</t>
        </is>
      </c>
      <c r="B1253" s="1" t="n">
        <v>45096.93997685185</v>
      </c>
      <c r="C1253" s="1" t="n">
        <v>45998</v>
      </c>
      <c r="D1253" t="inlineStr">
        <is>
          <t>VÄSTERNORRLANDS LÄN</t>
        </is>
      </c>
      <c r="E1253" t="inlineStr">
        <is>
          <t>SOLLEFTEÅ</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13300-2022</t>
        </is>
      </c>
      <c r="B1254" s="1" t="n">
        <v>44644</v>
      </c>
      <c r="C1254" s="1" t="n">
        <v>45998</v>
      </c>
      <c r="D1254" t="inlineStr">
        <is>
          <t>VÄSTERNORRLANDS LÄN</t>
        </is>
      </c>
      <c r="E1254" t="inlineStr">
        <is>
          <t>SOLLEFTEÅ</t>
        </is>
      </c>
      <c r="F1254" t="inlineStr">
        <is>
          <t>SCA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11334-2024</t>
        </is>
      </c>
      <c r="B1255" s="1" t="n">
        <v>45372</v>
      </c>
      <c r="C1255" s="1" t="n">
        <v>45998</v>
      </c>
      <c r="D1255" t="inlineStr">
        <is>
          <t>VÄSTERNORRLANDS LÄN</t>
        </is>
      </c>
      <c r="E1255" t="inlineStr">
        <is>
          <t>SOLLEFTEÅ</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23394-2021</t>
        </is>
      </c>
      <c r="B1256" s="1" t="n">
        <v>44333</v>
      </c>
      <c r="C1256" s="1" t="n">
        <v>45998</v>
      </c>
      <c r="D1256" t="inlineStr">
        <is>
          <t>VÄSTERNORRLANDS LÄN</t>
        </is>
      </c>
      <c r="E1256" t="inlineStr">
        <is>
          <t>SOLLEFTEÅ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22750-2023</t>
        </is>
      </c>
      <c r="B1257" s="1" t="n">
        <v>45071.94090277778</v>
      </c>
      <c r="C1257" s="1" t="n">
        <v>45998</v>
      </c>
      <c r="D1257" t="inlineStr">
        <is>
          <t>VÄSTERNORRLANDS LÄN</t>
        </is>
      </c>
      <c r="E1257" t="inlineStr">
        <is>
          <t>SOLLEFTEÅ</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39495-2023</t>
        </is>
      </c>
      <c r="B1258" s="1" t="n">
        <v>45166.95712962963</v>
      </c>
      <c r="C1258" s="1" t="n">
        <v>45998</v>
      </c>
      <c r="D1258" t="inlineStr">
        <is>
          <t>VÄSTERNORRLANDS LÄN</t>
        </is>
      </c>
      <c r="E1258" t="inlineStr">
        <is>
          <t>SOLLEFTEÅ</t>
        </is>
      </c>
      <c r="F1258" t="inlineStr">
        <is>
          <t>SCA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54458-2024</t>
        </is>
      </c>
      <c r="B1259" s="1" t="n">
        <v>45617.5325</v>
      </c>
      <c r="C1259" s="1" t="n">
        <v>45998</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6172-2022</t>
        </is>
      </c>
      <c r="B1260" s="1" t="n">
        <v>44599.93700231481</v>
      </c>
      <c r="C1260" s="1" t="n">
        <v>45998</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60495-2024</t>
        </is>
      </c>
      <c r="B1261" s="1" t="n">
        <v>45643.65700231482</v>
      </c>
      <c r="C1261" s="1" t="n">
        <v>45998</v>
      </c>
      <c r="D1261" t="inlineStr">
        <is>
          <t>VÄSTERNORRLANDS LÄN</t>
        </is>
      </c>
      <c r="E1261" t="inlineStr">
        <is>
          <t>SOLLEFTEÅ</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60077-2024</t>
        </is>
      </c>
      <c r="B1262" s="1" t="n">
        <v>45642</v>
      </c>
      <c r="C1262" s="1" t="n">
        <v>45998</v>
      </c>
      <c r="D1262" t="inlineStr">
        <is>
          <t>VÄSTERNORRLANDS LÄN</t>
        </is>
      </c>
      <c r="E1262" t="inlineStr">
        <is>
          <t>SOLLEFTEÅ</t>
        </is>
      </c>
      <c r="F1262" t="inlineStr">
        <is>
          <t>SCA</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16312-2025</t>
        </is>
      </c>
      <c r="B1263" s="1" t="n">
        <v>45751.3474074074</v>
      </c>
      <c r="C1263" s="1" t="n">
        <v>45998</v>
      </c>
      <c r="D1263" t="inlineStr">
        <is>
          <t>VÄSTERNORRLANDS LÄN</t>
        </is>
      </c>
      <c r="E1263" t="inlineStr">
        <is>
          <t>SOLLEFTEÅ</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18442-2025</t>
        </is>
      </c>
      <c r="B1264" s="1" t="n">
        <v>45762.65658564815</v>
      </c>
      <c r="C1264" s="1" t="n">
        <v>45998</v>
      </c>
      <c r="D1264" t="inlineStr">
        <is>
          <t>VÄSTERNORRLANDS LÄN</t>
        </is>
      </c>
      <c r="E1264" t="inlineStr">
        <is>
          <t>SOLLEFTEÅ</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12135-2023</t>
        </is>
      </c>
      <c r="B1265" s="1" t="n">
        <v>44995</v>
      </c>
      <c r="C1265" s="1" t="n">
        <v>45998</v>
      </c>
      <c r="D1265" t="inlineStr">
        <is>
          <t>VÄSTERNORRLANDS LÄN</t>
        </is>
      </c>
      <c r="E1265" t="inlineStr">
        <is>
          <t>SOLLEFTEÅ</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54532-2024</t>
        </is>
      </c>
      <c r="B1266" s="1" t="n">
        <v>45617.60480324074</v>
      </c>
      <c r="C1266" s="1" t="n">
        <v>45998</v>
      </c>
      <c r="D1266" t="inlineStr">
        <is>
          <t>VÄSTERNORRLANDS LÄN</t>
        </is>
      </c>
      <c r="E1266" t="inlineStr">
        <is>
          <t>SOLLEFTEÅ</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27382-2023</t>
        </is>
      </c>
      <c r="B1267" s="1" t="n">
        <v>45096.93920138889</v>
      </c>
      <c r="C1267" s="1" t="n">
        <v>45998</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27384-2023</t>
        </is>
      </c>
      <c r="B1268" s="1" t="n">
        <v>45096.939375</v>
      </c>
      <c r="C1268" s="1" t="n">
        <v>45998</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3537-2025</t>
        </is>
      </c>
      <c r="B1269" s="1" t="n">
        <v>45680</v>
      </c>
      <c r="C1269" s="1" t="n">
        <v>45998</v>
      </c>
      <c r="D1269" t="inlineStr">
        <is>
          <t>VÄSTERNORRLANDS LÄN</t>
        </is>
      </c>
      <c r="E1269" t="inlineStr">
        <is>
          <t>SOLLEFTEÅ</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18648-2024</t>
        </is>
      </c>
      <c r="B1270" s="1" t="n">
        <v>45425.9678125</v>
      </c>
      <c r="C1270" s="1" t="n">
        <v>45998</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27936-2024</t>
        </is>
      </c>
      <c r="B1271" s="1" t="n">
        <v>45475.95054398148</v>
      </c>
      <c r="C1271" s="1" t="n">
        <v>45998</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19633-2025</t>
        </is>
      </c>
      <c r="B1272" s="1" t="n">
        <v>45770.64655092593</v>
      </c>
      <c r="C1272" s="1" t="n">
        <v>45998</v>
      </c>
      <c r="D1272" t="inlineStr">
        <is>
          <t>VÄSTERNORRLANDS LÄN</t>
        </is>
      </c>
      <c r="E1272" t="inlineStr">
        <is>
          <t>SOLLEFTEÅ</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59564-2024</t>
        </is>
      </c>
      <c r="B1273" s="1" t="n">
        <v>45638.6375</v>
      </c>
      <c r="C1273" s="1" t="n">
        <v>45998</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20515-2024</t>
        </is>
      </c>
      <c r="B1274" s="1" t="n">
        <v>45435</v>
      </c>
      <c r="C1274" s="1" t="n">
        <v>45998</v>
      </c>
      <c r="D1274" t="inlineStr">
        <is>
          <t>VÄSTERNORRLANDS LÄN</t>
        </is>
      </c>
      <c r="E1274" t="inlineStr">
        <is>
          <t>SOLLEFTEÅ</t>
        </is>
      </c>
      <c r="F1274" t="inlineStr">
        <is>
          <t>SCA</t>
        </is>
      </c>
      <c r="G1274" t="n">
        <v>18.8</v>
      </c>
      <c r="H1274" t="n">
        <v>0</v>
      </c>
      <c r="I1274" t="n">
        <v>0</v>
      </c>
      <c r="J1274" t="n">
        <v>0</v>
      </c>
      <c r="K1274" t="n">
        <v>0</v>
      </c>
      <c r="L1274" t="n">
        <v>0</v>
      </c>
      <c r="M1274" t="n">
        <v>0</v>
      </c>
      <c r="N1274" t="n">
        <v>0</v>
      </c>
      <c r="O1274" t="n">
        <v>0</v>
      </c>
      <c r="P1274" t="n">
        <v>0</v>
      </c>
      <c r="Q1274" t="n">
        <v>0</v>
      </c>
      <c r="R1274" s="2" t="inlineStr"/>
    </row>
    <row r="1275" ht="15" customHeight="1">
      <c r="A1275" t="inlineStr">
        <is>
          <t>A 21092-2024</t>
        </is>
      </c>
      <c r="B1275" s="1" t="n">
        <v>45439.95009259259</v>
      </c>
      <c r="C1275" s="1" t="n">
        <v>45998</v>
      </c>
      <c r="D1275" t="inlineStr">
        <is>
          <t>VÄSTERNORRLANDS LÄN</t>
        </is>
      </c>
      <c r="E1275" t="inlineStr">
        <is>
          <t>SOLLEFTEÅ</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52702-2024</t>
        </is>
      </c>
      <c r="B1276" s="1" t="n">
        <v>45610</v>
      </c>
      <c r="C1276" s="1" t="n">
        <v>45998</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50963-2024</t>
        </is>
      </c>
      <c r="B1277" s="1" t="n">
        <v>45603.32388888889</v>
      </c>
      <c r="C1277" s="1" t="n">
        <v>45998</v>
      </c>
      <c r="D1277" t="inlineStr">
        <is>
          <t>VÄSTERNORRLANDS LÄN</t>
        </is>
      </c>
      <c r="E1277" t="inlineStr">
        <is>
          <t>SOLLEFTEÅ</t>
        </is>
      </c>
      <c r="F1277" t="inlineStr">
        <is>
          <t>Holmen skog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16086-2024</t>
        </is>
      </c>
      <c r="B1278" s="1" t="n">
        <v>45406</v>
      </c>
      <c r="C1278" s="1" t="n">
        <v>45998</v>
      </c>
      <c r="D1278" t="inlineStr">
        <is>
          <t>VÄSTERNORRLANDS LÄN</t>
        </is>
      </c>
      <c r="E1278" t="inlineStr">
        <is>
          <t>SOLLEFTEÅ</t>
        </is>
      </c>
      <c r="G1278" t="n">
        <v>15.9</v>
      </c>
      <c r="H1278" t="n">
        <v>0</v>
      </c>
      <c r="I1278" t="n">
        <v>0</v>
      </c>
      <c r="J1278" t="n">
        <v>0</v>
      </c>
      <c r="K1278" t="n">
        <v>0</v>
      </c>
      <c r="L1278" t="n">
        <v>0</v>
      </c>
      <c r="M1278" t="n">
        <v>0</v>
      </c>
      <c r="N1278" t="n">
        <v>0</v>
      </c>
      <c r="O1278" t="n">
        <v>0</v>
      </c>
      <c r="P1278" t="n">
        <v>0</v>
      </c>
      <c r="Q1278" t="n">
        <v>0</v>
      </c>
      <c r="R1278" s="2" t="inlineStr"/>
    </row>
    <row r="1279" ht="15" customHeight="1">
      <c r="A1279" t="inlineStr">
        <is>
          <t>A 2346-2025</t>
        </is>
      </c>
      <c r="B1279" s="1" t="n">
        <v>45673.67767361111</v>
      </c>
      <c r="C1279" s="1" t="n">
        <v>45998</v>
      </c>
      <c r="D1279" t="inlineStr">
        <is>
          <t>VÄSTERNORRLANDS LÄN</t>
        </is>
      </c>
      <c r="E1279" t="inlineStr">
        <is>
          <t>SOLLEFTEÅ</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56134-2023</t>
        </is>
      </c>
      <c r="B1280" s="1" t="n">
        <v>45240</v>
      </c>
      <c r="C1280" s="1" t="n">
        <v>45998</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56137-2023</t>
        </is>
      </c>
      <c r="B1281" s="1" t="n">
        <v>45240.59096064815</v>
      </c>
      <c r="C1281" s="1" t="n">
        <v>45998</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2583-2025</t>
        </is>
      </c>
      <c r="B1282" s="1" t="n">
        <v>45674.67803240741</v>
      </c>
      <c r="C1282" s="1" t="n">
        <v>45998</v>
      </c>
      <c r="D1282" t="inlineStr">
        <is>
          <t>VÄSTERNORRLANDS LÄN</t>
        </is>
      </c>
      <c r="E1282" t="inlineStr">
        <is>
          <t>SOLLEFTEÅ</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25364-2024</t>
        </is>
      </c>
      <c r="B1283" s="1" t="n">
        <v>45462.95849537037</v>
      </c>
      <c r="C1283" s="1" t="n">
        <v>45998</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56249-2023</t>
        </is>
      </c>
      <c r="B1284" s="1" t="n">
        <v>45240.9468287037</v>
      </c>
      <c r="C1284" s="1" t="n">
        <v>45998</v>
      </c>
      <c r="D1284" t="inlineStr">
        <is>
          <t>VÄSTERNORRLANDS LÄN</t>
        </is>
      </c>
      <c r="E1284" t="inlineStr">
        <is>
          <t>SOLLEFTEÅ</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8033-2024</t>
        </is>
      </c>
      <c r="B1285" s="1" t="n">
        <v>45350.95284722222</v>
      </c>
      <c r="C1285" s="1" t="n">
        <v>45998</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8038-2024</t>
        </is>
      </c>
      <c r="B1286" s="1" t="n">
        <v>45350</v>
      </c>
      <c r="C1286" s="1" t="n">
        <v>45998</v>
      </c>
      <c r="D1286" t="inlineStr">
        <is>
          <t>VÄSTERNORRLANDS LÄN</t>
        </is>
      </c>
      <c r="E1286" t="inlineStr">
        <is>
          <t>SOLLEFTEÅ</t>
        </is>
      </c>
      <c r="F1286" t="inlineStr">
        <is>
          <t>SCA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8039-2024</t>
        </is>
      </c>
      <c r="B1287" s="1" t="n">
        <v>45350</v>
      </c>
      <c r="C1287" s="1" t="n">
        <v>45998</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34316-2024</t>
        </is>
      </c>
      <c r="B1288" s="1" t="n">
        <v>45524</v>
      </c>
      <c r="C1288" s="1" t="n">
        <v>45998</v>
      </c>
      <c r="D1288" t="inlineStr">
        <is>
          <t>VÄSTERNORRLANDS LÄN</t>
        </is>
      </c>
      <c r="E1288" t="inlineStr">
        <is>
          <t>SOLLEFTEÅ</t>
        </is>
      </c>
      <c r="F1288" t="inlineStr">
        <is>
          <t>Övriga statliga verk och myndigheter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8653-2024</t>
        </is>
      </c>
      <c r="B1289" s="1" t="n">
        <v>45356</v>
      </c>
      <c r="C1289" s="1" t="n">
        <v>45998</v>
      </c>
      <c r="D1289" t="inlineStr">
        <is>
          <t>VÄSTERNORRLANDS LÄN</t>
        </is>
      </c>
      <c r="E1289" t="inlineStr">
        <is>
          <t>SOLLEFTEÅ</t>
        </is>
      </c>
      <c r="F1289" t="inlineStr">
        <is>
          <t>SCA</t>
        </is>
      </c>
      <c r="G1289" t="n">
        <v>67.8</v>
      </c>
      <c r="H1289" t="n">
        <v>0</v>
      </c>
      <c r="I1289" t="n">
        <v>0</v>
      </c>
      <c r="J1289" t="n">
        <v>0</v>
      </c>
      <c r="K1289" t="n">
        <v>0</v>
      </c>
      <c r="L1289" t="n">
        <v>0</v>
      </c>
      <c r="M1289" t="n">
        <v>0</v>
      </c>
      <c r="N1289" t="n">
        <v>0</v>
      </c>
      <c r="O1289" t="n">
        <v>0</v>
      </c>
      <c r="P1289" t="n">
        <v>0</v>
      </c>
      <c r="Q1289" t="n">
        <v>0</v>
      </c>
      <c r="R1289" s="2" t="inlineStr"/>
    </row>
    <row r="1290" ht="15" customHeight="1">
      <c r="A1290" t="inlineStr">
        <is>
          <t>A 42950-2024</t>
        </is>
      </c>
      <c r="B1290" s="1" t="n">
        <v>45567.36657407408</v>
      </c>
      <c r="C1290" s="1" t="n">
        <v>45998</v>
      </c>
      <c r="D1290" t="inlineStr">
        <is>
          <t>VÄSTERNORRLANDS LÄN</t>
        </is>
      </c>
      <c r="E1290" t="inlineStr">
        <is>
          <t>SOLLEFTEÅ</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21863-2025</t>
        </is>
      </c>
      <c r="B1291" s="1" t="n">
        <v>45784.36532407408</v>
      </c>
      <c r="C1291" s="1" t="n">
        <v>45998</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42164-2023</t>
        </is>
      </c>
      <c r="B1292" s="1" t="n">
        <v>45177.93747685185</v>
      </c>
      <c r="C1292" s="1" t="n">
        <v>45998</v>
      </c>
      <c r="D1292" t="inlineStr">
        <is>
          <t>VÄSTERNORRLANDS LÄN</t>
        </is>
      </c>
      <c r="E1292" t="inlineStr">
        <is>
          <t>SOLLEFTEÅ</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21669-2025</t>
        </is>
      </c>
      <c r="B1293" s="1" t="n">
        <v>45783.46905092592</v>
      </c>
      <c r="C1293" s="1" t="n">
        <v>45998</v>
      </c>
      <c r="D1293" t="inlineStr">
        <is>
          <t>VÄSTERNORRLANDS LÄN</t>
        </is>
      </c>
      <c r="E1293" t="inlineStr">
        <is>
          <t>SOLLEFTEÅ</t>
        </is>
      </c>
      <c r="F1293" t="inlineStr">
        <is>
          <t>SCA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48088-2023</t>
        </is>
      </c>
      <c r="B1294" s="1" t="n">
        <v>45204.94657407407</v>
      </c>
      <c r="C1294" s="1" t="n">
        <v>45998</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21687-2025</t>
        </is>
      </c>
      <c r="B1295" s="1" t="n">
        <v>45783.49135416667</v>
      </c>
      <c r="C1295" s="1" t="n">
        <v>45998</v>
      </c>
      <c r="D1295" t="inlineStr">
        <is>
          <t>VÄSTERNORRLANDS LÄN</t>
        </is>
      </c>
      <c r="E1295" t="inlineStr">
        <is>
          <t>SOLLEFTEÅ</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20335-2025</t>
        </is>
      </c>
      <c r="B1296" s="1" t="n">
        <v>45775.36510416667</v>
      </c>
      <c r="C1296" s="1" t="n">
        <v>45998</v>
      </c>
      <c r="D1296" t="inlineStr">
        <is>
          <t>VÄSTERNORRLANDS LÄN</t>
        </is>
      </c>
      <c r="E1296" t="inlineStr">
        <is>
          <t>SOLLEFTEÅ</t>
        </is>
      </c>
      <c r="F1296" t="inlineStr">
        <is>
          <t>SCA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24596-2023</t>
        </is>
      </c>
      <c r="B1297" s="1" t="n">
        <v>45083.94011574074</v>
      </c>
      <c r="C1297" s="1" t="n">
        <v>45998</v>
      </c>
      <c r="D1297" t="inlineStr">
        <is>
          <t>VÄSTERNORRLANDS LÄN</t>
        </is>
      </c>
      <c r="E1297" t="inlineStr">
        <is>
          <t>SOLLEFTEÅ</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32754-2024</t>
        </is>
      </c>
      <c r="B1298" s="1" t="n">
        <v>45516.46685185185</v>
      </c>
      <c r="C1298" s="1" t="n">
        <v>45998</v>
      </c>
      <c r="D1298" t="inlineStr">
        <is>
          <t>VÄSTERNORRLANDS LÄN</t>
        </is>
      </c>
      <c r="E1298" t="inlineStr">
        <is>
          <t>SOLLEFTEÅ</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58845-2024</t>
        </is>
      </c>
      <c r="B1299" s="1" t="n">
        <v>45636.3862037037</v>
      </c>
      <c r="C1299" s="1" t="n">
        <v>45998</v>
      </c>
      <c r="D1299" t="inlineStr">
        <is>
          <t>VÄSTERNORRLANDS LÄN</t>
        </is>
      </c>
      <c r="E1299" t="inlineStr">
        <is>
          <t>SOLLEFTEÅ</t>
        </is>
      </c>
      <c r="F1299" t="inlineStr">
        <is>
          <t>SCA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5258-2025</t>
        </is>
      </c>
      <c r="B1300" s="1" t="n">
        <v>45692</v>
      </c>
      <c r="C1300" s="1" t="n">
        <v>45998</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17889-2025</t>
        </is>
      </c>
      <c r="B1301" s="1" t="n">
        <v>45758.67746527777</v>
      </c>
      <c r="C1301" s="1" t="n">
        <v>45998</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1623-2025</t>
        </is>
      </c>
      <c r="B1302" s="1" t="n">
        <v>45670.61526620371</v>
      </c>
      <c r="C1302" s="1" t="n">
        <v>45998</v>
      </c>
      <c r="D1302" t="inlineStr">
        <is>
          <t>VÄSTERNORRLANDS LÄN</t>
        </is>
      </c>
      <c r="E1302" t="inlineStr">
        <is>
          <t>SOLLEFTEÅ</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1459-2024</t>
        </is>
      </c>
      <c r="B1303" s="1" t="n">
        <v>45303.9331712963</v>
      </c>
      <c r="C1303" s="1" t="n">
        <v>45998</v>
      </c>
      <c r="D1303" t="inlineStr">
        <is>
          <t>VÄSTERNORRLANDS LÄN</t>
        </is>
      </c>
      <c r="E1303" t="inlineStr">
        <is>
          <t>SOLLEFTEÅ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54559-2022</t>
        </is>
      </c>
      <c r="B1304" s="1" t="n">
        <v>44882</v>
      </c>
      <c r="C1304" s="1" t="n">
        <v>45998</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20458-2025</t>
        </is>
      </c>
      <c r="B1305" s="1" t="n">
        <v>45775.52623842593</v>
      </c>
      <c r="C1305" s="1" t="n">
        <v>45998</v>
      </c>
      <c r="D1305" t="inlineStr">
        <is>
          <t>VÄSTERNORRLANDS LÄN</t>
        </is>
      </c>
      <c r="E1305" t="inlineStr">
        <is>
          <t>SOLLEFTEÅ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49417-2023</t>
        </is>
      </c>
      <c r="B1306" s="1" t="n">
        <v>45205</v>
      </c>
      <c r="C1306" s="1" t="n">
        <v>45998</v>
      </c>
      <c r="D1306" t="inlineStr">
        <is>
          <t>VÄSTERNORRLANDS LÄN</t>
        </is>
      </c>
      <c r="E1306" t="inlineStr">
        <is>
          <t>SOLLEFTEÅ</t>
        </is>
      </c>
      <c r="F1306" t="inlineStr">
        <is>
          <t>SCA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27972-2021</t>
        </is>
      </c>
      <c r="B1307" s="1" t="n">
        <v>44354.93622685185</v>
      </c>
      <c r="C1307" s="1" t="n">
        <v>45998</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21985-2025</t>
        </is>
      </c>
      <c r="B1308" s="1" t="n">
        <v>45784.65689814815</v>
      </c>
      <c r="C1308" s="1" t="n">
        <v>45998</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56261-2023</t>
        </is>
      </c>
      <c r="B1309" s="1" t="n">
        <v>45240</v>
      </c>
      <c r="C1309" s="1" t="n">
        <v>45998</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35502-2024</t>
        </is>
      </c>
      <c r="B1310" s="1" t="n">
        <v>45531</v>
      </c>
      <c r="C1310" s="1" t="n">
        <v>45998</v>
      </c>
      <c r="D1310" t="inlineStr">
        <is>
          <t>VÄSTERNORRLANDS LÄN</t>
        </is>
      </c>
      <c r="E1310" t="inlineStr">
        <is>
          <t>SOLLEFTEÅ</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34100-2023</t>
        </is>
      </c>
      <c r="B1311" s="1" t="n">
        <v>45125</v>
      </c>
      <c r="C1311" s="1" t="n">
        <v>45998</v>
      </c>
      <c r="D1311" t="inlineStr">
        <is>
          <t>VÄSTERNORRLANDS LÄN</t>
        </is>
      </c>
      <c r="E1311" t="inlineStr">
        <is>
          <t>SOLLEFTEÅ</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23730-2024</t>
        </is>
      </c>
      <c r="B1312" s="1" t="n">
        <v>45454.95877314815</v>
      </c>
      <c r="C1312" s="1" t="n">
        <v>45998</v>
      </c>
      <c r="D1312" t="inlineStr">
        <is>
          <t>VÄSTERNORRLANDS LÄN</t>
        </is>
      </c>
      <c r="E1312" t="inlineStr">
        <is>
          <t>SOLLEFTEÅ</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36514-2023</t>
        </is>
      </c>
      <c r="B1313" s="1" t="n">
        <v>45152.95377314815</v>
      </c>
      <c r="C1313" s="1" t="n">
        <v>45998</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44697.94140046297</v>
      </c>
      <c r="C1314" s="1" t="n">
        <v>45998</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3276-2025</t>
        </is>
      </c>
      <c r="B1315" s="1" t="n">
        <v>45679.59986111111</v>
      </c>
      <c r="C1315" s="1" t="n">
        <v>45998</v>
      </c>
      <c r="D1315" t="inlineStr">
        <is>
          <t>VÄSTERNORRLANDS LÄN</t>
        </is>
      </c>
      <c r="E1315" t="inlineStr">
        <is>
          <t>SOLLEFTEÅ</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20551-2022</t>
        </is>
      </c>
      <c r="B1316" s="1" t="n">
        <v>44699</v>
      </c>
      <c r="C1316" s="1" t="n">
        <v>45998</v>
      </c>
      <c r="D1316" t="inlineStr">
        <is>
          <t>VÄSTERNORRLANDS LÄN</t>
        </is>
      </c>
      <c r="E1316" t="inlineStr">
        <is>
          <t>SOLLEFTEÅ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18185-2025</t>
        </is>
      </c>
      <c r="B1317" s="1" t="n">
        <v>45761.66724537037</v>
      </c>
      <c r="C1317" s="1" t="n">
        <v>45998</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35556-2023</t>
        </is>
      </c>
      <c r="B1318" s="1" t="n">
        <v>45147</v>
      </c>
      <c r="C1318" s="1" t="n">
        <v>45998</v>
      </c>
      <c r="D1318" t="inlineStr">
        <is>
          <t>VÄSTERNORRLANDS LÄN</t>
        </is>
      </c>
      <c r="E1318" t="inlineStr">
        <is>
          <t>SOLLEFTEÅ</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60168-2022</t>
        </is>
      </c>
      <c r="B1319" s="1" t="n">
        <v>44909</v>
      </c>
      <c r="C1319" s="1" t="n">
        <v>45998</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42228-2021</t>
        </is>
      </c>
      <c r="B1320" s="1" t="n">
        <v>44426</v>
      </c>
      <c r="C1320" s="1" t="n">
        <v>45998</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30822-2023</t>
        </is>
      </c>
      <c r="B1321" s="1" t="n">
        <v>45112.94289351852</v>
      </c>
      <c r="C1321" s="1" t="n">
        <v>45998</v>
      </c>
      <c r="D1321" t="inlineStr">
        <is>
          <t>VÄSTERNORRLANDS LÄN</t>
        </is>
      </c>
      <c r="E1321" t="inlineStr">
        <is>
          <t>SOLLEFTEÅ</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14365-2024</t>
        </is>
      </c>
      <c r="B1322" s="1" t="n">
        <v>45393.94332175926</v>
      </c>
      <c r="C1322" s="1" t="n">
        <v>45998</v>
      </c>
      <c r="D1322" t="inlineStr">
        <is>
          <t>VÄSTERNORRLANDS LÄN</t>
        </is>
      </c>
      <c r="E1322" t="inlineStr">
        <is>
          <t>SOLLEFTEÅ</t>
        </is>
      </c>
      <c r="F1322" t="inlineStr">
        <is>
          <t>SCA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26391-2024</t>
        </is>
      </c>
      <c r="B1323" s="1" t="n">
        <v>45468</v>
      </c>
      <c r="C1323" s="1" t="n">
        <v>45998</v>
      </c>
      <c r="D1323" t="inlineStr">
        <is>
          <t>VÄSTERNORRLANDS LÄN</t>
        </is>
      </c>
      <c r="E1323" t="inlineStr">
        <is>
          <t>SOLLEFTEÅ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29337-2023</t>
        </is>
      </c>
      <c r="B1324" s="1" t="n">
        <v>45105</v>
      </c>
      <c r="C1324" s="1" t="n">
        <v>45998</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26655-2024</t>
        </is>
      </c>
      <c r="B1325" s="1" t="n">
        <v>45469</v>
      </c>
      <c r="C1325" s="1" t="n">
        <v>45998</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4722-2025</t>
        </is>
      </c>
      <c r="B1326" s="1" t="n">
        <v>45688.41627314815</v>
      </c>
      <c r="C1326" s="1" t="n">
        <v>45998</v>
      </c>
      <c r="D1326" t="inlineStr">
        <is>
          <t>VÄSTERNORRLANDS LÄN</t>
        </is>
      </c>
      <c r="E1326" t="inlineStr">
        <is>
          <t>SOLLEFTEÅ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22475-2024</t>
        </is>
      </c>
      <c r="B1327" s="1" t="n">
        <v>45446.95151620371</v>
      </c>
      <c r="C1327" s="1" t="n">
        <v>45998</v>
      </c>
      <c r="D1327" t="inlineStr">
        <is>
          <t>VÄSTERNORRLANDS LÄN</t>
        </is>
      </c>
      <c r="E1327" t="inlineStr">
        <is>
          <t>SOLLEFTEÅ</t>
        </is>
      </c>
      <c r="F1327" t="inlineStr">
        <is>
          <t>SCA</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34737-2023</t>
        </is>
      </c>
      <c r="B1328" s="1" t="n">
        <v>45139</v>
      </c>
      <c r="C1328" s="1" t="n">
        <v>45998</v>
      </c>
      <c r="D1328" t="inlineStr">
        <is>
          <t>VÄSTERNORRLANDS LÄN</t>
        </is>
      </c>
      <c r="E1328" t="inlineStr">
        <is>
          <t>SOLLEFTEÅ</t>
        </is>
      </c>
      <c r="F1328" t="inlineStr">
        <is>
          <t>SCA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4726-2025</t>
        </is>
      </c>
      <c r="B1329" s="1" t="n">
        <v>45688</v>
      </c>
      <c r="C1329" s="1" t="n">
        <v>45998</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57492-2024</t>
        </is>
      </c>
      <c r="B1330" s="1" t="n">
        <v>45630.36827546296</v>
      </c>
      <c r="C1330" s="1" t="n">
        <v>45998</v>
      </c>
      <c r="D1330" t="inlineStr">
        <is>
          <t>VÄSTERNORRLANDS LÄN</t>
        </is>
      </c>
      <c r="E1330" t="inlineStr">
        <is>
          <t>SOLLEFTEÅ</t>
        </is>
      </c>
      <c r="F1330" t="inlineStr">
        <is>
          <t>Holmen skog AB</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58226-2024</t>
        </is>
      </c>
      <c r="B1331" s="1" t="n">
        <v>45632.51076388889</v>
      </c>
      <c r="C1331" s="1" t="n">
        <v>45998</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40421-2023</t>
        </is>
      </c>
      <c r="B1332" s="1" t="n">
        <v>45169.93973379629</v>
      </c>
      <c r="C1332" s="1" t="n">
        <v>45998</v>
      </c>
      <c r="D1332" t="inlineStr">
        <is>
          <t>VÄSTERNORRLANDS LÄN</t>
        </is>
      </c>
      <c r="E1332" t="inlineStr">
        <is>
          <t>SOLLEFTEÅ</t>
        </is>
      </c>
      <c r="F1332" t="inlineStr">
        <is>
          <t>SCA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31481-2024</t>
        </is>
      </c>
      <c r="B1333" s="1" t="n">
        <v>45505</v>
      </c>
      <c r="C1333" s="1" t="n">
        <v>45998</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61778-2024</t>
        </is>
      </c>
      <c r="B1334" s="1" t="n">
        <v>45649.46961805555</v>
      </c>
      <c r="C1334" s="1" t="n">
        <v>45998</v>
      </c>
      <c r="D1334" t="inlineStr">
        <is>
          <t>VÄSTERNORRLANDS LÄN</t>
        </is>
      </c>
      <c r="E1334" t="inlineStr">
        <is>
          <t>SOLLEFTEÅ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46850-2024</t>
        </is>
      </c>
      <c r="B1335" s="1" t="n">
        <v>45583.61513888889</v>
      </c>
      <c r="C1335" s="1" t="n">
        <v>45998</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583-2025</t>
        </is>
      </c>
      <c r="B1336" s="1" t="n">
        <v>45664</v>
      </c>
      <c r="C1336" s="1" t="n">
        <v>45998</v>
      </c>
      <c r="D1336" t="inlineStr">
        <is>
          <t>VÄSTERNORRLANDS LÄN</t>
        </is>
      </c>
      <c r="E1336" t="inlineStr">
        <is>
          <t>SOLLEFTEÅ</t>
        </is>
      </c>
      <c r="G1336" t="n">
        <v>47.2</v>
      </c>
      <c r="H1336" t="n">
        <v>0</v>
      </c>
      <c r="I1336" t="n">
        <v>0</v>
      </c>
      <c r="J1336" t="n">
        <v>0</v>
      </c>
      <c r="K1336" t="n">
        <v>0</v>
      </c>
      <c r="L1336" t="n">
        <v>0</v>
      </c>
      <c r="M1336" t="n">
        <v>0</v>
      </c>
      <c r="N1336" t="n">
        <v>0</v>
      </c>
      <c r="O1336" t="n">
        <v>0</v>
      </c>
      <c r="P1336" t="n">
        <v>0</v>
      </c>
      <c r="Q1336" t="n">
        <v>0</v>
      </c>
      <c r="R1336" s="2" t="inlineStr"/>
    </row>
    <row r="1337" ht="15" customHeight="1">
      <c r="A1337" t="inlineStr">
        <is>
          <t>A 49810-2023</t>
        </is>
      </c>
      <c r="B1337" s="1" t="n">
        <v>45212.66369212963</v>
      </c>
      <c r="C1337" s="1" t="n">
        <v>45998</v>
      </c>
      <c r="D1337" t="inlineStr">
        <is>
          <t>VÄSTERNORRLANDS LÄN</t>
        </is>
      </c>
      <c r="E1337" t="inlineStr">
        <is>
          <t>SOLLEFTEÅ</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48999-2023</t>
        </is>
      </c>
      <c r="B1338" s="1" t="n">
        <v>45209.66075231481</v>
      </c>
      <c r="C1338" s="1" t="n">
        <v>45998</v>
      </c>
      <c r="D1338" t="inlineStr">
        <is>
          <t>VÄSTERNORRLANDS LÄN</t>
        </is>
      </c>
      <c r="E1338" t="inlineStr">
        <is>
          <t>SOLLEFTEÅ</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43008-2024</t>
        </is>
      </c>
      <c r="B1339" s="1" t="n">
        <v>45567.38574074074</v>
      </c>
      <c r="C1339" s="1" t="n">
        <v>45998</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61485-2024</t>
        </is>
      </c>
      <c r="B1340" s="1" t="n">
        <v>45646.53175925926</v>
      </c>
      <c r="C1340" s="1" t="n">
        <v>45998</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16468-2024</t>
        </is>
      </c>
      <c r="B1341" s="1" t="n">
        <v>45408.0508449074</v>
      </c>
      <c r="C1341" s="1" t="n">
        <v>45998</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2048-2025</t>
        </is>
      </c>
      <c r="B1342" s="1" t="n">
        <v>45671</v>
      </c>
      <c r="C1342" s="1" t="n">
        <v>45998</v>
      </c>
      <c r="D1342" t="inlineStr">
        <is>
          <t>VÄSTERNORRLANDS LÄN</t>
        </is>
      </c>
      <c r="E1342" t="inlineStr">
        <is>
          <t>SOLLEFTEÅ</t>
        </is>
      </c>
      <c r="G1342" t="n">
        <v>13.5</v>
      </c>
      <c r="H1342" t="n">
        <v>0</v>
      </c>
      <c r="I1342" t="n">
        <v>0</v>
      </c>
      <c r="J1342" t="n">
        <v>0</v>
      </c>
      <c r="K1342" t="n">
        <v>0</v>
      </c>
      <c r="L1342" t="n">
        <v>0</v>
      </c>
      <c r="M1342" t="n">
        <v>0</v>
      </c>
      <c r="N1342" t="n">
        <v>0</v>
      </c>
      <c r="O1342" t="n">
        <v>0</v>
      </c>
      <c r="P1342" t="n">
        <v>0</v>
      </c>
      <c r="Q1342" t="n">
        <v>0</v>
      </c>
      <c r="R1342" s="2" t="inlineStr"/>
    </row>
    <row r="1343" ht="15" customHeight="1">
      <c r="A1343" t="inlineStr">
        <is>
          <t>A 7036-2025</t>
        </is>
      </c>
      <c r="B1343" s="1" t="n">
        <v>45701.63597222222</v>
      </c>
      <c r="C1343" s="1" t="n">
        <v>45998</v>
      </c>
      <c r="D1343" t="inlineStr">
        <is>
          <t>VÄSTERNORRLANDS LÄN</t>
        </is>
      </c>
      <c r="E1343" t="inlineStr">
        <is>
          <t>SOLLEFTEÅ</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17422-2025</t>
        </is>
      </c>
      <c r="B1344" s="1" t="n">
        <v>45757.38570601852</v>
      </c>
      <c r="C1344" s="1" t="n">
        <v>45998</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12627-2025</t>
        </is>
      </c>
      <c r="B1345" s="1" t="n">
        <v>45733.36728009259</v>
      </c>
      <c r="C1345" s="1" t="n">
        <v>45998</v>
      </c>
      <c r="D1345" t="inlineStr">
        <is>
          <t>VÄSTERNORRLANDS LÄN</t>
        </is>
      </c>
      <c r="E1345" t="inlineStr">
        <is>
          <t>SOLLEFTEÅ</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31672-2022</t>
        </is>
      </c>
      <c r="B1346" s="1" t="n">
        <v>44776.36137731482</v>
      </c>
      <c r="C1346" s="1" t="n">
        <v>45998</v>
      </c>
      <c r="D1346" t="inlineStr">
        <is>
          <t>VÄSTERNORRLANDS LÄN</t>
        </is>
      </c>
      <c r="E1346" t="inlineStr">
        <is>
          <t>SOLLEFTEÅ</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41925-2024</t>
        </is>
      </c>
      <c r="B1347" s="1" t="n">
        <v>45561</v>
      </c>
      <c r="C1347" s="1" t="n">
        <v>45998</v>
      </c>
      <c r="D1347" t="inlineStr">
        <is>
          <t>VÄSTERNORRLANDS LÄN</t>
        </is>
      </c>
      <c r="E1347" t="inlineStr">
        <is>
          <t>SOLLEFTEÅ</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11551-2023</t>
        </is>
      </c>
      <c r="B1348" s="1" t="n">
        <v>44993</v>
      </c>
      <c r="C1348" s="1" t="n">
        <v>45998</v>
      </c>
      <c r="D1348" t="inlineStr">
        <is>
          <t>VÄSTERNORRLANDS LÄN</t>
        </is>
      </c>
      <c r="E1348" t="inlineStr">
        <is>
          <t>SOLLEFTEÅ</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154-2025</t>
        </is>
      </c>
      <c r="B1349" s="1" t="n">
        <v>45659</v>
      </c>
      <c r="C1349" s="1" t="n">
        <v>45998</v>
      </c>
      <c r="D1349" t="inlineStr">
        <is>
          <t>VÄSTERNORRLANDS LÄN</t>
        </is>
      </c>
      <c r="E1349" t="inlineStr">
        <is>
          <t>SOLLEFTEÅ</t>
        </is>
      </c>
      <c r="F1349" t="inlineStr">
        <is>
          <t>Holmen skog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52266-2023</t>
        </is>
      </c>
      <c r="B1350" s="1" t="n">
        <v>45217</v>
      </c>
      <c r="C1350" s="1" t="n">
        <v>45998</v>
      </c>
      <c r="D1350" t="inlineStr">
        <is>
          <t>VÄSTERNORRLANDS LÄN</t>
        </is>
      </c>
      <c r="E1350" t="inlineStr">
        <is>
          <t>SOLLEFTEÅ</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1114-2025</t>
        </is>
      </c>
      <c r="B1351" s="1" t="n">
        <v>45666.65664351852</v>
      </c>
      <c r="C1351" s="1" t="n">
        <v>45998</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61847-2024</t>
        </is>
      </c>
      <c r="B1352" s="1" t="n">
        <v>45646</v>
      </c>
      <c r="C1352" s="1" t="n">
        <v>45998</v>
      </c>
      <c r="D1352" t="inlineStr">
        <is>
          <t>VÄSTERNORRLANDS LÄN</t>
        </is>
      </c>
      <c r="E1352" t="inlineStr">
        <is>
          <t>SOLLEFTEÅ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19416-2022</t>
        </is>
      </c>
      <c r="B1353" s="1" t="n">
        <v>44693</v>
      </c>
      <c r="C1353" s="1" t="n">
        <v>45998</v>
      </c>
      <c r="D1353" t="inlineStr">
        <is>
          <t>VÄSTERNORRLANDS LÄN</t>
        </is>
      </c>
      <c r="E1353" t="inlineStr">
        <is>
          <t>SOLLEFTEÅ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55622-2023</t>
        </is>
      </c>
      <c r="B1354" s="1" t="n">
        <v>45238</v>
      </c>
      <c r="C1354" s="1" t="n">
        <v>45998</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53855-2024</t>
        </is>
      </c>
      <c r="B1355" s="1" t="n">
        <v>45615.63724537037</v>
      </c>
      <c r="C1355" s="1" t="n">
        <v>45998</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12972-2023</t>
        </is>
      </c>
      <c r="B1356" s="1" t="n">
        <v>45001</v>
      </c>
      <c r="C1356" s="1" t="n">
        <v>45998</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10093-2023</t>
        </is>
      </c>
      <c r="B1357" s="1" t="n">
        <v>44985</v>
      </c>
      <c r="C1357" s="1" t="n">
        <v>45998</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10094-2023</t>
        </is>
      </c>
      <c r="B1358" s="1" t="n">
        <v>44985</v>
      </c>
      <c r="C1358" s="1" t="n">
        <v>45998</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46032-2022</t>
        </is>
      </c>
      <c r="B1359" s="1" t="n">
        <v>44846</v>
      </c>
      <c r="C1359" s="1" t="n">
        <v>45998</v>
      </c>
      <c r="D1359" t="inlineStr">
        <is>
          <t>VÄSTERNORRLANDS LÄN</t>
        </is>
      </c>
      <c r="E1359" t="inlineStr">
        <is>
          <t>SOLLEFTEÅ</t>
        </is>
      </c>
      <c r="F1359" t="inlineStr">
        <is>
          <t>SCA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49324-2023</t>
        </is>
      </c>
      <c r="B1360" s="1" t="n">
        <v>45210</v>
      </c>
      <c r="C1360" s="1" t="n">
        <v>45998</v>
      </c>
      <c r="D1360" t="inlineStr">
        <is>
          <t>VÄSTERNORRLANDS LÄN</t>
        </is>
      </c>
      <c r="E1360" t="inlineStr">
        <is>
          <t>SOLLEFTEÅ</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29946-2023</t>
        </is>
      </c>
      <c r="B1361" s="1" t="n">
        <v>45107.93818287037</v>
      </c>
      <c r="C1361" s="1" t="n">
        <v>45998</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12006-2022</t>
        </is>
      </c>
      <c r="B1362" s="1" t="n">
        <v>44635.92496527778</v>
      </c>
      <c r="C1362" s="1" t="n">
        <v>45998</v>
      </c>
      <c r="D1362" t="inlineStr">
        <is>
          <t>VÄSTERNORRLANDS LÄN</t>
        </is>
      </c>
      <c r="E1362" t="inlineStr">
        <is>
          <t>SOLLEFTEÅ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12022-2022</t>
        </is>
      </c>
      <c r="B1363" s="1" t="n">
        <v>44635.94396990741</v>
      </c>
      <c r="C1363" s="1" t="n">
        <v>45998</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46765-2024</t>
        </is>
      </c>
      <c r="B1364" s="1" t="n">
        <v>45583.49491898148</v>
      </c>
      <c r="C1364" s="1" t="n">
        <v>45998</v>
      </c>
      <c r="D1364" t="inlineStr">
        <is>
          <t>VÄSTERNORRLANDS LÄN</t>
        </is>
      </c>
      <c r="E1364" t="inlineStr">
        <is>
          <t>SOLLEFTEÅ</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16463-2024</t>
        </is>
      </c>
      <c r="B1365" s="1" t="n">
        <v>45408.05027777778</v>
      </c>
      <c r="C1365" s="1" t="n">
        <v>45998</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38749-2024</t>
        </is>
      </c>
      <c r="B1366" s="1" t="n">
        <v>45547</v>
      </c>
      <c r="C1366" s="1" t="n">
        <v>45998</v>
      </c>
      <c r="D1366" t="inlineStr">
        <is>
          <t>VÄSTERNORRLANDS LÄN</t>
        </is>
      </c>
      <c r="E1366" t="inlineStr">
        <is>
          <t>SOLLEFTEÅ</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49253-2024</t>
        </is>
      </c>
      <c r="B1367" s="1" t="n">
        <v>45595</v>
      </c>
      <c r="C1367" s="1" t="n">
        <v>45998</v>
      </c>
      <c r="D1367" t="inlineStr">
        <is>
          <t>VÄSTERNORRLANDS LÄN</t>
        </is>
      </c>
      <c r="E1367" t="inlineStr">
        <is>
          <t>SOLLEFTEÅ</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25017-2022</t>
        </is>
      </c>
      <c r="B1368" s="1" t="n">
        <v>44728.94331018518</v>
      </c>
      <c r="C1368" s="1" t="n">
        <v>45998</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39429-2024</t>
        </is>
      </c>
      <c r="B1369" s="1" t="n">
        <v>45551.59427083333</v>
      </c>
      <c r="C1369" s="1" t="n">
        <v>45998</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55338-2023</t>
        </is>
      </c>
      <c r="B1370" s="1" t="n">
        <v>45237.97476851852</v>
      </c>
      <c r="C1370" s="1" t="n">
        <v>45998</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4031-2025</t>
        </is>
      </c>
      <c r="B1371" s="1" t="n">
        <v>45684.5978125</v>
      </c>
      <c r="C1371" s="1" t="n">
        <v>45998</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54538-2022</t>
        </is>
      </c>
      <c r="B1372" s="1" t="n">
        <v>44882.77261574074</v>
      </c>
      <c r="C1372" s="1" t="n">
        <v>45998</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60861-2023</t>
        </is>
      </c>
      <c r="B1373" s="1" t="n">
        <v>45260</v>
      </c>
      <c r="C1373" s="1" t="n">
        <v>45998</v>
      </c>
      <c r="D1373" t="inlineStr">
        <is>
          <t>VÄSTERNORRLANDS LÄN</t>
        </is>
      </c>
      <c r="E1373" t="inlineStr">
        <is>
          <t>SOLLEFTEÅ</t>
        </is>
      </c>
      <c r="F1373" t="inlineStr">
        <is>
          <t>SCA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8893-2025</t>
        </is>
      </c>
      <c r="B1374" s="1" t="n">
        <v>45713.4065162037</v>
      </c>
      <c r="C1374" s="1" t="n">
        <v>45998</v>
      </c>
      <c r="D1374" t="inlineStr">
        <is>
          <t>VÄSTERNORRLANDS LÄN</t>
        </is>
      </c>
      <c r="E1374" t="inlineStr">
        <is>
          <t>SOLLEFTEÅ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28749-2023</t>
        </is>
      </c>
      <c r="B1375" s="1" t="n">
        <v>45103</v>
      </c>
      <c r="C1375" s="1" t="n">
        <v>45998</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54238-2024</t>
        </is>
      </c>
      <c r="B1376" s="1" t="n">
        <v>45616.67844907408</v>
      </c>
      <c r="C1376" s="1" t="n">
        <v>45998</v>
      </c>
      <c r="D1376" t="inlineStr">
        <is>
          <t>VÄSTERNORRLANDS LÄN</t>
        </is>
      </c>
      <c r="E1376" t="inlineStr">
        <is>
          <t>SOLLEFTEÅ</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42514-2023</t>
        </is>
      </c>
      <c r="B1377" s="1" t="n">
        <v>45180.95969907408</v>
      </c>
      <c r="C1377" s="1" t="n">
        <v>45998</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19429-2024</t>
        </is>
      </c>
      <c r="B1378" s="1" t="n">
        <v>45429</v>
      </c>
      <c r="C1378" s="1" t="n">
        <v>45998</v>
      </c>
      <c r="D1378" t="inlineStr">
        <is>
          <t>VÄSTERNORRLANDS LÄN</t>
        </is>
      </c>
      <c r="E1378" t="inlineStr">
        <is>
          <t>SOLLEFTEÅ</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60171-2022</t>
        </is>
      </c>
      <c r="B1379" s="1" t="n">
        <v>44909</v>
      </c>
      <c r="C1379" s="1" t="n">
        <v>45998</v>
      </c>
      <c r="D1379" t="inlineStr">
        <is>
          <t>VÄSTERNORRLANDS LÄN</t>
        </is>
      </c>
      <c r="E1379" t="inlineStr">
        <is>
          <t>SOLLEFTEÅ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15859-2024</t>
        </is>
      </c>
      <c r="B1380" s="1" t="n">
        <v>45404.99732638889</v>
      </c>
      <c r="C1380" s="1" t="n">
        <v>45998</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44392-2023</t>
        </is>
      </c>
      <c r="B1381" s="1" t="n">
        <v>45188.94527777778</v>
      </c>
      <c r="C1381" s="1" t="n">
        <v>45998</v>
      </c>
      <c r="D1381" t="inlineStr">
        <is>
          <t>VÄSTERNORRLANDS LÄN</t>
        </is>
      </c>
      <c r="E1381" t="inlineStr">
        <is>
          <t>SOLLEFTEÅ</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18691-2025</t>
        </is>
      </c>
      <c r="B1382" s="1" t="n">
        <v>45763.61511574074</v>
      </c>
      <c r="C1382" s="1" t="n">
        <v>45998</v>
      </c>
      <c r="D1382" t="inlineStr">
        <is>
          <t>VÄSTERNORRLANDS LÄN</t>
        </is>
      </c>
      <c r="E1382" t="inlineStr">
        <is>
          <t>SOLLEFTEÅ</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52718-2022</t>
        </is>
      </c>
      <c r="B1383" s="1" t="n">
        <v>44874</v>
      </c>
      <c r="C1383" s="1" t="n">
        <v>45998</v>
      </c>
      <c r="D1383" t="inlineStr">
        <is>
          <t>VÄSTERNORRLANDS LÄN</t>
        </is>
      </c>
      <c r="E1383" t="inlineStr">
        <is>
          <t>SOLLEFTEÅ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3234-2024</t>
        </is>
      </c>
      <c r="B1384" s="1" t="n">
        <v>45316.94708333333</v>
      </c>
      <c r="C1384" s="1" t="n">
        <v>45998</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42160-2023</t>
        </is>
      </c>
      <c r="B1385" s="1" t="n">
        <v>45177</v>
      </c>
      <c r="C1385" s="1" t="n">
        <v>45998</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39469-2024</t>
        </is>
      </c>
      <c r="B1386" s="1" t="n">
        <v>45551</v>
      </c>
      <c r="C1386" s="1" t="n">
        <v>45998</v>
      </c>
      <c r="D1386" t="inlineStr">
        <is>
          <t>VÄSTERNORRLANDS LÄN</t>
        </is>
      </c>
      <c r="E1386" t="inlineStr">
        <is>
          <t>SOLLEFTEÅ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46207-2023</t>
        </is>
      </c>
      <c r="B1387" s="1" t="n">
        <v>45190</v>
      </c>
      <c r="C1387" s="1" t="n">
        <v>45998</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56249-2024</t>
        </is>
      </c>
      <c r="B1388" s="1" t="n">
        <v>45624.63584490741</v>
      </c>
      <c r="C1388" s="1" t="n">
        <v>45998</v>
      </c>
      <c r="D1388" t="inlineStr">
        <is>
          <t>VÄSTERNORRLANDS LÄN</t>
        </is>
      </c>
      <c r="E1388" t="inlineStr">
        <is>
          <t>SOLLEFTEÅ</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45998</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31646-2022</t>
        </is>
      </c>
      <c r="B1390" s="1" t="n">
        <v>44775.94166666667</v>
      </c>
      <c r="C1390" s="1" t="n">
        <v>45998</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36513-2023</t>
        </is>
      </c>
      <c r="B1391" s="1" t="n">
        <v>45152.9537037037</v>
      </c>
      <c r="C1391" s="1" t="n">
        <v>45998</v>
      </c>
      <c r="D1391" t="inlineStr">
        <is>
          <t>VÄSTERNORRLANDS LÄN</t>
        </is>
      </c>
      <c r="E1391" t="inlineStr">
        <is>
          <t>SOLLEFTEÅ</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18220-2025</t>
        </is>
      </c>
      <c r="B1392" s="1" t="n">
        <v>45761.7190625</v>
      </c>
      <c r="C1392" s="1" t="n">
        <v>45998</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15809-2022</t>
        </is>
      </c>
      <c r="B1393" s="1" t="n">
        <v>44663</v>
      </c>
      <c r="C1393" s="1" t="n">
        <v>45998</v>
      </c>
      <c r="D1393" t="inlineStr">
        <is>
          <t>VÄSTERNORRLANDS LÄN</t>
        </is>
      </c>
      <c r="E1393" t="inlineStr">
        <is>
          <t>SOLLEFTEÅ</t>
        </is>
      </c>
      <c r="F1393" t="inlineStr">
        <is>
          <t>SCA</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19053-2022</t>
        </is>
      </c>
      <c r="B1394" s="1" t="n">
        <v>44691.41626157407</v>
      </c>
      <c r="C1394" s="1" t="n">
        <v>45998</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45118-2022</t>
        </is>
      </c>
      <c r="B1395" s="1" t="n">
        <v>44843</v>
      </c>
      <c r="C1395" s="1" t="n">
        <v>45998</v>
      </c>
      <c r="D1395" t="inlineStr">
        <is>
          <t>VÄSTERNORRLANDS LÄN</t>
        </is>
      </c>
      <c r="E1395" t="inlineStr">
        <is>
          <t>SOLLEFTEÅ</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54255-2022</t>
        </is>
      </c>
      <c r="B1396" s="1" t="n">
        <v>44881.95225694445</v>
      </c>
      <c r="C1396" s="1" t="n">
        <v>45998</v>
      </c>
      <c r="D1396" t="inlineStr">
        <is>
          <t>VÄSTERNORRLANDS LÄN</t>
        </is>
      </c>
      <c r="E1396" t="inlineStr">
        <is>
          <t>SOLLEFTEÅ</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13521-2023</t>
        </is>
      </c>
      <c r="B1397" s="1" t="n">
        <v>45005</v>
      </c>
      <c r="C1397" s="1" t="n">
        <v>45998</v>
      </c>
      <c r="D1397" t="inlineStr">
        <is>
          <t>VÄSTERNORRLANDS LÄN</t>
        </is>
      </c>
      <c r="E1397" t="inlineStr">
        <is>
          <t>SOLLEFTEÅ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4129-2025</t>
        </is>
      </c>
      <c r="B1398" s="1" t="n">
        <v>45685.34425925926</v>
      </c>
      <c r="C1398" s="1" t="n">
        <v>45998</v>
      </c>
      <c r="D1398" t="inlineStr">
        <is>
          <t>VÄSTERNORRLANDS LÄN</t>
        </is>
      </c>
      <c r="E1398" t="inlineStr">
        <is>
          <t>SOLLEFTEÅ</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4133-2025</t>
        </is>
      </c>
      <c r="B1399" s="1" t="n">
        <v>45685.34559027778</v>
      </c>
      <c r="C1399" s="1" t="n">
        <v>45998</v>
      </c>
      <c r="D1399" t="inlineStr">
        <is>
          <t>VÄSTERNORRLANDS LÄN</t>
        </is>
      </c>
      <c r="E1399" t="inlineStr">
        <is>
          <t>SOLLEFTEÅ</t>
        </is>
      </c>
      <c r="F1399" t="inlineStr">
        <is>
          <t>SCA</t>
        </is>
      </c>
      <c r="G1399" t="n">
        <v>37.2</v>
      </c>
      <c r="H1399" t="n">
        <v>0</v>
      </c>
      <c r="I1399" t="n">
        <v>0</v>
      </c>
      <c r="J1399" t="n">
        <v>0</v>
      </c>
      <c r="K1399" t="n">
        <v>0</v>
      </c>
      <c r="L1399" t="n">
        <v>0</v>
      </c>
      <c r="M1399" t="n">
        <v>0</v>
      </c>
      <c r="N1399" t="n">
        <v>0</v>
      </c>
      <c r="O1399" t="n">
        <v>0</v>
      </c>
      <c r="P1399" t="n">
        <v>0</v>
      </c>
      <c r="Q1399" t="n">
        <v>0</v>
      </c>
      <c r="R1399" s="2" t="inlineStr"/>
    </row>
    <row r="1400" ht="15" customHeight="1">
      <c r="A1400" t="inlineStr">
        <is>
          <t>A 16670-2022</t>
        </is>
      </c>
      <c r="B1400" s="1" t="n">
        <v>44672.93802083333</v>
      </c>
      <c r="C1400" s="1" t="n">
        <v>45998</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22182-2025</t>
        </is>
      </c>
      <c r="B1401" s="1" t="n">
        <v>45785.61640046296</v>
      </c>
      <c r="C1401" s="1" t="n">
        <v>45998</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23282-2022</t>
        </is>
      </c>
      <c r="B1402" s="1" t="n">
        <v>44720</v>
      </c>
      <c r="C1402" s="1" t="n">
        <v>45998</v>
      </c>
      <c r="D1402" t="inlineStr">
        <is>
          <t>VÄSTERNORRLANDS LÄN</t>
        </is>
      </c>
      <c r="E1402" t="inlineStr">
        <is>
          <t>SOLLEFTEÅ</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16492-2025</t>
        </is>
      </c>
      <c r="B1403" s="1" t="n">
        <v>45751.59414351852</v>
      </c>
      <c r="C1403" s="1" t="n">
        <v>45998</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2185-2025</t>
        </is>
      </c>
      <c r="B1404" s="1" t="n">
        <v>45673</v>
      </c>
      <c r="C1404" s="1" t="n">
        <v>45998</v>
      </c>
      <c r="D1404" t="inlineStr">
        <is>
          <t>VÄSTERNORRLANDS LÄN</t>
        </is>
      </c>
      <c r="E1404" t="inlineStr">
        <is>
          <t>SOLLEFTEÅ</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4838-2025</t>
        </is>
      </c>
      <c r="B1405" s="1" t="n">
        <v>45688.67167824074</v>
      </c>
      <c r="C1405" s="1" t="n">
        <v>45998</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60389-2024</t>
        </is>
      </c>
      <c r="B1406" s="1" t="n">
        <v>45643.48988425926</v>
      </c>
      <c r="C1406" s="1" t="n">
        <v>45998</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5862-2025</t>
        </is>
      </c>
      <c r="B1407" s="1" t="n">
        <v>45695.35061342592</v>
      </c>
      <c r="C1407" s="1" t="n">
        <v>45998</v>
      </c>
      <c r="D1407" t="inlineStr">
        <is>
          <t>VÄSTERNORRLANDS LÄN</t>
        </is>
      </c>
      <c r="E1407" t="inlineStr">
        <is>
          <t>SOLLEFTEÅ</t>
        </is>
      </c>
      <c r="F1407" t="inlineStr">
        <is>
          <t>Holmen skog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59501-2023</t>
        </is>
      </c>
      <c r="B1408" s="1" t="n">
        <v>45254</v>
      </c>
      <c r="C1408" s="1" t="n">
        <v>45998</v>
      </c>
      <c r="D1408" t="inlineStr">
        <is>
          <t>VÄSTERNORRLANDS LÄN</t>
        </is>
      </c>
      <c r="E1408" t="inlineStr">
        <is>
          <t>SOLLEFTEÅ</t>
        </is>
      </c>
      <c r="F1408" t="inlineStr">
        <is>
          <t>Holmen skog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18188-2022</t>
        </is>
      </c>
      <c r="B1409" s="1" t="n">
        <v>44684.94004629629</v>
      </c>
      <c r="C1409" s="1" t="n">
        <v>45998</v>
      </c>
      <c r="D1409" t="inlineStr">
        <is>
          <t>VÄSTERNORRLANDS LÄN</t>
        </is>
      </c>
      <c r="E1409" t="inlineStr">
        <is>
          <t>SOLLEFTEÅ</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12644-2025</t>
        </is>
      </c>
      <c r="B1410" s="1" t="n">
        <v>45733.38726851852</v>
      </c>
      <c r="C1410" s="1" t="n">
        <v>45998</v>
      </c>
      <c r="D1410" t="inlineStr">
        <is>
          <t>VÄSTERNORRLANDS LÄN</t>
        </is>
      </c>
      <c r="E1410" t="inlineStr">
        <is>
          <t>SOLLEFTEÅ</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21344-2023</t>
        </is>
      </c>
      <c r="B1411" s="1" t="n">
        <v>45062</v>
      </c>
      <c r="C1411" s="1" t="n">
        <v>45998</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61089-2024</t>
        </is>
      </c>
      <c r="B1412" s="1" t="n">
        <v>45644</v>
      </c>
      <c r="C1412" s="1" t="n">
        <v>45998</v>
      </c>
      <c r="D1412" t="inlineStr">
        <is>
          <t>VÄSTERNORRLANDS LÄN</t>
        </is>
      </c>
      <c r="E1412" t="inlineStr">
        <is>
          <t>SOLLEFTEÅ</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58427-2023</t>
        </is>
      </c>
      <c r="B1413" s="1" t="n">
        <v>45250</v>
      </c>
      <c r="C1413" s="1" t="n">
        <v>45998</v>
      </c>
      <c r="D1413" t="inlineStr">
        <is>
          <t>VÄSTERNORRLANDS LÄN</t>
        </is>
      </c>
      <c r="E1413" t="inlineStr">
        <is>
          <t>SOLLEFTEÅ</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48964-2023</t>
        </is>
      </c>
      <c r="B1414" s="1" t="n">
        <v>45204</v>
      </c>
      <c r="C1414" s="1" t="n">
        <v>45998</v>
      </c>
      <c r="D1414" t="inlineStr">
        <is>
          <t>VÄSTERNORRLANDS LÄN</t>
        </is>
      </c>
      <c r="E1414" t="inlineStr">
        <is>
          <t>SOLLEFTEÅ</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18949-2025</t>
        </is>
      </c>
      <c r="B1415" s="1" t="n">
        <v>45764</v>
      </c>
      <c r="C1415" s="1" t="n">
        <v>45998</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47177-2023</t>
        </is>
      </c>
      <c r="B1416" s="1" t="n">
        <v>45201</v>
      </c>
      <c r="C1416" s="1" t="n">
        <v>45998</v>
      </c>
      <c r="D1416" t="inlineStr">
        <is>
          <t>VÄSTERNORRLANDS LÄN</t>
        </is>
      </c>
      <c r="E1416" t="inlineStr">
        <is>
          <t>SOLLEFTEÅ</t>
        </is>
      </c>
      <c r="F1416" t="inlineStr">
        <is>
          <t>SCA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24208-2024</t>
        </is>
      </c>
      <c r="B1417" s="1" t="n">
        <v>45456.9678125</v>
      </c>
      <c r="C1417" s="1" t="n">
        <v>45998</v>
      </c>
      <c r="D1417" t="inlineStr">
        <is>
          <t>VÄSTERNORRLANDS LÄN</t>
        </is>
      </c>
      <c r="E1417" t="inlineStr">
        <is>
          <t>SOLLEFTEÅ</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24211-2024</t>
        </is>
      </c>
      <c r="B1418" s="1" t="n">
        <v>45456.9681712963</v>
      </c>
      <c r="C1418" s="1" t="n">
        <v>45998</v>
      </c>
      <c r="D1418" t="inlineStr">
        <is>
          <t>VÄSTERNORRLANDS LÄN</t>
        </is>
      </c>
      <c r="E1418" t="inlineStr">
        <is>
          <t>SOLLEFTEÅ</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9096-2023</t>
        </is>
      </c>
      <c r="B1419" s="1" t="n">
        <v>44979.94303240741</v>
      </c>
      <c r="C1419" s="1" t="n">
        <v>45998</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43525-2021</t>
        </is>
      </c>
      <c r="B1420" s="1" t="n">
        <v>44433</v>
      </c>
      <c r="C1420" s="1" t="n">
        <v>45998</v>
      </c>
      <c r="D1420" t="inlineStr">
        <is>
          <t>VÄSTERNORRLANDS LÄN</t>
        </is>
      </c>
      <c r="E1420" t="inlineStr">
        <is>
          <t>SOLLEFTEÅ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11338-2025</t>
        </is>
      </c>
      <c r="B1421" s="1" t="n">
        <v>45726.48987268518</v>
      </c>
      <c r="C1421" s="1" t="n">
        <v>45998</v>
      </c>
      <c r="D1421" t="inlineStr">
        <is>
          <t>VÄSTERNORRLANDS LÄN</t>
        </is>
      </c>
      <c r="E1421" t="inlineStr">
        <is>
          <t>SOLLEFTEÅ</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945-2025</t>
        </is>
      </c>
      <c r="B1422" s="1" t="n">
        <v>45666.34412037037</v>
      </c>
      <c r="C1422" s="1" t="n">
        <v>45998</v>
      </c>
      <c r="D1422" t="inlineStr">
        <is>
          <t>VÄSTERNORRLANDS LÄN</t>
        </is>
      </c>
      <c r="E1422" t="inlineStr">
        <is>
          <t>SOLLEFTEÅ</t>
        </is>
      </c>
      <c r="F1422" t="inlineStr">
        <is>
          <t>SCA</t>
        </is>
      </c>
      <c r="G1422" t="n">
        <v>36.6</v>
      </c>
      <c r="H1422" t="n">
        <v>0</v>
      </c>
      <c r="I1422" t="n">
        <v>0</v>
      </c>
      <c r="J1422" t="n">
        <v>0</v>
      </c>
      <c r="K1422" t="n">
        <v>0</v>
      </c>
      <c r="L1422" t="n">
        <v>0</v>
      </c>
      <c r="M1422" t="n">
        <v>0</v>
      </c>
      <c r="N1422" t="n">
        <v>0</v>
      </c>
      <c r="O1422" t="n">
        <v>0</v>
      </c>
      <c r="P1422" t="n">
        <v>0</v>
      </c>
      <c r="Q1422" t="n">
        <v>0</v>
      </c>
      <c r="R1422" s="2" t="inlineStr"/>
    </row>
    <row r="1423" ht="15" customHeight="1">
      <c r="A1423" t="inlineStr">
        <is>
          <t>A 59317-2024</t>
        </is>
      </c>
      <c r="B1423" s="1" t="n">
        <v>45637.69873842593</v>
      </c>
      <c r="C1423" s="1" t="n">
        <v>45998</v>
      </c>
      <c r="D1423" t="inlineStr">
        <is>
          <t>VÄSTERNORRLANDS LÄN</t>
        </is>
      </c>
      <c r="E1423" t="inlineStr">
        <is>
          <t>SOLLEFTEÅ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56398-2024</t>
        </is>
      </c>
      <c r="B1424" s="1" t="n">
        <v>45625.35395833333</v>
      </c>
      <c r="C1424" s="1" t="n">
        <v>45998</v>
      </c>
      <c r="D1424" t="inlineStr">
        <is>
          <t>VÄSTERNORRLANDS LÄN</t>
        </is>
      </c>
      <c r="E1424" t="inlineStr">
        <is>
          <t>SOLLEFTEÅ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1880-2024</t>
        </is>
      </c>
      <c r="B1425" s="1" t="n">
        <v>45307</v>
      </c>
      <c r="C1425" s="1" t="n">
        <v>45998</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23527-2023</t>
        </is>
      </c>
      <c r="B1426" s="1" t="n">
        <v>45076</v>
      </c>
      <c r="C1426" s="1" t="n">
        <v>45998</v>
      </c>
      <c r="D1426" t="inlineStr">
        <is>
          <t>VÄSTERNORRLANDS LÄN</t>
        </is>
      </c>
      <c r="E1426" t="inlineStr">
        <is>
          <t>SOLLEFTEÅ</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37201-2024</t>
        </is>
      </c>
      <c r="B1427" s="1" t="n">
        <v>45539</v>
      </c>
      <c r="C1427" s="1" t="n">
        <v>45998</v>
      </c>
      <c r="D1427" t="inlineStr">
        <is>
          <t>VÄSTERNORRLANDS LÄN</t>
        </is>
      </c>
      <c r="E1427" t="inlineStr">
        <is>
          <t>SOLLEFTEÅ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18861-2023</t>
        </is>
      </c>
      <c r="B1428" s="1" t="n">
        <v>45042</v>
      </c>
      <c r="C1428" s="1" t="n">
        <v>45998</v>
      </c>
      <c r="D1428" t="inlineStr">
        <is>
          <t>VÄSTERNORRLANDS LÄN</t>
        </is>
      </c>
      <c r="E1428" t="inlineStr">
        <is>
          <t>SOLLEFTEÅ</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13257-2025</t>
        </is>
      </c>
      <c r="B1429" s="1" t="n">
        <v>45735.51075231482</v>
      </c>
      <c r="C1429" s="1" t="n">
        <v>45998</v>
      </c>
      <c r="D1429" t="inlineStr">
        <is>
          <t>VÄSTERNORRLANDS LÄN</t>
        </is>
      </c>
      <c r="E1429" t="inlineStr">
        <is>
          <t>SOLLEFTEÅ</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54485-2024</t>
        </is>
      </c>
      <c r="B1430" s="1" t="n">
        <v>45617.5625462963</v>
      </c>
      <c r="C1430" s="1" t="n">
        <v>45998</v>
      </c>
      <c r="D1430" t="inlineStr">
        <is>
          <t>VÄSTERNORRLANDS LÄN</t>
        </is>
      </c>
      <c r="E1430" t="inlineStr">
        <is>
          <t>SOLLEFTEÅ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48001-2024</t>
        </is>
      </c>
      <c r="B1431" s="1" t="n">
        <v>45589.44826388889</v>
      </c>
      <c r="C1431" s="1" t="n">
        <v>45998</v>
      </c>
      <c r="D1431" t="inlineStr">
        <is>
          <t>VÄSTERNORRLANDS LÄN</t>
        </is>
      </c>
      <c r="E1431" t="inlineStr">
        <is>
          <t>SOLLEFTEÅ</t>
        </is>
      </c>
      <c r="F1431" t="inlineStr">
        <is>
          <t>SCA</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42979-2024</t>
        </is>
      </c>
      <c r="B1432" s="1" t="n">
        <v>45567.37438657408</v>
      </c>
      <c r="C1432" s="1" t="n">
        <v>45998</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26407-2022</t>
        </is>
      </c>
      <c r="B1433" s="1" t="n">
        <v>44735</v>
      </c>
      <c r="C1433" s="1" t="n">
        <v>45998</v>
      </c>
      <c r="D1433" t="inlineStr">
        <is>
          <t>VÄSTERNORRLANDS LÄN</t>
        </is>
      </c>
      <c r="E1433" t="inlineStr">
        <is>
          <t>SOLLEFTEÅ</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8099-2025</t>
        </is>
      </c>
      <c r="B1434" s="1" t="n">
        <v>45707.69086805556</v>
      </c>
      <c r="C1434" s="1" t="n">
        <v>45998</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1840-2024</t>
        </is>
      </c>
      <c r="B1435" s="1" t="n">
        <v>45307</v>
      </c>
      <c r="C1435" s="1" t="n">
        <v>45998</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1844-2024</t>
        </is>
      </c>
      <c r="B1436" s="1" t="n">
        <v>45307</v>
      </c>
      <c r="C1436" s="1" t="n">
        <v>45998</v>
      </c>
      <c r="D1436" t="inlineStr">
        <is>
          <t>VÄSTERNORRLANDS LÄN</t>
        </is>
      </c>
      <c r="E1436" t="inlineStr">
        <is>
          <t>SOLLEFTEÅ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9689-2024</t>
        </is>
      </c>
      <c r="B1437" s="1" t="n">
        <v>45362</v>
      </c>
      <c r="C1437" s="1" t="n">
        <v>45998</v>
      </c>
      <c r="D1437" t="inlineStr">
        <is>
          <t>VÄSTERNORRLANDS LÄN</t>
        </is>
      </c>
      <c r="E1437" t="inlineStr">
        <is>
          <t>SOLLEFTEÅ</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25139-2024</t>
        </is>
      </c>
      <c r="B1438" s="1" t="n">
        <v>45462.48130787037</v>
      </c>
      <c r="C1438" s="1" t="n">
        <v>45998</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38769-2024</t>
        </is>
      </c>
      <c r="B1439" s="1" t="n">
        <v>45547.44914351852</v>
      </c>
      <c r="C1439" s="1" t="n">
        <v>45998</v>
      </c>
      <c r="D1439" t="inlineStr">
        <is>
          <t>VÄSTERNORRLANDS LÄN</t>
        </is>
      </c>
      <c r="E1439" t="inlineStr">
        <is>
          <t>SOLLEFTEÅ</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21191-2022</t>
        </is>
      </c>
      <c r="B1440" s="1" t="n">
        <v>44704.94193287037</v>
      </c>
      <c r="C1440" s="1" t="n">
        <v>45998</v>
      </c>
      <c r="D1440" t="inlineStr">
        <is>
          <t>VÄSTERNORRLANDS LÄN</t>
        </is>
      </c>
      <c r="E1440" t="inlineStr">
        <is>
          <t>SOLLEFTEÅ</t>
        </is>
      </c>
      <c r="F1440" t="inlineStr">
        <is>
          <t>SCA</t>
        </is>
      </c>
      <c r="G1440" t="n">
        <v>26.5</v>
      </c>
      <c r="H1440" t="n">
        <v>0</v>
      </c>
      <c r="I1440" t="n">
        <v>0</v>
      </c>
      <c r="J1440" t="n">
        <v>0</v>
      </c>
      <c r="K1440" t="n">
        <v>0</v>
      </c>
      <c r="L1440" t="n">
        <v>0</v>
      </c>
      <c r="M1440" t="n">
        <v>0</v>
      </c>
      <c r="N1440" t="n">
        <v>0</v>
      </c>
      <c r="O1440" t="n">
        <v>0</v>
      </c>
      <c r="P1440" t="n">
        <v>0</v>
      </c>
      <c r="Q1440" t="n">
        <v>0</v>
      </c>
      <c r="R1440" s="2" t="inlineStr"/>
    </row>
    <row r="1441" ht="15" customHeight="1">
      <c r="A1441" t="inlineStr">
        <is>
          <t>A 42664-2022</t>
        </is>
      </c>
      <c r="B1441" s="1" t="n">
        <v>44831</v>
      </c>
      <c r="C1441" s="1" t="n">
        <v>45998</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16632-2025</t>
        </is>
      </c>
      <c r="B1442" s="1" t="n">
        <v>45754.36490740741</v>
      </c>
      <c r="C1442" s="1" t="n">
        <v>45998</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35019-2022</t>
        </is>
      </c>
      <c r="B1443" s="1" t="n">
        <v>44796.94684027778</v>
      </c>
      <c r="C1443" s="1" t="n">
        <v>45998</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53452-2023</t>
        </is>
      </c>
      <c r="B1444" s="1" t="n">
        <v>45229</v>
      </c>
      <c r="C1444" s="1" t="n">
        <v>45998</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53453-2023</t>
        </is>
      </c>
      <c r="B1445" s="1" t="n">
        <v>45229.96586805556</v>
      </c>
      <c r="C1445" s="1" t="n">
        <v>45998</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34804-2022</t>
        </is>
      </c>
      <c r="B1446" s="1" t="n">
        <v>44795.94761574074</v>
      </c>
      <c r="C1446" s="1" t="n">
        <v>45998</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16709-2024</t>
        </is>
      </c>
      <c r="B1447" s="1" t="n">
        <v>45409.07737268518</v>
      </c>
      <c r="C1447" s="1" t="n">
        <v>45998</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54618-2023</t>
        </is>
      </c>
      <c r="B1448" s="1" t="n">
        <v>45233</v>
      </c>
      <c r="C1448" s="1" t="n">
        <v>45998</v>
      </c>
      <c r="D1448" t="inlineStr">
        <is>
          <t>VÄSTERNORRLANDS LÄN</t>
        </is>
      </c>
      <c r="E1448" t="inlineStr">
        <is>
          <t>SOLLEFTEÅ</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6376-2025</t>
        </is>
      </c>
      <c r="B1449" s="1" t="n">
        <v>45699</v>
      </c>
      <c r="C1449" s="1" t="n">
        <v>45998</v>
      </c>
      <c r="D1449" t="inlineStr">
        <is>
          <t>VÄSTERNORRLANDS LÄN</t>
        </is>
      </c>
      <c r="E1449" t="inlineStr">
        <is>
          <t>SOLLEFTEÅ</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10437-2025</t>
        </is>
      </c>
      <c r="B1450" s="1" t="n">
        <v>45720.67740740741</v>
      </c>
      <c r="C1450" s="1" t="n">
        <v>45998</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769-2025</t>
        </is>
      </c>
      <c r="B1451" s="1" t="n">
        <v>45659</v>
      </c>
      <c r="C1451" s="1" t="n">
        <v>45998</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4905-2025</t>
        </is>
      </c>
      <c r="B1452" s="1" t="n">
        <v>45688.68043981482</v>
      </c>
      <c r="C1452" s="1" t="n">
        <v>45998</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60360-2024</t>
        </is>
      </c>
      <c r="B1453" s="1" t="n">
        <v>45643.44837962963</v>
      </c>
      <c r="C1453" s="1" t="n">
        <v>45998</v>
      </c>
      <c r="D1453" t="inlineStr">
        <is>
          <t>VÄSTERNORRLANDS LÄN</t>
        </is>
      </c>
      <c r="E1453" t="inlineStr">
        <is>
          <t>SOLLEFTEÅ</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27593-2022</t>
        </is>
      </c>
      <c r="B1454" s="1" t="n">
        <v>44742</v>
      </c>
      <c r="C1454" s="1" t="n">
        <v>45998</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47185-2023</t>
        </is>
      </c>
      <c r="B1455" s="1" t="n">
        <v>45201</v>
      </c>
      <c r="C1455" s="1" t="n">
        <v>45998</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6733-2025</t>
        </is>
      </c>
      <c r="B1456" s="1" t="n">
        <v>45700.59425925926</v>
      </c>
      <c r="C1456" s="1" t="n">
        <v>45998</v>
      </c>
      <c r="D1456" t="inlineStr">
        <is>
          <t>VÄSTERNORRLANDS LÄN</t>
        </is>
      </c>
      <c r="E1456" t="inlineStr">
        <is>
          <t>SOLLEFTEÅ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14036-2025</t>
        </is>
      </c>
      <c r="B1457" s="1" t="n">
        <v>45740.36508101852</v>
      </c>
      <c r="C1457" s="1" t="n">
        <v>45998</v>
      </c>
      <c r="D1457" t="inlineStr">
        <is>
          <t>VÄSTERNORRLANDS LÄN</t>
        </is>
      </c>
      <c r="E1457" t="inlineStr">
        <is>
          <t>SOLLEFTEÅ</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16467-2024</t>
        </is>
      </c>
      <c r="B1458" s="1" t="n">
        <v>45408</v>
      </c>
      <c r="C1458" s="1" t="n">
        <v>45998</v>
      </c>
      <c r="D1458" t="inlineStr">
        <is>
          <t>VÄSTERNORRLANDS LÄN</t>
        </is>
      </c>
      <c r="E1458" t="inlineStr">
        <is>
          <t>SOLLEFTEÅ</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37671-2023</t>
        </is>
      </c>
      <c r="B1459" s="1" t="n">
        <v>45156</v>
      </c>
      <c r="C1459" s="1" t="n">
        <v>45998</v>
      </c>
      <c r="D1459" t="inlineStr">
        <is>
          <t>VÄSTERNORRLANDS LÄN</t>
        </is>
      </c>
      <c r="E1459" t="inlineStr">
        <is>
          <t>SOLLEFTEÅ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4859-2025</t>
        </is>
      </c>
      <c r="B1460" s="1" t="n">
        <v>45688.67451388889</v>
      </c>
      <c r="C1460" s="1" t="n">
        <v>45998</v>
      </c>
      <c r="D1460" t="inlineStr">
        <is>
          <t>VÄSTERNORRLANDS LÄN</t>
        </is>
      </c>
      <c r="E1460" t="inlineStr">
        <is>
          <t>SOLLEFTEÅ</t>
        </is>
      </c>
      <c r="F1460" t="inlineStr">
        <is>
          <t>SCA</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17049-2022</t>
        </is>
      </c>
      <c r="B1461" s="1" t="n">
        <v>44676</v>
      </c>
      <c r="C1461" s="1" t="n">
        <v>45998</v>
      </c>
      <c r="D1461" t="inlineStr">
        <is>
          <t>VÄSTERNORRLANDS LÄN</t>
        </is>
      </c>
      <c r="E1461" t="inlineStr">
        <is>
          <t>SOLLEFTEÅ</t>
        </is>
      </c>
      <c r="F1461" t="inlineStr">
        <is>
          <t>SCA</t>
        </is>
      </c>
      <c r="G1461" t="n">
        <v>2.6</v>
      </c>
      <c r="H1461" t="n">
        <v>0</v>
      </c>
      <c r="I1461" t="n">
        <v>0</v>
      </c>
      <c r="J1461" t="n">
        <v>0</v>
      </c>
      <c r="K1461" t="n">
        <v>0</v>
      </c>
      <c r="L1461" t="n">
        <v>0</v>
      </c>
      <c r="M1461" t="n">
        <v>0</v>
      </c>
      <c r="N1461" t="n">
        <v>0</v>
      </c>
      <c r="O1461" t="n">
        <v>0</v>
      </c>
      <c r="P1461" t="n">
        <v>0</v>
      </c>
      <c r="Q1461" t="n">
        <v>0</v>
      </c>
      <c r="R1461" s="2" t="inlineStr"/>
      <c r="U1461">
        <f>HYPERLINK("https://klasma.github.io/Logging_2283/knärot/A 17049-2022 karta knärot.png", "A 17049-2022")</f>
        <v/>
      </c>
      <c r="V1461">
        <f>HYPERLINK("https://klasma.github.io/Logging_2283/klagomål/A 17049-2022 FSC-klagomål.docx", "A 17049-2022")</f>
        <v/>
      </c>
      <c r="W1461">
        <f>HYPERLINK("https://klasma.github.io/Logging_2283/klagomålsmail/A 17049-2022 FSC-klagomål mail.docx", "A 17049-2022")</f>
        <v/>
      </c>
      <c r="X1461">
        <f>HYPERLINK("https://klasma.github.io/Logging_2283/tillsyn/A 17049-2022 tillsynsbegäran.docx", "A 17049-2022")</f>
        <v/>
      </c>
      <c r="Y1461">
        <f>HYPERLINK("https://klasma.github.io/Logging_2283/tillsynsmail/A 17049-2022 tillsynsbegäran mail.docx", "A 17049-2022")</f>
        <v/>
      </c>
    </row>
    <row r="1462" ht="15" customHeight="1">
      <c r="A1462" t="inlineStr">
        <is>
          <t>A 54978-2023</t>
        </is>
      </c>
      <c r="B1462" s="1" t="n">
        <v>45236.96600694444</v>
      </c>
      <c r="C1462" s="1" t="n">
        <v>45998</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21099-2024</t>
        </is>
      </c>
      <c r="B1463" s="1" t="n">
        <v>45439</v>
      </c>
      <c r="C1463" s="1" t="n">
        <v>45998</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60361-2024</t>
        </is>
      </c>
      <c r="B1464" s="1" t="n">
        <v>45643.44851851852</v>
      </c>
      <c r="C1464" s="1" t="n">
        <v>45998</v>
      </c>
      <c r="D1464" t="inlineStr">
        <is>
          <t>VÄSTERNORRLANDS LÄN</t>
        </is>
      </c>
      <c r="E1464" t="inlineStr">
        <is>
          <t>SOLLEFTEÅ</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8895-2025</t>
        </is>
      </c>
      <c r="B1465" s="1" t="n">
        <v>45713.40670138889</v>
      </c>
      <c r="C1465" s="1" t="n">
        <v>45998</v>
      </c>
      <c r="D1465" t="inlineStr">
        <is>
          <t>VÄSTERNORRLANDS LÄN</t>
        </is>
      </c>
      <c r="E1465" t="inlineStr">
        <is>
          <t>SOLLEFTEÅ</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11108-2025</t>
        </is>
      </c>
      <c r="B1466" s="1" t="n">
        <v>45723.6150462963</v>
      </c>
      <c r="C1466" s="1" t="n">
        <v>45998</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47181-2023</t>
        </is>
      </c>
      <c r="B1467" s="1" t="n">
        <v>45201.94876157407</v>
      </c>
      <c r="C1467" s="1" t="n">
        <v>45998</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59647-2022</t>
        </is>
      </c>
      <c r="B1468" s="1" t="n">
        <v>44907.96577546297</v>
      </c>
      <c r="C1468" s="1" t="n">
        <v>45998</v>
      </c>
      <c r="D1468" t="inlineStr">
        <is>
          <t>VÄSTERNORRLANDS LÄN</t>
        </is>
      </c>
      <c r="E1468" t="inlineStr">
        <is>
          <t>SOLLEFTEÅ</t>
        </is>
      </c>
      <c r="F1468" t="inlineStr">
        <is>
          <t>SCA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20859-2023</t>
        </is>
      </c>
      <c r="B1469" s="1" t="n">
        <v>45058.94212962963</v>
      </c>
      <c r="C1469" s="1" t="n">
        <v>45998</v>
      </c>
      <c r="D1469" t="inlineStr">
        <is>
          <t>VÄSTERNORRLANDS LÄN</t>
        </is>
      </c>
      <c r="E1469" t="inlineStr">
        <is>
          <t>SOLLEFTEÅ</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61611-2024</t>
        </is>
      </c>
      <c r="B1470" s="1" t="n">
        <v>45645</v>
      </c>
      <c r="C1470" s="1" t="n">
        <v>45998</v>
      </c>
      <c r="D1470" t="inlineStr">
        <is>
          <t>VÄSTERNORRLANDS LÄN</t>
        </is>
      </c>
      <c r="E1470" t="inlineStr">
        <is>
          <t>SOLLEFTEÅ</t>
        </is>
      </c>
      <c r="G1470" t="n">
        <v>13.9</v>
      </c>
      <c r="H1470" t="n">
        <v>0</v>
      </c>
      <c r="I1470" t="n">
        <v>0</v>
      </c>
      <c r="J1470" t="n">
        <v>0</v>
      </c>
      <c r="K1470" t="n">
        <v>0</v>
      </c>
      <c r="L1470" t="n">
        <v>0</v>
      </c>
      <c r="M1470" t="n">
        <v>0</v>
      </c>
      <c r="N1470" t="n">
        <v>0</v>
      </c>
      <c r="O1470" t="n">
        <v>0</v>
      </c>
      <c r="P1470" t="n">
        <v>0</v>
      </c>
      <c r="Q1470" t="n">
        <v>0</v>
      </c>
      <c r="R1470" s="2" t="inlineStr"/>
    </row>
    <row r="1471" ht="15" customHeight="1">
      <c r="A1471" t="inlineStr">
        <is>
          <t>A 55650-2023</t>
        </is>
      </c>
      <c r="B1471" s="1" t="n">
        <v>45238.96600694444</v>
      </c>
      <c r="C1471" s="1" t="n">
        <v>45998</v>
      </c>
      <c r="D1471" t="inlineStr">
        <is>
          <t>VÄSTERNORRLANDS LÄN</t>
        </is>
      </c>
      <c r="E1471" t="inlineStr">
        <is>
          <t>SOLLEFTEÅ</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55654-2023</t>
        </is>
      </c>
      <c r="B1472" s="1" t="n">
        <v>45238.96642361111</v>
      </c>
      <c r="C1472" s="1" t="n">
        <v>45998</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53669-2023</t>
        </is>
      </c>
      <c r="B1473" s="1" t="n">
        <v>45230</v>
      </c>
      <c r="C1473" s="1" t="n">
        <v>45998</v>
      </c>
      <c r="D1473" t="inlineStr">
        <is>
          <t>VÄSTERNORRLANDS LÄN</t>
        </is>
      </c>
      <c r="E1473" t="inlineStr">
        <is>
          <t>SOLLEFTEÅ</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53120-2024</t>
        </is>
      </c>
      <c r="B1474" s="1" t="n">
        <v>45611</v>
      </c>
      <c r="C1474" s="1" t="n">
        <v>45998</v>
      </c>
      <c r="D1474" t="inlineStr">
        <is>
          <t>VÄSTERNORRLANDS LÄN</t>
        </is>
      </c>
      <c r="E1474" t="inlineStr">
        <is>
          <t>SOLLEFTEÅ</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52455-2024</t>
        </is>
      </c>
      <c r="B1475" s="1" t="n">
        <v>45609.50984953704</v>
      </c>
      <c r="C1475" s="1" t="n">
        <v>45998</v>
      </c>
      <c r="D1475" t="inlineStr">
        <is>
          <t>VÄSTERNORRLANDS LÄN</t>
        </is>
      </c>
      <c r="E1475" t="inlineStr">
        <is>
          <t>SOLLEFTEÅ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2422-2025</t>
        </is>
      </c>
      <c r="B1476" s="1" t="n">
        <v>45674.38592592593</v>
      </c>
      <c r="C1476" s="1" t="n">
        <v>45998</v>
      </c>
      <c r="D1476" t="inlineStr">
        <is>
          <t>VÄSTERNORRLANDS LÄN</t>
        </is>
      </c>
      <c r="E1476" t="inlineStr">
        <is>
          <t>SOLLEFTEÅ</t>
        </is>
      </c>
      <c r="F1476" t="inlineStr">
        <is>
          <t>SCA</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16795-2025</t>
        </is>
      </c>
      <c r="B1477" s="1" t="n">
        <v>45754.61487268518</v>
      </c>
      <c r="C1477" s="1" t="n">
        <v>45998</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11094-2023</t>
        </is>
      </c>
      <c r="B1478" s="1" t="n">
        <v>44986</v>
      </c>
      <c r="C1478" s="1" t="n">
        <v>45998</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17279-2025</t>
        </is>
      </c>
      <c r="B1479" s="1" t="n">
        <v>45756.56396990741</v>
      </c>
      <c r="C1479" s="1" t="n">
        <v>45998</v>
      </c>
      <c r="D1479" t="inlineStr">
        <is>
          <t>VÄSTERNORRLANDS LÄN</t>
        </is>
      </c>
      <c r="E1479" t="inlineStr">
        <is>
          <t>SOLLEFTEÅ</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12941-2025</t>
        </is>
      </c>
      <c r="B1480" s="1" t="n">
        <v>45734.36525462963</v>
      </c>
      <c r="C1480" s="1" t="n">
        <v>45998</v>
      </c>
      <c r="D1480" t="inlineStr">
        <is>
          <t>VÄSTERNORRLANDS LÄN</t>
        </is>
      </c>
      <c r="E1480" t="inlineStr">
        <is>
          <t>SOLLEFTEÅ</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56256-2023</t>
        </is>
      </c>
      <c r="B1481" s="1" t="n">
        <v>45240</v>
      </c>
      <c r="C1481" s="1" t="n">
        <v>45998</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56262-2023</t>
        </is>
      </c>
      <c r="B1482" s="1" t="n">
        <v>45240</v>
      </c>
      <c r="C1482" s="1" t="n">
        <v>45998</v>
      </c>
      <c r="D1482" t="inlineStr">
        <is>
          <t>VÄSTERNORRLANDS LÄN</t>
        </is>
      </c>
      <c r="E1482" t="inlineStr">
        <is>
          <t>SOLLEFTEÅ</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50716-2023</t>
        </is>
      </c>
      <c r="B1483" s="1" t="n">
        <v>45210</v>
      </c>
      <c r="C1483" s="1" t="n">
        <v>45998</v>
      </c>
      <c r="D1483" t="inlineStr">
        <is>
          <t>VÄSTERNORRLANDS LÄN</t>
        </is>
      </c>
      <c r="E1483" t="inlineStr">
        <is>
          <t>SOLLEFTEÅ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14252-2025</t>
        </is>
      </c>
      <c r="B1484" s="1" t="n">
        <v>45740.61601851852</v>
      </c>
      <c r="C1484" s="1" t="n">
        <v>45998</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10950-2025</t>
        </is>
      </c>
      <c r="B1485" s="1" t="n">
        <v>45723.34474537037</v>
      </c>
      <c r="C1485" s="1" t="n">
        <v>45998</v>
      </c>
      <c r="D1485" t="inlineStr">
        <is>
          <t>VÄSTERNORRLANDS LÄN</t>
        </is>
      </c>
      <c r="E1485" t="inlineStr">
        <is>
          <t>SOLLEFTEÅ</t>
        </is>
      </c>
      <c r="F1485" t="inlineStr">
        <is>
          <t>SCA</t>
        </is>
      </c>
      <c r="G1485" t="n">
        <v>32.3</v>
      </c>
      <c r="H1485" t="n">
        <v>0</v>
      </c>
      <c r="I1485" t="n">
        <v>0</v>
      </c>
      <c r="J1485" t="n">
        <v>0</v>
      </c>
      <c r="K1485" t="n">
        <v>0</v>
      </c>
      <c r="L1485" t="n">
        <v>0</v>
      </c>
      <c r="M1485" t="n">
        <v>0</v>
      </c>
      <c r="N1485" t="n">
        <v>0</v>
      </c>
      <c r="O1485" t="n">
        <v>0</v>
      </c>
      <c r="P1485" t="n">
        <v>0</v>
      </c>
      <c r="Q1485" t="n">
        <v>0</v>
      </c>
      <c r="R1485" s="2" t="inlineStr"/>
    </row>
    <row r="1486" ht="15" customHeight="1">
      <c r="A1486" t="inlineStr">
        <is>
          <t>A 15260-2025</t>
        </is>
      </c>
      <c r="B1486" s="1" t="n">
        <v>45744.65659722222</v>
      </c>
      <c r="C1486" s="1" t="n">
        <v>45998</v>
      </c>
      <c r="D1486" t="inlineStr">
        <is>
          <t>VÄSTERNORRLANDS LÄN</t>
        </is>
      </c>
      <c r="E1486" t="inlineStr">
        <is>
          <t>SOLLEFTEÅ</t>
        </is>
      </c>
      <c r="F1486" t="inlineStr">
        <is>
          <t>SCA</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50549-2024</t>
        </is>
      </c>
      <c r="B1487" s="1" t="n">
        <v>45601</v>
      </c>
      <c r="C1487" s="1" t="n">
        <v>45998</v>
      </c>
      <c r="D1487" t="inlineStr">
        <is>
          <t>VÄSTERNORRLANDS LÄN</t>
        </is>
      </c>
      <c r="E1487" t="inlineStr">
        <is>
          <t>SOLLEFTEÅ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50624-2024</t>
        </is>
      </c>
      <c r="B1488" s="1" t="n">
        <v>45601.65728009259</v>
      </c>
      <c r="C1488" s="1" t="n">
        <v>45998</v>
      </c>
      <c r="D1488" t="inlineStr">
        <is>
          <t>VÄSTERNORRLANDS LÄN</t>
        </is>
      </c>
      <c r="E1488" t="inlineStr">
        <is>
          <t>SOLLEFTEÅ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11711-2025</t>
        </is>
      </c>
      <c r="B1489" s="1" t="n">
        <v>45727.59398148148</v>
      </c>
      <c r="C1489" s="1" t="n">
        <v>45998</v>
      </c>
      <c r="D1489" t="inlineStr">
        <is>
          <t>VÄSTERNORRLANDS LÄN</t>
        </is>
      </c>
      <c r="E1489" t="inlineStr">
        <is>
          <t>SOLLEFTEÅ</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56311-2023</t>
        </is>
      </c>
      <c r="B1490" s="1" t="n">
        <v>45242.94203703704</v>
      </c>
      <c r="C1490" s="1" t="n">
        <v>45998</v>
      </c>
      <c r="D1490" t="inlineStr">
        <is>
          <t>VÄSTERNORRLANDS LÄN</t>
        </is>
      </c>
      <c r="E1490" t="inlineStr">
        <is>
          <t>SOLLEFTEÅ</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57394-2023</t>
        </is>
      </c>
      <c r="B1491" s="1" t="n">
        <v>45245.96774305555</v>
      </c>
      <c r="C1491" s="1" t="n">
        <v>45998</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34878-2024</t>
        </is>
      </c>
      <c r="B1492" s="1" t="n">
        <v>45527</v>
      </c>
      <c r="C1492" s="1" t="n">
        <v>45998</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55759-2024</t>
        </is>
      </c>
      <c r="B1493" s="1" t="n">
        <v>45623.3647337963</v>
      </c>
      <c r="C1493" s="1" t="n">
        <v>45998</v>
      </c>
      <c r="D1493" t="inlineStr">
        <is>
          <t>VÄSTERNORRLANDS LÄN</t>
        </is>
      </c>
      <c r="E1493" t="inlineStr">
        <is>
          <t>SOLLEFTEÅ</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56388-2024</t>
        </is>
      </c>
      <c r="B1494" s="1" t="n">
        <v>45625.34449074074</v>
      </c>
      <c r="C1494" s="1" t="n">
        <v>45998</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57892-2024</t>
        </is>
      </c>
      <c r="B1495" s="1" t="n">
        <v>45631.46910879629</v>
      </c>
      <c r="C1495" s="1" t="n">
        <v>45998</v>
      </c>
      <c r="D1495" t="inlineStr">
        <is>
          <t>VÄSTERNORRLANDS LÄN</t>
        </is>
      </c>
      <c r="E1495" t="inlineStr">
        <is>
          <t>SOLLEFTEÅ</t>
        </is>
      </c>
      <c r="F1495" t="inlineStr">
        <is>
          <t>SCA</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20223-2024</t>
        </is>
      </c>
      <c r="B1496" s="1" t="n">
        <v>45434</v>
      </c>
      <c r="C1496" s="1" t="n">
        <v>45998</v>
      </c>
      <c r="D1496" t="inlineStr">
        <is>
          <t>VÄSTERNORRLANDS LÄN</t>
        </is>
      </c>
      <c r="E1496" t="inlineStr">
        <is>
          <t>SOLLEFTEÅ</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51227-2024</t>
        </is>
      </c>
      <c r="B1497" s="1" t="n">
        <v>45603.65729166667</v>
      </c>
      <c r="C1497" s="1" t="n">
        <v>45998</v>
      </c>
      <c r="D1497" t="inlineStr">
        <is>
          <t>VÄSTERNORRLANDS LÄN</t>
        </is>
      </c>
      <c r="E1497" t="inlineStr">
        <is>
          <t>SOLLEFTEÅ</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9967-2025</t>
        </is>
      </c>
      <c r="B1498" s="1" t="n">
        <v>45719.37890046297</v>
      </c>
      <c r="C1498" s="1" t="n">
        <v>45998</v>
      </c>
      <c r="D1498" t="inlineStr">
        <is>
          <t>VÄSTERNORRLANDS LÄN</t>
        </is>
      </c>
      <c r="E1498" t="inlineStr">
        <is>
          <t>SOLLEFTEÅ</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60831-2024</t>
        </is>
      </c>
      <c r="B1499" s="1" t="n">
        <v>45644</v>
      </c>
      <c r="C1499" s="1" t="n">
        <v>45998</v>
      </c>
      <c r="D1499" t="inlineStr">
        <is>
          <t>VÄSTERNORRLANDS LÄN</t>
        </is>
      </c>
      <c r="E1499" t="inlineStr">
        <is>
          <t>SOLLEFTEÅ</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14097-2025</t>
        </is>
      </c>
      <c r="B1500" s="1" t="n">
        <v>45740.44875</v>
      </c>
      <c r="C1500" s="1" t="n">
        <v>45998</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23160-2025</t>
        </is>
      </c>
      <c r="B1501" s="1" t="n">
        <v>45791.40760416666</v>
      </c>
      <c r="C1501" s="1" t="n">
        <v>45998</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34376-2024</t>
        </is>
      </c>
      <c r="B1502" s="1" t="n">
        <v>45525</v>
      </c>
      <c r="C1502" s="1" t="n">
        <v>45998</v>
      </c>
      <c r="D1502" t="inlineStr">
        <is>
          <t>VÄSTERNORRLANDS LÄN</t>
        </is>
      </c>
      <c r="E1502" t="inlineStr">
        <is>
          <t>SOLLEFTEÅ</t>
        </is>
      </c>
      <c r="F1502" t="inlineStr">
        <is>
          <t>Övriga statliga verk och myndigheter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35703-2025</t>
        </is>
      </c>
      <c r="B1503" s="1" t="n">
        <v>45860.36497685185</v>
      </c>
      <c r="C1503" s="1" t="n">
        <v>45998</v>
      </c>
      <c r="D1503" t="inlineStr">
        <is>
          <t>VÄSTERNORRLANDS LÄN</t>
        </is>
      </c>
      <c r="E1503" t="inlineStr">
        <is>
          <t>SOLLEFTEÅ</t>
        </is>
      </c>
      <c r="F1503" t="inlineStr">
        <is>
          <t>SCA</t>
        </is>
      </c>
      <c r="G1503" t="n">
        <v>16.5</v>
      </c>
      <c r="H1503" t="n">
        <v>0</v>
      </c>
      <c r="I1503" t="n">
        <v>0</v>
      </c>
      <c r="J1503" t="n">
        <v>0</v>
      </c>
      <c r="K1503" t="n">
        <v>0</v>
      </c>
      <c r="L1503" t="n">
        <v>0</v>
      </c>
      <c r="M1503" t="n">
        <v>0</v>
      </c>
      <c r="N1503" t="n">
        <v>0</v>
      </c>
      <c r="O1503" t="n">
        <v>0</v>
      </c>
      <c r="P1503" t="n">
        <v>0</v>
      </c>
      <c r="Q1503" t="n">
        <v>0</v>
      </c>
      <c r="R1503" s="2" t="inlineStr"/>
    </row>
    <row r="1504" ht="15" customHeight="1">
      <c r="A1504" t="inlineStr">
        <is>
          <t>A 35704-2025</t>
        </is>
      </c>
      <c r="B1504" s="1" t="n">
        <v>45860.36518518518</v>
      </c>
      <c r="C1504" s="1" t="n">
        <v>45998</v>
      </c>
      <c r="D1504" t="inlineStr">
        <is>
          <t>VÄSTERNORRLANDS LÄN</t>
        </is>
      </c>
      <c r="E1504" t="inlineStr">
        <is>
          <t>SOLLEFTEÅ</t>
        </is>
      </c>
      <c r="F1504" t="inlineStr">
        <is>
          <t>SCA</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20550-2025</t>
        </is>
      </c>
      <c r="B1505" s="1" t="n">
        <v>45775.6360300926</v>
      </c>
      <c r="C1505" s="1" t="n">
        <v>45998</v>
      </c>
      <c r="D1505" t="inlineStr">
        <is>
          <t>VÄSTERNORRLANDS LÄN</t>
        </is>
      </c>
      <c r="E1505" t="inlineStr">
        <is>
          <t>SOLLEFTEÅ</t>
        </is>
      </c>
      <c r="F1505" t="inlineStr">
        <is>
          <t>SCA</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19145-2025</t>
        </is>
      </c>
      <c r="B1506" s="1" t="n">
        <v>45769.34452546296</v>
      </c>
      <c r="C1506" s="1" t="n">
        <v>45998</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22446-2025</t>
        </is>
      </c>
      <c r="B1507" s="1" t="n">
        <v>45786.59439814815</v>
      </c>
      <c r="C1507" s="1" t="n">
        <v>45998</v>
      </c>
      <c r="D1507" t="inlineStr">
        <is>
          <t>VÄSTERNORRLANDS LÄN</t>
        </is>
      </c>
      <c r="E1507" t="inlineStr">
        <is>
          <t>SOLLEFTEÅ</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14982-2024</t>
        </is>
      </c>
      <c r="B1508" s="1" t="n">
        <v>45398.94193287037</v>
      </c>
      <c r="C1508" s="1" t="n">
        <v>45998</v>
      </c>
      <c r="D1508" t="inlineStr">
        <is>
          <t>VÄSTERNORRLANDS LÄN</t>
        </is>
      </c>
      <c r="E1508" t="inlineStr">
        <is>
          <t>SOLLEFTEÅ</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35924-2025</t>
        </is>
      </c>
      <c r="B1509" s="1" t="n">
        <v>45862.57326388889</v>
      </c>
      <c r="C1509" s="1" t="n">
        <v>45998</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6065-2024</t>
        </is>
      </c>
      <c r="B1510" s="1" t="n">
        <v>45336.87826388889</v>
      </c>
      <c r="C1510" s="1" t="n">
        <v>45998</v>
      </c>
      <c r="D1510" t="inlineStr">
        <is>
          <t>VÄSTERNORRLANDS LÄN</t>
        </is>
      </c>
      <c r="E1510" t="inlineStr">
        <is>
          <t>SOLLEFTEÅ</t>
        </is>
      </c>
      <c r="F1510" t="inlineStr">
        <is>
          <t>Övriga Aktiebolag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57922-2024</t>
        </is>
      </c>
      <c r="B1511" s="1" t="n">
        <v>45631.5107175926</v>
      </c>
      <c r="C1511" s="1" t="n">
        <v>45998</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31451-2025</t>
        </is>
      </c>
      <c r="B1512" s="1" t="n">
        <v>45833.53167824074</v>
      </c>
      <c r="C1512" s="1" t="n">
        <v>45998</v>
      </c>
      <c r="D1512" t="inlineStr">
        <is>
          <t>VÄSTERNORRLANDS LÄN</t>
        </is>
      </c>
      <c r="E1512" t="inlineStr">
        <is>
          <t>SOLLEFTEÅ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35807-2025</t>
        </is>
      </c>
      <c r="B1513" s="1" t="n">
        <v>45861.40663194445</v>
      </c>
      <c r="C1513" s="1" t="n">
        <v>45998</v>
      </c>
      <c r="D1513" t="inlineStr">
        <is>
          <t>VÄSTERNORRLANDS LÄN</t>
        </is>
      </c>
      <c r="E1513" t="inlineStr">
        <is>
          <t>SOLLEFTEÅ</t>
        </is>
      </c>
      <c r="F1513" t="inlineStr">
        <is>
          <t>SCA</t>
        </is>
      </c>
      <c r="G1513" t="n">
        <v>16.7</v>
      </c>
      <c r="H1513" t="n">
        <v>0</v>
      </c>
      <c r="I1513" t="n">
        <v>0</v>
      </c>
      <c r="J1513" t="n">
        <v>0</v>
      </c>
      <c r="K1513" t="n">
        <v>0</v>
      </c>
      <c r="L1513" t="n">
        <v>0</v>
      </c>
      <c r="M1513" t="n">
        <v>0</v>
      </c>
      <c r="N1513" t="n">
        <v>0</v>
      </c>
      <c r="O1513" t="n">
        <v>0</v>
      </c>
      <c r="P1513" t="n">
        <v>0</v>
      </c>
      <c r="Q1513" t="n">
        <v>0</v>
      </c>
      <c r="R1513" s="2" t="inlineStr"/>
    </row>
    <row r="1514" ht="15" customHeight="1">
      <c r="A1514" t="inlineStr">
        <is>
          <t>A 14730-2025</t>
        </is>
      </c>
      <c r="B1514" s="1" t="n">
        <v>45742.63587962963</v>
      </c>
      <c r="C1514" s="1" t="n">
        <v>45998</v>
      </c>
      <c r="D1514" t="inlineStr">
        <is>
          <t>VÄSTERNORRLANDS LÄN</t>
        </is>
      </c>
      <c r="E1514" t="inlineStr">
        <is>
          <t>SOLLEFTEÅ</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33495-2025</t>
        </is>
      </c>
      <c r="B1515" s="1" t="n">
        <v>45841</v>
      </c>
      <c r="C1515" s="1" t="n">
        <v>45998</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36068-2025</t>
        </is>
      </c>
      <c r="B1516" s="1" t="n">
        <v>45866.42752314815</v>
      </c>
      <c r="C1516" s="1" t="n">
        <v>45998</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33496-2025</t>
        </is>
      </c>
      <c r="B1517" s="1" t="n">
        <v>45841</v>
      </c>
      <c r="C1517" s="1" t="n">
        <v>45998</v>
      </c>
      <c r="D1517" t="inlineStr">
        <is>
          <t>VÄSTERNORRLANDS LÄN</t>
        </is>
      </c>
      <c r="E1517" t="inlineStr">
        <is>
          <t>SOLLEFTEÅ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36135-2025</t>
        </is>
      </c>
      <c r="B1518" s="1" t="n">
        <v>45866.63594907407</v>
      </c>
      <c r="C1518" s="1" t="n">
        <v>45998</v>
      </c>
      <c r="D1518" t="inlineStr">
        <is>
          <t>VÄSTERNORRLANDS LÄN</t>
        </is>
      </c>
      <c r="E1518" t="inlineStr">
        <is>
          <t>SOLLEFTEÅ</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22184-2025</t>
        </is>
      </c>
      <c r="B1519" s="1" t="n">
        <v>45785.61679398148</v>
      </c>
      <c r="C1519" s="1" t="n">
        <v>45998</v>
      </c>
      <c r="D1519" t="inlineStr">
        <is>
          <t>VÄSTERNORRLANDS LÄN</t>
        </is>
      </c>
      <c r="E1519" t="inlineStr">
        <is>
          <t>SOLLEFTEÅ</t>
        </is>
      </c>
      <c r="F1519" t="inlineStr">
        <is>
          <t>SCA</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36095-2025</t>
        </is>
      </c>
      <c r="B1520" s="1" t="n">
        <v>45866.49006944444</v>
      </c>
      <c r="C1520" s="1" t="n">
        <v>45998</v>
      </c>
      <c r="D1520" t="inlineStr">
        <is>
          <t>VÄSTERNORRLANDS LÄN</t>
        </is>
      </c>
      <c r="E1520" t="inlineStr">
        <is>
          <t>SOLLEFTEÅ</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29125-2025</t>
        </is>
      </c>
      <c r="B1521" s="1" t="n">
        <v>45821.59459490741</v>
      </c>
      <c r="C1521" s="1" t="n">
        <v>45998</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36063-2025</t>
        </is>
      </c>
      <c r="B1522" s="1" t="n">
        <v>45866</v>
      </c>
      <c r="C1522" s="1" t="n">
        <v>45998</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36064-2025</t>
        </is>
      </c>
      <c r="B1523" s="1" t="n">
        <v>45866</v>
      </c>
      <c r="C1523" s="1" t="n">
        <v>45998</v>
      </c>
      <c r="D1523" t="inlineStr">
        <is>
          <t>VÄSTERNORRLANDS LÄN</t>
        </is>
      </c>
      <c r="E1523" t="inlineStr">
        <is>
          <t>SOLLEFTEÅ</t>
        </is>
      </c>
      <c r="F1523" t="inlineStr">
        <is>
          <t>SCA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29860-2025</t>
        </is>
      </c>
      <c r="B1524" s="1" t="n">
        <v>45826.34638888889</v>
      </c>
      <c r="C1524" s="1" t="n">
        <v>45998</v>
      </c>
      <c r="D1524" t="inlineStr">
        <is>
          <t>VÄSTERNORRLANDS LÄN</t>
        </is>
      </c>
      <c r="E1524" t="inlineStr">
        <is>
          <t>SOLLEFTEÅ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38493-2025</t>
        </is>
      </c>
      <c r="B1525" s="1" t="n">
        <v>45884.36516203704</v>
      </c>
      <c r="C1525" s="1" t="n">
        <v>45998</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22211-2025</t>
        </is>
      </c>
      <c r="B1526" s="1" t="n">
        <v>45785.65752314815</v>
      </c>
      <c r="C1526" s="1" t="n">
        <v>45998</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36373-2025</t>
        </is>
      </c>
      <c r="B1527" s="1" t="n">
        <v>45868.55256944444</v>
      </c>
      <c r="C1527" s="1" t="n">
        <v>45998</v>
      </c>
      <c r="D1527" t="inlineStr">
        <is>
          <t>VÄSTERNORRLANDS LÄN</t>
        </is>
      </c>
      <c r="E1527" t="inlineStr">
        <is>
          <t>SOLLEFTEÅ</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36324-2025</t>
        </is>
      </c>
      <c r="B1528" s="1" t="n">
        <v>45868.40707175926</v>
      </c>
      <c r="C1528" s="1" t="n">
        <v>45998</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36224-2025</t>
        </is>
      </c>
      <c r="B1529" s="1" t="n">
        <v>45867.51116898148</v>
      </c>
      <c r="C1529" s="1" t="n">
        <v>45998</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36300-2025</t>
        </is>
      </c>
      <c r="B1530" s="1" t="n">
        <v>45867.6984375</v>
      </c>
      <c r="C1530" s="1" t="n">
        <v>45998</v>
      </c>
      <c r="D1530" t="inlineStr">
        <is>
          <t>VÄSTERNORRLANDS LÄN</t>
        </is>
      </c>
      <c r="E1530" t="inlineStr">
        <is>
          <t>SOLLEFTEÅ</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36312-2025</t>
        </is>
      </c>
      <c r="B1531" s="1" t="n">
        <v>45868.34444444445</v>
      </c>
      <c r="C1531" s="1" t="n">
        <v>45998</v>
      </c>
      <c r="D1531" t="inlineStr">
        <is>
          <t>VÄSTERNORRLANDS LÄN</t>
        </is>
      </c>
      <c r="E1531" t="inlineStr">
        <is>
          <t>SOLLEFTEÅ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22036-2025</t>
        </is>
      </c>
      <c r="B1532" s="1" t="n">
        <v>45785.31820601852</v>
      </c>
      <c r="C1532" s="1" t="n">
        <v>45998</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36274-2025</t>
        </is>
      </c>
      <c r="B1533" s="1" t="n">
        <v>45867.63579861111</v>
      </c>
      <c r="C1533" s="1" t="n">
        <v>45998</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36313-2025</t>
        </is>
      </c>
      <c r="B1534" s="1" t="n">
        <v>45868.34456018519</v>
      </c>
      <c r="C1534" s="1" t="n">
        <v>45998</v>
      </c>
      <c r="D1534" t="inlineStr">
        <is>
          <t>VÄSTERNORRLANDS LÄN</t>
        </is>
      </c>
      <c r="E1534" t="inlineStr">
        <is>
          <t>SOLLEFTEÅ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11026-2025</t>
        </is>
      </c>
      <c r="B1535" s="1" t="n">
        <v>45723.46961805555</v>
      </c>
      <c r="C1535" s="1" t="n">
        <v>45998</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36558-2025</t>
        </is>
      </c>
      <c r="B1536" s="1" t="n">
        <v>45870.35769675926</v>
      </c>
      <c r="C1536" s="1" t="n">
        <v>45998</v>
      </c>
      <c r="D1536" t="inlineStr">
        <is>
          <t>VÄSTERNORRLANDS LÄN</t>
        </is>
      </c>
      <c r="E1536" t="inlineStr">
        <is>
          <t>SOLLEFTEÅ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36561-2025</t>
        </is>
      </c>
      <c r="B1537" s="1" t="n">
        <v>45870.36722222222</v>
      </c>
      <c r="C1537" s="1" t="n">
        <v>45998</v>
      </c>
      <c r="D1537" t="inlineStr">
        <is>
          <t>VÄSTERNORRLANDS LÄN</t>
        </is>
      </c>
      <c r="E1537" t="inlineStr">
        <is>
          <t>SOLLEFTEÅ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36571-2025</t>
        </is>
      </c>
      <c r="B1538" s="1" t="n">
        <v>45870.38778935185</v>
      </c>
      <c r="C1538" s="1" t="n">
        <v>45998</v>
      </c>
      <c r="D1538" t="inlineStr">
        <is>
          <t>VÄSTERNORRLANDS LÄN</t>
        </is>
      </c>
      <c r="E1538" t="inlineStr">
        <is>
          <t>SOLLEFTEÅ</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22205-2025</t>
        </is>
      </c>
      <c r="B1539" s="1" t="n">
        <v>45785.65686342592</v>
      </c>
      <c r="C1539" s="1" t="n">
        <v>45998</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36545-2025</t>
        </is>
      </c>
      <c r="B1540" s="1" t="n">
        <v>45869.67761574074</v>
      </c>
      <c r="C1540" s="1" t="n">
        <v>45998</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36432-2025</t>
        </is>
      </c>
      <c r="B1541" s="1" t="n">
        <v>45869.36505787037</v>
      </c>
      <c r="C1541" s="1" t="n">
        <v>45998</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38271-2025</t>
        </is>
      </c>
      <c r="B1542" s="1" t="n">
        <v>45883.4071412037</v>
      </c>
      <c r="C1542" s="1" t="n">
        <v>45998</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36567-2025</t>
        </is>
      </c>
      <c r="B1543" s="1" t="n">
        <v>45870.38320601852</v>
      </c>
      <c r="C1543" s="1" t="n">
        <v>45998</v>
      </c>
      <c r="D1543" t="inlineStr">
        <is>
          <t>VÄSTERNORRLANDS LÄN</t>
        </is>
      </c>
      <c r="E1543" t="inlineStr">
        <is>
          <t>SOLLEFTEÅ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27943-2022</t>
        </is>
      </c>
      <c r="B1544" s="1" t="n">
        <v>44743</v>
      </c>
      <c r="C1544" s="1" t="n">
        <v>45998</v>
      </c>
      <c r="D1544" t="inlineStr">
        <is>
          <t>VÄSTERNORRLANDS LÄN</t>
        </is>
      </c>
      <c r="E1544" t="inlineStr">
        <is>
          <t>SOLLEFTEÅ</t>
        </is>
      </c>
      <c r="F1544" t="inlineStr">
        <is>
          <t>SCA</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22207-2025</t>
        </is>
      </c>
      <c r="B1545" s="1" t="n">
        <v>45785.65710648148</v>
      </c>
      <c r="C1545" s="1" t="n">
        <v>45998</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31395-2025</t>
        </is>
      </c>
      <c r="B1546" s="1" t="n">
        <v>45833.46438657407</v>
      </c>
      <c r="C1546" s="1" t="n">
        <v>45998</v>
      </c>
      <c r="D1546" t="inlineStr">
        <is>
          <t>VÄSTERNORRLANDS LÄN</t>
        </is>
      </c>
      <c r="E1546" t="inlineStr">
        <is>
          <t>SOLLEFTEÅ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38560-2025</t>
        </is>
      </c>
      <c r="B1547" s="1" t="n">
        <v>45884.44844907407</v>
      </c>
      <c r="C1547" s="1" t="n">
        <v>45998</v>
      </c>
      <c r="D1547" t="inlineStr">
        <is>
          <t>VÄSTERNORRLANDS LÄN</t>
        </is>
      </c>
      <c r="E1547" t="inlineStr">
        <is>
          <t>SOLLEFTEÅ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22390-2025</t>
        </is>
      </c>
      <c r="B1548" s="1" t="n">
        <v>45786.51107638889</v>
      </c>
      <c r="C1548" s="1" t="n">
        <v>45998</v>
      </c>
      <c r="D1548" t="inlineStr">
        <is>
          <t>VÄSTERNORRLANDS LÄN</t>
        </is>
      </c>
      <c r="E1548" t="inlineStr">
        <is>
          <t>SOLLEFTEÅ</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22218-2025</t>
        </is>
      </c>
      <c r="B1549" s="1" t="n">
        <v>45785.65840277778</v>
      </c>
      <c r="C1549" s="1" t="n">
        <v>45998</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36967-2025</t>
        </is>
      </c>
      <c r="B1550" s="1" t="n">
        <v>45874.63642361111</v>
      </c>
      <c r="C1550" s="1" t="n">
        <v>45998</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50864-2024</t>
        </is>
      </c>
      <c r="B1551" s="1" t="n">
        <v>45602.63653935185</v>
      </c>
      <c r="C1551" s="1" t="n">
        <v>45998</v>
      </c>
      <c r="D1551" t="inlineStr">
        <is>
          <t>VÄSTERNORRLANDS LÄN</t>
        </is>
      </c>
      <c r="E1551" t="inlineStr">
        <is>
          <t>SOLLEFTEÅ</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38053-2024</t>
        </is>
      </c>
      <c r="B1552" s="1" t="n">
        <v>45544.71903935185</v>
      </c>
      <c r="C1552" s="1" t="n">
        <v>45998</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36065-2025</t>
        </is>
      </c>
      <c r="B1553" s="1" t="n">
        <v>45866</v>
      </c>
      <c r="C1553" s="1" t="n">
        <v>45998</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38240-2025</t>
        </is>
      </c>
      <c r="B1554" s="1" t="n">
        <v>45883.36532407408</v>
      </c>
      <c r="C1554" s="1" t="n">
        <v>45998</v>
      </c>
      <c r="D1554" t="inlineStr">
        <is>
          <t>VÄSTERNORRLANDS LÄN</t>
        </is>
      </c>
      <c r="E1554" t="inlineStr">
        <is>
          <t>SOLLEFTEÅ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36927-2025</t>
        </is>
      </c>
      <c r="B1555" s="1" t="n">
        <v>45874.55273148148</v>
      </c>
      <c r="C1555" s="1" t="n">
        <v>45998</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22046-2025</t>
        </is>
      </c>
      <c r="B1556" s="1" t="n">
        <v>45785.34412037037</v>
      </c>
      <c r="C1556" s="1" t="n">
        <v>45998</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22106-2025</t>
        </is>
      </c>
      <c r="B1557" s="1" t="n">
        <v>45785.48988425926</v>
      </c>
      <c r="C1557" s="1" t="n">
        <v>45998</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36966-2025</t>
        </is>
      </c>
      <c r="B1558" s="1" t="n">
        <v>45874.63614583333</v>
      </c>
      <c r="C1558" s="1" t="n">
        <v>45998</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38768-2024</t>
        </is>
      </c>
      <c r="B1559" s="1" t="n">
        <v>45547.44892361111</v>
      </c>
      <c r="C1559" s="1" t="n">
        <v>45998</v>
      </c>
      <c r="D1559" t="inlineStr">
        <is>
          <t>VÄSTERNORRLANDS LÄN</t>
        </is>
      </c>
      <c r="E1559" t="inlineStr">
        <is>
          <t>SOLLEFTEÅ</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36850-2025</t>
        </is>
      </c>
      <c r="B1560" s="1" t="n">
        <v>45874.39098379629</v>
      </c>
      <c r="C1560" s="1" t="n">
        <v>45998</v>
      </c>
      <c r="D1560" t="inlineStr">
        <is>
          <t>VÄSTERNORRLANDS LÄN</t>
        </is>
      </c>
      <c r="E1560" t="inlineStr">
        <is>
          <t>SOLLEFTEÅ</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22704-2025</t>
        </is>
      </c>
      <c r="B1561" s="1" t="n">
        <v>45789.55251157407</v>
      </c>
      <c r="C1561" s="1" t="n">
        <v>45998</v>
      </c>
      <c r="D1561" t="inlineStr">
        <is>
          <t>VÄSTERNORRLANDS LÄN</t>
        </is>
      </c>
      <c r="E1561" t="inlineStr">
        <is>
          <t>SOLLEFTEÅ</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30464-2024</t>
        </is>
      </c>
      <c r="B1562" s="1" t="n">
        <v>45491.94599537037</v>
      </c>
      <c r="C1562" s="1" t="n">
        <v>45998</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30466-2024</t>
        </is>
      </c>
      <c r="B1563" s="1" t="n">
        <v>45491.94641203704</v>
      </c>
      <c r="C1563" s="1" t="n">
        <v>45998</v>
      </c>
      <c r="D1563" t="inlineStr">
        <is>
          <t>VÄSTERNORRLANDS LÄN</t>
        </is>
      </c>
      <c r="E1563" t="inlineStr">
        <is>
          <t>SOLLEFTEÅ</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73564-2021</t>
        </is>
      </c>
      <c r="B1564" s="1" t="n">
        <v>44551.9409375</v>
      </c>
      <c r="C1564" s="1" t="n">
        <v>45998</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26172-2024</t>
        </is>
      </c>
      <c r="B1565" s="1" t="n">
        <v>45468</v>
      </c>
      <c r="C1565" s="1" t="n">
        <v>45998</v>
      </c>
      <c r="D1565" t="inlineStr">
        <is>
          <t>VÄSTERNORRLANDS LÄN</t>
        </is>
      </c>
      <c r="E1565" t="inlineStr">
        <is>
          <t>SOLLEFTEÅ</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22615-2025</t>
        </is>
      </c>
      <c r="B1566" s="1" t="n">
        <v>45789.42741898148</v>
      </c>
      <c r="C1566" s="1" t="n">
        <v>45998</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36968-2025</t>
        </is>
      </c>
      <c r="B1567" s="1" t="n">
        <v>45874.63667824074</v>
      </c>
      <c r="C1567" s="1" t="n">
        <v>45998</v>
      </c>
      <c r="D1567" t="inlineStr">
        <is>
          <t>VÄSTERNORRLANDS LÄN</t>
        </is>
      </c>
      <c r="E1567" t="inlineStr">
        <is>
          <t>SOLLEFTEÅ</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41028-2024</t>
        </is>
      </c>
      <c r="B1568" s="1" t="n">
        <v>45559.34466435185</v>
      </c>
      <c r="C1568" s="1" t="n">
        <v>45998</v>
      </c>
      <c r="D1568" t="inlineStr">
        <is>
          <t>VÄSTERNORRLANDS LÄN</t>
        </is>
      </c>
      <c r="E1568" t="inlineStr">
        <is>
          <t>SOLLEFTEÅ</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56408-2024</t>
        </is>
      </c>
      <c r="B1569" s="1" t="n">
        <v>45625</v>
      </c>
      <c r="C1569" s="1" t="n">
        <v>45998</v>
      </c>
      <c r="D1569" t="inlineStr">
        <is>
          <t>VÄSTERNORRLANDS LÄN</t>
        </is>
      </c>
      <c r="E1569" t="inlineStr">
        <is>
          <t>SOLLEFTEÅ</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38562-2025</t>
        </is>
      </c>
      <c r="B1570" s="1" t="n">
        <v>45884.44865740741</v>
      </c>
      <c r="C1570" s="1" t="n">
        <v>45998</v>
      </c>
      <c r="D1570" t="inlineStr">
        <is>
          <t>VÄSTERNORRLANDS LÄN</t>
        </is>
      </c>
      <c r="E1570" t="inlineStr">
        <is>
          <t>SOLLEFTEÅ</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22767-2025</t>
        </is>
      </c>
      <c r="B1571" s="1" t="n">
        <v>45789.63309027778</v>
      </c>
      <c r="C1571" s="1" t="n">
        <v>45998</v>
      </c>
      <c r="D1571" t="inlineStr">
        <is>
          <t>VÄSTERNORRLANDS LÄN</t>
        </is>
      </c>
      <c r="E1571" t="inlineStr">
        <is>
          <t>SOLLEFTEÅ</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36928-2025</t>
        </is>
      </c>
      <c r="B1572" s="1" t="n">
        <v>45874.55299768518</v>
      </c>
      <c r="C1572" s="1" t="n">
        <v>45998</v>
      </c>
      <c r="D1572" t="inlineStr">
        <is>
          <t>VÄSTERNORRLANDS LÄN</t>
        </is>
      </c>
      <c r="E1572" t="inlineStr">
        <is>
          <t>SOLLEFTEÅ</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40211-2024</t>
        </is>
      </c>
      <c r="B1573" s="1" t="n">
        <v>45554.59435185185</v>
      </c>
      <c r="C1573" s="1" t="n">
        <v>45998</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15872-2024</t>
        </is>
      </c>
      <c r="B1574" s="1" t="n">
        <v>45405</v>
      </c>
      <c r="C1574" s="1" t="n">
        <v>45998</v>
      </c>
      <c r="D1574" t="inlineStr">
        <is>
          <t>VÄSTERNORRLANDS LÄN</t>
        </is>
      </c>
      <c r="E1574" t="inlineStr">
        <is>
          <t>SOLLEFTEÅ</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1858-2021</t>
        </is>
      </c>
      <c r="B1575" s="1" t="n">
        <v>44210</v>
      </c>
      <c r="C1575" s="1" t="n">
        <v>45998</v>
      </c>
      <c r="D1575" t="inlineStr">
        <is>
          <t>VÄSTERNORRLANDS LÄN</t>
        </is>
      </c>
      <c r="E1575" t="inlineStr">
        <is>
          <t>SOLLEFTEÅ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22815-2025</t>
        </is>
      </c>
      <c r="B1576" s="1" t="n">
        <v>45789.69826388889</v>
      </c>
      <c r="C1576" s="1" t="n">
        <v>45998</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38220-2025</t>
        </is>
      </c>
      <c r="B1577" s="1" t="n">
        <v>45883.34418981482</v>
      </c>
      <c r="C1577" s="1" t="n">
        <v>45998</v>
      </c>
      <c r="D1577" t="inlineStr">
        <is>
          <t>VÄSTERNORRLANDS LÄN</t>
        </is>
      </c>
      <c r="E1577" t="inlineStr">
        <is>
          <t>SOLLEFTEÅ</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59038-2022</t>
        </is>
      </c>
      <c r="B1578" s="1" t="n">
        <v>44903.9496412037</v>
      </c>
      <c r="C1578" s="1" t="n">
        <v>45998</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37019-2025</t>
        </is>
      </c>
      <c r="B1579" s="1" t="n">
        <v>45874</v>
      </c>
      <c r="C1579" s="1" t="n">
        <v>45998</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37018-2025</t>
        </is>
      </c>
      <c r="B1580" s="1" t="n">
        <v>45874</v>
      </c>
      <c r="C1580" s="1" t="n">
        <v>45998</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34560-2024</t>
        </is>
      </c>
      <c r="B1581" s="1" t="n">
        <v>45526.31116898148</v>
      </c>
      <c r="C1581" s="1" t="n">
        <v>45998</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37053-2025</t>
        </is>
      </c>
      <c r="B1582" s="1" t="n">
        <v>45875.36493055556</v>
      </c>
      <c r="C1582" s="1" t="n">
        <v>45998</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37242-2025</t>
        </is>
      </c>
      <c r="B1583" s="1" t="n">
        <v>45876.38614583333</v>
      </c>
      <c r="C1583" s="1" t="n">
        <v>45998</v>
      </c>
      <c r="D1583" t="inlineStr">
        <is>
          <t>VÄSTERNORRLANDS LÄN</t>
        </is>
      </c>
      <c r="E1583" t="inlineStr">
        <is>
          <t>SOLLEFTEÅ</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38561-2025</t>
        </is>
      </c>
      <c r="B1584" s="1" t="n">
        <v>45884.44849537037</v>
      </c>
      <c r="C1584" s="1" t="n">
        <v>45998</v>
      </c>
      <c r="D1584" t="inlineStr">
        <is>
          <t>VÄSTERNORRLANDS LÄN</t>
        </is>
      </c>
      <c r="E1584" t="inlineStr">
        <is>
          <t>SOLLEFTEÅ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37084-2025</t>
        </is>
      </c>
      <c r="B1585" s="1" t="n">
        <v>45875.44826388889</v>
      </c>
      <c r="C1585" s="1" t="n">
        <v>45998</v>
      </c>
      <c r="D1585" t="inlineStr">
        <is>
          <t>VÄSTERNORRLANDS LÄN</t>
        </is>
      </c>
      <c r="E1585" t="inlineStr">
        <is>
          <t>SOLLEFTEÅ</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38330-2025</t>
        </is>
      </c>
      <c r="B1586" s="1" t="n">
        <v>45883.49123842592</v>
      </c>
      <c r="C1586" s="1" t="n">
        <v>45998</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22737-2025</t>
        </is>
      </c>
      <c r="B1587" s="1" t="n">
        <v>45789.59130787037</v>
      </c>
      <c r="C1587" s="1" t="n">
        <v>45998</v>
      </c>
      <c r="D1587" t="inlineStr">
        <is>
          <t>VÄSTERNORRLANDS LÄN</t>
        </is>
      </c>
      <c r="E1587" t="inlineStr">
        <is>
          <t>SOLLEFTEÅ</t>
        </is>
      </c>
      <c r="G1587" t="n">
        <v>15.6</v>
      </c>
      <c r="H1587" t="n">
        <v>0</v>
      </c>
      <c r="I1587" t="n">
        <v>0</v>
      </c>
      <c r="J1587" t="n">
        <v>0</v>
      </c>
      <c r="K1587" t="n">
        <v>0</v>
      </c>
      <c r="L1587" t="n">
        <v>0</v>
      </c>
      <c r="M1587" t="n">
        <v>0</v>
      </c>
      <c r="N1587" t="n">
        <v>0</v>
      </c>
      <c r="O1587" t="n">
        <v>0</v>
      </c>
      <c r="P1587" t="n">
        <v>0</v>
      </c>
      <c r="Q1587" t="n">
        <v>0</v>
      </c>
      <c r="R1587" s="2" t="inlineStr"/>
    </row>
    <row r="1588" ht="15" customHeight="1">
      <c r="A1588" t="inlineStr">
        <is>
          <t>A 34388-2024</t>
        </is>
      </c>
      <c r="B1588" s="1" t="n">
        <v>45525</v>
      </c>
      <c r="C1588" s="1" t="n">
        <v>45998</v>
      </c>
      <c r="D1588" t="inlineStr">
        <is>
          <t>VÄSTERNORRLANDS LÄN</t>
        </is>
      </c>
      <c r="E1588" t="inlineStr">
        <is>
          <t>SOLLEFTEÅ</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37278-2025</t>
        </is>
      </c>
      <c r="B1589" s="1" t="n">
        <v>45876.490625</v>
      </c>
      <c r="C1589" s="1" t="n">
        <v>45998</v>
      </c>
      <c r="D1589" t="inlineStr">
        <is>
          <t>VÄSTERNORRLANDS LÄN</t>
        </is>
      </c>
      <c r="E1589" t="inlineStr">
        <is>
          <t>SOLLEFTEÅ</t>
        </is>
      </c>
      <c r="F1589" t="inlineStr">
        <is>
          <t>SCA</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22287-2025</t>
        </is>
      </c>
      <c r="B1590" s="1" t="n">
        <v>45786.34409722222</v>
      </c>
      <c r="C1590" s="1" t="n">
        <v>45998</v>
      </c>
      <c r="D1590" t="inlineStr">
        <is>
          <t>VÄSTERNORRLANDS LÄN</t>
        </is>
      </c>
      <c r="E1590" t="inlineStr">
        <is>
          <t>SOLLEFTEÅ</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37304-2025</t>
        </is>
      </c>
      <c r="B1591" s="1" t="n">
        <v>45876.59458333333</v>
      </c>
      <c r="C1591" s="1" t="n">
        <v>45998</v>
      </c>
      <c r="D1591" t="inlineStr">
        <is>
          <t>VÄSTERNORRLANDS LÄN</t>
        </is>
      </c>
      <c r="E1591" t="inlineStr">
        <is>
          <t>SOLLEFTEÅ</t>
        </is>
      </c>
      <c r="F1591" t="inlineStr">
        <is>
          <t>SCA</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22810-2025</t>
        </is>
      </c>
      <c r="B1592" s="1" t="n">
        <v>45789.68076388889</v>
      </c>
      <c r="C1592" s="1" t="n">
        <v>45998</v>
      </c>
      <c r="D1592" t="inlineStr">
        <is>
          <t>VÄSTERNORRLANDS LÄN</t>
        </is>
      </c>
      <c r="E1592" t="inlineStr">
        <is>
          <t>SOLLEFTEÅ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38492-2025</t>
        </is>
      </c>
      <c r="B1593" s="1" t="n">
        <v>45884.36496527777</v>
      </c>
      <c r="C1593" s="1" t="n">
        <v>45998</v>
      </c>
      <c r="D1593" t="inlineStr">
        <is>
          <t>VÄSTERNORRLANDS LÄN</t>
        </is>
      </c>
      <c r="E1593" t="inlineStr">
        <is>
          <t>SOLLEFTEÅ</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22854-2025</t>
        </is>
      </c>
      <c r="B1594" s="1" t="n">
        <v>45790.34457175926</v>
      </c>
      <c r="C1594" s="1" t="n">
        <v>45998</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21089-2025</t>
        </is>
      </c>
      <c r="B1595" s="1" t="n">
        <v>45777</v>
      </c>
      <c r="C1595" s="1" t="n">
        <v>45998</v>
      </c>
      <c r="D1595" t="inlineStr">
        <is>
          <t>VÄSTERNORRLANDS LÄN</t>
        </is>
      </c>
      <c r="E1595" t="inlineStr">
        <is>
          <t>SOLLEFTEÅ</t>
        </is>
      </c>
      <c r="F1595" t="inlineStr">
        <is>
          <t>SCA</t>
        </is>
      </c>
      <c r="G1595" t="n">
        <v>19.9</v>
      </c>
      <c r="H1595" t="n">
        <v>0</v>
      </c>
      <c r="I1595" t="n">
        <v>0</v>
      </c>
      <c r="J1595" t="n">
        <v>0</v>
      </c>
      <c r="K1595" t="n">
        <v>0</v>
      </c>
      <c r="L1595" t="n">
        <v>0</v>
      </c>
      <c r="M1595" t="n">
        <v>0</v>
      </c>
      <c r="N1595" t="n">
        <v>0</v>
      </c>
      <c r="O1595" t="n">
        <v>0</v>
      </c>
      <c r="P1595" t="n">
        <v>0</v>
      </c>
      <c r="Q1595" t="n">
        <v>0</v>
      </c>
      <c r="R1595" s="2" t="inlineStr"/>
    </row>
    <row r="1596" ht="15" customHeight="1">
      <c r="A1596" t="inlineStr">
        <is>
          <t>A 33241-2024</t>
        </is>
      </c>
      <c r="B1596" s="1" t="n">
        <v>45518.60484953703</v>
      </c>
      <c r="C1596" s="1" t="n">
        <v>45998</v>
      </c>
      <c r="D1596" t="inlineStr">
        <is>
          <t>VÄSTERNORRLANDS LÄN</t>
        </is>
      </c>
      <c r="E1596" t="inlineStr">
        <is>
          <t>SOLLEFTEÅ</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37325-2025</t>
        </is>
      </c>
      <c r="B1597" s="1" t="n">
        <v>45876.63581018519</v>
      </c>
      <c r="C1597" s="1" t="n">
        <v>45998</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37065-2025</t>
        </is>
      </c>
      <c r="B1598" s="1" t="n">
        <v>45875.38619212963</v>
      </c>
      <c r="C1598" s="1" t="n">
        <v>45998</v>
      </c>
      <c r="D1598" t="inlineStr">
        <is>
          <t>VÄSTERNORRLANDS LÄN</t>
        </is>
      </c>
      <c r="E1598" t="inlineStr">
        <is>
          <t>SOLLEFTEÅ</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50226-2023</t>
        </is>
      </c>
      <c r="B1599" s="1" t="n">
        <v>45215.94767361111</v>
      </c>
      <c r="C1599" s="1" t="n">
        <v>45998</v>
      </c>
      <c r="D1599" t="inlineStr">
        <is>
          <t>VÄSTERNORRLANDS LÄN</t>
        </is>
      </c>
      <c r="E1599" t="inlineStr">
        <is>
          <t>SOLLEFTEÅ</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20389-2025</t>
        </is>
      </c>
      <c r="B1600" s="1" t="n">
        <v>45775</v>
      </c>
      <c r="C1600" s="1" t="n">
        <v>45998</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967-2025</t>
        </is>
      </c>
      <c r="B1601" s="1" t="n">
        <v>45666</v>
      </c>
      <c r="C1601" s="1" t="n">
        <v>45998</v>
      </c>
      <c r="D1601" t="inlineStr">
        <is>
          <t>VÄSTERNORRLANDS LÄN</t>
        </is>
      </c>
      <c r="E1601" t="inlineStr">
        <is>
          <t>SOLLEFTEÅ</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22866-2025</t>
        </is>
      </c>
      <c r="B1602" s="1" t="n">
        <v>45790.36519675926</v>
      </c>
      <c r="C1602" s="1" t="n">
        <v>45998</v>
      </c>
      <c r="D1602" t="inlineStr">
        <is>
          <t>VÄSTERNORRLANDS LÄN</t>
        </is>
      </c>
      <c r="E1602" t="inlineStr">
        <is>
          <t>SOLLEFTEÅ</t>
        </is>
      </c>
      <c r="F1602" t="inlineStr">
        <is>
          <t>SCA</t>
        </is>
      </c>
      <c r="G1602" t="n">
        <v>16.2</v>
      </c>
      <c r="H1602" t="n">
        <v>0</v>
      </c>
      <c r="I1602" t="n">
        <v>0</v>
      </c>
      <c r="J1602" t="n">
        <v>0</v>
      </c>
      <c r="K1602" t="n">
        <v>0</v>
      </c>
      <c r="L1602" t="n">
        <v>0</v>
      </c>
      <c r="M1602" t="n">
        <v>0</v>
      </c>
      <c r="N1602" t="n">
        <v>0</v>
      </c>
      <c r="O1602" t="n">
        <v>0</v>
      </c>
      <c r="P1602" t="n">
        <v>0</v>
      </c>
      <c r="Q1602" t="n">
        <v>0</v>
      </c>
      <c r="R1602" s="2" t="inlineStr"/>
    </row>
    <row r="1603" ht="15" customHeight="1">
      <c r="A1603" t="inlineStr">
        <is>
          <t>A 22562-2025</t>
        </is>
      </c>
      <c r="B1603" s="1" t="n">
        <v>45789.34736111111</v>
      </c>
      <c r="C1603" s="1" t="n">
        <v>45998</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38581-2025</t>
        </is>
      </c>
      <c r="B1604" s="1" t="n">
        <v>45884.46965277778</v>
      </c>
      <c r="C1604" s="1" t="n">
        <v>45998</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38596-2025</t>
        </is>
      </c>
      <c r="B1605" s="1" t="n">
        <v>45884.49040509259</v>
      </c>
      <c r="C1605" s="1" t="n">
        <v>45998</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38598-2025</t>
        </is>
      </c>
      <c r="B1606" s="1" t="n">
        <v>45884.49074074074</v>
      </c>
      <c r="C1606" s="1" t="n">
        <v>45998</v>
      </c>
      <c r="D1606" t="inlineStr">
        <is>
          <t>VÄSTERNORRLANDS LÄN</t>
        </is>
      </c>
      <c r="E1606" t="inlineStr">
        <is>
          <t>SOLLEFTEÅ</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37073-2025</t>
        </is>
      </c>
      <c r="B1607" s="1" t="n">
        <v>45875.40703703704</v>
      </c>
      <c r="C1607" s="1" t="n">
        <v>45998</v>
      </c>
      <c r="D1607" t="inlineStr">
        <is>
          <t>VÄSTERNORRLANDS LÄN</t>
        </is>
      </c>
      <c r="E1607" t="inlineStr">
        <is>
          <t>SOLLEFTEÅ</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49629-2024</t>
        </is>
      </c>
      <c r="B1608" s="1" t="n">
        <v>45596</v>
      </c>
      <c r="C1608" s="1" t="n">
        <v>45998</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22803-2025</t>
        </is>
      </c>
      <c r="B1609" s="1" t="n">
        <v>45789</v>
      </c>
      <c r="C1609" s="1" t="n">
        <v>45998</v>
      </c>
      <c r="D1609" t="inlineStr">
        <is>
          <t>VÄSTERNORRLANDS LÄN</t>
        </is>
      </c>
      <c r="E1609" t="inlineStr">
        <is>
          <t>SOLLEFTEÅ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22853-2025</t>
        </is>
      </c>
      <c r="B1610" s="1" t="n">
        <v>45790.34443287037</v>
      </c>
      <c r="C1610" s="1" t="n">
        <v>45998</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22569-2025</t>
        </is>
      </c>
      <c r="B1611" s="1" t="n">
        <v>45789.36363425926</v>
      </c>
      <c r="C1611" s="1" t="n">
        <v>45998</v>
      </c>
      <c r="D1611" t="inlineStr">
        <is>
          <t>VÄSTERNORRLANDS LÄN</t>
        </is>
      </c>
      <c r="E1611" t="inlineStr">
        <is>
          <t>SOLLEFTEÅ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38507-2025</t>
        </is>
      </c>
      <c r="B1612" s="1" t="n">
        <v>45884.38591435185</v>
      </c>
      <c r="C1612" s="1" t="n">
        <v>45998</v>
      </c>
      <c r="D1612" t="inlineStr">
        <is>
          <t>VÄSTERNORRLANDS LÄN</t>
        </is>
      </c>
      <c r="E1612" t="inlineStr">
        <is>
          <t>SOLLEFTEÅ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14274-2025</t>
        </is>
      </c>
      <c r="B1613" s="1" t="n">
        <v>45740.64412037037</v>
      </c>
      <c r="C1613" s="1" t="n">
        <v>45998</v>
      </c>
      <c r="D1613" t="inlineStr">
        <is>
          <t>VÄSTERNORRLANDS LÄN</t>
        </is>
      </c>
      <c r="E1613" t="inlineStr">
        <is>
          <t>SOLLEFTEÅ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14612-2025</t>
        </is>
      </c>
      <c r="B1614" s="1" t="n">
        <v>45742</v>
      </c>
      <c r="C1614" s="1" t="n">
        <v>45998</v>
      </c>
      <c r="D1614" t="inlineStr">
        <is>
          <t>VÄSTERNORRLANDS LÄN</t>
        </is>
      </c>
      <c r="E1614" t="inlineStr">
        <is>
          <t>SOLLEFTEÅ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14656-2025</t>
        </is>
      </c>
      <c r="B1615" s="1" t="n">
        <v>45742.51074074074</v>
      </c>
      <c r="C1615" s="1" t="n">
        <v>45998</v>
      </c>
      <c r="D1615" t="inlineStr">
        <is>
          <t>VÄSTERNORRLANDS LÄN</t>
        </is>
      </c>
      <c r="E1615" t="inlineStr">
        <is>
          <t>SOLLEFTEÅ</t>
        </is>
      </c>
      <c r="F1615" t="inlineStr">
        <is>
          <t>SCA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23522-2025</t>
        </is>
      </c>
      <c r="B1616" s="1" t="n">
        <v>45792.51415509259</v>
      </c>
      <c r="C1616" s="1" t="n">
        <v>45998</v>
      </c>
      <c r="D1616" t="inlineStr">
        <is>
          <t>VÄSTERNORRLANDS LÄN</t>
        </is>
      </c>
      <c r="E1616" t="inlineStr">
        <is>
          <t>SOLLEFTEÅ</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14109-2023</t>
        </is>
      </c>
      <c r="B1617" s="1" t="n">
        <v>45008</v>
      </c>
      <c r="C1617" s="1" t="n">
        <v>45998</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39449-2024</t>
        </is>
      </c>
      <c r="B1618" s="1" t="n">
        <v>45551.61609953704</v>
      </c>
      <c r="C1618" s="1" t="n">
        <v>45998</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23634-2025</t>
        </is>
      </c>
      <c r="B1619" s="1" t="n">
        <v>45792.67803240741</v>
      </c>
      <c r="C1619" s="1" t="n">
        <v>45998</v>
      </c>
      <c r="D1619" t="inlineStr">
        <is>
          <t>VÄSTERNORRLANDS LÄN</t>
        </is>
      </c>
      <c r="E1619" t="inlineStr">
        <is>
          <t>SOLLEFTEÅ</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61384-2022</t>
        </is>
      </c>
      <c r="B1620" s="1" t="n">
        <v>44915</v>
      </c>
      <c r="C1620" s="1" t="n">
        <v>45998</v>
      </c>
      <c r="D1620" t="inlineStr">
        <is>
          <t>VÄSTERNORRLANDS LÄN</t>
        </is>
      </c>
      <c r="E1620" t="inlineStr">
        <is>
          <t>SOLLEFTEÅ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23478-2025</t>
        </is>
      </c>
      <c r="B1621" s="1" t="n">
        <v>45792</v>
      </c>
      <c r="C1621" s="1" t="n">
        <v>45998</v>
      </c>
      <c r="D1621" t="inlineStr">
        <is>
          <t>VÄSTERNORRLANDS LÄN</t>
        </is>
      </c>
      <c r="E1621" t="inlineStr">
        <is>
          <t>SOLLEFTEÅ</t>
        </is>
      </c>
      <c r="F1621" t="inlineStr">
        <is>
          <t>Holmen skog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37607-2025</t>
        </is>
      </c>
      <c r="B1622" s="1" t="n">
        <v>45880</v>
      </c>
      <c r="C1622" s="1" t="n">
        <v>45998</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33743-2025</t>
        </is>
      </c>
      <c r="B1623" s="1" t="n">
        <v>45842.34496527778</v>
      </c>
      <c r="C1623" s="1" t="n">
        <v>45998</v>
      </c>
      <c r="D1623" t="inlineStr">
        <is>
          <t>VÄSTERNORRLANDS LÄN</t>
        </is>
      </c>
      <c r="E1623" t="inlineStr">
        <is>
          <t>SOLLEFTEÅ</t>
        </is>
      </c>
      <c r="F1623" t="inlineStr">
        <is>
          <t>SCA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37581-2025</t>
        </is>
      </c>
      <c r="B1624" s="1" t="n">
        <v>45880.38623842593</v>
      </c>
      <c r="C1624" s="1" t="n">
        <v>45998</v>
      </c>
      <c r="D1624" t="inlineStr">
        <is>
          <t>VÄSTERNORRLANDS LÄN</t>
        </is>
      </c>
      <c r="E1624" t="inlineStr">
        <is>
          <t>SOLLEFTEÅ</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38958-2025</t>
        </is>
      </c>
      <c r="B1625" s="1" t="n">
        <v>45887.67751157407</v>
      </c>
      <c r="C1625" s="1" t="n">
        <v>45998</v>
      </c>
      <c r="D1625" t="inlineStr">
        <is>
          <t>VÄSTERNORRLANDS LÄN</t>
        </is>
      </c>
      <c r="E1625" t="inlineStr">
        <is>
          <t>SOLLEFTEÅ</t>
        </is>
      </c>
      <c r="F1625" t="inlineStr">
        <is>
          <t>SCA</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39195-2025</t>
        </is>
      </c>
      <c r="B1626" s="1" t="n">
        <v>45888</v>
      </c>
      <c r="C1626" s="1" t="n">
        <v>45998</v>
      </c>
      <c r="D1626" t="inlineStr">
        <is>
          <t>VÄSTERNORRLANDS LÄN</t>
        </is>
      </c>
      <c r="E1626" t="inlineStr">
        <is>
          <t>SOLLEFTEÅ</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38959-2025</t>
        </is>
      </c>
      <c r="B1627" s="1" t="n">
        <v>45887.67769675926</v>
      </c>
      <c r="C1627" s="1" t="n">
        <v>45998</v>
      </c>
      <c r="D1627" t="inlineStr">
        <is>
          <t>VÄSTERNORRLANDS LÄN</t>
        </is>
      </c>
      <c r="E1627" t="inlineStr">
        <is>
          <t>SOLLEFTEÅ</t>
        </is>
      </c>
      <c r="F1627" t="inlineStr">
        <is>
          <t>SCA</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37801-2025</t>
        </is>
      </c>
      <c r="B1628" s="1" t="n">
        <v>45881.34436342592</v>
      </c>
      <c r="C1628" s="1" t="n">
        <v>45998</v>
      </c>
      <c r="D1628" t="inlineStr">
        <is>
          <t>VÄSTERNORRLANDS LÄN</t>
        </is>
      </c>
      <c r="E1628" t="inlineStr">
        <is>
          <t>SOLLEFTEÅ</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38190-2025</t>
        </is>
      </c>
      <c r="B1629" s="1" t="n">
        <v>45882.65680555555</v>
      </c>
      <c r="C1629" s="1" t="n">
        <v>45998</v>
      </c>
      <c r="D1629" t="inlineStr">
        <is>
          <t>VÄSTERNORRLANDS LÄN</t>
        </is>
      </c>
      <c r="E1629" t="inlineStr">
        <is>
          <t>SOLLEFTEÅ</t>
        </is>
      </c>
      <c r="F1629" t="inlineStr">
        <is>
          <t>SCA</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23515-2025</t>
        </is>
      </c>
      <c r="B1630" s="1" t="n">
        <v>45792</v>
      </c>
      <c r="C1630" s="1" t="n">
        <v>45998</v>
      </c>
      <c r="D1630" t="inlineStr">
        <is>
          <t>VÄSTERNORRLANDS LÄN</t>
        </is>
      </c>
      <c r="E1630" t="inlineStr">
        <is>
          <t>SOLLEFTEÅ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40819-2024</t>
        </is>
      </c>
      <c r="B1631" s="1" t="n">
        <v>45558.55271990741</v>
      </c>
      <c r="C1631" s="1" t="n">
        <v>45998</v>
      </c>
      <c r="D1631" t="inlineStr">
        <is>
          <t>VÄSTERNORRLANDS LÄN</t>
        </is>
      </c>
      <c r="E1631" t="inlineStr">
        <is>
          <t>SOLLEFTEÅ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38931-2025</t>
        </is>
      </c>
      <c r="B1632" s="1" t="n">
        <v>45887.63664351852</v>
      </c>
      <c r="C1632" s="1" t="n">
        <v>45998</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38092-2025</t>
        </is>
      </c>
      <c r="B1633" s="1" t="n">
        <v>45882.49005787037</v>
      </c>
      <c r="C1633" s="1" t="n">
        <v>45998</v>
      </c>
      <c r="D1633" t="inlineStr">
        <is>
          <t>VÄSTERNORRLANDS LÄN</t>
        </is>
      </c>
      <c r="E1633" t="inlineStr">
        <is>
          <t>SOLLEFTEÅ</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64133-2023</t>
        </is>
      </c>
      <c r="B1634" s="1" t="n">
        <v>45279</v>
      </c>
      <c r="C1634" s="1" t="n">
        <v>45998</v>
      </c>
      <c r="D1634" t="inlineStr">
        <is>
          <t>VÄSTERNORRLANDS LÄN</t>
        </is>
      </c>
      <c r="E1634" t="inlineStr">
        <is>
          <t>SOLLEFTEÅ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37880-2025</t>
        </is>
      </c>
      <c r="B1635" s="1" t="n">
        <v>45881.48998842593</v>
      </c>
      <c r="C1635" s="1" t="n">
        <v>45998</v>
      </c>
      <c r="D1635" t="inlineStr">
        <is>
          <t>VÄSTERNORRLANDS LÄN</t>
        </is>
      </c>
      <c r="E1635" t="inlineStr">
        <is>
          <t>SOLLEFTEÅ</t>
        </is>
      </c>
      <c r="F1635" t="inlineStr">
        <is>
          <t>SCA</t>
        </is>
      </c>
      <c r="G1635" t="n">
        <v>26.1</v>
      </c>
      <c r="H1635" t="n">
        <v>0</v>
      </c>
      <c r="I1635" t="n">
        <v>0</v>
      </c>
      <c r="J1635" t="n">
        <v>0</v>
      </c>
      <c r="K1635" t="n">
        <v>0</v>
      </c>
      <c r="L1635" t="n">
        <v>0</v>
      </c>
      <c r="M1635" t="n">
        <v>0</v>
      </c>
      <c r="N1635" t="n">
        <v>0</v>
      </c>
      <c r="O1635" t="n">
        <v>0</v>
      </c>
      <c r="P1635" t="n">
        <v>0</v>
      </c>
      <c r="Q1635" t="n">
        <v>0</v>
      </c>
      <c r="R1635" s="2" t="inlineStr"/>
    </row>
    <row r="1636" ht="15" customHeight="1">
      <c r="A1636" t="inlineStr">
        <is>
          <t>A 38910-2025</t>
        </is>
      </c>
      <c r="B1636" s="1" t="n">
        <v>45887.61509259259</v>
      </c>
      <c r="C1636" s="1" t="n">
        <v>45998</v>
      </c>
      <c r="D1636" t="inlineStr">
        <is>
          <t>VÄSTERNORRLANDS LÄN</t>
        </is>
      </c>
      <c r="E1636" t="inlineStr">
        <is>
          <t>SOLLEFTEÅ</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47965-2024</t>
        </is>
      </c>
      <c r="B1637" s="1" t="n">
        <v>45589.38638888889</v>
      </c>
      <c r="C1637" s="1" t="n">
        <v>45998</v>
      </c>
      <c r="D1637" t="inlineStr">
        <is>
          <t>VÄSTERNORRLANDS LÄN</t>
        </is>
      </c>
      <c r="E1637" t="inlineStr">
        <is>
          <t>SOLLEFTEÅ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38156-2025</t>
        </is>
      </c>
      <c r="B1638" s="1" t="n">
        <v>45882.61491898148</v>
      </c>
      <c r="C1638" s="1" t="n">
        <v>45998</v>
      </c>
      <c r="D1638" t="inlineStr">
        <is>
          <t>VÄSTERNORRLANDS LÄN</t>
        </is>
      </c>
      <c r="E1638" t="inlineStr">
        <is>
          <t>SOLLEFTEÅ</t>
        </is>
      </c>
      <c r="F1638" t="inlineStr">
        <is>
          <t>SCA</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37921-2025</t>
        </is>
      </c>
      <c r="B1639" s="1" t="n">
        <v>45881.57491898148</v>
      </c>
      <c r="C1639" s="1" t="n">
        <v>45998</v>
      </c>
      <c r="D1639" t="inlineStr">
        <is>
          <t>VÄSTERNORRLANDS LÄN</t>
        </is>
      </c>
      <c r="E1639" t="inlineStr">
        <is>
          <t>SOLLEFTEÅ</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51544-2022</t>
        </is>
      </c>
      <c r="B1640" s="1" t="n">
        <v>44869</v>
      </c>
      <c r="C1640" s="1" t="n">
        <v>45998</v>
      </c>
      <c r="D1640" t="inlineStr">
        <is>
          <t>VÄSTERNORRLANDS LÄN</t>
        </is>
      </c>
      <c r="E1640" t="inlineStr">
        <is>
          <t>SOLLEFTEÅ</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25243-2025</t>
        </is>
      </c>
      <c r="B1641" s="1" t="n">
        <v>45800.49063657408</v>
      </c>
      <c r="C1641" s="1" t="n">
        <v>45998</v>
      </c>
      <c r="D1641" t="inlineStr">
        <is>
          <t>VÄSTERNORRLANDS LÄN</t>
        </is>
      </c>
      <c r="E1641" t="inlineStr">
        <is>
          <t>SOLLEFTEÅ</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25242-2025</t>
        </is>
      </c>
      <c r="B1642" s="1" t="n">
        <v>45800.49059027778</v>
      </c>
      <c r="C1642" s="1" t="n">
        <v>45998</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17096-2025</t>
        </is>
      </c>
      <c r="B1643" s="1" t="n">
        <v>45755.65662037037</v>
      </c>
      <c r="C1643" s="1" t="n">
        <v>45998</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64115-2023</t>
        </is>
      </c>
      <c r="B1644" s="1" t="n">
        <v>45279</v>
      </c>
      <c r="C1644" s="1" t="n">
        <v>45998</v>
      </c>
      <c r="D1644" t="inlineStr">
        <is>
          <t>VÄSTERNORRLANDS LÄN</t>
        </is>
      </c>
      <c r="E1644" t="inlineStr">
        <is>
          <t>SOLLEFTEÅ</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55582-2025</t>
        </is>
      </c>
      <c r="B1645" s="1" t="n">
        <v>45971.67768518518</v>
      </c>
      <c r="C1645" s="1" t="n">
        <v>45998</v>
      </c>
      <c r="D1645" t="inlineStr">
        <is>
          <t>VÄSTERNORRLANDS LÄN</t>
        </is>
      </c>
      <c r="E1645" t="inlineStr">
        <is>
          <t>SOLLEFTEÅ</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55289-2025</t>
        </is>
      </c>
      <c r="B1646" s="1" t="n">
        <v>45969.344375</v>
      </c>
      <c r="C1646" s="1" t="n">
        <v>45998</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39568-2025</t>
        </is>
      </c>
      <c r="B1647" s="1" t="n">
        <v>45890.48993055556</v>
      </c>
      <c r="C1647" s="1" t="n">
        <v>45998</v>
      </c>
      <c r="D1647" t="inlineStr">
        <is>
          <t>VÄSTERNORRLANDS LÄN</t>
        </is>
      </c>
      <c r="E1647" t="inlineStr">
        <is>
          <t>SOLLEFTEÅ</t>
        </is>
      </c>
      <c r="F1647" t="inlineStr">
        <is>
          <t>SCA</t>
        </is>
      </c>
      <c r="G1647" t="n">
        <v>14.4</v>
      </c>
      <c r="H1647" t="n">
        <v>0</v>
      </c>
      <c r="I1647" t="n">
        <v>0</v>
      </c>
      <c r="J1647" t="n">
        <v>0</v>
      </c>
      <c r="K1647" t="n">
        <v>0</v>
      </c>
      <c r="L1647" t="n">
        <v>0</v>
      </c>
      <c r="M1647" t="n">
        <v>0</v>
      </c>
      <c r="N1647" t="n">
        <v>0</v>
      </c>
      <c r="O1647" t="n">
        <v>0</v>
      </c>
      <c r="P1647" t="n">
        <v>0</v>
      </c>
      <c r="Q1647" t="n">
        <v>0</v>
      </c>
      <c r="R1647" s="2" t="inlineStr"/>
    </row>
    <row r="1648" ht="15" customHeight="1">
      <c r="A1648" t="inlineStr">
        <is>
          <t>A 39602-2025</t>
        </is>
      </c>
      <c r="B1648" s="1" t="n">
        <v>45890.55296296296</v>
      </c>
      <c r="C1648" s="1" t="n">
        <v>45998</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39664-2025</t>
        </is>
      </c>
      <c r="B1649" s="1" t="n">
        <v>45890.63596064815</v>
      </c>
      <c r="C1649" s="1" t="n">
        <v>45998</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39671-2025</t>
        </is>
      </c>
      <c r="B1650" s="1" t="n">
        <v>45890</v>
      </c>
      <c r="C1650" s="1" t="n">
        <v>45998</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47218-2025</t>
        </is>
      </c>
      <c r="B1651" s="1" t="n">
        <v>45930.38640046296</v>
      </c>
      <c r="C1651" s="1" t="n">
        <v>45998</v>
      </c>
      <c r="D1651" t="inlineStr">
        <is>
          <t>VÄSTERNORRLANDS LÄN</t>
        </is>
      </c>
      <c r="E1651" t="inlineStr">
        <is>
          <t>SOLLEFTEÅ</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47219-2025</t>
        </is>
      </c>
      <c r="B1652" s="1" t="n">
        <v>45930.38649305556</v>
      </c>
      <c r="C1652" s="1" t="n">
        <v>45998</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55725-2025</t>
        </is>
      </c>
      <c r="B1653" s="1" t="n">
        <v>45972.53172453704</v>
      </c>
      <c r="C1653" s="1" t="n">
        <v>45998</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39515-2025</t>
        </is>
      </c>
      <c r="B1654" s="1" t="n">
        <v>45890.42078703704</v>
      </c>
      <c r="C1654" s="1" t="n">
        <v>45998</v>
      </c>
      <c r="D1654" t="inlineStr">
        <is>
          <t>VÄSTERNORRLANDS LÄN</t>
        </is>
      </c>
      <c r="E1654" t="inlineStr">
        <is>
          <t>SOLLEFTEÅ</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39270-2025</t>
        </is>
      </c>
      <c r="B1655" s="1" t="n">
        <v>45889.38609953703</v>
      </c>
      <c r="C1655" s="1" t="n">
        <v>45998</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39286-2025</t>
        </is>
      </c>
      <c r="B1656" s="1" t="n">
        <v>45889.40690972222</v>
      </c>
      <c r="C1656" s="1" t="n">
        <v>45998</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39475-2025</t>
        </is>
      </c>
      <c r="B1657" s="1" t="n">
        <v>45890.34447916667</v>
      </c>
      <c r="C1657" s="1" t="n">
        <v>45998</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47291-2025</t>
        </is>
      </c>
      <c r="B1658" s="1" t="n">
        <v>45930.49019675926</v>
      </c>
      <c r="C1658" s="1" t="n">
        <v>45998</v>
      </c>
      <c r="D1658" t="inlineStr">
        <is>
          <t>VÄSTERNORRLANDS LÄN</t>
        </is>
      </c>
      <c r="E1658" t="inlineStr">
        <is>
          <t>SOLLEFTEÅ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39287-2025</t>
        </is>
      </c>
      <c r="B1659" s="1" t="n">
        <v>45889.40693287037</v>
      </c>
      <c r="C1659" s="1" t="n">
        <v>45998</v>
      </c>
      <c r="D1659" t="inlineStr">
        <is>
          <t>VÄSTERNORRLANDS LÄN</t>
        </is>
      </c>
      <c r="E1659" t="inlineStr">
        <is>
          <t>SOLLEFTEÅ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39619-2025</t>
        </is>
      </c>
      <c r="B1660" s="1" t="n">
        <v>45890.57347222222</v>
      </c>
      <c r="C1660" s="1" t="n">
        <v>45998</v>
      </c>
      <c r="D1660" t="inlineStr">
        <is>
          <t>VÄSTERNORRLANDS LÄN</t>
        </is>
      </c>
      <c r="E1660" t="inlineStr">
        <is>
          <t>SOLLEFTEÅ</t>
        </is>
      </c>
      <c r="F1660" t="inlineStr">
        <is>
          <t>SCA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47448-2025</t>
        </is>
      </c>
      <c r="B1661" s="1" t="n">
        <v>45930.64592592593</v>
      </c>
      <c r="C1661" s="1" t="n">
        <v>45998</v>
      </c>
      <c r="D1661" t="inlineStr">
        <is>
          <t>VÄSTERNORRLANDS LÄN</t>
        </is>
      </c>
      <c r="E1661" t="inlineStr">
        <is>
          <t>SOLLEFTEÅ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47376-2025</t>
        </is>
      </c>
      <c r="B1662" s="1" t="n">
        <v>45930.59454861111</v>
      </c>
      <c r="C1662" s="1" t="n">
        <v>45998</v>
      </c>
      <c r="D1662" t="inlineStr">
        <is>
          <t>VÄSTERNORRLANDS LÄN</t>
        </is>
      </c>
      <c r="E1662" t="inlineStr">
        <is>
          <t>SOLLEFTEÅ</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46968-2025</t>
        </is>
      </c>
      <c r="B1663" s="1" t="n">
        <v>45929.50158564815</v>
      </c>
      <c r="C1663" s="1" t="n">
        <v>45998</v>
      </c>
      <c r="D1663" t="inlineStr">
        <is>
          <t>VÄSTERNORRLANDS LÄN</t>
        </is>
      </c>
      <c r="E1663" t="inlineStr">
        <is>
          <t>SOLLEFTEÅ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46973-2025</t>
        </is>
      </c>
      <c r="B1664" s="1" t="n">
        <v>45929.51083333333</v>
      </c>
      <c r="C1664" s="1" t="n">
        <v>45998</v>
      </c>
      <c r="D1664" t="inlineStr">
        <is>
          <t>VÄSTERNORRLANDS LÄN</t>
        </is>
      </c>
      <c r="E1664" t="inlineStr">
        <is>
          <t>SOLLEFTEÅ</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47234-2025</t>
        </is>
      </c>
      <c r="B1665" s="1" t="n">
        <v>45930.40663194445</v>
      </c>
      <c r="C1665" s="1" t="n">
        <v>45998</v>
      </c>
      <c r="D1665" t="inlineStr">
        <is>
          <t>VÄSTERNORRLANDS LÄN</t>
        </is>
      </c>
      <c r="E1665" t="inlineStr">
        <is>
          <t>SOLLEFTEÅ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55471-2025</t>
        </is>
      </c>
      <c r="B1666" s="1" t="n">
        <v>45971</v>
      </c>
      <c r="C1666" s="1" t="n">
        <v>45998</v>
      </c>
      <c r="D1666" t="inlineStr">
        <is>
          <t>VÄSTERNORRLANDS LÄN</t>
        </is>
      </c>
      <c r="E1666" t="inlineStr">
        <is>
          <t>SOLLEFTEÅ</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39433-2025</t>
        </is>
      </c>
      <c r="B1667" s="1" t="n">
        <v>45889.67799768518</v>
      </c>
      <c r="C1667" s="1" t="n">
        <v>45998</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39656-2025</t>
        </is>
      </c>
      <c r="B1668" s="1" t="n">
        <v>45890</v>
      </c>
      <c r="C1668" s="1" t="n">
        <v>45998</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39319-2025</t>
        </is>
      </c>
      <c r="B1669" s="1" t="n">
        <v>45889.46916666667</v>
      </c>
      <c r="C1669" s="1" t="n">
        <v>45998</v>
      </c>
      <c r="D1669" t="inlineStr">
        <is>
          <t>VÄSTERNORRLANDS LÄN</t>
        </is>
      </c>
      <c r="E1669" t="inlineStr">
        <is>
          <t>SOLLEFTEÅ</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55686-2025</t>
        </is>
      </c>
      <c r="B1670" s="1" t="n">
        <v>45972.42771990741</v>
      </c>
      <c r="C1670" s="1" t="n">
        <v>45998</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46873-2025</t>
        </is>
      </c>
      <c r="B1671" s="1" t="n">
        <v>45929.34421296296</v>
      </c>
      <c r="C1671" s="1" t="n">
        <v>45998</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46898-2025</t>
        </is>
      </c>
      <c r="B1672" s="1" t="n">
        <v>45929.38613425926</v>
      </c>
      <c r="C1672" s="1" t="n">
        <v>45998</v>
      </c>
      <c r="D1672" t="inlineStr">
        <is>
          <t>VÄSTERNORRLANDS LÄN</t>
        </is>
      </c>
      <c r="E1672" t="inlineStr">
        <is>
          <t>SOLLEFTEÅ</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40175-2025</t>
        </is>
      </c>
      <c r="B1673" s="1" t="n">
        <v>45894.63609953703</v>
      </c>
      <c r="C1673" s="1" t="n">
        <v>45998</v>
      </c>
      <c r="D1673" t="inlineStr">
        <is>
          <t>VÄSTERNORRLANDS LÄN</t>
        </is>
      </c>
      <c r="E1673" t="inlineStr">
        <is>
          <t>SOLLEFTEÅ</t>
        </is>
      </c>
      <c r="F1673" t="inlineStr">
        <is>
          <t>SCA</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40190-2025</t>
        </is>
      </c>
      <c r="B1674" s="1" t="n">
        <v>45894.65664351852</v>
      </c>
      <c r="C1674" s="1" t="n">
        <v>45998</v>
      </c>
      <c r="D1674" t="inlineStr">
        <is>
          <t>VÄSTERNORRLANDS LÄN</t>
        </is>
      </c>
      <c r="E1674" t="inlineStr">
        <is>
          <t>SOLLEFTEÅ</t>
        </is>
      </c>
      <c r="F1674" t="inlineStr">
        <is>
          <t>SCA</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40174-2025</t>
        </is>
      </c>
      <c r="B1675" s="1" t="n">
        <v>45894.63587962963</v>
      </c>
      <c r="C1675" s="1" t="n">
        <v>45998</v>
      </c>
      <c r="D1675" t="inlineStr">
        <is>
          <t>VÄSTERNORRLANDS LÄN</t>
        </is>
      </c>
      <c r="E1675" t="inlineStr">
        <is>
          <t>SOLLEFTEÅ</t>
        </is>
      </c>
      <c r="F1675" t="inlineStr">
        <is>
          <t>SCA</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40049-2025</t>
        </is>
      </c>
      <c r="B1676" s="1" t="n">
        <v>45894</v>
      </c>
      <c r="C1676" s="1" t="n">
        <v>45998</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38973-2025</t>
        </is>
      </c>
      <c r="B1677" s="1" t="n">
        <v>45887</v>
      </c>
      <c r="C1677" s="1" t="n">
        <v>45998</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55790-2025</t>
        </is>
      </c>
      <c r="B1678" s="1" t="n">
        <v>45972.64644675926</v>
      </c>
      <c r="C1678" s="1" t="n">
        <v>45998</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40014-2025</t>
        </is>
      </c>
      <c r="B1679" s="1" t="n">
        <v>45894</v>
      </c>
      <c r="C1679" s="1" t="n">
        <v>45998</v>
      </c>
      <c r="D1679" t="inlineStr">
        <is>
          <t>VÄSTERNORRLANDS LÄN</t>
        </is>
      </c>
      <c r="E1679" t="inlineStr">
        <is>
          <t>SOLLEFTEÅ</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40048-2025</t>
        </is>
      </c>
      <c r="B1680" s="1" t="n">
        <v>45894.40679398148</v>
      </c>
      <c r="C1680" s="1" t="n">
        <v>45998</v>
      </c>
      <c r="D1680" t="inlineStr">
        <is>
          <t>VÄSTERNORRLANDS LÄN</t>
        </is>
      </c>
      <c r="E1680" t="inlineStr">
        <is>
          <t>SOLLEFTEÅ</t>
        </is>
      </c>
      <c r="F1680" t="inlineStr">
        <is>
          <t>SCA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40050-2025</t>
        </is>
      </c>
      <c r="B1681" s="1" t="n">
        <v>45894.40717592592</v>
      </c>
      <c r="C1681" s="1" t="n">
        <v>45998</v>
      </c>
      <c r="D1681" t="inlineStr">
        <is>
          <t>VÄSTERNORRLANDS LÄN</t>
        </is>
      </c>
      <c r="E1681" t="inlineStr">
        <is>
          <t>SOLLEFTEÅ</t>
        </is>
      </c>
      <c r="F1681" t="inlineStr">
        <is>
          <t>SCA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32071-2024</t>
        </is>
      </c>
      <c r="B1682" s="1" t="n">
        <v>45510.97246527778</v>
      </c>
      <c r="C1682" s="1" t="n">
        <v>45998</v>
      </c>
      <c r="D1682" t="inlineStr">
        <is>
          <t>VÄSTERNORRLANDS LÄN</t>
        </is>
      </c>
      <c r="E1682" t="inlineStr">
        <is>
          <t>SOLLEFTEÅ</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39935-2025</t>
        </is>
      </c>
      <c r="B1683" s="1" t="n">
        <v>45891</v>
      </c>
      <c r="C1683" s="1" t="n">
        <v>45998</v>
      </c>
      <c r="D1683" t="inlineStr">
        <is>
          <t>VÄSTERNORRLANDS LÄN</t>
        </is>
      </c>
      <c r="E1683" t="inlineStr">
        <is>
          <t>SOLLEFTEÅ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55510-2025</t>
        </is>
      </c>
      <c r="B1684" s="1" t="n">
        <v>45971.60037037037</v>
      </c>
      <c r="C1684" s="1" t="n">
        <v>45998</v>
      </c>
      <c r="D1684" t="inlineStr">
        <is>
          <t>VÄSTERNORRLANDS LÄN</t>
        </is>
      </c>
      <c r="E1684" t="inlineStr">
        <is>
          <t>SOLLEFTEÅ</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46905-2025</t>
        </is>
      </c>
      <c r="B1685" s="1" t="n">
        <v>45929.40055555556</v>
      </c>
      <c r="C1685" s="1" t="n">
        <v>45998</v>
      </c>
      <c r="D1685" t="inlineStr">
        <is>
          <t>VÄSTERNORRLANDS LÄN</t>
        </is>
      </c>
      <c r="E1685" t="inlineStr">
        <is>
          <t>SOLLEFTEÅ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46920-2025</t>
        </is>
      </c>
      <c r="B1686" s="1" t="n">
        <v>45929.43368055556</v>
      </c>
      <c r="C1686" s="1" t="n">
        <v>45998</v>
      </c>
      <c r="D1686" t="inlineStr">
        <is>
          <t>VÄSTERNORRLANDS LÄN</t>
        </is>
      </c>
      <c r="E1686" t="inlineStr">
        <is>
          <t>SOLLEFTEÅ</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40009-2025</t>
        </is>
      </c>
      <c r="B1687" s="1" t="n">
        <v>45894.34446759259</v>
      </c>
      <c r="C1687" s="1" t="n">
        <v>45998</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55360-2025</t>
        </is>
      </c>
      <c r="B1688" s="1" t="n">
        <v>45971.38597222222</v>
      </c>
      <c r="C1688" s="1" t="n">
        <v>45998</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55583-2025</t>
        </is>
      </c>
      <c r="B1689" s="1" t="n">
        <v>45971.67804398148</v>
      </c>
      <c r="C1689" s="1" t="n">
        <v>45998</v>
      </c>
      <c r="D1689" t="inlineStr">
        <is>
          <t>VÄSTERNORRLANDS LÄN</t>
        </is>
      </c>
      <c r="E1689" t="inlineStr">
        <is>
          <t>SOLLEFTEÅ</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55584-2025</t>
        </is>
      </c>
      <c r="B1690" s="1" t="n">
        <v>45971.67821759259</v>
      </c>
      <c r="C1690" s="1" t="n">
        <v>45998</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55586-2025</t>
        </is>
      </c>
      <c r="B1691" s="1" t="n">
        <v>45971</v>
      </c>
      <c r="C1691" s="1" t="n">
        <v>45998</v>
      </c>
      <c r="D1691" t="inlineStr">
        <is>
          <t>VÄSTERNORRLANDS LÄN</t>
        </is>
      </c>
      <c r="E1691" t="inlineStr">
        <is>
          <t>SOLLEFTEÅ</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40008-2025</t>
        </is>
      </c>
      <c r="B1692" s="1" t="n">
        <v>45894.34431712963</v>
      </c>
      <c r="C1692" s="1" t="n">
        <v>45998</v>
      </c>
      <c r="D1692" t="inlineStr">
        <is>
          <t>VÄSTERNORRLANDS LÄN</t>
        </is>
      </c>
      <c r="E1692" t="inlineStr">
        <is>
          <t>SOLLEFTEÅ</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55529-2025</t>
        </is>
      </c>
      <c r="B1693" s="1" t="n">
        <v>45971.62087962963</v>
      </c>
      <c r="C1693" s="1" t="n">
        <v>45998</v>
      </c>
      <c r="D1693" t="inlineStr">
        <is>
          <t>VÄSTERNORRLANDS LÄN</t>
        </is>
      </c>
      <c r="E1693" t="inlineStr">
        <is>
          <t>SOLLEFTEÅ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55585-2025</t>
        </is>
      </c>
      <c r="B1694" s="1" t="n">
        <v>45971.6784375</v>
      </c>
      <c r="C1694" s="1" t="n">
        <v>45998</v>
      </c>
      <c r="D1694" t="inlineStr">
        <is>
          <t>VÄSTERNORRLANDS LÄN</t>
        </is>
      </c>
      <c r="E1694" t="inlineStr">
        <is>
          <t>SOLLEFTEÅ</t>
        </is>
      </c>
      <c r="F1694" t="inlineStr">
        <is>
          <t>SCA</t>
        </is>
      </c>
      <c r="G1694" t="n">
        <v>11.8</v>
      </c>
      <c r="H1694" t="n">
        <v>0</v>
      </c>
      <c r="I1694" t="n">
        <v>0</v>
      </c>
      <c r="J1694" t="n">
        <v>0</v>
      </c>
      <c r="K1694" t="n">
        <v>0</v>
      </c>
      <c r="L1694" t="n">
        <v>0</v>
      </c>
      <c r="M1694" t="n">
        <v>0</v>
      </c>
      <c r="N1694" t="n">
        <v>0</v>
      </c>
      <c r="O1694" t="n">
        <v>0</v>
      </c>
      <c r="P1694" t="n">
        <v>0</v>
      </c>
      <c r="Q1694" t="n">
        <v>0</v>
      </c>
      <c r="R1694" s="2" t="inlineStr"/>
    </row>
    <row r="1695" ht="15" customHeight="1">
      <c r="A1695" t="inlineStr">
        <is>
          <t>A 40136-2025</t>
        </is>
      </c>
      <c r="B1695" s="1" t="n">
        <v>45894.5588425926</v>
      </c>
      <c r="C1695" s="1" t="n">
        <v>45998</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38972-2025</t>
        </is>
      </c>
      <c r="B1696" s="1" t="n">
        <v>45887</v>
      </c>
      <c r="C1696" s="1" t="n">
        <v>45998</v>
      </c>
      <c r="D1696" t="inlineStr">
        <is>
          <t>VÄSTERNORRLANDS LÄN</t>
        </is>
      </c>
      <c r="E1696" t="inlineStr">
        <is>
          <t>SOLLEFTEÅ</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40679-2024</t>
        </is>
      </c>
      <c r="B1697" s="1" t="n">
        <v>45558</v>
      </c>
      <c r="C1697" s="1" t="n">
        <v>45998</v>
      </c>
      <c r="D1697" t="inlineStr">
        <is>
          <t>VÄSTERNORRLANDS LÄN</t>
        </is>
      </c>
      <c r="E1697" t="inlineStr">
        <is>
          <t>SOLLEFTEÅ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47217-2025</t>
        </is>
      </c>
      <c r="B1698" s="1" t="n">
        <v>45930.38625</v>
      </c>
      <c r="C1698" s="1" t="n">
        <v>45998</v>
      </c>
      <c r="D1698" t="inlineStr">
        <is>
          <t>VÄSTERNORRLANDS LÄN</t>
        </is>
      </c>
      <c r="E1698" t="inlineStr">
        <is>
          <t>SOLLEFTEÅ</t>
        </is>
      </c>
      <c r="F1698" t="inlineStr">
        <is>
          <t>SCA</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47069-2025</t>
        </is>
      </c>
      <c r="B1699" s="1" t="n">
        <v>45929.63596064815</v>
      </c>
      <c r="C1699" s="1" t="n">
        <v>45998</v>
      </c>
      <c r="D1699" t="inlineStr">
        <is>
          <t>VÄSTERNORRLANDS LÄN</t>
        </is>
      </c>
      <c r="E1699" t="inlineStr">
        <is>
          <t>SOLLEFTEÅ</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47292-2025</t>
        </is>
      </c>
      <c r="B1700" s="1" t="n">
        <v>45930.4903125</v>
      </c>
      <c r="C1700" s="1" t="n">
        <v>45998</v>
      </c>
      <c r="D1700" t="inlineStr">
        <is>
          <t>VÄSTERNORRLANDS LÄN</t>
        </is>
      </c>
      <c r="E1700" t="inlineStr">
        <is>
          <t>SOLLEFTEÅ</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47293-2025</t>
        </is>
      </c>
      <c r="B1701" s="1" t="n">
        <v>45930.49034722222</v>
      </c>
      <c r="C1701" s="1" t="n">
        <v>45998</v>
      </c>
      <c r="D1701" t="inlineStr">
        <is>
          <t>VÄSTERNORRLANDS LÄN</t>
        </is>
      </c>
      <c r="E1701" t="inlineStr">
        <is>
          <t>SOLLEFTEÅ</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47489-2025</t>
        </is>
      </c>
      <c r="B1702" s="1" t="n">
        <v>45930.69912037037</v>
      </c>
      <c r="C1702" s="1" t="n">
        <v>45998</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47490-2025</t>
        </is>
      </c>
      <c r="B1703" s="1" t="n">
        <v>45930.69918981481</v>
      </c>
      <c r="C1703" s="1" t="n">
        <v>45998</v>
      </c>
      <c r="D1703" t="inlineStr">
        <is>
          <t>VÄSTERNORRLANDS LÄN</t>
        </is>
      </c>
      <c r="E1703" t="inlineStr">
        <is>
          <t>SOLLEFTEÅ</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40450-2025</t>
        </is>
      </c>
      <c r="B1704" s="1" t="n">
        <v>45895.63584490741</v>
      </c>
      <c r="C1704" s="1" t="n">
        <v>45998</v>
      </c>
      <c r="D1704" t="inlineStr">
        <is>
          <t>VÄSTERNORRLANDS LÄN</t>
        </is>
      </c>
      <c r="E1704" t="inlineStr">
        <is>
          <t>SOLLEFTEÅ</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47702-2025</t>
        </is>
      </c>
      <c r="B1705" s="1" t="n">
        <v>45931.60685185185</v>
      </c>
      <c r="C1705" s="1" t="n">
        <v>45998</v>
      </c>
      <c r="D1705" t="inlineStr">
        <is>
          <t>VÄSTERNORRLANDS LÄN</t>
        </is>
      </c>
      <c r="E1705" t="inlineStr">
        <is>
          <t>SOLLEFTEÅ</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2114-2023</t>
        </is>
      </c>
      <c r="B1706" s="1" t="n">
        <v>44939.93809027778</v>
      </c>
      <c r="C1706" s="1" t="n">
        <v>45998</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42915-2024</t>
        </is>
      </c>
      <c r="B1707" s="1" t="n">
        <v>45566</v>
      </c>
      <c r="C1707" s="1" t="n">
        <v>45998</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23409-2025</t>
        </is>
      </c>
      <c r="B1708" s="1" t="n">
        <v>45792.34560185186</v>
      </c>
      <c r="C1708" s="1" t="n">
        <v>45998</v>
      </c>
      <c r="D1708" t="inlineStr">
        <is>
          <t>VÄSTERNORRLANDS LÄN</t>
        </is>
      </c>
      <c r="E1708" t="inlineStr">
        <is>
          <t>SOLLEFTEÅ</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40358-2025</t>
        </is>
      </c>
      <c r="B1709" s="1" t="n">
        <v>45895.48995370371</v>
      </c>
      <c r="C1709" s="1" t="n">
        <v>45998</v>
      </c>
      <c r="D1709" t="inlineStr">
        <is>
          <t>VÄSTERNORRLANDS LÄN</t>
        </is>
      </c>
      <c r="E1709" t="inlineStr">
        <is>
          <t>SOLLEFTEÅ</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40468-2025</t>
        </is>
      </c>
      <c r="B1710" s="1" t="n">
        <v>45895.66416666667</v>
      </c>
      <c r="C1710" s="1" t="n">
        <v>45998</v>
      </c>
      <c r="D1710" t="inlineStr">
        <is>
          <t>VÄSTERNORRLANDS LÄN</t>
        </is>
      </c>
      <c r="E1710" t="inlineStr">
        <is>
          <t>SOLLEFTEÅ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40492-2025</t>
        </is>
      </c>
      <c r="B1711" s="1" t="n">
        <v>45896</v>
      </c>
      <c r="C1711" s="1" t="n">
        <v>45998</v>
      </c>
      <c r="D1711" t="inlineStr">
        <is>
          <t>VÄSTERNORRLANDS LÄN</t>
        </is>
      </c>
      <c r="E1711" t="inlineStr">
        <is>
          <t>SOLLEFTEÅ</t>
        </is>
      </c>
      <c r="F1711" t="inlineStr">
        <is>
          <t>Holmen skog AB</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56074-2025</t>
        </is>
      </c>
      <c r="B1712" s="1" t="n">
        <v>45973.65700231482</v>
      </c>
      <c r="C1712" s="1" t="n">
        <v>45998</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56075-2025</t>
        </is>
      </c>
      <c r="B1713" s="1" t="n">
        <v>45973.65723379629</v>
      </c>
      <c r="C1713" s="1" t="n">
        <v>45998</v>
      </c>
      <c r="D1713" t="inlineStr">
        <is>
          <t>VÄSTERNORRLANDS LÄN</t>
        </is>
      </c>
      <c r="E1713" t="inlineStr">
        <is>
          <t>SOLLEFTEÅ</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40662-2025</t>
        </is>
      </c>
      <c r="B1714" s="1" t="n">
        <v>45896.6487037037</v>
      </c>
      <c r="C1714" s="1" t="n">
        <v>45998</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55950-2025</t>
        </is>
      </c>
      <c r="B1715" s="1" t="n">
        <v>45973.46942129629</v>
      </c>
      <c r="C1715" s="1" t="n">
        <v>45998</v>
      </c>
      <c r="D1715" t="inlineStr">
        <is>
          <t>VÄSTERNORRLANDS LÄN</t>
        </is>
      </c>
      <c r="E1715" t="inlineStr">
        <is>
          <t>SOLLEFTEÅ</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40515-2025</t>
        </is>
      </c>
      <c r="B1716" s="1" t="n">
        <v>45896</v>
      </c>
      <c r="C1716" s="1" t="n">
        <v>45998</v>
      </c>
      <c r="D1716" t="inlineStr">
        <is>
          <t>VÄSTERNORRLANDS LÄN</t>
        </is>
      </c>
      <c r="E1716" t="inlineStr">
        <is>
          <t>SOLLEFTEÅ</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47532-2025</t>
        </is>
      </c>
      <c r="B1717" s="1" t="n">
        <v>45931.34635416666</v>
      </c>
      <c r="C1717" s="1" t="n">
        <v>45998</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40304-2025</t>
        </is>
      </c>
      <c r="B1718" s="1" t="n">
        <v>45895.40690972222</v>
      </c>
      <c r="C1718" s="1" t="n">
        <v>45998</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47636-2025</t>
        </is>
      </c>
      <c r="B1719" s="1" t="n">
        <v>45931.49577546296</v>
      </c>
      <c r="C1719" s="1" t="n">
        <v>45998</v>
      </c>
      <c r="D1719" t="inlineStr">
        <is>
          <t>VÄSTERNORRLANDS LÄN</t>
        </is>
      </c>
      <c r="E1719" t="inlineStr">
        <is>
          <t>SOLLEFTEÅ</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47851-2025</t>
        </is>
      </c>
      <c r="B1720" s="1" t="n">
        <v>45932.38645833333</v>
      </c>
      <c r="C1720" s="1" t="n">
        <v>45998</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40302-2025</t>
        </is>
      </c>
      <c r="B1721" s="1" t="n">
        <v>45895.40662037037</v>
      </c>
      <c r="C1721" s="1" t="n">
        <v>45998</v>
      </c>
      <c r="D1721" t="inlineStr">
        <is>
          <t>VÄSTERNORRLANDS LÄN</t>
        </is>
      </c>
      <c r="E1721" t="inlineStr">
        <is>
          <t>SOLLEFTEÅ</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40651-2025</t>
        </is>
      </c>
      <c r="B1722" s="1" t="n">
        <v>45896.63585648148</v>
      </c>
      <c r="C1722" s="1" t="n">
        <v>45998</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41305-2025</t>
        </is>
      </c>
      <c r="B1723" s="1" t="n">
        <v>45898.69850694444</v>
      </c>
      <c r="C1723" s="1" t="n">
        <v>45998</v>
      </c>
      <c r="D1723" t="inlineStr">
        <is>
          <t>VÄSTERNORRLANDS LÄN</t>
        </is>
      </c>
      <c r="E1723" t="inlineStr">
        <is>
          <t>SOLLEFTEÅ</t>
        </is>
      </c>
      <c r="F1723" t="inlineStr">
        <is>
          <t>SCA</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48070-2025</t>
        </is>
      </c>
      <c r="B1724" s="1" t="n">
        <v>45932.69886574074</v>
      </c>
      <c r="C1724" s="1" t="n">
        <v>45998</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48035-2025</t>
        </is>
      </c>
      <c r="B1725" s="1" t="n">
        <v>45932</v>
      </c>
      <c r="C1725" s="1" t="n">
        <v>45998</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48053-2025</t>
        </is>
      </c>
      <c r="B1726" s="1" t="n">
        <v>45932.67856481481</v>
      </c>
      <c r="C1726" s="1" t="n">
        <v>45998</v>
      </c>
      <c r="D1726" t="inlineStr">
        <is>
          <t>VÄSTERNORRLANDS LÄN</t>
        </is>
      </c>
      <c r="E1726" t="inlineStr">
        <is>
          <t>SOLLEFTEÅ</t>
        </is>
      </c>
      <c r="F1726" t="inlineStr">
        <is>
          <t>SCA</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56393-2025</t>
        </is>
      </c>
      <c r="B1727" s="1" t="n">
        <v>45974.74042824074</v>
      </c>
      <c r="C1727" s="1" t="n">
        <v>45998</v>
      </c>
      <c r="D1727" t="inlineStr">
        <is>
          <t>VÄSTERNORRLANDS LÄN</t>
        </is>
      </c>
      <c r="E1727" t="inlineStr">
        <is>
          <t>SOLLEFTEÅ</t>
        </is>
      </c>
      <c r="F1727" t="inlineStr">
        <is>
          <t>Holmen skog AB</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47536-2025</t>
        </is>
      </c>
      <c r="B1728" s="1" t="n">
        <v>45931.34695601852</v>
      </c>
      <c r="C1728" s="1" t="n">
        <v>45998</v>
      </c>
      <c r="D1728" t="inlineStr">
        <is>
          <t>VÄSTERNORRLANDS LÄN</t>
        </is>
      </c>
      <c r="E1728" t="inlineStr">
        <is>
          <t>SOLLEFTEÅ</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47675-2025</t>
        </is>
      </c>
      <c r="B1729" s="1" t="n">
        <v>45931.5742824074</v>
      </c>
      <c r="C1729" s="1" t="n">
        <v>45998</v>
      </c>
      <c r="D1729" t="inlineStr">
        <is>
          <t>VÄSTERNORRLANDS LÄN</t>
        </is>
      </c>
      <c r="E1729" t="inlineStr">
        <is>
          <t>SOLLEFTEÅ</t>
        </is>
      </c>
      <c r="F1729" t="inlineStr">
        <is>
          <t>SCA</t>
        </is>
      </c>
      <c r="G1729" t="n">
        <v>27.8</v>
      </c>
      <c r="H1729" t="n">
        <v>0</v>
      </c>
      <c r="I1729" t="n">
        <v>0</v>
      </c>
      <c r="J1729" t="n">
        <v>0</v>
      </c>
      <c r="K1729" t="n">
        <v>0</v>
      </c>
      <c r="L1729" t="n">
        <v>0</v>
      </c>
      <c r="M1729" t="n">
        <v>0</v>
      </c>
      <c r="N1729" t="n">
        <v>0</v>
      </c>
      <c r="O1729" t="n">
        <v>0</v>
      </c>
      <c r="P1729" t="n">
        <v>0</v>
      </c>
      <c r="Q1729" t="n">
        <v>0</v>
      </c>
      <c r="R1729" s="2" t="inlineStr"/>
    </row>
    <row r="1730" ht="15" customHeight="1">
      <c r="A1730" t="inlineStr">
        <is>
          <t>A 47962-2025</t>
        </is>
      </c>
      <c r="B1730" s="1" t="n">
        <v>45932.59434027778</v>
      </c>
      <c r="C1730" s="1" t="n">
        <v>45998</v>
      </c>
      <c r="D1730" t="inlineStr">
        <is>
          <t>VÄSTERNORRLANDS LÄN</t>
        </is>
      </c>
      <c r="E1730" t="inlineStr">
        <is>
          <t>SOLLEFTEÅ</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42631-2024</t>
        </is>
      </c>
      <c r="B1731" s="1" t="n">
        <v>45565</v>
      </c>
      <c r="C1731" s="1" t="n">
        <v>45998</v>
      </c>
      <c r="D1731" t="inlineStr">
        <is>
          <t>VÄSTERNORRLANDS LÄN</t>
        </is>
      </c>
      <c r="E1731" t="inlineStr">
        <is>
          <t>SOLLEFTEÅ</t>
        </is>
      </c>
      <c r="F1731" t="inlineStr">
        <is>
          <t>Holmen skog AB</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40701-2025</t>
        </is>
      </c>
      <c r="B1732" s="1" t="n">
        <v>45897.32884259259</v>
      </c>
      <c r="C1732" s="1" t="n">
        <v>45998</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47947-2025</t>
        </is>
      </c>
      <c r="B1733" s="1" t="n">
        <v>45932.5740625</v>
      </c>
      <c r="C1733" s="1" t="n">
        <v>45998</v>
      </c>
      <c r="D1733" t="inlineStr">
        <is>
          <t>VÄSTERNORRLANDS LÄN</t>
        </is>
      </c>
      <c r="E1733" t="inlineStr">
        <is>
          <t>SOLLEFTEÅ</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48052-2025</t>
        </is>
      </c>
      <c r="B1734" s="1" t="n">
        <v>45932.67831018518</v>
      </c>
      <c r="C1734" s="1" t="n">
        <v>45998</v>
      </c>
      <c r="D1734" t="inlineStr">
        <is>
          <t>VÄSTERNORRLANDS LÄN</t>
        </is>
      </c>
      <c r="E1734" t="inlineStr">
        <is>
          <t>SOLLEFTEÅ</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40754-2025</t>
        </is>
      </c>
      <c r="B1735" s="1" t="n">
        <v>45897.38653935185</v>
      </c>
      <c r="C1735" s="1" t="n">
        <v>45998</v>
      </c>
      <c r="D1735" t="inlineStr">
        <is>
          <t>VÄSTERNORRLANDS LÄN</t>
        </is>
      </c>
      <c r="E1735" t="inlineStr">
        <is>
          <t>SOLLEFTEÅ</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47732-2025</t>
        </is>
      </c>
      <c r="B1736" s="1" t="n">
        <v>45931.63561342593</v>
      </c>
      <c r="C1736" s="1" t="n">
        <v>45998</v>
      </c>
      <c r="D1736" t="inlineStr">
        <is>
          <t>VÄSTERNORRLANDS LÄN</t>
        </is>
      </c>
      <c r="E1736" t="inlineStr">
        <is>
          <t>SOLLEFTEÅ</t>
        </is>
      </c>
      <c r="F1736" t="inlineStr">
        <is>
          <t>Holmen skog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47641-2025</t>
        </is>
      </c>
      <c r="B1737" s="1" t="n">
        <v>45931.51086805556</v>
      </c>
      <c r="C1737" s="1" t="n">
        <v>45998</v>
      </c>
      <c r="D1737" t="inlineStr">
        <is>
          <t>VÄSTERNORRLANDS LÄN</t>
        </is>
      </c>
      <c r="E1737" t="inlineStr">
        <is>
          <t>SOLLEFTEÅ</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47642-2025</t>
        </is>
      </c>
      <c r="B1738" s="1" t="n">
        <v>45931.51105324074</v>
      </c>
      <c r="C1738" s="1" t="n">
        <v>45998</v>
      </c>
      <c r="D1738" t="inlineStr">
        <is>
          <t>VÄSTERNORRLANDS LÄN</t>
        </is>
      </c>
      <c r="E1738" t="inlineStr">
        <is>
          <t>SOLLEFTEÅ</t>
        </is>
      </c>
      <c r="F1738" t="inlineStr">
        <is>
          <t>SCA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30329-2024</t>
        </is>
      </c>
      <c r="B1739" s="1" t="n">
        <v>45490.95304398148</v>
      </c>
      <c r="C1739" s="1" t="n">
        <v>45998</v>
      </c>
      <c r="D1739" t="inlineStr">
        <is>
          <t>VÄSTERNORRLANDS LÄN</t>
        </is>
      </c>
      <c r="E1739" t="inlineStr">
        <is>
          <t>SOLLEFTEÅ</t>
        </is>
      </c>
      <c r="F1739" t="inlineStr">
        <is>
          <t>SCA</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40752-2025</t>
        </is>
      </c>
      <c r="B1740" s="1" t="n">
        <v>45897.38592592593</v>
      </c>
      <c r="C1740" s="1" t="n">
        <v>45998</v>
      </c>
      <c r="D1740" t="inlineStr">
        <is>
          <t>VÄSTERNORRLANDS LÄN</t>
        </is>
      </c>
      <c r="E1740" t="inlineStr">
        <is>
          <t>SOLLEFTEÅ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55168-2025</t>
        </is>
      </c>
      <c r="B1741" s="1" t="n">
        <v>45968</v>
      </c>
      <c r="C1741" s="1" t="n">
        <v>45998</v>
      </c>
      <c r="D1741" t="inlineStr">
        <is>
          <t>VÄSTERNORRLANDS LÄN</t>
        </is>
      </c>
      <c r="E1741" t="inlineStr">
        <is>
          <t>SOLLEFTEÅ</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55819-2025</t>
        </is>
      </c>
      <c r="B1742" s="1" t="n">
        <v>45972</v>
      </c>
      <c r="C1742" s="1" t="n">
        <v>45998</v>
      </c>
      <c r="D1742" t="inlineStr">
        <is>
          <t>VÄSTERNORRLANDS LÄN</t>
        </is>
      </c>
      <c r="E1742" t="inlineStr">
        <is>
          <t>SOLLEFTEÅ</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40962-2025</t>
        </is>
      </c>
      <c r="B1743" s="1" t="n">
        <v>45897.6983912037</v>
      </c>
      <c r="C1743" s="1" t="n">
        <v>45998</v>
      </c>
      <c r="D1743" t="inlineStr">
        <is>
          <t>VÄSTERNORRLANDS LÄN</t>
        </is>
      </c>
      <c r="E1743" t="inlineStr">
        <is>
          <t>SOLLEFTEÅ</t>
        </is>
      </c>
      <c r="F1743" t="inlineStr">
        <is>
          <t>SCA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40997-2025</t>
        </is>
      </c>
      <c r="B1744" s="1" t="n">
        <v>45898.34453703704</v>
      </c>
      <c r="C1744" s="1" t="n">
        <v>45998</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41001-2025</t>
        </is>
      </c>
      <c r="B1745" s="1" t="n">
        <v>45898</v>
      </c>
      <c r="C1745" s="1" t="n">
        <v>45998</v>
      </c>
      <c r="D1745" t="inlineStr">
        <is>
          <t>VÄSTERNORRLANDS LÄN</t>
        </is>
      </c>
      <c r="E1745" t="inlineStr">
        <is>
          <t>SOLLEFTEÅ</t>
        </is>
      </c>
      <c r="F1745" t="inlineStr">
        <is>
          <t>SCA</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41025-2025</t>
        </is>
      </c>
      <c r="B1746" s="1" t="n">
        <v>45897</v>
      </c>
      <c r="C1746" s="1" t="n">
        <v>45998</v>
      </c>
      <c r="D1746" t="inlineStr">
        <is>
          <t>VÄSTERNORRLANDS LÄN</t>
        </is>
      </c>
      <c r="E1746" t="inlineStr">
        <is>
          <t>SOLLEFTEÅ</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56076-2025</t>
        </is>
      </c>
      <c r="B1747" s="1" t="n">
        <v>45973.65740740741</v>
      </c>
      <c r="C1747" s="1" t="n">
        <v>45998</v>
      </c>
      <c r="D1747" t="inlineStr">
        <is>
          <t>VÄSTERNORRLANDS LÄN</t>
        </is>
      </c>
      <c r="E1747" t="inlineStr">
        <is>
          <t>SOLLEFTEÅ</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47647-2025</t>
        </is>
      </c>
      <c r="B1748" s="1" t="n">
        <v>45931.51834490741</v>
      </c>
      <c r="C1748" s="1" t="n">
        <v>45998</v>
      </c>
      <c r="D1748" t="inlineStr">
        <is>
          <t>VÄSTERNORRLANDS LÄN</t>
        </is>
      </c>
      <c r="E1748" t="inlineStr">
        <is>
          <t>SOLLEFTEÅ</t>
        </is>
      </c>
      <c r="F1748" t="inlineStr">
        <is>
          <t>Holmen skog AB</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41494-2025</t>
        </is>
      </c>
      <c r="B1749" s="1" t="n">
        <v>45901</v>
      </c>
      <c r="C1749" s="1" t="n">
        <v>45998</v>
      </c>
      <c r="D1749" t="inlineStr">
        <is>
          <t>VÄSTERNORRLANDS LÄN</t>
        </is>
      </c>
      <c r="E1749" t="inlineStr">
        <is>
          <t>SOLLEFTEÅ</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11318-2022</t>
        </is>
      </c>
      <c r="B1750" s="1" t="n">
        <v>44629.94743055556</v>
      </c>
      <c r="C1750" s="1" t="n">
        <v>45998</v>
      </c>
      <c r="D1750" t="inlineStr">
        <is>
          <t>VÄSTERNORRLANDS LÄN</t>
        </is>
      </c>
      <c r="E1750" t="inlineStr">
        <is>
          <t>SOLLEFTEÅ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47771-2025</t>
        </is>
      </c>
      <c r="B1751" s="1" t="n">
        <v>45931.719375</v>
      </c>
      <c r="C1751" s="1" t="n">
        <v>45998</v>
      </c>
      <c r="D1751" t="inlineStr">
        <is>
          <t>VÄSTERNORRLANDS LÄN</t>
        </is>
      </c>
      <c r="E1751" t="inlineStr">
        <is>
          <t>SOLLEFTEÅ</t>
        </is>
      </c>
      <c r="F1751" t="inlineStr">
        <is>
          <t>SCA</t>
        </is>
      </c>
      <c r="G1751" t="n">
        <v>23.8</v>
      </c>
      <c r="H1751" t="n">
        <v>0</v>
      </c>
      <c r="I1751" t="n">
        <v>0</v>
      </c>
      <c r="J1751" t="n">
        <v>0</v>
      </c>
      <c r="K1751" t="n">
        <v>0</v>
      </c>
      <c r="L1751" t="n">
        <v>0</v>
      </c>
      <c r="M1751" t="n">
        <v>0</v>
      </c>
      <c r="N1751" t="n">
        <v>0</v>
      </c>
      <c r="O1751" t="n">
        <v>0</v>
      </c>
      <c r="P1751" t="n">
        <v>0</v>
      </c>
      <c r="Q1751" t="n">
        <v>0</v>
      </c>
      <c r="R1751" s="2" t="inlineStr"/>
    </row>
    <row r="1752" ht="15" customHeight="1">
      <c r="A1752" t="inlineStr">
        <is>
          <t>A 56458-2025</t>
        </is>
      </c>
      <c r="B1752" s="1" t="n">
        <v>45975.3650462963</v>
      </c>
      <c r="C1752" s="1" t="n">
        <v>45998</v>
      </c>
      <c r="D1752" t="inlineStr">
        <is>
          <t>VÄSTERNORRLANDS LÄN</t>
        </is>
      </c>
      <c r="E1752" t="inlineStr">
        <is>
          <t>SOLLEFTEÅ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41472-2025</t>
        </is>
      </c>
      <c r="B1753" s="1" t="n">
        <v>45901.4693287037</v>
      </c>
      <c r="C1753" s="1" t="n">
        <v>45998</v>
      </c>
      <c r="D1753" t="inlineStr">
        <is>
          <t>VÄSTERNORRLANDS LÄN</t>
        </is>
      </c>
      <c r="E1753" t="inlineStr">
        <is>
          <t>SOLLEFTEÅ</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41540-2025</t>
        </is>
      </c>
      <c r="B1754" s="1" t="n">
        <v>45901.56833333334</v>
      </c>
      <c r="C1754" s="1" t="n">
        <v>45998</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41473-2025</t>
        </is>
      </c>
      <c r="B1755" s="1" t="n">
        <v>45901.46952546296</v>
      </c>
      <c r="C1755" s="1" t="n">
        <v>45998</v>
      </c>
      <c r="D1755" t="inlineStr">
        <is>
          <t>VÄSTERNORRLANDS LÄN</t>
        </is>
      </c>
      <c r="E1755" t="inlineStr">
        <is>
          <t>SOLLEFTEÅ</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56987-2025</t>
        </is>
      </c>
      <c r="B1756" s="1" t="n">
        <v>45978.71915509259</v>
      </c>
      <c r="C1756" s="1" t="n">
        <v>45998</v>
      </c>
      <c r="D1756" t="inlineStr">
        <is>
          <t>VÄSTERNORRLANDS LÄN</t>
        </is>
      </c>
      <c r="E1756" t="inlineStr">
        <is>
          <t>SOLLEFTEÅ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48125-2025</t>
        </is>
      </c>
      <c r="B1757" s="1" t="n">
        <v>45933.36511574074</v>
      </c>
      <c r="C1757" s="1" t="n">
        <v>45998</v>
      </c>
      <c r="D1757" t="inlineStr">
        <is>
          <t>VÄSTERNORRLANDS LÄN</t>
        </is>
      </c>
      <c r="E1757" t="inlineStr">
        <is>
          <t>SOLLEFTEÅ</t>
        </is>
      </c>
      <c r="F1757" t="inlineStr">
        <is>
          <t>SCA</t>
        </is>
      </c>
      <c r="G1757" t="n">
        <v>13.3</v>
      </c>
      <c r="H1757" t="n">
        <v>0</v>
      </c>
      <c r="I1757" t="n">
        <v>0</v>
      </c>
      <c r="J1757" t="n">
        <v>0</v>
      </c>
      <c r="K1757" t="n">
        <v>0</v>
      </c>
      <c r="L1757" t="n">
        <v>0</v>
      </c>
      <c r="M1757" t="n">
        <v>0</v>
      </c>
      <c r="N1757" t="n">
        <v>0</v>
      </c>
      <c r="O1757" t="n">
        <v>0</v>
      </c>
      <c r="P1757" t="n">
        <v>0</v>
      </c>
      <c r="Q1757" t="n">
        <v>0</v>
      </c>
      <c r="R1757" s="2" t="inlineStr"/>
    </row>
    <row r="1758" ht="15" customHeight="1">
      <c r="A1758" t="inlineStr">
        <is>
          <t>A 40571-2024</t>
        </is>
      </c>
      <c r="B1758" s="1" t="n">
        <v>45555.67759259259</v>
      </c>
      <c r="C1758" s="1" t="n">
        <v>45998</v>
      </c>
      <c r="D1758" t="inlineStr">
        <is>
          <t>VÄSTERNORRLANDS LÄN</t>
        </is>
      </c>
      <c r="E1758" t="inlineStr">
        <is>
          <t>SOLLEFTEÅ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42081-2025</t>
        </is>
      </c>
      <c r="B1759" s="1" t="n">
        <v>45902</v>
      </c>
      <c r="C1759" s="1" t="n">
        <v>45998</v>
      </c>
      <c r="D1759" t="inlineStr">
        <is>
          <t>VÄSTERNORRLANDS LÄN</t>
        </is>
      </c>
      <c r="E1759" t="inlineStr">
        <is>
          <t>SOLLEFTEÅ</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41449-2025</t>
        </is>
      </c>
      <c r="B1760" s="1" t="n">
        <v>45901.42787037037</v>
      </c>
      <c r="C1760" s="1" t="n">
        <v>45998</v>
      </c>
      <c r="D1760" t="inlineStr">
        <is>
          <t>VÄSTERNORRLANDS LÄN</t>
        </is>
      </c>
      <c r="E1760" t="inlineStr">
        <is>
          <t>SOLLEFTEÅ</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25338-2022</t>
        </is>
      </c>
      <c r="B1761" s="1" t="n">
        <v>44731</v>
      </c>
      <c r="C1761" s="1" t="n">
        <v>45998</v>
      </c>
      <c r="D1761" t="inlineStr">
        <is>
          <t>VÄSTERNORRLANDS LÄN</t>
        </is>
      </c>
      <c r="E1761" t="inlineStr">
        <is>
          <t>SOLLEFTEÅ</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41617-2025</t>
        </is>
      </c>
      <c r="B1762" s="1" t="n">
        <v>45901.69834490741</v>
      </c>
      <c r="C1762" s="1" t="n">
        <v>45998</v>
      </c>
      <c r="D1762" t="inlineStr">
        <is>
          <t>VÄSTERNORRLANDS LÄN</t>
        </is>
      </c>
      <c r="E1762" t="inlineStr">
        <is>
          <t>SOLLEFTEÅ</t>
        </is>
      </c>
      <c r="F1762" t="inlineStr">
        <is>
          <t>SCA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41829-2025</t>
        </is>
      </c>
      <c r="B1763" s="1" t="n">
        <v>45902</v>
      </c>
      <c r="C1763" s="1" t="n">
        <v>45998</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29246-2025</t>
        </is>
      </c>
      <c r="B1764" s="1" t="n">
        <v>45824</v>
      </c>
      <c r="C1764" s="1" t="n">
        <v>45998</v>
      </c>
      <c r="D1764" t="inlineStr">
        <is>
          <t>VÄSTERNORRLANDS LÄN</t>
        </is>
      </c>
      <c r="E1764" t="inlineStr">
        <is>
          <t>SOLLEFTEÅ</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41513-2025</t>
        </is>
      </c>
      <c r="B1765" s="1" t="n">
        <v>45901.54069444445</v>
      </c>
      <c r="C1765" s="1" t="n">
        <v>45998</v>
      </c>
      <c r="D1765" t="inlineStr">
        <is>
          <t>VÄSTERNORRLANDS LÄN</t>
        </is>
      </c>
      <c r="E1765" t="inlineStr">
        <is>
          <t>SOLLEFTEÅ</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41543-2025</t>
        </is>
      </c>
      <c r="B1766" s="1" t="n">
        <v>45901.57386574074</v>
      </c>
      <c r="C1766" s="1" t="n">
        <v>45998</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41502-2025</t>
        </is>
      </c>
      <c r="B1767" s="1" t="n">
        <v>45901</v>
      </c>
      <c r="C1767" s="1" t="n">
        <v>45998</v>
      </c>
      <c r="D1767" t="inlineStr">
        <is>
          <t>VÄSTERNORRLANDS LÄN</t>
        </is>
      </c>
      <c r="E1767" t="inlineStr">
        <is>
          <t>SOLLEFTEÅ</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42064-2025</t>
        </is>
      </c>
      <c r="B1768" s="1" t="n">
        <v>45903.6527199074</v>
      </c>
      <c r="C1768" s="1" t="n">
        <v>45998</v>
      </c>
      <c r="D1768" t="inlineStr">
        <is>
          <t>VÄSTERNORRLANDS LÄN</t>
        </is>
      </c>
      <c r="E1768" t="inlineStr">
        <is>
          <t>SOLLEFTEÅ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41925-2025</t>
        </is>
      </c>
      <c r="B1769" s="1" t="n">
        <v>45903.4275</v>
      </c>
      <c r="C1769" s="1" t="n">
        <v>45998</v>
      </c>
      <c r="D1769" t="inlineStr">
        <is>
          <t>VÄSTERNORRLANDS LÄN</t>
        </is>
      </c>
      <c r="E1769" t="inlineStr">
        <is>
          <t>SOLLEFTEÅ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42191-2025</t>
        </is>
      </c>
      <c r="B1770" s="1" t="n">
        <v>45904.47394675926</v>
      </c>
      <c r="C1770" s="1" t="n">
        <v>45998</v>
      </c>
      <c r="D1770" t="inlineStr">
        <is>
          <t>VÄSTERNORRLANDS LÄN</t>
        </is>
      </c>
      <c r="E1770" t="inlineStr">
        <is>
          <t>SOLLEFTEÅ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48422-2025</t>
        </is>
      </c>
      <c r="B1771" s="1" t="n">
        <v>45934.67761574074</v>
      </c>
      <c r="C1771" s="1" t="n">
        <v>45998</v>
      </c>
      <c r="D1771" t="inlineStr">
        <is>
          <t>VÄSTERNORRLANDS LÄN</t>
        </is>
      </c>
      <c r="E1771" t="inlineStr">
        <is>
          <t>SOLLEFTEÅ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41948-2025</t>
        </is>
      </c>
      <c r="B1772" s="1" t="n">
        <v>45903.45092592593</v>
      </c>
      <c r="C1772" s="1" t="n">
        <v>45998</v>
      </c>
      <c r="D1772" t="inlineStr">
        <is>
          <t>VÄSTERNORRLANDS LÄN</t>
        </is>
      </c>
      <c r="E1772" t="inlineStr">
        <is>
          <t>SOLLEFTEÅ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42192-2025</t>
        </is>
      </c>
      <c r="B1773" s="1" t="n">
        <v>45904.47975694444</v>
      </c>
      <c r="C1773" s="1" t="n">
        <v>45998</v>
      </c>
      <c r="D1773" t="inlineStr">
        <is>
          <t>VÄSTERNORRLANDS LÄN</t>
        </is>
      </c>
      <c r="E1773" t="inlineStr">
        <is>
          <t>SOLLEFTEÅ</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42199-2025</t>
        </is>
      </c>
      <c r="B1774" s="1" t="n">
        <v>45904.48640046296</v>
      </c>
      <c r="C1774" s="1" t="n">
        <v>45998</v>
      </c>
      <c r="D1774" t="inlineStr">
        <is>
          <t>VÄSTERNORRLANDS LÄN</t>
        </is>
      </c>
      <c r="E1774" t="inlineStr">
        <is>
          <t>SOLLEFTEÅ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48351-2025</t>
        </is>
      </c>
      <c r="B1775" s="1" t="n">
        <v>45933.65725694445</v>
      </c>
      <c r="C1775" s="1" t="n">
        <v>45998</v>
      </c>
      <c r="D1775" t="inlineStr">
        <is>
          <t>VÄSTERNORRLANDS LÄN</t>
        </is>
      </c>
      <c r="E1775" t="inlineStr">
        <is>
          <t>SOLLEFTEÅ</t>
        </is>
      </c>
      <c r="F1775" t="inlineStr">
        <is>
          <t>SCA</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42041-2025</t>
        </is>
      </c>
      <c r="B1776" s="1" t="n">
        <v>45903.61568287037</v>
      </c>
      <c r="C1776" s="1" t="n">
        <v>45998</v>
      </c>
      <c r="D1776" t="inlineStr">
        <is>
          <t>VÄSTERNORRLANDS LÄN</t>
        </is>
      </c>
      <c r="E1776" t="inlineStr">
        <is>
          <t>SOLLEFTEÅ</t>
        </is>
      </c>
      <c r="F1776" t="inlineStr">
        <is>
          <t>SCA</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48713-2025</t>
        </is>
      </c>
      <c r="B1777" s="1" t="n">
        <v>45936.63592592593</v>
      </c>
      <c r="C1777" s="1" t="n">
        <v>45998</v>
      </c>
      <c r="D1777" t="inlineStr">
        <is>
          <t>VÄSTERNORRLANDS LÄN</t>
        </is>
      </c>
      <c r="E1777" t="inlineStr">
        <is>
          <t>SOLLEFTEÅ</t>
        </is>
      </c>
      <c r="F1777" t="inlineStr">
        <is>
          <t>SCA</t>
        </is>
      </c>
      <c r="G1777" t="n">
        <v>24.2</v>
      </c>
      <c r="H1777" t="n">
        <v>0</v>
      </c>
      <c r="I1777" t="n">
        <v>0</v>
      </c>
      <c r="J1777" t="n">
        <v>0</v>
      </c>
      <c r="K1777" t="n">
        <v>0</v>
      </c>
      <c r="L1777" t="n">
        <v>0</v>
      </c>
      <c r="M1777" t="n">
        <v>0</v>
      </c>
      <c r="N1777" t="n">
        <v>0</v>
      </c>
      <c r="O1777" t="n">
        <v>0</v>
      </c>
      <c r="P1777" t="n">
        <v>0</v>
      </c>
      <c r="Q1777" t="n">
        <v>0</v>
      </c>
      <c r="R1777" s="2" t="inlineStr"/>
    </row>
    <row r="1778" ht="15" customHeight="1">
      <c r="A1778" t="inlineStr">
        <is>
          <t>A 48340-2025</t>
        </is>
      </c>
      <c r="B1778" s="1" t="n">
        <v>45933.64240740741</v>
      </c>
      <c r="C1778" s="1" t="n">
        <v>45998</v>
      </c>
      <c r="D1778" t="inlineStr">
        <is>
          <t>VÄSTERNORRLANDS LÄN</t>
        </is>
      </c>
      <c r="E1778" t="inlineStr">
        <is>
          <t>SOLLEFTEÅ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42127-2025</t>
        </is>
      </c>
      <c r="B1779" s="1" t="n">
        <v>45904.34502314815</v>
      </c>
      <c r="C1779" s="1" t="n">
        <v>45998</v>
      </c>
      <c r="D1779" t="inlineStr">
        <is>
          <t>VÄSTERNORRLANDS LÄN</t>
        </is>
      </c>
      <c r="E1779" t="inlineStr">
        <is>
          <t>SOLLEFTEÅ</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48603-2025</t>
        </is>
      </c>
      <c r="B1780" s="1" t="n">
        <v>45936.46928240741</v>
      </c>
      <c r="C1780" s="1" t="n">
        <v>45998</v>
      </c>
      <c r="D1780" t="inlineStr">
        <is>
          <t>VÄSTERNORRLANDS LÄN</t>
        </is>
      </c>
      <c r="E1780" t="inlineStr">
        <is>
          <t>SOLLEFTEÅ</t>
        </is>
      </c>
      <c r="F1780" t="inlineStr">
        <is>
          <t>SCA</t>
        </is>
      </c>
      <c r="G1780" t="n">
        <v>25.6</v>
      </c>
      <c r="H1780" t="n">
        <v>0</v>
      </c>
      <c r="I1780" t="n">
        <v>0</v>
      </c>
      <c r="J1780" t="n">
        <v>0</v>
      </c>
      <c r="K1780" t="n">
        <v>0</v>
      </c>
      <c r="L1780" t="n">
        <v>0</v>
      </c>
      <c r="M1780" t="n">
        <v>0</v>
      </c>
      <c r="N1780" t="n">
        <v>0</v>
      </c>
      <c r="O1780" t="n">
        <v>0</v>
      </c>
      <c r="P1780" t="n">
        <v>0</v>
      </c>
      <c r="Q1780" t="n">
        <v>0</v>
      </c>
      <c r="R1780" s="2" t="inlineStr"/>
    </row>
    <row r="1781" ht="15" customHeight="1">
      <c r="A1781" t="inlineStr">
        <is>
          <t>A 42201-2025</t>
        </is>
      </c>
      <c r="B1781" s="1" t="n">
        <v>45904.48965277777</v>
      </c>
      <c r="C1781" s="1" t="n">
        <v>45998</v>
      </c>
      <c r="D1781" t="inlineStr">
        <is>
          <t>VÄSTERNORRLANDS LÄN</t>
        </is>
      </c>
      <c r="E1781" t="inlineStr">
        <is>
          <t>SOLLEFTEÅ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42901-2025</t>
        </is>
      </c>
      <c r="B1782" s="1" t="n">
        <v>45908.67736111111</v>
      </c>
      <c r="C1782" s="1" t="n">
        <v>45998</v>
      </c>
      <c r="D1782" t="inlineStr">
        <is>
          <t>VÄSTERNORRLANDS LÄN</t>
        </is>
      </c>
      <c r="E1782" t="inlineStr">
        <is>
          <t>SOLLEFTEÅ</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48290-2025</t>
        </is>
      </c>
      <c r="B1783" s="1" t="n">
        <v>45933.59497685185</v>
      </c>
      <c r="C1783" s="1" t="n">
        <v>45998</v>
      </c>
      <c r="D1783" t="inlineStr">
        <is>
          <t>VÄSTERNORRLANDS LÄN</t>
        </is>
      </c>
      <c r="E1783" t="inlineStr">
        <is>
          <t>SOLLEFTEÅ</t>
        </is>
      </c>
      <c r="F1783" t="inlineStr">
        <is>
          <t>SCA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48306-2025</t>
        </is>
      </c>
      <c r="B1784" s="1" t="n">
        <v>45933.615</v>
      </c>
      <c r="C1784" s="1" t="n">
        <v>45998</v>
      </c>
      <c r="D1784" t="inlineStr">
        <is>
          <t>VÄSTERNORRLANDS LÄN</t>
        </is>
      </c>
      <c r="E1784" t="inlineStr">
        <is>
          <t>SOLLEFTEÅ</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48311-2025</t>
        </is>
      </c>
      <c r="B1785" s="1" t="n">
        <v>45933.61584490741</v>
      </c>
      <c r="C1785" s="1" t="n">
        <v>45998</v>
      </c>
      <c r="D1785" t="inlineStr">
        <is>
          <t>VÄSTERNORRLANDS LÄN</t>
        </is>
      </c>
      <c r="E1785" t="inlineStr">
        <is>
          <t>SOLLEFTEÅ</t>
        </is>
      </c>
      <c r="F1785" t="inlineStr">
        <is>
          <t>SCA</t>
        </is>
      </c>
      <c r="G1785" t="n">
        <v>61.2</v>
      </c>
      <c r="H1785" t="n">
        <v>0</v>
      </c>
      <c r="I1785" t="n">
        <v>0</v>
      </c>
      <c r="J1785" t="n">
        <v>0</v>
      </c>
      <c r="K1785" t="n">
        <v>0</v>
      </c>
      <c r="L1785" t="n">
        <v>0</v>
      </c>
      <c r="M1785" t="n">
        <v>0</v>
      </c>
      <c r="N1785" t="n">
        <v>0</v>
      </c>
      <c r="O1785" t="n">
        <v>0</v>
      </c>
      <c r="P1785" t="n">
        <v>0</v>
      </c>
      <c r="Q1785" t="n">
        <v>0</v>
      </c>
      <c r="R1785" s="2" t="inlineStr"/>
    </row>
    <row r="1786" ht="15" customHeight="1">
      <c r="A1786" t="inlineStr">
        <is>
          <t>A 56438-2025</t>
        </is>
      </c>
      <c r="B1786" s="1" t="n">
        <v>45975.34724537037</v>
      </c>
      <c r="C1786" s="1" t="n">
        <v>45998</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56443-2025</t>
        </is>
      </c>
      <c r="B1787" s="1" t="n">
        <v>45975.34791666667</v>
      </c>
      <c r="C1787" s="1" t="n">
        <v>45998</v>
      </c>
      <c r="D1787" t="inlineStr">
        <is>
          <t>VÄSTERNORRLANDS LÄN</t>
        </is>
      </c>
      <c r="E1787" t="inlineStr">
        <is>
          <t>SOLLEFTEÅ</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56425-2025</t>
        </is>
      </c>
      <c r="B1788" s="1" t="n">
        <v>45975.34559027778</v>
      </c>
      <c r="C1788" s="1" t="n">
        <v>45998</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42789-2025</t>
        </is>
      </c>
      <c r="B1789" s="1" t="n">
        <v>45908</v>
      </c>
      <c r="C1789" s="1" t="n">
        <v>45998</v>
      </c>
      <c r="D1789" t="inlineStr">
        <is>
          <t>VÄSTERNORRLANDS LÄN</t>
        </is>
      </c>
      <c r="E1789" t="inlineStr">
        <is>
          <t>SOLLEFTEÅ</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42808-2025</t>
        </is>
      </c>
      <c r="B1790" s="1" t="n">
        <v>45908.55265046296</v>
      </c>
      <c r="C1790" s="1" t="n">
        <v>45998</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23090-2025</t>
        </is>
      </c>
      <c r="B1791" s="1" t="n">
        <v>45791.34443287037</v>
      </c>
      <c r="C1791" s="1" t="n">
        <v>45998</v>
      </c>
      <c r="D1791" t="inlineStr">
        <is>
          <t>VÄSTERNORRLANDS LÄN</t>
        </is>
      </c>
      <c r="E1791" t="inlineStr">
        <is>
          <t>SOLLEFTEÅ</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48467-2025</t>
        </is>
      </c>
      <c r="B1792" s="1" t="n">
        <v>45936.34452546296</v>
      </c>
      <c r="C1792" s="1" t="n">
        <v>45998</v>
      </c>
      <c r="D1792" t="inlineStr">
        <is>
          <t>VÄSTERNORRLANDS LÄN</t>
        </is>
      </c>
      <c r="E1792" t="inlineStr">
        <is>
          <t>SOLLEFTEÅ</t>
        </is>
      </c>
      <c r="F1792" t="inlineStr">
        <is>
          <t>SCA</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72244-2021</t>
        </is>
      </c>
      <c r="B1793" s="1" t="n">
        <v>44544.9390162037</v>
      </c>
      <c r="C1793" s="1" t="n">
        <v>45998</v>
      </c>
      <c r="D1793" t="inlineStr">
        <is>
          <t>VÄSTERNORRLANDS LÄN</t>
        </is>
      </c>
      <c r="E1793" t="inlineStr">
        <is>
          <t>SOLLEFTEÅ</t>
        </is>
      </c>
      <c r="F1793" t="inlineStr">
        <is>
          <t>SCA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41834-2024</t>
        </is>
      </c>
      <c r="B1794" s="1" t="n">
        <v>45561.4084375</v>
      </c>
      <c r="C1794" s="1" t="n">
        <v>45998</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918-2023</t>
        </is>
      </c>
      <c r="B1795" s="1" t="n">
        <v>44931.95329861111</v>
      </c>
      <c r="C1795" s="1" t="n">
        <v>45998</v>
      </c>
      <c r="D1795" t="inlineStr">
        <is>
          <t>VÄSTERNORRLANDS LÄN</t>
        </is>
      </c>
      <c r="E1795" t="inlineStr">
        <is>
          <t>SOLLEFTEÅ</t>
        </is>
      </c>
      <c r="F1795" t="inlineStr">
        <is>
          <t>SCA</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48307-2025</t>
        </is>
      </c>
      <c r="B1796" s="1" t="n">
        <v>45933.61519675926</v>
      </c>
      <c r="C1796" s="1" t="n">
        <v>45998</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48308-2025</t>
        </is>
      </c>
      <c r="B1797" s="1" t="n">
        <v>45933</v>
      </c>
      <c r="C1797" s="1" t="n">
        <v>45998</v>
      </c>
      <c r="D1797" t="inlineStr">
        <is>
          <t>VÄSTERNORRLANDS LÄN</t>
        </is>
      </c>
      <c r="E1797" t="inlineStr">
        <is>
          <t>SOLLEFTEÅ</t>
        </is>
      </c>
      <c r="F1797" t="inlineStr">
        <is>
          <t>SCA</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48313-2025</t>
        </is>
      </c>
      <c r="B1798" s="1" t="n">
        <v>45933.61605324074</v>
      </c>
      <c r="C1798" s="1" t="n">
        <v>45998</v>
      </c>
      <c r="D1798" t="inlineStr">
        <is>
          <t>VÄSTERNORRLANDS LÄN</t>
        </is>
      </c>
      <c r="E1798" t="inlineStr">
        <is>
          <t>SOLLEFTEÅ</t>
        </is>
      </c>
      <c r="F1798" t="inlineStr">
        <is>
          <t>SCA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41975-2024</t>
        </is>
      </c>
      <c r="B1799" s="1" t="n">
        <v>45561</v>
      </c>
      <c r="C1799" s="1" t="n">
        <v>45998</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62038-2024</t>
        </is>
      </c>
      <c r="B1800" s="1" t="n">
        <v>45656.34410879629</v>
      </c>
      <c r="C1800" s="1" t="n">
        <v>45998</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22166-2025</t>
        </is>
      </c>
      <c r="B1801" s="1" t="n">
        <v>45785.59480324074</v>
      </c>
      <c r="C1801" s="1" t="n">
        <v>45998</v>
      </c>
      <c r="D1801" t="inlineStr">
        <is>
          <t>VÄSTERNORRLANDS LÄN</t>
        </is>
      </c>
      <c r="E1801" t="inlineStr">
        <is>
          <t>SOLLEFTEÅ</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42697-2025</t>
        </is>
      </c>
      <c r="B1802" s="1" t="n">
        <v>45908.36498842593</v>
      </c>
      <c r="C1802" s="1" t="n">
        <v>45998</v>
      </c>
      <c r="D1802" t="inlineStr">
        <is>
          <t>VÄSTERNORRLANDS LÄN</t>
        </is>
      </c>
      <c r="E1802" t="inlineStr">
        <is>
          <t>SOLLEFTEÅ</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56631-2025</t>
        </is>
      </c>
      <c r="B1803" s="1" t="n">
        <v>45975.61549768518</v>
      </c>
      <c r="C1803" s="1" t="n">
        <v>45998</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42396-2025</t>
        </is>
      </c>
      <c r="B1804" s="1" t="n">
        <v>45905.36559027778</v>
      </c>
      <c r="C1804" s="1" t="n">
        <v>45998</v>
      </c>
      <c r="D1804" t="inlineStr">
        <is>
          <t>VÄSTERNORRLANDS LÄN</t>
        </is>
      </c>
      <c r="E1804" t="inlineStr">
        <is>
          <t>SOLLEFTEÅ</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48349-2025</t>
        </is>
      </c>
      <c r="B1805" s="1" t="n">
        <v>45933.65673611111</v>
      </c>
      <c r="C1805" s="1" t="n">
        <v>45998</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31428-2025</t>
        </is>
      </c>
      <c r="B1806" s="1" t="n">
        <v>45833.4930787037</v>
      </c>
      <c r="C1806" s="1" t="n">
        <v>45998</v>
      </c>
      <c r="D1806" t="inlineStr">
        <is>
          <t>VÄSTERNORRLANDS LÄN</t>
        </is>
      </c>
      <c r="E1806" t="inlineStr">
        <is>
          <t>SOLLEFTEÅ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9163-2025</t>
        </is>
      </c>
      <c r="B1807" s="1" t="n">
        <v>45714.36503472222</v>
      </c>
      <c r="C1807" s="1" t="n">
        <v>45998</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22514-2025</t>
        </is>
      </c>
      <c r="B1808" s="1" t="n">
        <v>45786.67755787037</v>
      </c>
      <c r="C1808" s="1" t="n">
        <v>45998</v>
      </c>
      <c r="D1808" t="inlineStr">
        <is>
          <t>VÄSTERNORRLANDS LÄN</t>
        </is>
      </c>
      <c r="E1808" t="inlineStr">
        <is>
          <t>SOLLEFTEÅ</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48555-2021</t>
        </is>
      </c>
      <c r="B1809" s="1" t="n">
        <v>44452</v>
      </c>
      <c r="C1809" s="1" t="n">
        <v>45998</v>
      </c>
      <c r="D1809" t="inlineStr">
        <is>
          <t>VÄSTERNORRLANDS LÄN</t>
        </is>
      </c>
      <c r="E1809" t="inlineStr">
        <is>
          <t>SOLLEFTEÅ</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23339-2025</t>
        </is>
      </c>
      <c r="B1810" s="1" t="n">
        <v>45791.65577546296</v>
      </c>
      <c r="C1810" s="1" t="n">
        <v>45998</v>
      </c>
      <c r="D1810" t="inlineStr">
        <is>
          <t>VÄSTERNORRLANDS LÄN</t>
        </is>
      </c>
      <c r="E1810" t="inlineStr">
        <is>
          <t>SOLLEFTEÅ</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23542-2025</t>
        </is>
      </c>
      <c r="B1811" s="1" t="n">
        <v>45792.56184027778</v>
      </c>
      <c r="C1811" s="1" t="n">
        <v>45998</v>
      </c>
      <c r="D1811" t="inlineStr">
        <is>
          <t>VÄSTERNORRLANDS LÄN</t>
        </is>
      </c>
      <c r="E1811" t="inlineStr">
        <is>
          <t>SOLLEFTEÅ</t>
        </is>
      </c>
      <c r="F1811" t="inlineStr">
        <is>
          <t>Holmen skog AB</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23564-2025</t>
        </is>
      </c>
      <c r="B1812" s="1" t="n">
        <v>45792.58840277778</v>
      </c>
      <c r="C1812" s="1" t="n">
        <v>45998</v>
      </c>
      <c r="D1812" t="inlineStr">
        <is>
          <t>VÄSTERNORRLANDS LÄN</t>
        </is>
      </c>
      <c r="E1812" t="inlineStr">
        <is>
          <t>SOLLEFTEÅ</t>
        </is>
      </c>
      <c r="F1812" t="inlineStr">
        <is>
          <t>Holmen skog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42733-2025</t>
        </is>
      </c>
      <c r="B1813" s="1" t="n">
        <v>45908.4071875</v>
      </c>
      <c r="C1813" s="1" t="n">
        <v>45998</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42778-2025</t>
        </is>
      </c>
      <c r="B1814" s="1" t="n">
        <v>45908</v>
      </c>
      <c r="C1814" s="1" t="n">
        <v>45998</v>
      </c>
      <c r="D1814" t="inlineStr">
        <is>
          <t>VÄSTERNORRLANDS LÄN</t>
        </is>
      </c>
      <c r="E1814" t="inlineStr">
        <is>
          <t>SOLLEFTEÅ</t>
        </is>
      </c>
      <c r="F1814" t="inlineStr">
        <is>
          <t>Holmen skog AB</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56434-2025</t>
        </is>
      </c>
      <c r="B1815" s="1" t="n">
        <v>45975.34666666666</v>
      </c>
      <c r="C1815" s="1" t="n">
        <v>45998</v>
      </c>
      <c r="D1815" t="inlineStr">
        <is>
          <t>VÄSTERNORRLANDS LÄN</t>
        </is>
      </c>
      <c r="E1815" t="inlineStr">
        <is>
          <t>SOLLEFTEÅ</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42806-2025</t>
        </is>
      </c>
      <c r="B1816" s="1" t="n">
        <v>45908</v>
      </c>
      <c r="C1816" s="1" t="n">
        <v>45998</v>
      </c>
      <c r="D1816" t="inlineStr">
        <is>
          <t>VÄSTERNORRLANDS LÄN</t>
        </is>
      </c>
      <c r="E1816" t="inlineStr">
        <is>
          <t>SOLLEFTEÅ</t>
        </is>
      </c>
      <c r="F1816" t="inlineStr">
        <is>
          <t>Holmen skog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33110-2024</t>
        </is>
      </c>
      <c r="B1817" s="1" t="n">
        <v>45517</v>
      </c>
      <c r="C1817" s="1" t="n">
        <v>45998</v>
      </c>
      <c r="D1817" t="inlineStr">
        <is>
          <t>VÄSTERNORRLANDS LÄN</t>
        </is>
      </c>
      <c r="E1817" t="inlineStr">
        <is>
          <t>SOLLEFTEÅ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23974-2025</t>
        </is>
      </c>
      <c r="B1818" s="1" t="n">
        <v>45796.38594907407</v>
      </c>
      <c r="C1818" s="1" t="n">
        <v>45998</v>
      </c>
      <c r="D1818" t="inlineStr">
        <is>
          <t>VÄSTERNORRLANDS LÄN</t>
        </is>
      </c>
      <c r="E1818" t="inlineStr">
        <is>
          <t>SOLLEFTEÅ</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55610-2021</t>
        </is>
      </c>
      <c r="B1819" s="1" t="n">
        <v>44475.94237268518</v>
      </c>
      <c r="C1819" s="1" t="n">
        <v>45998</v>
      </c>
      <c r="D1819" t="inlineStr">
        <is>
          <t>VÄSTERNORRLANDS LÄN</t>
        </is>
      </c>
      <c r="E1819" t="inlineStr">
        <is>
          <t>SOLLEFTEÅ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59407-2024</t>
        </is>
      </c>
      <c r="B1820" s="1" t="n">
        <v>45638.38917824074</v>
      </c>
      <c r="C1820" s="1" t="n">
        <v>45998</v>
      </c>
      <c r="D1820" t="inlineStr">
        <is>
          <t>VÄSTERNORRLANDS LÄN</t>
        </is>
      </c>
      <c r="E1820" t="inlineStr">
        <is>
          <t>SOLLEFTEÅ</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48019-2024</t>
        </is>
      </c>
      <c r="B1821" s="1" t="n">
        <v>45589.47023148148</v>
      </c>
      <c r="C1821" s="1" t="n">
        <v>45998</v>
      </c>
      <c r="D1821" t="inlineStr">
        <is>
          <t>VÄSTERNORRLANDS LÄN</t>
        </is>
      </c>
      <c r="E1821" t="inlineStr">
        <is>
          <t>SOLLEFTEÅ</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31886-2024</t>
        </is>
      </c>
      <c r="B1822" s="1" t="n">
        <v>45509.95780092593</v>
      </c>
      <c r="C1822" s="1" t="n">
        <v>45998</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62523-2023</t>
        </is>
      </c>
      <c r="B1823" s="1" t="n">
        <v>45267</v>
      </c>
      <c r="C1823" s="1" t="n">
        <v>45998</v>
      </c>
      <c r="D1823" t="inlineStr">
        <is>
          <t>VÄSTERNORRLANDS LÄN</t>
        </is>
      </c>
      <c r="E1823" t="inlineStr">
        <is>
          <t>SOLLEFTEÅ</t>
        </is>
      </c>
      <c r="G1823" t="n">
        <v>33.6</v>
      </c>
      <c r="H1823" t="n">
        <v>0</v>
      </c>
      <c r="I1823" t="n">
        <v>0</v>
      </c>
      <c r="J1823" t="n">
        <v>0</v>
      </c>
      <c r="K1823" t="n">
        <v>0</v>
      </c>
      <c r="L1823" t="n">
        <v>0</v>
      </c>
      <c r="M1823" t="n">
        <v>0</v>
      </c>
      <c r="N1823" t="n">
        <v>0</v>
      </c>
      <c r="O1823" t="n">
        <v>0</v>
      </c>
      <c r="P1823" t="n">
        <v>0</v>
      </c>
      <c r="Q1823" t="n">
        <v>0</v>
      </c>
      <c r="R1823" s="2" t="inlineStr"/>
    </row>
    <row r="1824" ht="15" customHeight="1">
      <c r="A1824" t="inlineStr">
        <is>
          <t>A 23889-2025</t>
        </is>
      </c>
      <c r="B1824" s="1" t="n">
        <v>45793.79209490741</v>
      </c>
      <c r="C1824" s="1" t="n">
        <v>45998</v>
      </c>
      <c r="D1824" t="inlineStr">
        <is>
          <t>VÄSTERNORRLANDS LÄN</t>
        </is>
      </c>
      <c r="E1824" t="inlineStr">
        <is>
          <t>SOLLEFTEÅ</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34983-2023</t>
        </is>
      </c>
      <c r="B1825" s="1" t="n">
        <v>45141</v>
      </c>
      <c r="C1825" s="1" t="n">
        <v>45998</v>
      </c>
      <c r="D1825" t="inlineStr">
        <is>
          <t>VÄSTERNORRLANDS LÄN</t>
        </is>
      </c>
      <c r="E1825" t="inlineStr">
        <is>
          <t>SOLLEFTEÅ</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37648-2021</t>
        </is>
      </c>
      <c r="B1826" s="1" t="n">
        <v>44400</v>
      </c>
      <c r="C1826" s="1" t="n">
        <v>45998</v>
      </c>
      <c r="D1826" t="inlineStr">
        <is>
          <t>VÄSTERNORRLANDS LÄN</t>
        </is>
      </c>
      <c r="E1826" t="inlineStr">
        <is>
          <t>SOLLEFTEÅ</t>
        </is>
      </c>
      <c r="G1826" t="n">
        <v>33.6</v>
      </c>
      <c r="H1826" t="n">
        <v>0</v>
      </c>
      <c r="I1826" t="n">
        <v>0</v>
      </c>
      <c r="J1826" t="n">
        <v>0</v>
      </c>
      <c r="K1826" t="n">
        <v>0</v>
      </c>
      <c r="L1826" t="n">
        <v>0</v>
      </c>
      <c r="M1826" t="n">
        <v>0</v>
      </c>
      <c r="N1826" t="n">
        <v>0</v>
      </c>
      <c r="O1826" t="n">
        <v>0</v>
      </c>
      <c r="P1826" t="n">
        <v>0</v>
      </c>
      <c r="Q1826" t="n">
        <v>0</v>
      </c>
      <c r="R1826" s="2" t="inlineStr"/>
    </row>
    <row r="1827" ht="15" customHeight="1">
      <c r="A1827" t="inlineStr">
        <is>
          <t>A 2699-2025</t>
        </is>
      </c>
      <c r="B1827" s="1" t="n">
        <v>45677.40665509259</v>
      </c>
      <c r="C1827" s="1" t="n">
        <v>45998</v>
      </c>
      <c r="D1827" t="inlineStr">
        <is>
          <t>VÄSTERNORRLANDS LÄN</t>
        </is>
      </c>
      <c r="E1827" t="inlineStr">
        <is>
          <t>SOLLEFTEÅ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52602-2024</t>
        </is>
      </c>
      <c r="B1828" s="1" t="n">
        <v>45609</v>
      </c>
      <c r="C1828" s="1" t="n">
        <v>45998</v>
      </c>
      <c r="D1828" t="inlineStr">
        <is>
          <t>VÄSTERNORRLANDS LÄN</t>
        </is>
      </c>
      <c r="E1828" t="inlineStr">
        <is>
          <t>SOLLEFTEÅ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30069-2024</t>
        </is>
      </c>
      <c r="B1829" s="1" t="n">
        <v>45488.9489699074</v>
      </c>
      <c r="C1829" s="1" t="n">
        <v>45998</v>
      </c>
      <c r="D1829" t="inlineStr">
        <is>
          <t>VÄSTERNORRLANDS LÄN</t>
        </is>
      </c>
      <c r="E1829" t="inlineStr">
        <is>
          <t>SOLLEFTEÅ</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41787-2024</t>
        </is>
      </c>
      <c r="B1830" s="1" t="n">
        <v>45561.34986111111</v>
      </c>
      <c r="C1830" s="1" t="n">
        <v>45998</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33642-2023</t>
        </is>
      </c>
      <c r="B1831" s="1" t="n">
        <v>45119</v>
      </c>
      <c r="C1831" s="1" t="n">
        <v>45998</v>
      </c>
      <c r="D1831" t="inlineStr">
        <is>
          <t>VÄSTERNORRLANDS LÄN</t>
        </is>
      </c>
      <c r="E1831" t="inlineStr">
        <is>
          <t>SOLLEFTEÅ</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33713-2023</t>
        </is>
      </c>
      <c r="B1832" s="1" t="n">
        <v>45132.94952546297</v>
      </c>
      <c r="C1832" s="1" t="n">
        <v>45998</v>
      </c>
      <c r="D1832" t="inlineStr">
        <is>
          <t>VÄSTERNORRLANDS LÄN</t>
        </is>
      </c>
      <c r="E1832" t="inlineStr">
        <is>
          <t>SOLLEFTEÅ</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23735-2025</t>
        </is>
      </c>
      <c r="B1833" s="1" t="n">
        <v>45793.42777777778</v>
      </c>
      <c r="C1833" s="1" t="n">
        <v>45998</v>
      </c>
      <c r="D1833" t="inlineStr">
        <is>
          <t>VÄSTERNORRLANDS LÄN</t>
        </is>
      </c>
      <c r="E1833" t="inlineStr">
        <is>
          <t>SOLLEFTEÅ</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28290-2024</t>
        </is>
      </c>
      <c r="B1834" s="1" t="n">
        <v>45477.46743055555</v>
      </c>
      <c r="C1834" s="1" t="n">
        <v>45998</v>
      </c>
      <c r="D1834" t="inlineStr">
        <is>
          <t>VÄSTERNORRLANDS LÄN</t>
        </is>
      </c>
      <c r="E1834" t="inlineStr">
        <is>
          <t>SOLLEFTEÅ</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59388-2024</t>
        </is>
      </c>
      <c r="B1835" s="1" t="n">
        <v>45638.365</v>
      </c>
      <c r="C1835" s="1" t="n">
        <v>45998</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35358-2021</t>
        </is>
      </c>
      <c r="B1836" s="1" t="n">
        <v>44384.93591435185</v>
      </c>
      <c r="C1836" s="1" t="n">
        <v>45998</v>
      </c>
      <c r="D1836" t="inlineStr">
        <is>
          <t>VÄSTERNORRLANDS LÄN</t>
        </is>
      </c>
      <c r="E1836" t="inlineStr">
        <is>
          <t>SOLLEFTEÅ</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23977-2025</t>
        </is>
      </c>
      <c r="B1837" s="1" t="n">
        <v>45796.38637731481</v>
      </c>
      <c r="C1837" s="1" t="n">
        <v>45998</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23997-2025</t>
        </is>
      </c>
      <c r="B1838" s="1" t="n">
        <v>45796.42061342593</v>
      </c>
      <c r="C1838" s="1" t="n">
        <v>45998</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23738-2025</t>
        </is>
      </c>
      <c r="B1839" s="1" t="n">
        <v>45793.42819444444</v>
      </c>
      <c r="C1839" s="1" t="n">
        <v>45998</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48310-2025</t>
        </is>
      </c>
      <c r="B1840" s="1" t="n">
        <v>45933.61559027778</v>
      </c>
      <c r="C1840" s="1" t="n">
        <v>45998</v>
      </c>
      <c r="D1840" t="inlineStr">
        <is>
          <t>VÄSTERNORRLANDS LÄN</t>
        </is>
      </c>
      <c r="E1840" t="inlineStr">
        <is>
          <t>SOLLEFTEÅ</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48425-2025</t>
        </is>
      </c>
      <c r="B1841" s="1" t="n">
        <v>45934.6984837963</v>
      </c>
      <c r="C1841" s="1" t="n">
        <v>45998</v>
      </c>
      <c r="D1841" t="inlineStr">
        <is>
          <t>VÄSTERNORRLANDS LÄN</t>
        </is>
      </c>
      <c r="E1841" t="inlineStr">
        <is>
          <t>SOLLEFTEÅ</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23871-2025</t>
        </is>
      </c>
      <c r="B1842" s="1" t="n">
        <v>45793.67741898148</v>
      </c>
      <c r="C1842" s="1" t="n">
        <v>45998</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1268-2024</t>
        </is>
      </c>
      <c r="B1843" s="1" t="n">
        <v>45302</v>
      </c>
      <c r="C1843" s="1" t="n">
        <v>45998</v>
      </c>
      <c r="D1843" t="inlineStr">
        <is>
          <t>VÄSTERNORRLANDS LÄN</t>
        </is>
      </c>
      <c r="E1843" t="inlineStr">
        <is>
          <t>SOLLEFTEÅ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21100-2024</t>
        </is>
      </c>
      <c r="B1844" s="1" t="n">
        <v>45439.95072916667</v>
      </c>
      <c r="C1844" s="1" t="n">
        <v>45998</v>
      </c>
      <c r="D1844" t="inlineStr">
        <is>
          <t>VÄSTERNORRLANDS LÄN</t>
        </is>
      </c>
      <c r="E1844" t="inlineStr">
        <is>
          <t>SOLLEFTEÅ</t>
        </is>
      </c>
      <c r="F1844" t="inlineStr">
        <is>
          <t>SCA</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46261-2024</t>
        </is>
      </c>
      <c r="B1845" s="1" t="n">
        <v>45581.61048611111</v>
      </c>
      <c r="C1845" s="1" t="n">
        <v>45998</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16365-2022</t>
        </is>
      </c>
      <c r="B1846" s="1" t="n">
        <v>44670.9406712963</v>
      </c>
      <c r="C1846" s="1" t="n">
        <v>45998</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48126-2025</t>
        </is>
      </c>
      <c r="B1847" s="1" t="n">
        <v>45933.36530092593</v>
      </c>
      <c r="C1847" s="1" t="n">
        <v>45998</v>
      </c>
      <c r="D1847" t="inlineStr">
        <is>
          <t>VÄSTERNORRLANDS LÄN</t>
        </is>
      </c>
      <c r="E1847" t="inlineStr">
        <is>
          <t>SOLLEFTEÅ</t>
        </is>
      </c>
      <c r="F1847" t="inlineStr">
        <is>
          <t>SCA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23734-2025</t>
        </is>
      </c>
      <c r="B1848" s="1" t="n">
        <v>45793.4275462963</v>
      </c>
      <c r="C1848" s="1" t="n">
        <v>45998</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48743-2025</t>
        </is>
      </c>
      <c r="B1849" s="1" t="n">
        <v>45936.67827546296</v>
      </c>
      <c r="C1849" s="1" t="n">
        <v>45998</v>
      </c>
      <c r="D1849" t="inlineStr">
        <is>
          <t>VÄSTERNORRLANDS LÄN</t>
        </is>
      </c>
      <c r="E1849" t="inlineStr">
        <is>
          <t>SOLLEFTEÅ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22444-2025</t>
        </is>
      </c>
      <c r="B1850" s="1" t="n">
        <v>45786</v>
      </c>
      <c r="C1850" s="1" t="n">
        <v>45998</v>
      </c>
      <c r="D1850" t="inlineStr">
        <is>
          <t>VÄSTERNORRLANDS LÄN</t>
        </is>
      </c>
      <c r="E1850" t="inlineStr">
        <is>
          <t>SOLLEFTEÅ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43603-2025</t>
        </is>
      </c>
      <c r="B1851" s="1" t="n">
        <v>45911</v>
      </c>
      <c r="C1851" s="1" t="n">
        <v>45998</v>
      </c>
      <c r="D1851" t="inlineStr">
        <is>
          <t>VÄSTERNORRLANDS LÄN</t>
        </is>
      </c>
      <c r="E1851" t="inlineStr">
        <is>
          <t>SOLLEFTEÅ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52499-2025</t>
        </is>
      </c>
      <c r="B1852" s="1" t="n">
        <v>45954.49407407407</v>
      </c>
      <c r="C1852" s="1" t="n">
        <v>45998</v>
      </c>
      <c r="D1852" t="inlineStr">
        <is>
          <t>VÄSTERNORRLANDS LÄN</t>
        </is>
      </c>
      <c r="E1852" t="inlineStr">
        <is>
          <t>SOLLEFTEÅ</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41595-2024</t>
        </is>
      </c>
      <c r="B1853" s="1" t="n">
        <v>45560.57378472222</v>
      </c>
      <c r="C1853" s="1" t="n">
        <v>45998</v>
      </c>
      <c r="D1853" t="inlineStr">
        <is>
          <t>VÄSTERNORRLANDS LÄN</t>
        </is>
      </c>
      <c r="E1853" t="inlineStr">
        <is>
          <t>SOLLEFTEÅ</t>
        </is>
      </c>
      <c r="F1853" t="inlineStr">
        <is>
          <t>SCA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24693-2025</t>
        </is>
      </c>
      <c r="B1854" s="1" t="n">
        <v>45798.6775462963</v>
      </c>
      <c r="C1854" s="1" t="n">
        <v>45998</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24488-2025</t>
        </is>
      </c>
      <c r="B1855" s="1" t="n">
        <v>45798.38576388889</v>
      </c>
      <c r="C1855" s="1" t="n">
        <v>45998</v>
      </c>
      <c r="D1855" t="inlineStr">
        <is>
          <t>VÄSTERNORRLANDS LÄN</t>
        </is>
      </c>
      <c r="E1855" t="inlineStr">
        <is>
          <t>SOLLEFTEÅ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43845-2024</t>
        </is>
      </c>
      <c r="B1856" s="1" t="n">
        <v>45572.34483796296</v>
      </c>
      <c r="C1856" s="1" t="n">
        <v>45998</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24393-2025</t>
        </is>
      </c>
      <c r="B1857" s="1" t="n">
        <v>45797.63653935185</v>
      </c>
      <c r="C1857" s="1" t="n">
        <v>45998</v>
      </c>
      <c r="D1857" t="inlineStr">
        <is>
          <t>VÄSTERNORRLANDS LÄN</t>
        </is>
      </c>
      <c r="E1857" t="inlineStr">
        <is>
          <t>SOLLEFTEÅ</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56632-2025</t>
        </is>
      </c>
      <c r="B1858" s="1" t="n">
        <v>45975.61571759259</v>
      </c>
      <c r="C1858" s="1" t="n">
        <v>45998</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43620-2025</t>
        </is>
      </c>
      <c r="B1859" s="1" t="n">
        <v>45911</v>
      </c>
      <c r="C1859" s="1" t="n">
        <v>45998</v>
      </c>
      <c r="D1859" t="inlineStr">
        <is>
          <t>VÄSTERNORRLANDS LÄN</t>
        </is>
      </c>
      <c r="E1859" t="inlineStr">
        <is>
          <t>SOLLEFTEÅ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43462-2025</t>
        </is>
      </c>
      <c r="B1860" s="1" t="n">
        <v>45911.46943287037</v>
      </c>
      <c r="C1860" s="1" t="n">
        <v>45998</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43863-2025</t>
        </is>
      </c>
      <c r="B1861" s="1" t="n">
        <v>45912.65672453704</v>
      </c>
      <c r="C1861" s="1" t="n">
        <v>45998</v>
      </c>
      <c r="D1861" t="inlineStr">
        <is>
          <t>VÄSTERNORRLANDS LÄN</t>
        </is>
      </c>
      <c r="E1861" t="inlineStr">
        <is>
          <t>SOLLEFTEÅ</t>
        </is>
      </c>
      <c r="F1861" t="inlineStr">
        <is>
          <t>SCA</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43879-2025</t>
        </is>
      </c>
      <c r="B1862" s="1" t="n">
        <v>45912.67804398148</v>
      </c>
      <c r="C1862" s="1" t="n">
        <v>45998</v>
      </c>
      <c r="D1862" t="inlineStr">
        <is>
          <t>VÄSTERNORRLANDS LÄN</t>
        </is>
      </c>
      <c r="E1862" t="inlineStr">
        <is>
          <t>SOLLEFTEÅ</t>
        </is>
      </c>
      <c r="F1862" t="inlineStr">
        <is>
          <t>SCA</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24552-2025</t>
        </is>
      </c>
      <c r="B1863" s="1" t="n">
        <v>45798.44865740741</v>
      </c>
      <c r="C1863" s="1" t="n">
        <v>45998</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24532-2025</t>
        </is>
      </c>
      <c r="B1864" s="1" t="n">
        <v>45798.42820601852</v>
      </c>
      <c r="C1864" s="1" t="n">
        <v>45998</v>
      </c>
      <c r="D1864" t="inlineStr">
        <is>
          <t>VÄSTERNORRLANDS LÄN</t>
        </is>
      </c>
      <c r="E1864" t="inlineStr">
        <is>
          <t>SOLLEFTEÅ</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38275-2024</t>
        </is>
      </c>
      <c r="B1865" s="1" t="n">
        <v>45545</v>
      </c>
      <c r="C1865" s="1" t="n">
        <v>45998</v>
      </c>
      <c r="D1865" t="inlineStr">
        <is>
          <t>VÄSTERNORRLANDS LÄN</t>
        </is>
      </c>
      <c r="E1865" t="inlineStr">
        <is>
          <t>SOLLEFTEÅ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48838-2025</t>
        </is>
      </c>
      <c r="B1866" s="1" t="n">
        <v>45937.41309027778</v>
      </c>
      <c r="C1866" s="1" t="n">
        <v>45998</v>
      </c>
      <c r="D1866" t="inlineStr">
        <is>
          <t>VÄSTERNORRLANDS LÄN</t>
        </is>
      </c>
      <c r="E1866" t="inlineStr">
        <is>
          <t>SOLLEFTEÅ</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48914-2025</t>
        </is>
      </c>
      <c r="B1867" s="1" t="n">
        <v>45937</v>
      </c>
      <c r="C1867" s="1" t="n">
        <v>45998</v>
      </c>
      <c r="D1867" t="inlineStr">
        <is>
          <t>VÄSTERNORRLANDS LÄN</t>
        </is>
      </c>
      <c r="E1867" t="inlineStr">
        <is>
          <t>SOLLEFTEÅ</t>
        </is>
      </c>
      <c r="F1867" t="inlineStr">
        <is>
          <t>SCA</t>
        </is>
      </c>
      <c r="G1867" t="n">
        <v>24.1</v>
      </c>
      <c r="H1867" t="n">
        <v>0</v>
      </c>
      <c r="I1867" t="n">
        <v>0</v>
      </c>
      <c r="J1867" t="n">
        <v>0</v>
      </c>
      <c r="K1867" t="n">
        <v>0</v>
      </c>
      <c r="L1867" t="n">
        <v>0</v>
      </c>
      <c r="M1867" t="n">
        <v>0</v>
      </c>
      <c r="N1867" t="n">
        <v>0</v>
      </c>
      <c r="O1867" t="n">
        <v>0</v>
      </c>
      <c r="P1867" t="n">
        <v>0</v>
      </c>
      <c r="Q1867" t="n">
        <v>0</v>
      </c>
      <c r="R1867" s="2" t="inlineStr"/>
    </row>
    <row r="1868" ht="15" customHeight="1">
      <c r="A1868" t="inlineStr">
        <is>
          <t>A 48815-2025</t>
        </is>
      </c>
      <c r="B1868" s="1" t="n">
        <v>45937.36503472222</v>
      </c>
      <c r="C1868" s="1" t="n">
        <v>45998</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48817-2025</t>
        </is>
      </c>
      <c r="B1869" s="1" t="n">
        <v>45937.36546296296</v>
      </c>
      <c r="C1869" s="1" t="n">
        <v>45998</v>
      </c>
      <c r="D1869" t="inlineStr">
        <is>
          <t>VÄSTERNORRLANDS LÄN</t>
        </is>
      </c>
      <c r="E1869" t="inlineStr">
        <is>
          <t>SOLLEFTEÅ</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48848-2025</t>
        </is>
      </c>
      <c r="B1870" s="1" t="n">
        <v>45937</v>
      </c>
      <c r="C1870" s="1" t="n">
        <v>45998</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43490-2025</t>
        </is>
      </c>
      <c r="B1871" s="1" t="n">
        <v>45911</v>
      </c>
      <c r="C1871" s="1" t="n">
        <v>45998</v>
      </c>
      <c r="D1871" t="inlineStr">
        <is>
          <t>VÄSTERNORRLANDS LÄN</t>
        </is>
      </c>
      <c r="E1871" t="inlineStr">
        <is>
          <t>SOLLEFTEÅ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57373-2025</t>
        </is>
      </c>
      <c r="B1872" s="1" t="n">
        <v>45980.38606481482</v>
      </c>
      <c r="C1872" s="1" t="n">
        <v>45998</v>
      </c>
      <c r="D1872" t="inlineStr">
        <is>
          <t>VÄSTERNORRLANDS LÄN</t>
        </is>
      </c>
      <c r="E1872" t="inlineStr">
        <is>
          <t>SOLLEFTEÅ</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24420-2025</t>
        </is>
      </c>
      <c r="B1873" s="1" t="n">
        <v>45797.67771990741</v>
      </c>
      <c r="C1873" s="1" t="n">
        <v>45998</v>
      </c>
      <c r="D1873" t="inlineStr">
        <is>
          <t>VÄSTERNORRLANDS LÄN</t>
        </is>
      </c>
      <c r="E1873" t="inlineStr">
        <is>
          <t>SOLLEFTEÅ</t>
        </is>
      </c>
      <c r="F1873" t="inlineStr">
        <is>
          <t>SCA</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67702-2021</t>
        </is>
      </c>
      <c r="B1874" s="1" t="n">
        <v>44524.94660879629</v>
      </c>
      <c r="C1874" s="1" t="n">
        <v>45998</v>
      </c>
      <c r="D1874" t="inlineStr">
        <is>
          <t>VÄSTERNORRLANDS LÄN</t>
        </is>
      </c>
      <c r="E1874" t="inlineStr">
        <is>
          <t>SOLLEFTEÅ</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43510-2025</t>
        </is>
      </c>
      <c r="B1875" s="1" t="n">
        <v>45911</v>
      </c>
      <c r="C1875" s="1" t="n">
        <v>45998</v>
      </c>
      <c r="D1875" t="inlineStr">
        <is>
          <t>VÄSTERNORRLANDS LÄN</t>
        </is>
      </c>
      <c r="E1875" t="inlineStr">
        <is>
          <t>SOLLEFTEÅ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57205-2025</t>
        </is>
      </c>
      <c r="B1876" s="1" t="n">
        <v>45979.59429398148</v>
      </c>
      <c r="C1876" s="1" t="n">
        <v>45998</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24530-2025</t>
        </is>
      </c>
      <c r="B1877" s="1" t="n">
        <v>45798.42799768518</v>
      </c>
      <c r="C1877" s="1" t="n">
        <v>45998</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43503-2025</t>
        </is>
      </c>
      <c r="B1878" s="1" t="n">
        <v>45911.55266203704</v>
      </c>
      <c r="C1878" s="1" t="n">
        <v>45998</v>
      </c>
      <c r="D1878" t="inlineStr">
        <is>
          <t>VÄSTERNORRLANDS LÄN</t>
        </is>
      </c>
      <c r="E1878" t="inlineStr">
        <is>
          <t>SOLLEFTEÅ</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24531-2025</t>
        </is>
      </c>
      <c r="B1879" s="1" t="n">
        <v>45798.42810185185</v>
      </c>
      <c r="C1879" s="1" t="n">
        <v>45998</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57176-2025</t>
        </is>
      </c>
      <c r="B1880" s="1" t="n">
        <v>45979.55251157407</v>
      </c>
      <c r="C1880" s="1" t="n">
        <v>45998</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68034-2020</t>
        </is>
      </c>
      <c r="B1881" s="1" t="n">
        <v>44182</v>
      </c>
      <c r="C1881" s="1" t="n">
        <v>45998</v>
      </c>
      <c r="D1881" t="inlineStr">
        <is>
          <t>VÄSTERNORRLANDS LÄN</t>
        </is>
      </c>
      <c r="E1881" t="inlineStr">
        <is>
          <t>SOLLEFTEÅ</t>
        </is>
      </c>
      <c r="F1881" t="inlineStr">
        <is>
          <t>SCA</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57225-2025</t>
        </is>
      </c>
      <c r="B1882" s="1" t="n">
        <v>45979.61555555555</v>
      </c>
      <c r="C1882" s="1" t="n">
        <v>45998</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44295-2025</t>
        </is>
      </c>
      <c r="B1883" s="1" t="n">
        <v>45916.36495370371</v>
      </c>
      <c r="C1883" s="1" t="n">
        <v>45998</v>
      </c>
      <c r="D1883" t="inlineStr">
        <is>
          <t>VÄSTERNORRLANDS LÄN</t>
        </is>
      </c>
      <c r="E1883" t="inlineStr">
        <is>
          <t>SOLLEFTEÅ</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44327-2025</t>
        </is>
      </c>
      <c r="B1884" s="1" t="n">
        <v>45916.40755787037</v>
      </c>
      <c r="C1884" s="1" t="n">
        <v>45998</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49380-2025</t>
        </is>
      </c>
      <c r="B1885" s="1" t="n">
        <v>45938.63677083333</v>
      </c>
      <c r="C1885" s="1" t="n">
        <v>45998</v>
      </c>
      <c r="D1885" t="inlineStr">
        <is>
          <t>VÄSTERNORRLANDS LÄN</t>
        </is>
      </c>
      <c r="E1885" t="inlineStr">
        <is>
          <t>SOLLEFTEÅ</t>
        </is>
      </c>
      <c r="F1885" t="inlineStr">
        <is>
          <t>SCA</t>
        </is>
      </c>
      <c r="G1885" t="n">
        <v>12.4</v>
      </c>
      <c r="H1885" t="n">
        <v>0</v>
      </c>
      <c r="I1885" t="n">
        <v>0</v>
      </c>
      <c r="J1885" t="n">
        <v>0</v>
      </c>
      <c r="K1885" t="n">
        <v>0</v>
      </c>
      <c r="L1885" t="n">
        <v>0</v>
      </c>
      <c r="M1885" t="n">
        <v>0</v>
      </c>
      <c r="N1885" t="n">
        <v>0</v>
      </c>
      <c r="O1885" t="n">
        <v>0</v>
      </c>
      <c r="P1885" t="n">
        <v>0</v>
      </c>
      <c r="Q1885" t="n">
        <v>0</v>
      </c>
      <c r="R1885" s="2" t="inlineStr"/>
    </row>
    <row r="1886" ht="15" customHeight="1">
      <c r="A1886" t="inlineStr">
        <is>
          <t>A 25313-2025</t>
        </is>
      </c>
      <c r="B1886" s="1" t="n">
        <v>45799</v>
      </c>
      <c r="C1886" s="1" t="n">
        <v>45998</v>
      </c>
      <c r="D1886" t="inlineStr">
        <is>
          <t>VÄSTERNORRLANDS LÄN</t>
        </is>
      </c>
      <c r="E1886" t="inlineStr">
        <is>
          <t>SOLLEFTEÅ</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43980-2025</t>
        </is>
      </c>
      <c r="B1887" s="1" t="n">
        <v>45915.4221412037</v>
      </c>
      <c r="C1887" s="1" t="n">
        <v>45998</v>
      </c>
      <c r="D1887" t="inlineStr">
        <is>
          <t>VÄSTERNORRLANDS LÄN</t>
        </is>
      </c>
      <c r="E1887" t="inlineStr">
        <is>
          <t>SOLLEFTEÅ</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49254-2025</t>
        </is>
      </c>
      <c r="B1888" s="1" t="n">
        <v>45938.49143518518</v>
      </c>
      <c r="C1888" s="1" t="n">
        <v>45998</v>
      </c>
      <c r="D1888" t="inlineStr">
        <is>
          <t>VÄSTERNORRLANDS LÄN</t>
        </is>
      </c>
      <c r="E1888" t="inlineStr">
        <is>
          <t>SOLLEFTEÅ</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10870-2024</t>
        </is>
      </c>
      <c r="B1889" s="1" t="n">
        <v>45370.02083333334</v>
      </c>
      <c r="C1889" s="1" t="n">
        <v>45998</v>
      </c>
      <c r="D1889" t="inlineStr">
        <is>
          <t>VÄSTERNORRLANDS LÄN</t>
        </is>
      </c>
      <c r="E1889" t="inlineStr">
        <is>
          <t>SOLLEFTEÅ</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53097-2025</t>
        </is>
      </c>
      <c r="B1890" s="1" t="n">
        <v>45958.42767361111</v>
      </c>
      <c r="C1890" s="1" t="n">
        <v>45998</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53098-2025</t>
        </is>
      </c>
      <c r="B1891" s="1" t="n">
        <v>45958.42774305555</v>
      </c>
      <c r="C1891" s="1" t="n">
        <v>45998</v>
      </c>
      <c r="D1891" t="inlineStr">
        <is>
          <t>VÄSTERNORRLANDS LÄN</t>
        </is>
      </c>
      <c r="E1891" t="inlineStr">
        <is>
          <t>SOLLEFTEÅ</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24730-2025</t>
        </is>
      </c>
      <c r="B1892" s="1" t="n">
        <v>45799.34150462963</v>
      </c>
      <c r="C1892" s="1" t="n">
        <v>45998</v>
      </c>
      <c r="D1892" t="inlineStr">
        <is>
          <t>VÄSTERNORRLANDS LÄN</t>
        </is>
      </c>
      <c r="E1892" t="inlineStr">
        <is>
          <t>SOLLEFTEÅ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25238-2025</t>
        </is>
      </c>
      <c r="B1893" s="1" t="n">
        <v>45800.49016203704</v>
      </c>
      <c r="C1893" s="1" t="n">
        <v>45998</v>
      </c>
      <c r="D1893" t="inlineStr">
        <is>
          <t>VÄSTERNORRLANDS LÄN</t>
        </is>
      </c>
      <c r="E1893" t="inlineStr">
        <is>
          <t>SOLLEFTEÅ</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57224-2025</t>
        </is>
      </c>
      <c r="B1894" s="1" t="n">
        <v>45979.61547453704</v>
      </c>
      <c r="C1894" s="1" t="n">
        <v>45998</v>
      </c>
      <c r="D1894" t="inlineStr">
        <is>
          <t>VÄSTERNORRLANDS LÄN</t>
        </is>
      </c>
      <c r="E1894" t="inlineStr">
        <is>
          <t>SOLLEFTEÅ</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44335-2025</t>
        </is>
      </c>
      <c r="B1895" s="1" t="n">
        <v>45916.423125</v>
      </c>
      <c r="C1895" s="1" t="n">
        <v>45998</v>
      </c>
      <c r="D1895" t="inlineStr">
        <is>
          <t>VÄSTERNORRLANDS LÄN</t>
        </is>
      </c>
      <c r="E1895" t="inlineStr">
        <is>
          <t>SOLLEFTEÅ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25132-2025</t>
        </is>
      </c>
      <c r="B1896" s="1" t="n">
        <v>45800</v>
      </c>
      <c r="C1896" s="1" t="n">
        <v>45998</v>
      </c>
      <c r="D1896" t="inlineStr">
        <is>
          <t>VÄSTERNORRLANDS LÄN</t>
        </is>
      </c>
      <c r="E1896" t="inlineStr">
        <is>
          <t>SOLLEFTEÅ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44045-2022</t>
        </is>
      </c>
      <c r="B1897" s="1" t="n">
        <v>44838</v>
      </c>
      <c r="C1897" s="1" t="n">
        <v>45998</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25297-2025</t>
        </is>
      </c>
      <c r="B1898" s="1" t="n">
        <v>45800.5684837963</v>
      </c>
      <c r="C1898" s="1" t="n">
        <v>45998</v>
      </c>
      <c r="D1898" t="inlineStr">
        <is>
          <t>VÄSTERNORRLANDS LÄN</t>
        </is>
      </c>
      <c r="E1898" t="inlineStr">
        <is>
          <t>SOLLEFTEÅ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53055-2025</t>
        </is>
      </c>
      <c r="B1899" s="1" t="n">
        <v>45958.36517361111</v>
      </c>
      <c r="C1899" s="1" t="n">
        <v>45998</v>
      </c>
      <c r="D1899" t="inlineStr">
        <is>
          <t>VÄSTERNORRLANDS LÄN</t>
        </is>
      </c>
      <c r="E1899" t="inlineStr">
        <is>
          <t>SOLLEFTEÅ</t>
        </is>
      </c>
      <c r="F1899" t="inlineStr">
        <is>
          <t>SCA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53240-2025</t>
        </is>
      </c>
      <c r="B1900" s="1" t="n">
        <v>45958.63600694444</v>
      </c>
      <c r="C1900" s="1" t="n">
        <v>45998</v>
      </c>
      <c r="D1900" t="inlineStr">
        <is>
          <t>VÄSTERNORRLANDS LÄN</t>
        </is>
      </c>
      <c r="E1900" t="inlineStr">
        <is>
          <t>SOLLEFTEÅ</t>
        </is>
      </c>
      <c r="F1900" t="inlineStr">
        <is>
          <t>SCA</t>
        </is>
      </c>
      <c r="G1900" t="n">
        <v>36.2</v>
      </c>
      <c r="H1900" t="n">
        <v>0</v>
      </c>
      <c r="I1900" t="n">
        <v>0</v>
      </c>
      <c r="J1900" t="n">
        <v>0</v>
      </c>
      <c r="K1900" t="n">
        <v>0</v>
      </c>
      <c r="L1900" t="n">
        <v>0</v>
      </c>
      <c r="M1900" t="n">
        <v>0</v>
      </c>
      <c r="N1900" t="n">
        <v>0</v>
      </c>
      <c r="O1900" t="n">
        <v>0</v>
      </c>
      <c r="P1900" t="n">
        <v>0</v>
      </c>
      <c r="Q1900" t="n">
        <v>0</v>
      </c>
      <c r="R1900" s="2" t="inlineStr"/>
    </row>
    <row r="1901" ht="15" customHeight="1">
      <c r="A1901" t="inlineStr">
        <is>
          <t>A 24759-2025</t>
        </is>
      </c>
      <c r="B1901" s="1" t="n">
        <v>45799.38284722222</v>
      </c>
      <c r="C1901" s="1" t="n">
        <v>45998</v>
      </c>
      <c r="D1901" t="inlineStr">
        <is>
          <t>VÄSTERNORRLANDS LÄN</t>
        </is>
      </c>
      <c r="E1901" t="inlineStr">
        <is>
          <t>SOLLEFTEÅ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24760-2025</t>
        </is>
      </c>
      <c r="B1902" s="1" t="n">
        <v>45799</v>
      </c>
      <c r="C1902" s="1" t="n">
        <v>45998</v>
      </c>
      <c r="D1902" t="inlineStr">
        <is>
          <t>VÄSTERNORRLANDS LÄN</t>
        </is>
      </c>
      <c r="E1902" t="inlineStr">
        <is>
          <t>SOLLEFTEÅ</t>
        </is>
      </c>
      <c r="F1902" t="inlineStr">
        <is>
          <t>SCA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49378-2025</t>
        </is>
      </c>
      <c r="B1903" s="1" t="n">
        <v>45938.6364699074</v>
      </c>
      <c r="C1903" s="1" t="n">
        <v>45998</v>
      </c>
      <c r="D1903" t="inlineStr">
        <is>
          <t>VÄSTERNORRLANDS LÄN</t>
        </is>
      </c>
      <c r="E1903" t="inlineStr">
        <is>
          <t>SOLLEFTEÅ</t>
        </is>
      </c>
      <c r="F1903" t="inlineStr">
        <is>
          <t>SCA</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49406-2025</t>
        </is>
      </c>
      <c r="B1904" s="1" t="n">
        <v>45938.67761574074</v>
      </c>
      <c r="C1904" s="1" t="n">
        <v>45998</v>
      </c>
      <c r="D1904" t="inlineStr">
        <is>
          <t>VÄSTERNORRLANDS LÄN</t>
        </is>
      </c>
      <c r="E1904" t="inlineStr">
        <is>
          <t>SOLLEFTEÅ</t>
        </is>
      </c>
      <c r="F1904" t="inlineStr">
        <is>
          <t>SCA</t>
        </is>
      </c>
      <c r="G1904" t="n">
        <v>28.6</v>
      </c>
      <c r="H1904" t="n">
        <v>0</v>
      </c>
      <c r="I1904" t="n">
        <v>0</v>
      </c>
      <c r="J1904" t="n">
        <v>0</v>
      </c>
      <c r="K1904" t="n">
        <v>0</v>
      </c>
      <c r="L1904" t="n">
        <v>0</v>
      </c>
      <c r="M1904" t="n">
        <v>0</v>
      </c>
      <c r="N1904" t="n">
        <v>0</v>
      </c>
      <c r="O1904" t="n">
        <v>0</v>
      </c>
      <c r="P1904" t="n">
        <v>0</v>
      </c>
      <c r="Q1904" t="n">
        <v>0</v>
      </c>
      <c r="R1904" s="2" t="inlineStr"/>
    </row>
    <row r="1905" ht="15" customHeight="1">
      <c r="A1905" t="inlineStr">
        <is>
          <t>A 57042-2025</t>
        </is>
      </c>
      <c r="B1905" s="1" t="n">
        <v>45979.34598379629</v>
      </c>
      <c r="C1905" s="1" t="n">
        <v>45998</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49154-2025</t>
        </is>
      </c>
      <c r="B1906" s="1" t="n">
        <v>45938.34567129629</v>
      </c>
      <c r="C1906" s="1" t="n">
        <v>45998</v>
      </c>
      <c r="D1906" t="inlineStr">
        <is>
          <t>VÄSTERNORRLANDS LÄN</t>
        </is>
      </c>
      <c r="E1906" t="inlineStr">
        <is>
          <t>SOLLEFTEÅ</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48981-2025</t>
        </is>
      </c>
      <c r="B1907" s="1" t="n">
        <v>45937.57354166666</v>
      </c>
      <c r="C1907" s="1" t="n">
        <v>45998</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49052-2025</t>
        </is>
      </c>
      <c r="B1908" s="1" t="n">
        <v>45937.63813657407</v>
      </c>
      <c r="C1908" s="1" t="n">
        <v>45998</v>
      </c>
      <c r="D1908" t="inlineStr">
        <is>
          <t>VÄSTERNORRLANDS LÄN</t>
        </is>
      </c>
      <c r="E1908" t="inlineStr">
        <is>
          <t>SOLLEFTEÅ</t>
        </is>
      </c>
      <c r="F1908" t="inlineStr">
        <is>
          <t>SCA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57061-2025</t>
        </is>
      </c>
      <c r="B1909" s="1" t="n">
        <v>45979.37059027778</v>
      </c>
      <c r="C1909" s="1" t="n">
        <v>45998</v>
      </c>
      <c r="D1909" t="inlineStr">
        <is>
          <t>VÄSTERNORRLANDS LÄN</t>
        </is>
      </c>
      <c r="E1909" t="inlineStr">
        <is>
          <t>SOLLEFTEÅ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25145-2025</t>
        </is>
      </c>
      <c r="B1910" s="1" t="n">
        <v>45800</v>
      </c>
      <c r="C1910" s="1" t="n">
        <v>45998</v>
      </c>
      <c r="D1910" t="inlineStr">
        <is>
          <t>VÄSTERNORRLANDS LÄN</t>
        </is>
      </c>
      <c r="E1910" t="inlineStr">
        <is>
          <t>SOLLEFTEÅ</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49221-2025</t>
        </is>
      </c>
      <c r="B1911" s="1" t="n">
        <v>45938.46335648148</v>
      </c>
      <c r="C1911" s="1" t="n">
        <v>45998</v>
      </c>
      <c r="D1911" t="inlineStr">
        <is>
          <t>VÄSTERNORRLANDS LÄN</t>
        </is>
      </c>
      <c r="E1911" t="inlineStr">
        <is>
          <t>SOLLEFTEÅ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24787-2025</t>
        </is>
      </c>
      <c r="B1912" s="1" t="n">
        <v>45799.42791666667</v>
      </c>
      <c r="C1912" s="1" t="n">
        <v>45998</v>
      </c>
      <c r="D1912" t="inlineStr">
        <is>
          <t>VÄSTERNORRLANDS LÄN</t>
        </is>
      </c>
      <c r="E1912" t="inlineStr">
        <is>
          <t>SOLLEFTEÅ</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59371-2022</t>
        </is>
      </c>
      <c r="B1913" s="1" t="n">
        <v>44904</v>
      </c>
      <c r="C1913" s="1" t="n">
        <v>45998</v>
      </c>
      <c r="D1913" t="inlineStr">
        <is>
          <t>VÄSTERNORRLANDS LÄN</t>
        </is>
      </c>
      <c r="E1913" t="inlineStr">
        <is>
          <t>SOLLEFTEÅ</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49289-2025</t>
        </is>
      </c>
      <c r="B1914" s="1" t="n">
        <v>45938.52868055556</v>
      </c>
      <c r="C1914" s="1" t="n">
        <v>45998</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25939-2025</t>
        </is>
      </c>
      <c r="B1915" s="1" t="n">
        <v>45804.5943287037</v>
      </c>
      <c r="C1915" s="1" t="n">
        <v>45998</v>
      </c>
      <c r="D1915" t="inlineStr">
        <is>
          <t>VÄSTERNORRLANDS LÄN</t>
        </is>
      </c>
      <c r="E1915" t="inlineStr">
        <is>
          <t>SOLLEFTEÅ</t>
        </is>
      </c>
      <c r="F1915" t="inlineStr">
        <is>
          <t>SCA</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49115-2025</t>
        </is>
      </c>
      <c r="B1916" s="1" t="n">
        <v>45937</v>
      </c>
      <c r="C1916" s="1" t="n">
        <v>45998</v>
      </c>
      <c r="D1916" t="inlineStr">
        <is>
          <t>VÄSTERNORRLANDS LÄN</t>
        </is>
      </c>
      <c r="E1916" t="inlineStr">
        <is>
          <t>SOLLEFTEÅ</t>
        </is>
      </c>
      <c r="F1916" t="inlineStr">
        <is>
          <t>Övriga Aktiebolag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44387-2025</t>
        </is>
      </c>
      <c r="B1917" s="1" t="n">
        <v>45916.48994212963</v>
      </c>
      <c r="C1917" s="1" t="n">
        <v>45998</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25517-2025</t>
        </is>
      </c>
      <c r="B1918" s="1" t="n">
        <v>45803.37570601852</v>
      </c>
      <c r="C1918" s="1" t="n">
        <v>45998</v>
      </c>
      <c r="D1918" t="inlineStr">
        <is>
          <t>VÄSTERNORRLANDS LÄN</t>
        </is>
      </c>
      <c r="E1918" t="inlineStr">
        <is>
          <t>SOLLEFTEÅ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49249-2025</t>
        </is>
      </c>
      <c r="B1919" s="1" t="n">
        <v>45938</v>
      </c>
      <c r="C1919" s="1" t="n">
        <v>45998</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52665-2025</t>
        </is>
      </c>
      <c r="B1920" s="1" t="n">
        <v>45955.65716435185</v>
      </c>
      <c r="C1920" s="1" t="n">
        <v>45998</v>
      </c>
      <c r="D1920" t="inlineStr">
        <is>
          <t>VÄSTERNORRLANDS LÄN</t>
        </is>
      </c>
      <c r="E1920" t="inlineStr">
        <is>
          <t>SOLLEFTEÅ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52767-2025</t>
        </is>
      </c>
      <c r="B1921" s="1" t="n">
        <v>45957.40163194444</v>
      </c>
      <c r="C1921" s="1" t="n">
        <v>45998</v>
      </c>
      <c r="D1921" t="inlineStr">
        <is>
          <t>VÄSTERNORRLANDS LÄN</t>
        </is>
      </c>
      <c r="E1921" t="inlineStr">
        <is>
          <t>SOLLEFTEÅ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25833-2025</t>
        </is>
      </c>
      <c r="B1922" s="1" t="n">
        <v>45804.44827546296</v>
      </c>
      <c r="C1922" s="1" t="n">
        <v>45998</v>
      </c>
      <c r="D1922" t="inlineStr">
        <is>
          <t>VÄSTERNORRLANDS LÄN</t>
        </is>
      </c>
      <c r="E1922" t="inlineStr">
        <is>
          <t>SOLLEFTEÅ</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25856-2025</t>
        </is>
      </c>
      <c r="B1923" s="1" t="n">
        <v>45804.46944444445</v>
      </c>
      <c r="C1923" s="1" t="n">
        <v>45998</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58995-2024</t>
        </is>
      </c>
      <c r="B1924" s="1" t="n">
        <v>45636.63726851852</v>
      </c>
      <c r="C1924" s="1" t="n">
        <v>45998</v>
      </c>
      <c r="D1924" t="inlineStr">
        <is>
          <t>VÄSTERNORRLANDS LÄN</t>
        </is>
      </c>
      <c r="E1924" t="inlineStr">
        <is>
          <t>SOLLEFTEÅ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25963-2025</t>
        </is>
      </c>
      <c r="B1925" s="1" t="n">
        <v>45804.61568287037</v>
      </c>
      <c r="C1925" s="1" t="n">
        <v>45998</v>
      </c>
      <c r="D1925" t="inlineStr">
        <is>
          <t>VÄSTERNORRLANDS LÄN</t>
        </is>
      </c>
      <c r="E1925" t="inlineStr">
        <is>
          <t>SOLLEFTEÅ</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52780-2025</t>
        </is>
      </c>
      <c r="B1926" s="1" t="n">
        <v>45957.42261574074</v>
      </c>
      <c r="C1926" s="1" t="n">
        <v>45998</v>
      </c>
      <c r="D1926" t="inlineStr">
        <is>
          <t>VÄSTERNORRLANDS LÄN</t>
        </is>
      </c>
      <c r="E1926" t="inlineStr">
        <is>
          <t>SOLLEFTEÅ</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49155-2025</t>
        </is>
      </c>
      <c r="B1927" s="1" t="n">
        <v>45938.34578703704</v>
      </c>
      <c r="C1927" s="1" t="n">
        <v>45998</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57019-2025</t>
        </is>
      </c>
      <c r="B1928" s="1" t="n">
        <v>45978.85565972222</v>
      </c>
      <c r="C1928" s="1" t="n">
        <v>45998</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49696-2025</t>
        </is>
      </c>
      <c r="B1929" s="1" t="n">
        <v>45939.6775462963</v>
      </c>
      <c r="C1929" s="1" t="n">
        <v>45998</v>
      </c>
      <c r="D1929" t="inlineStr">
        <is>
          <t>VÄSTERNORRLANDS LÄN</t>
        </is>
      </c>
      <c r="E1929" t="inlineStr">
        <is>
          <t>SOLLEFTEÅ</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58151-2025</t>
        </is>
      </c>
      <c r="B1930" s="1" t="n">
        <v>45982.65255787037</v>
      </c>
      <c r="C1930" s="1" t="n">
        <v>45998</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49627-2025</t>
        </is>
      </c>
      <c r="B1931" s="1" t="n">
        <v>45939.59503472222</v>
      </c>
      <c r="C1931" s="1" t="n">
        <v>45998</v>
      </c>
      <c r="D1931" t="inlineStr">
        <is>
          <t>VÄSTERNORRLANDS LÄN</t>
        </is>
      </c>
      <c r="E1931" t="inlineStr">
        <is>
          <t>SOLLEFTEÅ</t>
        </is>
      </c>
      <c r="F1931" t="inlineStr">
        <is>
          <t>SCA</t>
        </is>
      </c>
      <c r="G1931" t="n">
        <v>29.4</v>
      </c>
      <c r="H1931" t="n">
        <v>0</v>
      </c>
      <c r="I1931" t="n">
        <v>0</v>
      </c>
      <c r="J1931" t="n">
        <v>0</v>
      </c>
      <c r="K1931" t="n">
        <v>0</v>
      </c>
      <c r="L1931" t="n">
        <v>0</v>
      </c>
      <c r="M1931" t="n">
        <v>0</v>
      </c>
      <c r="N1931" t="n">
        <v>0</v>
      </c>
      <c r="O1931" t="n">
        <v>0</v>
      </c>
      <c r="P1931" t="n">
        <v>0</v>
      </c>
      <c r="Q1931" t="n">
        <v>0</v>
      </c>
      <c r="R1931" s="2" t="inlineStr"/>
    </row>
    <row r="1932" ht="15" customHeight="1">
      <c r="A1932" t="inlineStr">
        <is>
          <t>A 49699-2025</t>
        </is>
      </c>
      <c r="B1932" s="1" t="n">
        <v>45939.67807870371</v>
      </c>
      <c r="C1932" s="1" t="n">
        <v>45998</v>
      </c>
      <c r="D1932" t="inlineStr">
        <is>
          <t>VÄSTERNORRLANDS LÄN</t>
        </is>
      </c>
      <c r="E1932" t="inlineStr">
        <is>
          <t>SOLLEFTEÅ</t>
        </is>
      </c>
      <c r="F1932" t="inlineStr">
        <is>
          <t>SCA</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49700-2025</t>
        </is>
      </c>
      <c r="B1933" s="1" t="n">
        <v>45939.67822916667</v>
      </c>
      <c r="C1933" s="1" t="n">
        <v>45998</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49706-2025</t>
        </is>
      </c>
      <c r="B1934" s="1" t="n">
        <v>45939.67949074074</v>
      </c>
      <c r="C1934" s="1" t="n">
        <v>45998</v>
      </c>
      <c r="D1934" t="inlineStr">
        <is>
          <t>VÄSTERNORRLANDS LÄN</t>
        </is>
      </c>
      <c r="E1934" t="inlineStr">
        <is>
          <t>SOLLEFTEÅ</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57784-2025</t>
        </is>
      </c>
      <c r="B1935" s="1" t="n">
        <v>45981.57376157407</v>
      </c>
      <c r="C1935" s="1" t="n">
        <v>45998</v>
      </c>
      <c r="D1935" t="inlineStr">
        <is>
          <t>VÄSTERNORRLANDS LÄN</t>
        </is>
      </c>
      <c r="E1935" t="inlineStr">
        <is>
          <t>SOLLEFTEÅ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52974-2025</t>
        </is>
      </c>
      <c r="B1936" s="1" t="n">
        <v>45957.67858796296</v>
      </c>
      <c r="C1936" s="1" t="n">
        <v>45998</v>
      </c>
      <c r="D1936" t="inlineStr">
        <is>
          <t>VÄSTERNORRLANDS LÄN</t>
        </is>
      </c>
      <c r="E1936" t="inlineStr">
        <is>
          <t>SOLLEFTEÅ</t>
        </is>
      </c>
      <c r="F1936" t="inlineStr">
        <is>
          <t>SCA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25855-2025</t>
        </is>
      </c>
      <c r="B1937" s="1" t="n">
        <v>45804.46934027778</v>
      </c>
      <c r="C1937" s="1" t="n">
        <v>45998</v>
      </c>
      <c r="D1937" t="inlineStr">
        <is>
          <t>VÄSTERNORRLANDS LÄN</t>
        </is>
      </c>
      <c r="E1937" t="inlineStr">
        <is>
          <t>SOLLEFTEÅ</t>
        </is>
      </c>
      <c r="F1937" t="inlineStr">
        <is>
          <t>SCA</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25857-2025</t>
        </is>
      </c>
      <c r="B1938" s="1" t="n">
        <v>45804.46956018519</v>
      </c>
      <c r="C1938" s="1" t="n">
        <v>45998</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53030-2025</t>
        </is>
      </c>
      <c r="B1939" s="1" t="n">
        <v>45958.34442129629</v>
      </c>
      <c r="C1939" s="1" t="n">
        <v>45998</v>
      </c>
      <c r="D1939" t="inlineStr">
        <is>
          <t>VÄSTERNORRLANDS LÄN</t>
        </is>
      </c>
      <c r="E1939" t="inlineStr">
        <is>
          <t>SOLLEFTEÅ</t>
        </is>
      </c>
      <c r="F1939" t="inlineStr">
        <is>
          <t>SCA</t>
        </is>
      </c>
      <c r="G1939" t="n">
        <v>11.7</v>
      </c>
      <c r="H1939" t="n">
        <v>0</v>
      </c>
      <c r="I1939" t="n">
        <v>0</v>
      </c>
      <c r="J1939" t="n">
        <v>0</v>
      </c>
      <c r="K1939" t="n">
        <v>0</v>
      </c>
      <c r="L1939" t="n">
        <v>0</v>
      </c>
      <c r="M1939" t="n">
        <v>0</v>
      </c>
      <c r="N1939" t="n">
        <v>0</v>
      </c>
      <c r="O1939" t="n">
        <v>0</v>
      </c>
      <c r="P1939" t="n">
        <v>0</v>
      </c>
      <c r="Q1939" t="n">
        <v>0</v>
      </c>
      <c r="R1939" s="2" t="inlineStr"/>
    </row>
    <row r="1940" ht="15" customHeight="1">
      <c r="A1940" t="inlineStr">
        <is>
          <t>A 58153-2025</t>
        </is>
      </c>
      <c r="B1940" s="1" t="n">
        <v>45982.65262731481</v>
      </c>
      <c r="C1940" s="1" t="n">
        <v>45998</v>
      </c>
      <c r="D1940" t="inlineStr">
        <is>
          <t>VÄSTERNORRLANDS LÄN</t>
        </is>
      </c>
      <c r="E1940" t="inlineStr">
        <is>
          <t>SOLLEFTEÅ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52739-2025</t>
        </is>
      </c>
      <c r="B1941" s="1" t="n">
        <v>45957.37555555555</v>
      </c>
      <c r="C1941" s="1" t="n">
        <v>45998</v>
      </c>
      <c r="D1941" t="inlineStr">
        <is>
          <t>VÄSTERNORRLANDS LÄN</t>
        </is>
      </c>
      <c r="E1941" t="inlineStr">
        <is>
          <t>SOLLEFTEÅ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57990-2025</t>
        </is>
      </c>
      <c r="B1942" s="1" t="n">
        <v>45982.4240625</v>
      </c>
      <c r="C1942" s="1" t="n">
        <v>45998</v>
      </c>
      <c r="D1942" t="inlineStr">
        <is>
          <t>VÄSTERNORRLANDS LÄN</t>
        </is>
      </c>
      <c r="E1942" t="inlineStr">
        <is>
          <t>SOLLEFTEÅ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25854-2025</t>
        </is>
      </c>
      <c r="B1943" s="1" t="n">
        <v>45804.46920138889</v>
      </c>
      <c r="C1943" s="1" t="n">
        <v>45998</v>
      </c>
      <c r="D1943" t="inlineStr">
        <is>
          <t>VÄSTERNORRLANDS LÄN</t>
        </is>
      </c>
      <c r="E1943" t="inlineStr">
        <is>
          <t>SOLLEFTEÅ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53269-2025</t>
        </is>
      </c>
      <c r="B1944" s="1" t="n">
        <v>45958.6985300926</v>
      </c>
      <c r="C1944" s="1" t="n">
        <v>45998</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49919-2025</t>
        </is>
      </c>
      <c r="B1945" s="1" t="n">
        <v>45940.63591435185</v>
      </c>
      <c r="C1945" s="1" t="n">
        <v>45998</v>
      </c>
      <c r="D1945" t="inlineStr">
        <is>
          <t>VÄSTERNORRLANDS LÄN</t>
        </is>
      </c>
      <c r="E1945" t="inlineStr">
        <is>
          <t>SOLLEFTEÅ</t>
        </is>
      </c>
      <c r="F1945" t="inlineStr">
        <is>
          <t>SCA</t>
        </is>
      </c>
      <c r="G1945" t="n">
        <v>41.5</v>
      </c>
      <c r="H1945" t="n">
        <v>0</v>
      </c>
      <c r="I1945" t="n">
        <v>0</v>
      </c>
      <c r="J1945" t="n">
        <v>0</v>
      </c>
      <c r="K1945" t="n">
        <v>0</v>
      </c>
      <c r="L1945" t="n">
        <v>0</v>
      </c>
      <c r="M1945" t="n">
        <v>0</v>
      </c>
      <c r="N1945" t="n">
        <v>0</v>
      </c>
      <c r="O1945" t="n">
        <v>0</v>
      </c>
      <c r="P1945" t="n">
        <v>0</v>
      </c>
      <c r="Q1945" t="n">
        <v>0</v>
      </c>
      <c r="R1945" s="2" t="inlineStr"/>
    </row>
    <row r="1946" ht="15" customHeight="1">
      <c r="A1946" t="inlineStr">
        <is>
          <t>A 49789-2025</t>
        </is>
      </c>
      <c r="B1946" s="1" t="n">
        <v>45940</v>
      </c>
      <c r="C1946" s="1" t="n">
        <v>45998</v>
      </c>
      <c r="D1946" t="inlineStr">
        <is>
          <t>VÄSTERNORRLANDS LÄN</t>
        </is>
      </c>
      <c r="E1946" t="inlineStr">
        <is>
          <t>SOLLEFTEÅ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49705-2025</t>
        </is>
      </c>
      <c r="B1947" s="1" t="n">
        <v>45939.67929398148</v>
      </c>
      <c r="C1947" s="1" t="n">
        <v>45998</v>
      </c>
      <c r="D1947" t="inlineStr">
        <is>
          <t>VÄSTERNORRLANDS LÄN</t>
        </is>
      </c>
      <c r="E1947" t="inlineStr">
        <is>
          <t>SOLLEFTEÅ</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58027-2025</t>
        </is>
      </c>
      <c r="B1948" s="1" t="n">
        <v>45982.48417824074</v>
      </c>
      <c r="C1948" s="1" t="n">
        <v>45998</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49491-2025</t>
        </is>
      </c>
      <c r="B1949" s="1" t="n">
        <v>45939.36596064815</v>
      </c>
      <c r="C1949" s="1" t="n">
        <v>45998</v>
      </c>
      <c r="D1949" t="inlineStr">
        <is>
          <t>VÄSTERNORRLANDS LÄN</t>
        </is>
      </c>
      <c r="E1949" t="inlineStr">
        <is>
          <t>SOLLEFTEÅ</t>
        </is>
      </c>
      <c r="F1949" t="inlineStr">
        <is>
          <t>SCA</t>
        </is>
      </c>
      <c r="G1949" t="n">
        <v>10.5</v>
      </c>
      <c r="H1949" t="n">
        <v>0</v>
      </c>
      <c r="I1949" t="n">
        <v>0</v>
      </c>
      <c r="J1949" t="n">
        <v>0</v>
      </c>
      <c r="K1949" t="n">
        <v>0</v>
      </c>
      <c r="L1949" t="n">
        <v>0</v>
      </c>
      <c r="M1949" t="n">
        <v>0</v>
      </c>
      <c r="N1949" t="n">
        <v>0</v>
      </c>
      <c r="O1949" t="n">
        <v>0</v>
      </c>
      <c r="P1949" t="n">
        <v>0</v>
      </c>
      <c r="Q1949" t="n">
        <v>0</v>
      </c>
      <c r="R1949" s="2" t="inlineStr"/>
    </row>
    <row r="1950" ht="15" customHeight="1">
      <c r="A1950" t="inlineStr">
        <is>
          <t>A 44241-2025</t>
        </is>
      </c>
      <c r="B1950" s="1" t="n">
        <v>45915.67747685185</v>
      </c>
      <c r="C1950" s="1" t="n">
        <v>45998</v>
      </c>
      <c r="D1950" t="inlineStr">
        <is>
          <t>VÄSTERNORRLANDS LÄN</t>
        </is>
      </c>
      <c r="E1950" t="inlineStr">
        <is>
          <t>SOLLEFTEÅ</t>
        </is>
      </c>
      <c r="F1950" t="inlineStr">
        <is>
          <t>SCA</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44243-2025</t>
        </is>
      </c>
      <c r="B1951" s="1" t="n">
        <v>45915</v>
      </c>
      <c r="C1951" s="1" t="n">
        <v>45998</v>
      </c>
      <c r="D1951" t="inlineStr">
        <is>
          <t>VÄSTERNORRLANDS LÄN</t>
        </is>
      </c>
      <c r="E1951" t="inlineStr">
        <is>
          <t>SOLLEFTEÅ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58126-2025</t>
        </is>
      </c>
      <c r="B1952" s="1" t="n">
        <v>45982.61518518518</v>
      </c>
      <c r="C1952" s="1" t="n">
        <v>45998</v>
      </c>
      <c r="D1952" t="inlineStr">
        <is>
          <t>VÄSTERNORRLANDS LÄN</t>
        </is>
      </c>
      <c r="E1952" t="inlineStr">
        <is>
          <t>SOLLEFTEÅ</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58152-2025</t>
        </is>
      </c>
      <c r="B1953" s="1" t="n">
        <v>45982.65260416667</v>
      </c>
      <c r="C1953" s="1" t="n">
        <v>45998</v>
      </c>
      <c r="D1953" t="inlineStr">
        <is>
          <t>VÄSTERNORRLANDS LÄN</t>
        </is>
      </c>
      <c r="E1953" t="inlineStr">
        <is>
          <t>SOLLEFTEÅ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49794-2025</t>
        </is>
      </c>
      <c r="B1954" s="1" t="n">
        <v>45940.40777777778</v>
      </c>
      <c r="C1954" s="1" t="n">
        <v>45998</v>
      </c>
      <c r="D1954" t="inlineStr">
        <is>
          <t>VÄSTERNORRLANDS LÄN</t>
        </is>
      </c>
      <c r="E1954" t="inlineStr">
        <is>
          <t>SOLLEFTEÅ</t>
        </is>
      </c>
      <c r="F1954" t="inlineStr">
        <is>
          <t>SCA</t>
        </is>
      </c>
      <c r="G1954" t="n">
        <v>12.8</v>
      </c>
      <c r="H1954" t="n">
        <v>0</v>
      </c>
      <c r="I1954" t="n">
        <v>0</v>
      </c>
      <c r="J1954" t="n">
        <v>0</v>
      </c>
      <c r="K1954" t="n">
        <v>0</v>
      </c>
      <c r="L1954" t="n">
        <v>0</v>
      </c>
      <c r="M1954" t="n">
        <v>0</v>
      </c>
      <c r="N1954" t="n">
        <v>0</v>
      </c>
      <c r="O1954" t="n">
        <v>0</v>
      </c>
      <c r="P1954" t="n">
        <v>0</v>
      </c>
      <c r="Q1954" t="n">
        <v>0</v>
      </c>
      <c r="R1954" s="2" t="inlineStr"/>
    </row>
    <row r="1955" ht="15" customHeight="1">
      <c r="A1955" t="inlineStr">
        <is>
          <t>A 49920-2025</t>
        </is>
      </c>
      <c r="B1955" s="1" t="n">
        <v>45940.63611111111</v>
      </c>
      <c r="C1955" s="1" t="n">
        <v>45998</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58032-2025</t>
        </is>
      </c>
      <c r="B1956" s="1" t="n">
        <v>45982.48753472222</v>
      </c>
      <c r="C1956" s="1" t="n">
        <v>45998</v>
      </c>
      <c r="D1956" t="inlineStr">
        <is>
          <t>VÄSTERNORRLANDS LÄN</t>
        </is>
      </c>
      <c r="E1956" t="inlineStr">
        <is>
          <t>SOLLEFTEÅ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49468-2025</t>
        </is>
      </c>
      <c r="B1957" s="1" t="n">
        <v>45939.33886574074</v>
      </c>
      <c r="C1957" s="1" t="n">
        <v>45998</v>
      </c>
      <c r="D1957" t="inlineStr">
        <is>
          <t>VÄSTERNORRLANDS LÄN</t>
        </is>
      </c>
      <c r="E1957" t="inlineStr">
        <is>
          <t>SOLLEFTEÅ</t>
        </is>
      </c>
      <c r="F1957" t="inlineStr">
        <is>
          <t>Holmen skog AB</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44736-2025</t>
        </is>
      </c>
      <c r="B1958" s="1" t="n">
        <v>45917.656875</v>
      </c>
      <c r="C1958" s="1" t="n">
        <v>45998</v>
      </c>
      <c r="D1958" t="inlineStr">
        <is>
          <t>VÄSTERNORRLANDS LÄN</t>
        </is>
      </c>
      <c r="E1958" t="inlineStr">
        <is>
          <t>SOLLEFTEÅ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53550-2025</t>
        </is>
      </c>
      <c r="B1959" s="1" t="n">
        <v>45960.38583333333</v>
      </c>
      <c r="C1959" s="1" t="n">
        <v>45998</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73367-2021</t>
        </is>
      </c>
      <c r="B1960" s="1" t="n">
        <v>44550</v>
      </c>
      <c r="C1960" s="1" t="n">
        <v>45998</v>
      </c>
      <c r="D1960" t="inlineStr">
        <is>
          <t>VÄSTERNORRLANDS LÄN</t>
        </is>
      </c>
      <c r="E1960" t="inlineStr">
        <is>
          <t>SOLLEFTEÅ</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49750-2025</t>
        </is>
      </c>
      <c r="B1961" s="1" t="n">
        <v>45940.34497685185</v>
      </c>
      <c r="C1961" s="1" t="n">
        <v>45998</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44873-2025</t>
        </is>
      </c>
      <c r="B1962" s="1" t="n">
        <v>45918.46966435185</v>
      </c>
      <c r="C1962" s="1" t="n">
        <v>45998</v>
      </c>
      <c r="D1962" t="inlineStr">
        <is>
          <t>VÄSTERNORRLANDS LÄN</t>
        </is>
      </c>
      <c r="E1962" t="inlineStr">
        <is>
          <t>SOLLEFTEÅ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49703-2025</t>
        </is>
      </c>
      <c r="B1963" s="1" t="n">
        <v>45939.67894675926</v>
      </c>
      <c r="C1963" s="1" t="n">
        <v>45998</v>
      </c>
      <c r="D1963" t="inlineStr">
        <is>
          <t>VÄSTERNORRLANDS LÄN</t>
        </is>
      </c>
      <c r="E1963" t="inlineStr">
        <is>
          <t>SOLLEFTEÅ</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58046-2025</t>
        </is>
      </c>
      <c r="B1964" s="1" t="n">
        <v>45982.50449074074</v>
      </c>
      <c r="C1964" s="1" t="n">
        <v>45998</v>
      </c>
      <c r="D1964" t="inlineStr">
        <is>
          <t>VÄSTERNORRLANDS LÄN</t>
        </is>
      </c>
      <c r="E1964" t="inlineStr">
        <is>
          <t>SOLLEFTEÅ</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26088-2025</t>
        </is>
      </c>
      <c r="B1965" s="1" t="n">
        <v>45805.34497685185</v>
      </c>
      <c r="C1965" s="1" t="n">
        <v>45998</v>
      </c>
      <c r="D1965" t="inlineStr">
        <is>
          <t>VÄSTERNORRLANDS LÄN</t>
        </is>
      </c>
      <c r="E1965" t="inlineStr">
        <is>
          <t>SOLLEFTEÅ</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49474-2025</t>
        </is>
      </c>
      <c r="B1966" s="1" t="n">
        <v>45939.34472222222</v>
      </c>
      <c r="C1966" s="1" t="n">
        <v>45998</v>
      </c>
      <c r="D1966" t="inlineStr">
        <is>
          <t>VÄSTERNORRLANDS LÄN</t>
        </is>
      </c>
      <c r="E1966" t="inlineStr">
        <is>
          <t>SOLLEFTEÅ</t>
        </is>
      </c>
      <c r="F1966" t="inlineStr">
        <is>
          <t>SCA</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49488-2025</t>
        </is>
      </c>
      <c r="B1967" s="1" t="n">
        <v>45939.36506944444</v>
      </c>
      <c r="C1967" s="1" t="n">
        <v>45998</v>
      </c>
      <c r="D1967" t="inlineStr">
        <is>
          <t>VÄSTERNORRLANDS LÄN</t>
        </is>
      </c>
      <c r="E1967" t="inlineStr">
        <is>
          <t>SOLLEFTEÅ</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26478-2025</t>
        </is>
      </c>
      <c r="B1968" s="1" t="n">
        <v>45807.47013888889</v>
      </c>
      <c r="C1968" s="1" t="n">
        <v>45998</v>
      </c>
      <c r="D1968" t="inlineStr">
        <is>
          <t>VÄSTERNORRLANDS LÄN</t>
        </is>
      </c>
      <c r="E1968" t="inlineStr">
        <is>
          <t>SOLLEFTEÅ</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58030-2025</t>
        </is>
      </c>
      <c r="B1969" s="1" t="n">
        <v>45982.48627314815</v>
      </c>
      <c r="C1969" s="1" t="n">
        <v>45998</v>
      </c>
      <c r="D1969" t="inlineStr">
        <is>
          <t>VÄSTERNORRLANDS LÄN</t>
        </is>
      </c>
      <c r="E1969" t="inlineStr">
        <is>
          <t>SOLLEFTEÅ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58034-2025</t>
        </is>
      </c>
      <c r="B1970" s="1" t="n">
        <v>45982.48967592593</v>
      </c>
      <c r="C1970" s="1" t="n">
        <v>45998</v>
      </c>
      <c r="D1970" t="inlineStr">
        <is>
          <t>VÄSTERNORRLANDS LÄN</t>
        </is>
      </c>
      <c r="E1970" t="inlineStr">
        <is>
          <t>SOLLEFTEÅ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45028-2025</t>
        </is>
      </c>
      <c r="B1971" s="1" t="n">
        <v>45918.69828703703</v>
      </c>
      <c r="C1971" s="1" t="n">
        <v>45998</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49904-2025</t>
        </is>
      </c>
      <c r="B1972" s="1" t="n">
        <v>45940.59594907407</v>
      </c>
      <c r="C1972" s="1" t="n">
        <v>45998</v>
      </c>
      <c r="D1972" t="inlineStr">
        <is>
          <t>VÄSTERNORRLANDS LÄN</t>
        </is>
      </c>
      <c r="E1972" t="inlineStr">
        <is>
          <t>SOLLEFTEÅ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49932-2025</t>
        </is>
      </c>
      <c r="B1973" s="1" t="n">
        <v>45940.65695601852</v>
      </c>
      <c r="C1973" s="1" t="n">
        <v>45998</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49748-2025</t>
        </is>
      </c>
      <c r="B1974" s="1" t="n">
        <v>45940.34472222222</v>
      </c>
      <c r="C1974" s="1" t="n">
        <v>45998</v>
      </c>
      <c r="D1974" t="inlineStr">
        <is>
          <t>VÄSTERNORRLANDS LÄN</t>
        </is>
      </c>
      <c r="E1974" t="inlineStr">
        <is>
          <t>SOLLEFTEÅ</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44746-2025</t>
        </is>
      </c>
      <c r="B1975" s="1" t="n">
        <v>45917.67760416667</v>
      </c>
      <c r="C1975" s="1" t="n">
        <v>45998</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44747-2025</t>
        </is>
      </c>
      <c r="B1976" s="1" t="n">
        <v>45917.67769675926</v>
      </c>
      <c r="C1976" s="1" t="n">
        <v>45998</v>
      </c>
      <c r="D1976" t="inlineStr">
        <is>
          <t>VÄSTERNORRLANDS LÄN</t>
        </is>
      </c>
      <c r="E1976" t="inlineStr">
        <is>
          <t>SOLLEFTEÅ</t>
        </is>
      </c>
      <c r="F1976" t="inlineStr">
        <is>
          <t>SCA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49933-2025</t>
        </is>
      </c>
      <c r="B1977" s="1" t="n">
        <v>45940.65717592592</v>
      </c>
      <c r="C1977" s="1" t="n">
        <v>45998</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49667-2025</t>
        </is>
      </c>
      <c r="B1978" s="1" t="n">
        <v>45939.63671296297</v>
      </c>
      <c r="C1978" s="1" t="n">
        <v>45998</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49698-2025</t>
        </is>
      </c>
      <c r="B1979" s="1" t="n">
        <v>45939.67790509259</v>
      </c>
      <c r="C1979" s="1" t="n">
        <v>45998</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49701-2025</t>
        </is>
      </c>
      <c r="B1980" s="1" t="n">
        <v>45939.67840277778</v>
      </c>
      <c r="C1980" s="1" t="n">
        <v>45998</v>
      </c>
      <c r="D1980" t="inlineStr">
        <is>
          <t>VÄSTERNORRLANDS LÄN</t>
        </is>
      </c>
      <c r="E1980" t="inlineStr">
        <is>
          <t>SOLLEFTEÅ</t>
        </is>
      </c>
      <c r="F1980" t="inlineStr">
        <is>
          <t>SCA</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49702-2025</t>
        </is>
      </c>
      <c r="B1981" s="1" t="n">
        <v>45939.67875</v>
      </c>
      <c r="C1981" s="1" t="n">
        <v>45998</v>
      </c>
      <c r="D1981" t="inlineStr">
        <is>
          <t>VÄSTERNORRLANDS LÄN</t>
        </is>
      </c>
      <c r="E1981" t="inlineStr">
        <is>
          <t>SOLLEFTEÅ</t>
        </is>
      </c>
      <c r="F1981" t="inlineStr">
        <is>
          <t>SCA</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26426-2025</t>
        </is>
      </c>
      <c r="B1982" s="1" t="n">
        <v>45807.38574074074</v>
      </c>
      <c r="C1982" s="1" t="n">
        <v>45998</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49791-2025</t>
        </is>
      </c>
      <c r="B1983" s="1" t="n">
        <v>45940</v>
      </c>
      <c r="C1983" s="1" t="n">
        <v>45998</v>
      </c>
      <c r="D1983" t="inlineStr">
        <is>
          <t>VÄSTERNORRLANDS LÄN</t>
        </is>
      </c>
      <c r="E1983" t="inlineStr">
        <is>
          <t>SOLLEFTEÅ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53639-2025</t>
        </is>
      </c>
      <c r="B1984" s="1" t="n">
        <v>45960</v>
      </c>
      <c r="C1984" s="1" t="n">
        <v>45998</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49565-2025</t>
        </is>
      </c>
      <c r="B1985" s="1" t="n">
        <v>45939.46921296296</v>
      </c>
      <c r="C1985" s="1" t="n">
        <v>45998</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4909-2025</t>
        </is>
      </c>
      <c r="B1986" s="1" t="n">
        <v>45688</v>
      </c>
      <c r="C1986" s="1" t="n">
        <v>45998</v>
      </c>
      <c r="D1986" t="inlineStr">
        <is>
          <t>VÄSTERNORRLANDS LÄN</t>
        </is>
      </c>
      <c r="E1986" t="inlineStr">
        <is>
          <t>SOLLEFTEÅ</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44556-2025</t>
        </is>
      </c>
      <c r="B1987" s="1" t="n">
        <v>45917.34424768519</v>
      </c>
      <c r="C1987" s="1" t="n">
        <v>45998</v>
      </c>
      <c r="D1987" t="inlineStr">
        <is>
          <t>VÄSTERNORRLANDS LÄN</t>
        </is>
      </c>
      <c r="E1987" t="inlineStr">
        <is>
          <t>SOLLEFTEÅ</t>
        </is>
      </c>
      <c r="F1987" t="inlineStr">
        <is>
          <t>SCA</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58386-2025</t>
        </is>
      </c>
      <c r="B1988" s="1" t="n">
        <v>45985.54576388889</v>
      </c>
      <c r="C1988" s="1" t="n">
        <v>45998</v>
      </c>
      <c r="D1988" t="inlineStr">
        <is>
          <t>VÄSTERNORRLANDS LÄN</t>
        </is>
      </c>
      <c r="E1988" t="inlineStr">
        <is>
          <t>SOLLEFTEÅ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13492-2022</t>
        </is>
      </c>
      <c r="B1989" s="1" t="n">
        <v>44646.92120370371</v>
      </c>
      <c r="C1989" s="1" t="n">
        <v>45998</v>
      </c>
      <c r="D1989" t="inlineStr">
        <is>
          <t>VÄSTERNORRLANDS LÄN</t>
        </is>
      </c>
      <c r="E1989" t="inlineStr">
        <is>
          <t>SOLLEFTEÅ</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53530-2025</t>
        </is>
      </c>
      <c r="B1990" s="1" t="n">
        <v>45960.36521990741</v>
      </c>
      <c r="C1990" s="1" t="n">
        <v>45998</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26570-2025</t>
        </is>
      </c>
      <c r="B1991" s="1" t="n">
        <v>45807.67743055556</v>
      </c>
      <c r="C1991" s="1" t="n">
        <v>45998</v>
      </c>
      <c r="D1991" t="inlineStr">
        <is>
          <t>VÄSTERNORRLANDS LÄN</t>
        </is>
      </c>
      <c r="E1991" t="inlineStr">
        <is>
          <t>SOLLEFTEÅ</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50229-2025</t>
        </is>
      </c>
      <c r="B1992" s="1" t="n">
        <v>45943.69855324074</v>
      </c>
      <c r="C1992" s="1" t="n">
        <v>45998</v>
      </c>
      <c r="D1992" t="inlineStr">
        <is>
          <t>VÄSTERNORRLANDS LÄN</t>
        </is>
      </c>
      <c r="E1992" t="inlineStr">
        <is>
          <t>SOLLEFTEÅ</t>
        </is>
      </c>
      <c r="F1992" t="inlineStr">
        <is>
          <t>SCA</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53428-2025</t>
        </is>
      </c>
      <c r="B1993" s="1" t="n">
        <v>45959.61526620371</v>
      </c>
      <c r="C1993" s="1" t="n">
        <v>45998</v>
      </c>
      <c r="D1993" t="inlineStr">
        <is>
          <t>VÄSTERNORRLANDS LÄN</t>
        </is>
      </c>
      <c r="E1993" t="inlineStr">
        <is>
          <t>SOLLEFTEÅ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58383-2025</t>
        </is>
      </c>
      <c r="B1994" s="1" t="n">
        <v>45985.54152777778</v>
      </c>
      <c r="C1994" s="1" t="n">
        <v>45998</v>
      </c>
      <c r="D1994" t="inlineStr">
        <is>
          <t>VÄSTERNORRLANDS LÄN</t>
        </is>
      </c>
      <c r="E1994" t="inlineStr">
        <is>
          <t>SOLLEFTEÅ</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44839-2025</t>
        </is>
      </c>
      <c r="B1995" s="1" t="n">
        <v>45918.42751157407</v>
      </c>
      <c r="C1995" s="1" t="n">
        <v>45998</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50281-2025</t>
        </is>
      </c>
      <c r="B1996" s="1" t="n">
        <v>45944.38600694444</v>
      </c>
      <c r="C1996" s="1" t="n">
        <v>45998</v>
      </c>
      <c r="D1996" t="inlineStr">
        <is>
          <t>VÄSTERNORRLANDS LÄN</t>
        </is>
      </c>
      <c r="E1996" t="inlineStr">
        <is>
          <t>SOLLEFTEÅ</t>
        </is>
      </c>
      <c r="F1996" t="inlineStr">
        <is>
          <t>SCA</t>
        </is>
      </c>
      <c r="G1996" t="n">
        <v>29.2</v>
      </c>
      <c r="H1996" t="n">
        <v>0</v>
      </c>
      <c r="I1996" t="n">
        <v>0</v>
      </c>
      <c r="J1996" t="n">
        <v>0</v>
      </c>
      <c r="K1996" t="n">
        <v>0</v>
      </c>
      <c r="L1996" t="n">
        <v>0</v>
      </c>
      <c r="M1996" t="n">
        <v>0</v>
      </c>
      <c r="N1996" t="n">
        <v>0</v>
      </c>
      <c r="O1996" t="n">
        <v>0</v>
      </c>
      <c r="P1996" t="n">
        <v>0</v>
      </c>
      <c r="Q1996" t="n">
        <v>0</v>
      </c>
      <c r="R1996" s="2" t="inlineStr"/>
    </row>
    <row r="1997" ht="15" customHeight="1">
      <c r="A1997" t="inlineStr">
        <is>
          <t>A 31453-2022</t>
        </is>
      </c>
      <c r="B1997" s="1" t="n">
        <v>44774.94159722222</v>
      </c>
      <c r="C1997" s="1" t="n">
        <v>45998</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22473-2024</t>
        </is>
      </c>
      <c r="B1998" s="1" t="n">
        <v>45446</v>
      </c>
      <c r="C1998" s="1" t="n">
        <v>45998</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58558-2025</t>
        </is>
      </c>
      <c r="B1999" s="1" t="n">
        <v>45986.34451388889</v>
      </c>
      <c r="C1999" s="1" t="n">
        <v>45998</v>
      </c>
      <c r="D1999" t="inlineStr">
        <is>
          <t>VÄSTERNORRLANDS LÄN</t>
        </is>
      </c>
      <c r="E1999" t="inlineStr">
        <is>
          <t>SOLLEFTEÅ</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26642-2025</t>
        </is>
      </c>
      <c r="B2000" s="1" t="n">
        <v>45810.36521990741</v>
      </c>
      <c r="C2000" s="1" t="n">
        <v>45998</v>
      </c>
      <c r="D2000" t="inlineStr">
        <is>
          <t>VÄSTERNORRLANDS LÄN</t>
        </is>
      </c>
      <c r="E2000" t="inlineStr">
        <is>
          <t>SOLLEFTEÅ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26409-2025</t>
        </is>
      </c>
      <c r="B2001" s="1" t="n">
        <v>45807.344375</v>
      </c>
      <c r="C2001" s="1" t="n">
        <v>45998</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26477-2025</t>
        </is>
      </c>
      <c r="B2002" s="1" t="n">
        <v>45807.47011574074</v>
      </c>
      <c r="C2002" s="1" t="n">
        <v>45998</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26641-2025</t>
        </is>
      </c>
      <c r="B2003" s="1" t="n">
        <v>45810.36509259259</v>
      </c>
      <c r="C2003" s="1" t="n">
        <v>45998</v>
      </c>
      <c r="D2003" t="inlineStr">
        <is>
          <t>VÄSTERNORRLANDS LÄN</t>
        </is>
      </c>
      <c r="E2003" t="inlineStr">
        <is>
          <t>SOLLEFTEÅ</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58772-2025</t>
        </is>
      </c>
      <c r="B2004" s="1" t="n">
        <v>45986</v>
      </c>
      <c r="C2004" s="1" t="n">
        <v>45998</v>
      </c>
      <c r="D2004" t="inlineStr">
        <is>
          <t>VÄSTERNORRLANDS LÄN</t>
        </is>
      </c>
      <c r="E2004" t="inlineStr">
        <is>
          <t>SOLLEFTEÅ</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58505-2025</t>
        </is>
      </c>
      <c r="B2005" s="1" t="n">
        <v>45985.69831018519</v>
      </c>
      <c r="C2005" s="1" t="n">
        <v>45998</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26733-2025</t>
        </is>
      </c>
      <c r="B2006" s="1" t="n">
        <v>45810.51078703703</v>
      </c>
      <c r="C2006" s="1" t="n">
        <v>45998</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58512-2025</t>
        </is>
      </c>
      <c r="B2007" s="1" t="n">
        <v>45982</v>
      </c>
      <c r="C2007" s="1" t="n">
        <v>45998</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50245-2025</t>
        </is>
      </c>
      <c r="B2008" s="1" t="n">
        <v>45944.30101851852</v>
      </c>
      <c r="C2008" s="1" t="n">
        <v>45998</v>
      </c>
      <c r="D2008" t="inlineStr">
        <is>
          <t>VÄSTERNORRLANDS LÄN</t>
        </is>
      </c>
      <c r="E2008" t="inlineStr">
        <is>
          <t>SOLLEFTEÅ</t>
        </is>
      </c>
      <c r="F2008" t="inlineStr">
        <is>
          <t>Holmen skog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7258-2024</t>
        </is>
      </c>
      <c r="B2009" s="1" t="n">
        <v>45344.74564814815</v>
      </c>
      <c r="C2009" s="1" t="n">
        <v>45998</v>
      </c>
      <c r="D2009" t="inlineStr">
        <is>
          <t>VÄSTERNORRLANDS LÄN</t>
        </is>
      </c>
      <c r="E2009" t="inlineStr">
        <is>
          <t>SOLLEFTEÅ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53468-2025</t>
        </is>
      </c>
      <c r="B2010" s="1" t="n">
        <v>45959.69859953703</v>
      </c>
      <c r="C2010" s="1" t="n">
        <v>45998</v>
      </c>
      <c r="D2010" t="inlineStr">
        <is>
          <t>VÄSTERNORRLANDS LÄN</t>
        </is>
      </c>
      <c r="E2010" t="inlineStr">
        <is>
          <t>SOLLEFTEÅ</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44871-2025</t>
        </is>
      </c>
      <c r="B2011" s="1" t="n">
        <v>45918.46938657408</v>
      </c>
      <c r="C2011" s="1" t="n">
        <v>45998</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44907-2025</t>
        </is>
      </c>
      <c r="B2012" s="1" t="n">
        <v>45918.531875</v>
      </c>
      <c r="C2012" s="1" t="n">
        <v>45998</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44906-2025</t>
        </is>
      </c>
      <c r="B2013" s="1" t="n">
        <v>45918.53174768519</v>
      </c>
      <c r="C2013" s="1" t="n">
        <v>45998</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42478-2025</t>
        </is>
      </c>
      <c r="B2014" s="1" t="n">
        <v>45905</v>
      </c>
      <c r="C2014" s="1" t="n">
        <v>45998</v>
      </c>
      <c r="D2014" t="inlineStr">
        <is>
          <t>VÄSTERNORRLANDS LÄN</t>
        </is>
      </c>
      <c r="E2014" t="inlineStr">
        <is>
          <t>SOLLEFTEÅ</t>
        </is>
      </c>
      <c r="F2014" t="inlineStr">
        <is>
          <t>SCA</t>
        </is>
      </c>
      <c r="G2014" t="n">
        <v>9.300000000000001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53896-2025</t>
        </is>
      </c>
      <c r="B2015" s="1" t="n">
        <v>45961.42748842593</v>
      </c>
      <c r="C2015" s="1" t="n">
        <v>45998</v>
      </c>
      <c r="D2015" t="inlineStr">
        <is>
          <t>VÄSTERNORRLANDS LÄN</t>
        </is>
      </c>
      <c r="E2015" t="inlineStr">
        <is>
          <t>SOLLEFTEÅ</t>
        </is>
      </c>
      <c r="F2015" t="inlineStr">
        <is>
          <t>SCA</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31662-2024</t>
        </is>
      </c>
      <c r="B2016" s="1" t="n">
        <v>45506.92857638889</v>
      </c>
      <c r="C2016" s="1" t="n">
        <v>45998</v>
      </c>
      <c r="D2016" t="inlineStr">
        <is>
          <t>VÄSTERNORRLANDS LÄN</t>
        </is>
      </c>
      <c r="E2016" t="inlineStr">
        <is>
          <t>SOLLEFTEÅ</t>
        </is>
      </c>
      <c r="G2016" t="n">
        <v>11.7</v>
      </c>
      <c r="H2016" t="n">
        <v>0</v>
      </c>
      <c r="I2016" t="n">
        <v>0</v>
      </c>
      <c r="J2016" t="n">
        <v>0</v>
      </c>
      <c r="K2016" t="n">
        <v>0</v>
      </c>
      <c r="L2016" t="n">
        <v>0</v>
      </c>
      <c r="M2016" t="n">
        <v>0</v>
      </c>
      <c r="N2016" t="n">
        <v>0</v>
      </c>
      <c r="O2016" t="n">
        <v>0</v>
      </c>
      <c r="P2016" t="n">
        <v>0</v>
      </c>
      <c r="Q2016" t="n">
        <v>0</v>
      </c>
      <c r="R2016" s="2" t="inlineStr"/>
    </row>
    <row r="2017" ht="15" customHeight="1">
      <c r="A2017" t="inlineStr">
        <is>
          <t>A 50388-2025</t>
        </is>
      </c>
      <c r="B2017" s="1" t="n">
        <v>45944.61509259259</v>
      </c>
      <c r="C2017" s="1" t="n">
        <v>45998</v>
      </c>
      <c r="D2017" t="inlineStr">
        <is>
          <t>VÄSTERNORRLANDS LÄN</t>
        </is>
      </c>
      <c r="E2017" t="inlineStr">
        <is>
          <t>SOLLEFTEÅ</t>
        </is>
      </c>
      <c r="F2017" t="inlineStr">
        <is>
          <t>SCA</t>
        </is>
      </c>
      <c r="G2017" t="n">
        <v>22.8</v>
      </c>
      <c r="H2017" t="n">
        <v>0</v>
      </c>
      <c r="I2017" t="n">
        <v>0</v>
      </c>
      <c r="J2017" t="n">
        <v>0</v>
      </c>
      <c r="K2017" t="n">
        <v>0</v>
      </c>
      <c r="L2017" t="n">
        <v>0</v>
      </c>
      <c r="M2017" t="n">
        <v>0</v>
      </c>
      <c r="N2017" t="n">
        <v>0</v>
      </c>
      <c r="O2017" t="n">
        <v>0</v>
      </c>
      <c r="P2017" t="n">
        <v>0</v>
      </c>
      <c r="Q2017" t="n">
        <v>0</v>
      </c>
      <c r="R2017" s="2" t="inlineStr"/>
    </row>
    <row r="2018" ht="15" customHeight="1">
      <c r="A2018" t="inlineStr">
        <is>
          <t>A 45252-2025</t>
        </is>
      </c>
      <c r="B2018" s="1" t="n">
        <v>45919.61493055556</v>
      </c>
      <c r="C2018" s="1" t="n">
        <v>45998</v>
      </c>
      <c r="D2018" t="inlineStr">
        <is>
          <t>VÄSTERNORRLANDS LÄN</t>
        </is>
      </c>
      <c r="E2018" t="inlineStr">
        <is>
          <t>SOLLEFTEÅ</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27288-2025</t>
        </is>
      </c>
      <c r="B2019" s="1" t="n">
        <v>45812.55234953704</v>
      </c>
      <c r="C2019" s="1" t="n">
        <v>45998</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53833-2025</t>
        </is>
      </c>
      <c r="B2020" s="1" t="n">
        <v>45961.34518518519</v>
      </c>
      <c r="C2020" s="1" t="n">
        <v>45998</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53867-2025</t>
        </is>
      </c>
      <c r="B2021" s="1" t="n">
        <v>45961.38581018519</v>
      </c>
      <c r="C2021" s="1" t="n">
        <v>45998</v>
      </c>
      <c r="D2021" t="inlineStr">
        <is>
          <t>VÄSTERNORRLANDS LÄN</t>
        </is>
      </c>
      <c r="E2021" t="inlineStr">
        <is>
          <t>SOLLEFTEÅ</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26921-2025</t>
        </is>
      </c>
      <c r="B2022" s="1" t="n">
        <v>45811.38575231482</v>
      </c>
      <c r="C2022" s="1" t="n">
        <v>45998</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53974-2025</t>
        </is>
      </c>
      <c r="B2023" s="1" t="n">
        <v>45961.55261574074</v>
      </c>
      <c r="C2023" s="1" t="n">
        <v>45998</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56416-2023</t>
        </is>
      </c>
      <c r="B2024" s="1" t="n">
        <v>45237</v>
      </c>
      <c r="C2024" s="1" t="n">
        <v>45998</v>
      </c>
      <c r="D2024" t="inlineStr">
        <is>
          <t>VÄSTERNORRLANDS LÄN</t>
        </is>
      </c>
      <c r="E2024" t="inlineStr">
        <is>
          <t>SOLLEFTEÅ</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26953-2025</t>
        </is>
      </c>
      <c r="B2025" s="1" t="n">
        <v>45811.44856481482</v>
      </c>
      <c r="C2025" s="1" t="n">
        <v>45998</v>
      </c>
      <c r="D2025" t="inlineStr">
        <is>
          <t>VÄSTERNORRLANDS LÄN</t>
        </is>
      </c>
      <c r="E2025" t="inlineStr">
        <is>
          <t>SOLLEFTEÅ</t>
        </is>
      </c>
      <c r="F2025" t="inlineStr">
        <is>
          <t>SCA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54271-2025</t>
        </is>
      </c>
      <c r="B2026" s="1" t="n">
        <v>45964.67839120371</v>
      </c>
      <c r="C2026" s="1" t="n">
        <v>45998</v>
      </c>
      <c r="D2026" t="inlineStr">
        <is>
          <t>VÄSTERNORRLANDS LÄN</t>
        </is>
      </c>
      <c r="E2026" t="inlineStr">
        <is>
          <t>SOLLEFTEÅ</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26935-2025</t>
        </is>
      </c>
      <c r="B2027" s="1" t="n">
        <v>45811.40413194444</v>
      </c>
      <c r="C2027" s="1" t="n">
        <v>45998</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26952-2025</t>
        </is>
      </c>
      <c r="B2028" s="1" t="n">
        <v>45811.4484375</v>
      </c>
      <c r="C2028" s="1" t="n">
        <v>45998</v>
      </c>
      <c r="D2028" t="inlineStr">
        <is>
          <t>VÄSTERNORRLANDS LÄN</t>
        </is>
      </c>
      <c r="E2028" t="inlineStr">
        <is>
          <t>SOLLEFTEÅ</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54255-2025</t>
        </is>
      </c>
      <c r="B2029" s="1" t="n">
        <v>45964.65692129629</v>
      </c>
      <c r="C2029" s="1" t="n">
        <v>45998</v>
      </c>
      <c r="D2029" t="inlineStr">
        <is>
          <t>VÄSTERNORRLANDS LÄN</t>
        </is>
      </c>
      <c r="E2029" t="inlineStr">
        <is>
          <t>SOLLEFTEÅ</t>
        </is>
      </c>
      <c r="F2029" t="inlineStr">
        <is>
          <t>SCA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35261-2025</t>
        </is>
      </c>
      <c r="B2030" s="1" t="n">
        <v>45853</v>
      </c>
      <c r="C2030" s="1" t="n">
        <v>45998</v>
      </c>
      <c r="D2030" t="inlineStr">
        <is>
          <t>VÄSTERNORRLANDS LÄN</t>
        </is>
      </c>
      <c r="E2030" t="inlineStr">
        <is>
          <t>SOLLEFTEÅ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27167-2025</t>
        </is>
      </c>
      <c r="B2031" s="1" t="n">
        <v>45812.34465277778</v>
      </c>
      <c r="C2031" s="1" t="n">
        <v>45998</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26916-2025</t>
        </is>
      </c>
      <c r="B2032" s="1" t="n">
        <v>45811.37184027778</v>
      </c>
      <c r="C2032" s="1" t="n">
        <v>45998</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45593-2025</t>
        </is>
      </c>
      <c r="B2033" s="1" t="n">
        <v>45922.67783564814</v>
      </c>
      <c r="C2033" s="1" t="n">
        <v>45998</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27407-2025</t>
        </is>
      </c>
      <c r="B2034" s="1" t="n">
        <v>45812.74519675926</v>
      </c>
      <c r="C2034" s="1" t="n">
        <v>45998</v>
      </c>
      <c r="D2034" t="inlineStr">
        <is>
          <t>VÄSTERNORRLANDS LÄN</t>
        </is>
      </c>
      <c r="E2034" t="inlineStr">
        <is>
          <t>SOLLEFTEÅ</t>
        </is>
      </c>
      <c r="G2034" t="n">
        <v>23.2</v>
      </c>
      <c r="H2034" t="n">
        <v>0</v>
      </c>
      <c r="I2034" t="n">
        <v>0</v>
      </c>
      <c r="J2034" t="n">
        <v>0</v>
      </c>
      <c r="K2034" t="n">
        <v>0</v>
      </c>
      <c r="L2034" t="n">
        <v>0</v>
      </c>
      <c r="M2034" t="n">
        <v>0</v>
      </c>
      <c r="N2034" t="n">
        <v>0</v>
      </c>
      <c r="O2034" t="n">
        <v>0</v>
      </c>
      <c r="P2034" t="n">
        <v>0</v>
      </c>
      <c r="Q2034" t="n">
        <v>0</v>
      </c>
      <c r="R2034" s="2" t="inlineStr"/>
    </row>
    <row r="2035" ht="15" customHeight="1">
      <c r="A2035" t="inlineStr">
        <is>
          <t>A 42987-2024</t>
        </is>
      </c>
      <c r="B2035" s="1" t="n">
        <v>45567</v>
      </c>
      <c r="C2035" s="1" t="n">
        <v>45998</v>
      </c>
      <c r="D2035" t="inlineStr">
        <is>
          <t>VÄSTERNORRLANDS LÄN</t>
        </is>
      </c>
      <c r="E2035" t="inlineStr">
        <is>
          <t>SOLLEFTEÅ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54193-2025</t>
        </is>
      </c>
      <c r="B2036" s="1" t="n">
        <v>45964.57373842593</v>
      </c>
      <c r="C2036" s="1" t="n">
        <v>45998</v>
      </c>
      <c r="D2036" t="inlineStr">
        <is>
          <t>VÄSTERNORRLANDS LÄN</t>
        </is>
      </c>
      <c r="E2036" t="inlineStr">
        <is>
          <t>SOLLEFTEÅ</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54194-2025</t>
        </is>
      </c>
      <c r="B2037" s="1" t="n">
        <v>45964.57395833333</v>
      </c>
      <c r="C2037" s="1" t="n">
        <v>45998</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27142-2025</t>
        </is>
      </c>
      <c r="B2038" s="1" t="n">
        <v>45812.28087962963</v>
      </c>
      <c r="C2038" s="1" t="n">
        <v>45998</v>
      </c>
      <c r="D2038" t="inlineStr">
        <is>
          <t>VÄSTERNORRLANDS LÄN</t>
        </is>
      </c>
      <c r="E2038" t="inlineStr">
        <is>
          <t>SOLLEFTEÅ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54272-2025</t>
        </is>
      </c>
      <c r="B2039" s="1" t="n">
        <v>45964.67846064815</v>
      </c>
      <c r="C2039" s="1" t="n">
        <v>45998</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58510-2025</t>
        </is>
      </c>
      <c r="B2040" s="1" t="n">
        <v>45982</v>
      </c>
      <c r="C2040" s="1" t="n">
        <v>45998</v>
      </c>
      <c r="D2040" t="inlineStr">
        <is>
          <t>VÄSTERNORRLANDS LÄN</t>
        </is>
      </c>
      <c r="E2040" t="inlineStr">
        <is>
          <t>SOLLEFTEÅ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58511-2025</t>
        </is>
      </c>
      <c r="B2041" s="1" t="n">
        <v>45982</v>
      </c>
      <c r="C2041" s="1" t="n">
        <v>45998</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26896-2025</t>
        </is>
      </c>
      <c r="B2042" s="1" t="n">
        <v>45811.33834490741</v>
      </c>
      <c r="C2042" s="1" t="n">
        <v>45998</v>
      </c>
      <c r="D2042" t="inlineStr">
        <is>
          <t>VÄSTERNORRLANDS LÄN</t>
        </is>
      </c>
      <c r="E2042" t="inlineStr">
        <is>
          <t>SOLLEFTEÅ</t>
        </is>
      </c>
      <c r="G2042" t="n">
        <v>8.5</v>
      </c>
      <c r="H2042" t="n">
        <v>0</v>
      </c>
      <c r="I2042" t="n">
        <v>0</v>
      </c>
      <c r="J2042" t="n">
        <v>0</v>
      </c>
      <c r="K2042" t="n">
        <v>0</v>
      </c>
      <c r="L2042" t="n">
        <v>0</v>
      </c>
      <c r="M2042" t="n">
        <v>0</v>
      </c>
      <c r="N2042" t="n">
        <v>0</v>
      </c>
      <c r="O2042" t="n">
        <v>0</v>
      </c>
      <c r="P2042" t="n">
        <v>0</v>
      </c>
      <c r="Q2042" t="n">
        <v>0</v>
      </c>
      <c r="R2042" s="2" t="inlineStr"/>
    </row>
    <row r="2043" ht="15" customHeight="1">
      <c r="A2043" t="inlineStr">
        <is>
          <t>A 58445-2025</t>
        </is>
      </c>
      <c r="B2043" s="1" t="n">
        <v>45985.62047453703</v>
      </c>
      <c r="C2043" s="1" t="n">
        <v>45998</v>
      </c>
      <c r="D2043" t="inlineStr">
        <is>
          <t>VÄSTERNORRLANDS LÄN</t>
        </is>
      </c>
      <c r="E2043" t="inlineStr">
        <is>
          <t>SOLLEFTEÅ</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7157-2025</t>
        </is>
      </c>
      <c r="B2044" s="1" t="n">
        <v>45702.38637731481</v>
      </c>
      <c r="C2044" s="1" t="n">
        <v>45998</v>
      </c>
      <c r="D2044" t="inlineStr">
        <is>
          <t>VÄSTERNORRLANDS LÄN</t>
        </is>
      </c>
      <c r="E2044" t="inlineStr">
        <is>
          <t>SOLLEFTEÅ</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43842-2025</t>
        </is>
      </c>
      <c r="B2045" s="1" t="n">
        <v>45912.63587962963</v>
      </c>
      <c r="C2045" s="1" t="n">
        <v>45998</v>
      </c>
      <c r="D2045" t="inlineStr">
        <is>
          <t>VÄSTERNORRLANDS LÄN</t>
        </is>
      </c>
      <c r="E2045" t="inlineStr">
        <is>
          <t>SOLLEFTEÅ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58315-2025</t>
        </is>
      </c>
      <c r="B2046" s="1" t="n">
        <v>45985.47033564815</v>
      </c>
      <c r="C2046" s="1" t="n">
        <v>45998</v>
      </c>
      <c r="D2046" t="inlineStr">
        <is>
          <t>VÄSTERNORRLANDS LÄN</t>
        </is>
      </c>
      <c r="E2046" t="inlineStr">
        <is>
          <t>SOLLEFTEÅ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27519-2025</t>
        </is>
      </c>
      <c r="B2047" s="1" t="n">
        <v>45813.44186342593</v>
      </c>
      <c r="C2047" s="1" t="n">
        <v>45998</v>
      </c>
      <c r="D2047" t="inlineStr">
        <is>
          <t>VÄSTERNORRLANDS LÄN</t>
        </is>
      </c>
      <c r="E2047" t="inlineStr">
        <is>
          <t>SOLLEFTEÅ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58234-2025</t>
        </is>
      </c>
      <c r="B2048" s="1" t="n">
        <v>45985.38688657407</v>
      </c>
      <c r="C2048" s="1" t="n">
        <v>45998</v>
      </c>
      <c r="D2048" t="inlineStr">
        <is>
          <t>VÄSTERNORRLANDS LÄN</t>
        </is>
      </c>
      <c r="E2048" t="inlineStr">
        <is>
          <t>SOLLEFTEÅ</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45236-2025</t>
        </is>
      </c>
      <c r="B2049" s="1" t="n">
        <v>45919.59450231482</v>
      </c>
      <c r="C2049" s="1" t="n">
        <v>45998</v>
      </c>
      <c r="D2049" t="inlineStr">
        <is>
          <t>VÄSTERNORRLANDS LÄN</t>
        </is>
      </c>
      <c r="E2049" t="inlineStr">
        <is>
          <t>SOLLEFTEÅ</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27592-2025</t>
        </is>
      </c>
      <c r="B2050" s="1" t="n">
        <v>45813.5191550926</v>
      </c>
      <c r="C2050" s="1" t="n">
        <v>45998</v>
      </c>
      <c r="D2050" t="inlineStr">
        <is>
          <t>VÄSTERNORRLANDS LÄN</t>
        </is>
      </c>
      <c r="E2050" t="inlineStr">
        <is>
          <t>SOLLEFTEÅ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27660-2025</t>
        </is>
      </c>
      <c r="B2051" s="1" t="n">
        <v>45813.61490740741</v>
      </c>
      <c r="C2051" s="1" t="n">
        <v>45998</v>
      </c>
      <c r="D2051" t="inlineStr">
        <is>
          <t>VÄSTERNORRLANDS LÄN</t>
        </is>
      </c>
      <c r="E2051" t="inlineStr">
        <is>
          <t>SOLLEFTEÅ</t>
        </is>
      </c>
      <c r="F2051" t="inlineStr">
        <is>
          <t>SCA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45569-2025</t>
        </is>
      </c>
      <c r="B2052" s="1" t="n">
        <v>45922.65694444445</v>
      </c>
      <c r="C2052" s="1" t="n">
        <v>45998</v>
      </c>
      <c r="D2052" t="inlineStr">
        <is>
          <t>VÄSTERNORRLANDS LÄN</t>
        </is>
      </c>
      <c r="E2052" t="inlineStr">
        <is>
          <t>SOLLEFTEÅ</t>
        </is>
      </c>
      <c r="F2052" t="inlineStr">
        <is>
          <t>SCA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50283-2025</t>
        </is>
      </c>
      <c r="B2053" s="1" t="n">
        <v>45944.38641203703</v>
      </c>
      <c r="C2053" s="1" t="n">
        <v>45998</v>
      </c>
      <c r="D2053" t="inlineStr">
        <is>
          <t>VÄSTERNORRLANDS LÄN</t>
        </is>
      </c>
      <c r="E2053" t="inlineStr">
        <is>
          <t>SOLLEFTEÅ</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2677-2025</t>
        </is>
      </c>
      <c r="B2054" s="1" t="n">
        <v>45677</v>
      </c>
      <c r="C2054" s="1" t="n">
        <v>45998</v>
      </c>
      <c r="D2054" t="inlineStr">
        <is>
          <t>VÄSTERNORRLANDS LÄN</t>
        </is>
      </c>
      <c r="E2054" t="inlineStr">
        <is>
          <t>SOLLEFTEÅ</t>
        </is>
      </c>
      <c r="F2054" t="inlineStr">
        <is>
          <t>SCA</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27427-2025</t>
        </is>
      </c>
      <c r="B2055" s="1" t="n">
        <v>45813.28706018518</v>
      </c>
      <c r="C2055" s="1" t="n">
        <v>45998</v>
      </c>
      <c r="D2055" t="inlineStr">
        <is>
          <t>VÄSTERNORRLANDS LÄN</t>
        </is>
      </c>
      <c r="E2055" t="inlineStr">
        <is>
          <t>SOLLEFTEÅ</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23025-2024</t>
        </is>
      </c>
      <c r="B2056" s="1" t="n">
        <v>45450.36578703704</v>
      </c>
      <c r="C2056" s="1" t="n">
        <v>45998</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50402-2025</t>
        </is>
      </c>
      <c r="B2057" s="1" t="n">
        <v>45944.63606481482</v>
      </c>
      <c r="C2057" s="1" t="n">
        <v>45998</v>
      </c>
      <c r="D2057" t="inlineStr">
        <is>
          <t>VÄSTERNORRLANDS LÄN</t>
        </is>
      </c>
      <c r="E2057" t="inlineStr">
        <is>
          <t>SOLLEFTEÅ</t>
        </is>
      </c>
      <c r="F2057" t="inlineStr">
        <is>
          <t>SCA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58384-2025</t>
        </is>
      </c>
      <c r="B2058" s="1" t="n">
        <v>45985.54319444444</v>
      </c>
      <c r="C2058" s="1" t="n">
        <v>45998</v>
      </c>
      <c r="D2058" t="inlineStr">
        <is>
          <t>VÄSTERNORRLANDS LÄN</t>
        </is>
      </c>
      <c r="E2058" t="inlineStr">
        <is>
          <t>SOLLEFTEÅ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54192-2025</t>
        </is>
      </c>
      <c r="B2059" s="1" t="n">
        <v>45964.57350694444</v>
      </c>
      <c r="C2059" s="1" t="n">
        <v>45998</v>
      </c>
      <c r="D2059" t="inlineStr">
        <is>
          <t>VÄSTERNORRLANDS LÄN</t>
        </is>
      </c>
      <c r="E2059" t="inlineStr">
        <is>
          <t>SOLLEFTEÅ</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42879-2025</t>
        </is>
      </c>
      <c r="B2060" s="1" t="n">
        <v>45908</v>
      </c>
      <c r="C2060" s="1" t="n">
        <v>45998</v>
      </c>
      <c r="D2060" t="inlineStr">
        <is>
          <t>VÄSTERNORRLANDS LÄN</t>
        </is>
      </c>
      <c r="E2060" t="inlineStr">
        <is>
          <t>SOLLEFTEÅ</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36004-2024</t>
        </is>
      </c>
      <c r="B2061" s="1" t="n">
        <v>45533.54848379629</v>
      </c>
      <c r="C2061" s="1" t="n">
        <v>45998</v>
      </c>
      <c r="D2061" t="inlineStr">
        <is>
          <t>VÄSTERNORRLANDS LÄN</t>
        </is>
      </c>
      <c r="E2061" t="inlineStr">
        <is>
          <t>SOLLEFTEÅ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12617-2025</t>
        </is>
      </c>
      <c r="B2062" s="1" t="n">
        <v>45733.34895833334</v>
      </c>
      <c r="C2062" s="1" t="n">
        <v>45998</v>
      </c>
      <c r="D2062" t="inlineStr">
        <is>
          <t>VÄSTERNORRLANDS LÄN</t>
        </is>
      </c>
      <c r="E2062" t="inlineStr">
        <is>
          <t>SOLLEFTEÅ</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45340-2025</t>
        </is>
      </c>
      <c r="B2063" s="1" t="n">
        <v>45922.34421296296</v>
      </c>
      <c r="C2063" s="1" t="n">
        <v>45998</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15429-2025</t>
        </is>
      </c>
      <c r="B2064" s="1" t="n">
        <v>45747.47</v>
      </c>
      <c r="C2064" s="1" t="n">
        <v>45998</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54697-2025</t>
        </is>
      </c>
      <c r="B2065" s="1" t="n">
        <v>45966.47638888889</v>
      </c>
      <c r="C2065" s="1" t="n">
        <v>45998</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58509-2025</t>
        </is>
      </c>
      <c r="B2066" s="1" t="n">
        <v>45982</v>
      </c>
      <c r="C2066" s="1" t="n">
        <v>45998</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58313-2025</t>
        </is>
      </c>
      <c r="B2067" s="1" t="n">
        <v>45985.47021990741</v>
      </c>
      <c r="C2067" s="1" t="n">
        <v>45998</v>
      </c>
      <c r="D2067" t="inlineStr">
        <is>
          <t>VÄSTERNORRLANDS LÄN</t>
        </is>
      </c>
      <c r="E2067" t="inlineStr">
        <is>
          <t>SOLLEFTEÅ</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58314-2025</t>
        </is>
      </c>
      <c r="B2068" s="1" t="n">
        <v>45985.47027777778</v>
      </c>
      <c r="C2068" s="1" t="n">
        <v>45998</v>
      </c>
      <c r="D2068" t="inlineStr">
        <is>
          <t>VÄSTERNORRLANDS LÄN</t>
        </is>
      </c>
      <c r="E2068" t="inlineStr">
        <is>
          <t>SOLLEFTEÅ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58205-2025</t>
        </is>
      </c>
      <c r="B2069" s="1" t="n">
        <v>45984.64722222222</v>
      </c>
      <c r="C2069" s="1" t="n">
        <v>45998</v>
      </c>
      <c r="D2069" t="inlineStr">
        <is>
          <t>VÄSTERNORRLANDS LÄN</t>
        </is>
      </c>
      <c r="E2069" t="inlineStr">
        <is>
          <t>SOLLEFTEÅ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50493-2025</t>
        </is>
      </c>
      <c r="B2070" s="1" t="n">
        <v>45945.40685185185</v>
      </c>
      <c r="C2070" s="1" t="n">
        <v>45998</v>
      </c>
      <c r="D2070" t="inlineStr">
        <is>
          <t>VÄSTERNORRLANDS LÄN</t>
        </is>
      </c>
      <c r="E2070" t="inlineStr">
        <is>
          <t>SOLLEFTEÅ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45952-2025</t>
        </is>
      </c>
      <c r="B2071" s="1" t="n">
        <v>45924.34430555555</v>
      </c>
      <c r="C2071" s="1" t="n">
        <v>45998</v>
      </c>
      <c r="D2071" t="inlineStr">
        <is>
          <t>VÄSTERNORRLANDS LÄN</t>
        </is>
      </c>
      <c r="E2071" t="inlineStr">
        <is>
          <t>SOLLEFTEÅ</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27293-2024</t>
        </is>
      </c>
      <c r="B2072" s="1" t="n">
        <v>45471.94259259259</v>
      </c>
      <c r="C2072" s="1" t="n">
        <v>45998</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58948-2025</t>
        </is>
      </c>
      <c r="B2073" s="1" t="n">
        <v>45987</v>
      </c>
      <c r="C2073" s="1" t="n">
        <v>45998</v>
      </c>
      <c r="D2073" t="inlineStr">
        <is>
          <t>VÄSTERNORRLANDS LÄN</t>
        </is>
      </c>
      <c r="E2073" t="inlineStr">
        <is>
          <t>SOLLEFTEÅ</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50627-2025</t>
        </is>
      </c>
      <c r="B2074" s="1" t="n">
        <v>45945</v>
      </c>
      <c r="C2074" s="1" t="n">
        <v>45998</v>
      </c>
      <c r="D2074" t="inlineStr">
        <is>
          <t>VÄSTERNORRLANDS LÄN</t>
        </is>
      </c>
      <c r="E2074" t="inlineStr">
        <is>
          <t>SOLLEFTEÅ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50733-2025</t>
        </is>
      </c>
      <c r="B2075" s="1" t="n">
        <v>45946.36538194444</v>
      </c>
      <c r="C2075" s="1" t="n">
        <v>45998</v>
      </c>
      <c r="D2075" t="inlineStr">
        <is>
          <t>VÄSTERNORRLANDS LÄN</t>
        </is>
      </c>
      <c r="E2075" t="inlineStr">
        <is>
          <t>SOLLEFTEÅ</t>
        </is>
      </c>
      <c r="F2075" t="inlineStr">
        <is>
          <t>SCA</t>
        </is>
      </c>
      <c r="G2075" t="n">
        <v>15.3</v>
      </c>
      <c r="H2075" t="n">
        <v>0</v>
      </c>
      <c r="I2075" t="n">
        <v>0</v>
      </c>
      <c r="J2075" t="n">
        <v>0</v>
      </c>
      <c r="K2075" t="n">
        <v>0</v>
      </c>
      <c r="L2075" t="n">
        <v>0</v>
      </c>
      <c r="M2075" t="n">
        <v>0</v>
      </c>
      <c r="N2075" t="n">
        <v>0</v>
      </c>
      <c r="O2075" t="n">
        <v>0</v>
      </c>
      <c r="P2075" t="n">
        <v>0</v>
      </c>
      <c r="Q2075" t="n">
        <v>0</v>
      </c>
      <c r="R2075" s="2" t="inlineStr"/>
    </row>
    <row r="2076" ht="15" customHeight="1">
      <c r="A2076" t="inlineStr">
        <is>
          <t>A 59051-2025</t>
        </is>
      </c>
      <c r="B2076" s="1" t="n">
        <v>45988.38612268519</v>
      </c>
      <c r="C2076" s="1" t="n">
        <v>45998</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50859-2025</t>
        </is>
      </c>
      <c r="B2077" s="1" t="n">
        <v>45946.59450231482</v>
      </c>
      <c r="C2077" s="1" t="n">
        <v>45998</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50929-2025</t>
        </is>
      </c>
      <c r="B2078" s="1" t="n">
        <v>45946.67913194445</v>
      </c>
      <c r="C2078" s="1" t="n">
        <v>45998</v>
      </c>
      <c r="D2078" t="inlineStr">
        <is>
          <t>VÄSTERNORRLANDS LÄN</t>
        </is>
      </c>
      <c r="E2078" t="inlineStr">
        <is>
          <t>SOLLEFTEÅ</t>
        </is>
      </c>
      <c r="F2078" t="inlineStr">
        <is>
          <t>SCA</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50930-2025</t>
        </is>
      </c>
      <c r="B2079" s="1" t="n">
        <v>45946.6796875</v>
      </c>
      <c r="C2079" s="1" t="n">
        <v>45998</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59036-2025</t>
        </is>
      </c>
      <c r="B2080" s="1" t="n">
        <v>45988.3650462963</v>
      </c>
      <c r="C2080" s="1" t="n">
        <v>45998</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50843-2025</t>
        </is>
      </c>
      <c r="B2081" s="1" t="n">
        <v>45946.57344907407</v>
      </c>
      <c r="C2081" s="1" t="n">
        <v>45998</v>
      </c>
      <c r="D2081" t="inlineStr">
        <is>
          <t>VÄSTERNORRLANDS LÄN</t>
        </is>
      </c>
      <c r="E2081" t="inlineStr">
        <is>
          <t>SOLLEFTEÅ</t>
        </is>
      </c>
      <c r="F2081" t="inlineStr">
        <is>
          <t>SCA</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51505-2024</t>
        </is>
      </c>
      <c r="B2082" s="1" t="n">
        <v>45604</v>
      </c>
      <c r="C2082" s="1" t="n">
        <v>45998</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27956-2025</t>
        </is>
      </c>
      <c r="B2083" s="1" t="n">
        <v>45817.5344675926</v>
      </c>
      <c r="C2083" s="1" t="n">
        <v>45998</v>
      </c>
      <c r="D2083" t="inlineStr">
        <is>
          <t>VÄSTERNORRLANDS LÄN</t>
        </is>
      </c>
      <c r="E2083" t="inlineStr">
        <is>
          <t>SOLLEFTEÅ</t>
        </is>
      </c>
      <c r="F2083" t="inlineStr">
        <is>
          <t>Holmen skog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45978-2025</t>
        </is>
      </c>
      <c r="B2084" s="1" t="n">
        <v>45924.37491898148</v>
      </c>
      <c r="C2084" s="1" t="n">
        <v>45998</v>
      </c>
      <c r="D2084" t="inlineStr">
        <is>
          <t>VÄSTERNORRLANDS LÄN</t>
        </is>
      </c>
      <c r="E2084" t="inlineStr">
        <is>
          <t>SOLLEFTEÅ</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46003-2025</t>
        </is>
      </c>
      <c r="B2085" s="1" t="n">
        <v>45924.40726851852</v>
      </c>
      <c r="C2085" s="1" t="n">
        <v>45998</v>
      </c>
      <c r="D2085" t="inlineStr">
        <is>
          <t>VÄSTERNORRLANDS LÄN</t>
        </is>
      </c>
      <c r="E2085" t="inlineStr">
        <is>
          <t>SOLLEFTEÅ</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53466-2025</t>
        </is>
      </c>
      <c r="B2086" s="1" t="n">
        <v>45959</v>
      </c>
      <c r="C2086" s="1" t="n">
        <v>45998</v>
      </c>
      <c r="D2086" t="inlineStr">
        <is>
          <t>VÄSTERNORRLANDS LÄN</t>
        </is>
      </c>
      <c r="E2086" t="inlineStr">
        <is>
          <t>SOLLEFTEÅ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28142-2025</t>
        </is>
      </c>
      <c r="B2087" s="1" t="n">
        <v>45818.34538194445</v>
      </c>
      <c r="C2087" s="1" t="n">
        <v>45998</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46174-2025</t>
        </is>
      </c>
      <c r="B2088" s="1" t="n">
        <v>45924.64704861111</v>
      </c>
      <c r="C2088" s="1" t="n">
        <v>45998</v>
      </c>
      <c r="D2088" t="inlineStr">
        <is>
          <t>VÄSTERNORRLANDS LÄN</t>
        </is>
      </c>
      <c r="E2088" t="inlineStr">
        <is>
          <t>SOLLEFTEÅ</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20101-2025</t>
        </is>
      </c>
      <c r="B2089" s="1" t="n">
        <v>45772</v>
      </c>
      <c r="C2089" s="1" t="n">
        <v>45998</v>
      </c>
      <c r="D2089" t="inlineStr">
        <is>
          <t>VÄSTERNORRLANDS LÄN</t>
        </is>
      </c>
      <c r="E2089" t="inlineStr">
        <is>
          <t>SOLLEFTEÅ</t>
        </is>
      </c>
      <c r="F2089" t="inlineStr">
        <is>
          <t>SCA</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58845-2025</t>
        </is>
      </c>
      <c r="B2090" s="1" t="n">
        <v>45987.3859375</v>
      </c>
      <c r="C2090" s="1" t="n">
        <v>45998</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27748-2025</t>
        </is>
      </c>
      <c r="B2091" s="1" t="n">
        <v>45815.67740740741</v>
      </c>
      <c r="C2091" s="1" t="n">
        <v>45998</v>
      </c>
      <c r="D2091" t="inlineStr">
        <is>
          <t>VÄSTERNORRLANDS LÄN</t>
        </is>
      </c>
      <c r="E2091" t="inlineStr">
        <is>
          <t>SOLLEFTEÅ</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27822-2025</t>
        </is>
      </c>
      <c r="B2092" s="1" t="n">
        <v>45817.34410879629</v>
      </c>
      <c r="C2092" s="1" t="n">
        <v>45998</v>
      </c>
      <c r="D2092" t="inlineStr">
        <is>
          <t>VÄSTERNORRLANDS LÄN</t>
        </is>
      </c>
      <c r="E2092" t="inlineStr">
        <is>
          <t>SOLLEFTEÅ</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59038-2025</t>
        </is>
      </c>
      <c r="B2093" s="1" t="n">
        <v>45988.36515046296</v>
      </c>
      <c r="C2093" s="1" t="n">
        <v>45998</v>
      </c>
      <c r="D2093" t="inlineStr">
        <is>
          <t>VÄSTERNORRLANDS LÄN</t>
        </is>
      </c>
      <c r="E2093" t="inlineStr">
        <is>
          <t>SOLLEFTEÅ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45843-2025</t>
        </is>
      </c>
      <c r="B2094" s="1" t="n">
        <v>45923.61541666667</v>
      </c>
      <c r="C2094" s="1" t="n">
        <v>45998</v>
      </c>
      <c r="D2094" t="inlineStr">
        <is>
          <t>VÄSTERNORRLANDS LÄN</t>
        </is>
      </c>
      <c r="E2094" t="inlineStr">
        <is>
          <t>SOLLEFTEÅ</t>
        </is>
      </c>
      <c r="F2094" t="inlineStr">
        <is>
          <t>SCA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28195-2025</t>
        </is>
      </c>
      <c r="B2095" s="1" t="n">
        <v>45818</v>
      </c>
      <c r="C2095" s="1" t="n">
        <v>45998</v>
      </c>
      <c r="D2095" t="inlineStr">
        <is>
          <t>VÄSTERNORRLANDS LÄN</t>
        </is>
      </c>
      <c r="E2095" t="inlineStr">
        <is>
          <t>SOLLEFTEÅ</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54471-2025</t>
        </is>
      </c>
      <c r="B2096" s="1" t="n">
        <v>45965.57357638889</v>
      </c>
      <c r="C2096" s="1" t="n">
        <v>45998</v>
      </c>
      <c r="D2096" t="inlineStr">
        <is>
          <t>VÄSTERNORRLANDS LÄN</t>
        </is>
      </c>
      <c r="E2096" t="inlineStr">
        <is>
          <t>SOLLEFTEÅ</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59260-2025</t>
        </is>
      </c>
      <c r="B2097" s="1" t="n">
        <v>45988.65762731482</v>
      </c>
      <c r="C2097" s="1" t="n">
        <v>45998</v>
      </c>
      <c r="D2097" t="inlineStr">
        <is>
          <t>VÄSTERNORRLANDS LÄN</t>
        </is>
      </c>
      <c r="E2097" t="inlineStr">
        <is>
          <t>SOLLEFTEÅ</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54816-2025</t>
        </is>
      </c>
      <c r="B2098" s="1" t="n">
        <v>45966.65668981482</v>
      </c>
      <c r="C2098" s="1" t="n">
        <v>45998</v>
      </c>
      <c r="D2098" t="inlineStr">
        <is>
          <t>VÄSTERNORRLANDS LÄN</t>
        </is>
      </c>
      <c r="E2098" t="inlineStr">
        <is>
          <t>SOLLEFTEÅ</t>
        </is>
      </c>
      <c r="F2098" t="inlineStr">
        <is>
          <t>SCA</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54397-2025</t>
        </is>
      </c>
      <c r="B2099" s="1" t="n">
        <v>45965.44869212963</v>
      </c>
      <c r="C2099" s="1" t="n">
        <v>45998</v>
      </c>
      <c r="D2099" t="inlineStr">
        <is>
          <t>VÄSTERNORRLANDS LÄN</t>
        </is>
      </c>
      <c r="E2099" t="inlineStr">
        <is>
          <t>SOLLEFTEÅ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50645-2025</t>
        </is>
      </c>
      <c r="B2100" s="1" t="n">
        <v>45945.65685185185</v>
      </c>
      <c r="C2100" s="1" t="n">
        <v>45998</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46037-2025</t>
        </is>
      </c>
      <c r="B2101" s="1" t="n">
        <v>45924.44836805556</v>
      </c>
      <c r="C2101" s="1" t="n">
        <v>45998</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28579-2025</t>
        </is>
      </c>
      <c r="B2102" s="1" t="n">
        <v>45819.57334490741</v>
      </c>
      <c r="C2102" s="1" t="n">
        <v>45998</v>
      </c>
      <c r="D2102" t="inlineStr">
        <is>
          <t>VÄSTERNORRLANDS LÄN</t>
        </is>
      </c>
      <c r="E2102" t="inlineStr">
        <is>
          <t>SOLLEFTEÅ</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28686-2025</t>
        </is>
      </c>
      <c r="B2103" s="1" t="n">
        <v>45819</v>
      </c>
      <c r="C2103" s="1" t="n">
        <v>45998</v>
      </c>
      <c r="D2103" t="inlineStr">
        <is>
          <t>VÄSTERNORRLANDS LÄN</t>
        </is>
      </c>
      <c r="E2103" t="inlineStr">
        <is>
          <t>SOLLEFTEÅ</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28743-2025</t>
        </is>
      </c>
      <c r="B2104" s="1" t="n">
        <v>45820.38586805556</v>
      </c>
      <c r="C2104" s="1" t="n">
        <v>45998</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28715-2025</t>
        </is>
      </c>
      <c r="B2105" s="1" t="n">
        <v>45820</v>
      </c>
      <c r="C2105" s="1" t="n">
        <v>45998</v>
      </c>
      <c r="D2105" t="inlineStr">
        <is>
          <t>VÄSTERNORRLANDS LÄN</t>
        </is>
      </c>
      <c r="E2105" t="inlineStr">
        <is>
          <t>SOLLEFTEÅ</t>
        </is>
      </c>
      <c r="F2105" t="inlineStr">
        <is>
          <t>SCA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28719-2025</t>
        </is>
      </c>
      <c r="B2106" s="1" t="n">
        <v>45820</v>
      </c>
      <c r="C2106" s="1" t="n">
        <v>45998</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28698-2025</t>
        </is>
      </c>
      <c r="B2107" s="1" t="n">
        <v>45819.925625</v>
      </c>
      <c r="C2107" s="1" t="n">
        <v>45998</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54619-2025</t>
        </is>
      </c>
      <c r="B2108" s="1" t="n">
        <v>45966.34471064815</v>
      </c>
      <c r="C2108" s="1" t="n">
        <v>45998</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54486-2025</t>
        </is>
      </c>
      <c r="B2109" s="1" t="n">
        <v>45965.59438657408</v>
      </c>
      <c r="C2109" s="1" t="n">
        <v>45998</v>
      </c>
      <c r="D2109" t="inlineStr">
        <is>
          <t>VÄSTERNORRLANDS LÄN</t>
        </is>
      </c>
      <c r="E2109" t="inlineStr">
        <is>
          <t>SOLLEFTEÅ</t>
        </is>
      </c>
      <c r="F2109" t="inlineStr">
        <is>
          <t>SCA</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54487-2025</t>
        </is>
      </c>
      <c r="B2110" s="1" t="n">
        <v>45965.59460648148</v>
      </c>
      <c r="C2110" s="1" t="n">
        <v>45998</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50860-2025</t>
        </is>
      </c>
      <c r="B2111" s="1" t="n">
        <v>45946.59475694445</v>
      </c>
      <c r="C2111" s="1" t="n">
        <v>45998</v>
      </c>
      <c r="D2111" t="inlineStr">
        <is>
          <t>VÄSTERNORRLANDS LÄN</t>
        </is>
      </c>
      <c r="E2111" t="inlineStr">
        <is>
          <t>SOLLEFTEÅ</t>
        </is>
      </c>
      <c r="F2111" t="inlineStr">
        <is>
          <t>SCA</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50555-2025</t>
        </is>
      </c>
      <c r="B2112" s="1" t="n">
        <v>45945.53164351852</v>
      </c>
      <c r="C2112" s="1" t="n">
        <v>45998</v>
      </c>
      <c r="D2112" t="inlineStr">
        <is>
          <t>VÄSTERNORRLANDS LÄN</t>
        </is>
      </c>
      <c r="E2112" t="inlineStr">
        <is>
          <t>SOLLEFTEÅ</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45977-2025</t>
        </is>
      </c>
      <c r="B2113" s="1" t="n">
        <v>45924.37170138889</v>
      </c>
      <c r="C2113" s="1" t="n">
        <v>45998</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45794-2025</t>
        </is>
      </c>
      <c r="B2114" s="1" t="n">
        <v>45923.57380787037</v>
      </c>
      <c r="C2114" s="1" t="n">
        <v>45998</v>
      </c>
      <c r="D2114" t="inlineStr">
        <is>
          <t>VÄSTERNORRLANDS LÄN</t>
        </is>
      </c>
      <c r="E2114" t="inlineStr">
        <is>
          <t>SOLLEFTEÅ</t>
        </is>
      </c>
      <c r="F2114" t="inlineStr">
        <is>
          <t>SCA</t>
        </is>
      </c>
      <c r="G2114" t="n">
        <v>34.9</v>
      </c>
      <c r="H2114" t="n">
        <v>0</v>
      </c>
      <c r="I2114" t="n">
        <v>0</v>
      </c>
      <c r="J2114" t="n">
        <v>0</v>
      </c>
      <c r="K2114" t="n">
        <v>0</v>
      </c>
      <c r="L2114" t="n">
        <v>0</v>
      </c>
      <c r="M2114" t="n">
        <v>0</v>
      </c>
      <c r="N2114" t="n">
        <v>0</v>
      </c>
      <c r="O2114" t="n">
        <v>0</v>
      </c>
      <c r="P2114" t="n">
        <v>0</v>
      </c>
      <c r="Q2114" t="n">
        <v>0</v>
      </c>
      <c r="R2114" s="2" t="inlineStr"/>
    </row>
    <row r="2115" ht="15" customHeight="1">
      <c r="A2115" t="inlineStr">
        <is>
          <t>A 28672-2025</t>
        </is>
      </c>
      <c r="B2115" s="1" t="n">
        <v>45819.6754050926</v>
      </c>
      <c r="C2115" s="1" t="n">
        <v>45998</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54472-2025</t>
        </is>
      </c>
      <c r="B2116" s="1" t="n">
        <v>45965.57381944444</v>
      </c>
      <c r="C2116" s="1" t="n">
        <v>45998</v>
      </c>
      <c r="D2116" t="inlineStr">
        <is>
          <t>VÄSTERNORRLANDS LÄN</t>
        </is>
      </c>
      <c r="E2116" t="inlineStr">
        <is>
          <t>SOLLEFTEÅ</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59181-2025</t>
        </is>
      </c>
      <c r="B2117" s="1" t="n">
        <v>45988.57390046296</v>
      </c>
      <c r="C2117" s="1" t="n">
        <v>45998</v>
      </c>
      <c r="D2117" t="inlineStr">
        <is>
          <t>VÄSTERNORRLANDS LÄN</t>
        </is>
      </c>
      <c r="E2117" t="inlineStr">
        <is>
          <t>SOLLEFTEÅ</t>
        </is>
      </c>
      <c r="F2117" t="inlineStr">
        <is>
          <t>SCA</t>
        </is>
      </c>
      <c r="G2117" t="n">
        <v>28.3</v>
      </c>
      <c r="H2117" t="n">
        <v>0</v>
      </c>
      <c r="I2117" t="n">
        <v>0</v>
      </c>
      <c r="J2117" t="n">
        <v>0</v>
      </c>
      <c r="K2117" t="n">
        <v>0</v>
      </c>
      <c r="L2117" t="n">
        <v>0</v>
      </c>
      <c r="M2117" t="n">
        <v>0</v>
      </c>
      <c r="N2117" t="n">
        <v>0</v>
      </c>
      <c r="O2117" t="n">
        <v>0</v>
      </c>
      <c r="P2117" t="n">
        <v>0</v>
      </c>
      <c r="Q2117" t="n">
        <v>0</v>
      </c>
      <c r="R2117" s="2" t="inlineStr"/>
    </row>
    <row r="2118" ht="15" customHeight="1">
      <c r="A2118" t="inlineStr">
        <is>
          <t>A 50911-2025</t>
        </is>
      </c>
      <c r="B2118" s="1" t="n">
        <v>45946.65690972222</v>
      </c>
      <c r="C2118" s="1" t="n">
        <v>45998</v>
      </c>
      <c r="D2118" t="inlineStr">
        <is>
          <t>VÄSTERNORRLANDS LÄN</t>
        </is>
      </c>
      <c r="E2118" t="inlineStr">
        <is>
          <t>SOLLEFTEÅ</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50505-2025</t>
        </is>
      </c>
      <c r="B2119" s="1" t="n">
        <v>45945.42863425926</v>
      </c>
      <c r="C2119" s="1" t="n">
        <v>45998</v>
      </c>
      <c r="D2119" t="inlineStr">
        <is>
          <t>VÄSTERNORRLANDS LÄN</t>
        </is>
      </c>
      <c r="E2119" t="inlineStr">
        <is>
          <t>SOLLEFTEÅ</t>
        </is>
      </c>
      <c r="F2119" t="inlineStr">
        <is>
          <t>SCA</t>
        </is>
      </c>
      <c r="G2119" t="n">
        <v>14.6</v>
      </c>
      <c r="H2119" t="n">
        <v>0</v>
      </c>
      <c r="I2119" t="n">
        <v>0</v>
      </c>
      <c r="J2119" t="n">
        <v>0</v>
      </c>
      <c r="K2119" t="n">
        <v>0</v>
      </c>
      <c r="L2119" t="n">
        <v>0</v>
      </c>
      <c r="M2119" t="n">
        <v>0</v>
      </c>
      <c r="N2119" t="n">
        <v>0</v>
      </c>
      <c r="O2119" t="n">
        <v>0</v>
      </c>
      <c r="P2119" t="n">
        <v>0</v>
      </c>
      <c r="Q2119" t="n">
        <v>0</v>
      </c>
      <c r="R2119" s="2" t="inlineStr"/>
    </row>
    <row r="2120" ht="15" customHeight="1">
      <c r="A2120" t="inlineStr">
        <is>
          <t>A 50522-2025</t>
        </is>
      </c>
      <c r="B2120" s="1" t="n">
        <v>45945</v>
      </c>
      <c r="C2120" s="1" t="n">
        <v>45998</v>
      </c>
      <c r="D2120" t="inlineStr">
        <is>
          <t>VÄSTERNORRLANDS LÄN</t>
        </is>
      </c>
      <c r="E2120" t="inlineStr">
        <is>
          <t>SOLLEFTEÅ</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29309-2025</t>
        </is>
      </c>
      <c r="B2121" s="1" t="n">
        <v>45824.46333333333</v>
      </c>
      <c r="C2121" s="1" t="n">
        <v>45998</v>
      </c>
      <c r="D2121" t="inlineStr">
        <is>
          <t>VÄSTERNORRLANDS LÄN</t>
        </is>
      </c>
      <c r="E2121" t="inlineStr">
        <is>
          <t>SOLLEFTEÅ</t>
        </is>
      </c>
      <c r="F2121" t="inlineStr">
        <is>
          <t>Holmen skog AB</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53382-2025</t>
        </is>
      </c>
      <c r="B2122" s="1" t="n">
        <v>45959</v>
      </c>
      <c r="C2122" s="1" t="n">
        <v>45998</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54802-2025</t>
        </is>
      </c>
      <c r="B2123" s="1" t="n">
        <v>45966</v>
      </c>
      <c r="C2123" s="1" t="n">
        <v>45998</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28995-2025</t>
        </is>
      </c>
      <c r="B2124" s="1" t="n">
        <v>45821.38596064815</v>
      </c>
      <c r="C2124" s="1" t="n">
        <v>45998</v>
      </c>
      <c r="D2124" t="inlineStr">
        <is>
          <t>VÄSTERNORRLANDS LÄN</t>
        </is>
      </c>
      <c r="E2124" t="inlineStr">
        <is>
          <t>SOLLEFTEÅ</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28998-2025</t>
        </is>
      </c>
      <c r="B2125" s="1" t="n">
        <v>45821.38626157407</v>
      </c>
      <c r="C2125" s="1" t="n">
        <v>45998</v>
      </c>
      <c r="D2125" t="inlineStr">
        <is>
          <t>VÄSTERNORRLANDS LÄN</t>
        </is>
      </c>
      <c r="E2125" t="inlineStr">
        <is>
          <t>SOLLEFTEÅ</t>
        </is>
      </c>
      <c r="F2125" t="inlineStr">
        <is>
          <t>SCA</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59645-2025</t>
        </is>
      </c>
      <c r="B2126" s="1" t="n">
        <v>45992.42796296296</v>
      </c>
      <c r="C2126" s="1" t="n">
        <v>45998</v>
      </c>
      <c r="D2126" t="inlineStr">
        <is>
          <t>VÄSTERNORRLANDS LÄN</t>
        </is>
      </c>
      <c r="E2126" t="inlineStr">
        <is>
          <t>SOLLEFTEÅ</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59648-2025</t>
        </is>
      </c>
      <c r="B2127" s="1" t="n">
        <v>45992.42827546296</v>
      </c>
      <c r="C2127" s="1" t="n">
        <v>45998</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29103-2025</t>
        </is>
      </c>
      <c r="B2128" s="1" t="n">
        <v>45821.57219907407</v>
      </c>
      <c r="C2128" s="1" t="n">
        <v>45998</v>
      </c>
      <c r="D2128" t="inlineStr">
        <is>
          <t>VÄSTERNORRLANDS LÄN</t>
        </is>
      </c>
      <c r="E2128" t="inlineStr">
        <is>
          <t>SOLLEFTEÅ</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29039-2025</t>
        </is>
      </c>
      <c r="B2129" s="1" t="n">
        <v>45821.44844907407</v>
      </c>
      <c r="C2129" s="1" t="n">
        <v>45998</v>
      </c>
      <c r="D2129" t="inlineStr">
        <is>
          <t>VÄSTERNORRLANDS LÄN</t>
        </is>
      </c>
      <c r="E2129" t="inlineStr">
        <is>
          <t>SOLLEFTEÅ</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51303-2025</t>
        </is>
      </c>
      <c r="B2130" s="1" t="n">
        <v>45950.36518518518</v>
      </c>
      <c r="C2130" s="1" t="n">
        <v>45998</v>
      </c>
      <c r="D2130" t="inlineStr">
        <is>
          <t>VÄSTERNORRLANDS LÄN</t>
        </is>
      </c>
      <c r="E2130" t="inlineStr">
        <is>
          <t>SOLLEFTEÅ</t>
        </is>
      </c>
      <c r="F2130" t="inlineStr">
        <is>
          <t>SCA</t>
        </is>
      </c>
      <c r="G2130" t="n">
        <v>29.2</v>
      </c>
      <c r="H2130" t="n">
        <v>0</v>
      </c>
      <c r="I2130" t="n">
        <v>0</v>
      </c>
      <c r="J2130" t="n">
        <v>0</v>
      </c>
      <c r="K2130" t="n">
        <v>0</v>
      </c>
      <c r="L2130" t="n">
        <v>0</v>
      </c>
      <c r="M2130" t="n">
        <v>0</v>
      </c>
      <c r="N2130" t="n">
        <v>0</v>
      </c>
      <c r="O2130" t="n">
        <v>0</v>
      </c>
      <c r="P2130" t="n">
        <v>0</v>
      </c>
      <c r="Q2130" t="n">
        <v>0</v>
      </c>
      <c r="R2130" s="2" t="inlineStr"/>
    </row>
    <row r="2131" ht="15" customHeight="1">
      <c r="A2131" t="inlineStr">
        <is>
          <t>A 51321-2025</t>
        </is>
      </c>
      <c r="B2131" s="1" t="n">
        <v>45950.38615740741</v>
      </c>
      <c r="C2131" s="1" t="n">
        <v>45998</v>
      </c>
      <c r="D2131" t="inlineStr">
        <is>
          <t>VÄSTERNORRLANDS LÄN</t>
        </is>
      </c>
      <c r="E2131" t="inlineStr">
        <is>
          <t>SOLLEFTEÅ</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59842-2025</t>
        </is>
      </c>
      <c r="B2132" s="1" t="n">
        <v>45992.67807870371</v>
      </c>
      <c r="C2132" s="1" t="n">
        <v>45998</v>
      </c>
      <c r="D2132" t="inlineStr">
        <is>
          <t>VÄSTERNORRLANDS LÄN</t>
        </is>
      </c>
      <c r="E2132" t="inlineStr">
        <is>
          <t>SOLLEFTEÅ</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59849-2025</t>
        </is>
      </c>
      <c r="B2133" s="1" t="n">
        <v>45992.70704861111</v>
      </c>
      <c r="C2133" s="1" t="n">
        <v>45998</v>
      </c>
      <c r="D2133" t="inlineStr">
        <is>
          <t>VÄSTERNORRLANDS LÄN</t>
        </is>
      </c>
      <c r="E2133" t="inlineStr">
        <is>
          <t>SOLLEFTEÅ</t>
        </is>
      </c>
      <c r="F2133" t="inlineStr">
        <is>
          <t>Holmen skog AB</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29435-2025</t>
        </is>
      </c>
      <c r="B2134" s="1" t="n">
        <v>45824.65762731482</v>
      </c>
      <c r="C2134" s="1" t="n">
        <v>45998</v>
      </c>
      <c r="D2134" t="inlineStr">
        <is>
          <t>VÄSTERNORRLANDS LÄN</t>
        </is>
      </c>
      <c r="E2134" t="inlineStr">
        <is>
          <t>SOLLEFTEÅ</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55116-2025</t>
        </is>
      </c>
      <c r="B2135" s="1" t="n">
        <v>45968.38623842593</v>
      </c>
      <c r="C2135" s="1" t="n">
        <v>45998</v>
      </c>
      <c r="D2135" t="inlineStr">
        <is>
          <t>VÄSTERNORRLANDS LÄN</t>
        </is>
      </c>
      <c r="E2135" t="inlineStr">
        <is>
          <t>SOLLEFTEÅ</t>
        </is>
      </c>
      <c r="F2135" t="inlineStr">
        <is>
          <t>SCA</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51372-2025</t>
        </is>
      </c>
      <c r="B2136" s="1" t="n">
        <v>45950.44846064815</v>
      </c>
      <c r="C2136" s="1" t="n">
        <v>45998</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29011-2025</t>
        </is>
      </c>
      <c r="B2137" s="1" t="n">
        <v>45821.40659722222</v>
      </c>
      <c r="C2137" s="1" t="n">
        <v>45998</v>
      </c>
      <c r="D2137" t="inlineStr">
        <is>
          <t>VÄSTERNORRLANDS LÄN</t>
        </is>
      </c>
      <c r="E2137" t="inlineStr">
        <is>
          <t>SOLLEFTEÅ</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55013-2025</t>
        </is>
      </c>
      <c r="B2138" s="1" t="n">
        <v>45967.61578703704</v>
      </c>
      <c r="C2138" s="1" t="n">
        <v>45998</v>
      </c>
      <c r="D2138" t="inlineStr">
        <is>
          <t>VÄSTERNORRLANDS LÄN</t>
        </is>
      </c>
      <c r="E2138" t="inlineStr">
        <is>
          <t>SOLLEFTEÅ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54932-2025</t>
        </is>
      </c>
      <c r="B2139" s="1" t="n">
        <v>45967.42759259259</v>
      </c>
      <c r="C2139" s="1" t="n">
        <v>45998</v>
      </c>
      <c r="D2139" t="inlineStr">
        <is>
          <t>VÄSTERNORRLANDS LÄN</t>
        </is>
      </c>
      <c r="E2139" t="inlineStr">
        <is>
          <t>SOLLEFTEÅ</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55136-2025</t>
        </is>
      </c>
      <c r="B2140" s="1" t="n">
        <v>45968.42752314815</v>
      </c>
      <c r="C2140" s="1" t="n">
        <v>45998</v>
      </c>
      <c r="D2140" t="inlineStr">
        <is>
          <t>VÄSTERNORRLANDS LÄN</t>
        </is>
      </c>
      <c r="E2140" t="inlineStr">
        <is>
          <t>SOLLEFTEÅ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54256-2025</t>
        </is>
      </c>
      <c r="B2141" s="1" t="n">
        <v>45964.65710648148</v>
      </c>
      <c r="C2141" s="1" t="n">
        <v>45998</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51102-2025</t>
        </is>
      </c>
      <c r="B2142" s="1" t="n">
        <v>45947.49001157407</v>
      </c>
      <c r="C2142" s="1" t="n">
        <v>45998</v>
      </c>
      <c r="D2142" t="inlineStr">
        <is>
          <t>VÄSTERNORRLANDS LÄN</t>
        </is>
      </c>
      <c r="E2142" t="inlineStr">
        <is>
          <t>SOLLEFTEÅ</t>
        </is>
      </c>
      <c r="F2142" t="inlineStr">
        <is>
          <t>SCA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54934-2025</t>
        </is>
      </c>
      <c r="B2143" s="1" t="n">
        <v>45967.42795138889</v>
      </c>
      <c r="C2143" s="1" t="n">
        <v>45998</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54950-2025</t>
        </is>
      </c>
      <c r="B2144" s="1" t="n">
        <v>45967.44888888889</v>
      </c>
      <c r="C2144" s="1" t="n">
        <v>45998</v>
      </c>
      <c r="D2144" t="inlineStr">
        <is>
          <t>VÄSTERNORRLANDS LÄN</t>
        </is>
      </c>
      <c r="E2144" t="inlineStr">
        <is>
          <t>SOLLEFTEÅ</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59402-2025</t>
        </is>
      </c>
      <c r="B2145" s="1" t="n">
        <v>45989</v>
      </c>
      <c r="C2145" s="1" t="n">
        <v>45998</v>
      </c>
      <c r="D2145" t="inlineStr">
        <is>
          <t>VÄSTERNORRLANDS LÄN</t>
        </is>
      </c>
      <c r="E2145" t="inlineStr">
        <is>
          <t>SOLLEFTEÅ</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59679-2025</t>
        </is>
      </c>
      <c r="B2146" s="1" t="n">
        <v>45992.46934027778</v>
      </c>
      <c r="C2146" s="1" t="n">
        <v>45998</v>
      </c>
      <c r="D2146" t="inlineStr">
        <is>
          <t>VÄSTERNORRLANDS LÄN</t>
        </is>
      </c>
      <c r="E2146" t="inlineStr">
        <is>
          <t>SOLLEFTEÅ</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28994-2025</t>
        </is>
      </c>
      <c r="B2147" s="1" t="n">
        <v>45821.38587962963</v>
      </c>
      <c r="C2147" s="1" t="n">
        <v>45998</v>
      </c>
      <c r="D2147" t="inlineStr">
        <is>
          <t>VÄSTERNORRLANDS LÄN</t>
        </is>
      </c>
      <c r="E2147" t="inlineStr">
        <is>
          <t>SOLLEFTEÅ</t>
        </is>
      </c>
      <c r="F2147" t="inlineStr">
        <is>
          <t>SCA</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29273-2025</t>
        </is>
      </c>
      <c r="B2148" s="1" t="n">
        <v>45824.41125</v>
      </c>
      <c r="C2148" s="1" t="n">
        <v>45998</v>
      </c>
      <c r="D2148" t="inlineStr">
        <is>
          <t>VÄSTERNORRLANDS LÄN</t>
        </is>
      </c>
      <c r="E2148" t="inlineStr">
        <is>
          <t>SOLLEFTEÅ</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51755-2025</t>
        </is>
      </c>
      <c r="B2149" s="1" t="n">
        <v>45950</v>
      </c>
      <c r="C2149" s="1" t="n">
        <v>45998</v>
      </c>
      <c r="D2149" t="inlineStr">
        <is>
          <t>VÄSTERNORRLANDS LÄN</t>
        </is>
      </c>
      <c r="E2149" t="inlineStr">
        <is>
          <t>SOLLEFTEÅ</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28993-2025</t>
        </is>
      </c>
      <c r="B2150" s="1" t="n">
        <v>45821.38574074074</v>
      </c>
      <c r="C2150" s="1" t="n">
        <v>45998</v>
      </c>
      <c r="D2150" t="inlineStr">
        <is>
          <t>VÄSTERNORRLANDS LÄN</t>
        </is>
      </c>
      <c r="E2150" t="inlineStr">
        <is>
          <t>SOLLEFTEÅ</t>
        </is>
      </c>
      <c r="F2150" t="inlineStr">
        <is>
          <t>SCA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29142-2025</t>
        </is>
      </c>
      <c r="B2151" s="1" t="n">
        <v>45821.61518518518</v>
      </c>
      <c r="C2151" s="1" t="n">
        <v>45998</v>
      </c>
      <c r="D2151" t="inlineStr">
        <is>
          <t>VÄSTERNORRLANDS LÄN</t>
        </is>
      </c>
      <c r="E2151" t="inlineStr">
        <is>
          <t>SOLLEFTEÅ</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51036-2025</t>
        </is>
      </c>
      <c r="B2152" s="1" t="n">
        <v>45947.40709490741</v>
      </c>
      <c r="C2152" s="1" t="n">
        <v>45998</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51451-2025</t>
        </is>
      </c>
      <c r="B2153" s="1" t="n">
        <v>45950.59311342592</v>
      </c>
      <c r="C2153" s="1" t="n">
        <v>45998</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55068-2025</t>
        </is>
      </c>
      <c r="B2154" s="1" t="n">
        <v>45967.7225462963</v>
      </c>
      <c r="C2154" s="1" t="n">
        <v>45998</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51223-2025</t>
        </is>
      </c>
      <c r="B2155" s="1" t="n">
        <v>45947.65533564815</v>
      </c>
      <c r="C2155" s="1" t="n">
        <v>45998</v>
      </c>
      <c r="D2155" t="inlineStr">
        <is>
          <t>VÄSTERNORRLANDS LÄN</t>
        </is>
      </c>
      <c r="E2155" t="inlineStr">
        <is>
          <t>SOLLEFTEÅ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55096-2025</t>
        </is>
      </c>
      <c r="B2156" s="1" t="n">
        <v>45968.34510416666</v>
      </c>
      <c r="C2156" s="1" t="n">
        <v>45998</v>
      </c>
      <c r="D2156" t="inlineStr">
        <is>
          <t>VÄSTERNORRLANDS LÄN</t>
        </is>
      </c>
      <c r="E2156" t="inlineStr">
        <is>
          <t>SOLLEFTEÅ</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41478-2022</t>
        </is>
      </c>
      <c r="B2157" s="1" t="n">
        <v>44826.94892361111</v>
      </c>
      <c r="C2157" s="1" t="n">
        <v>45998</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29445-2025</t>
        </is>
      </c>
      <c r="B2158" s="1" t="n">
        <v>45824.66322916667</v>
      </c>
      <c r="C2158" s="1" t="n">
        <v>45998</v>
      </c>
      <c r="D2158" t="inlineStr">
        <is>
          <t>VÄSTERNORRLANDS LÄN</t>
        </is>
      </c>
      <c r="E2158" t="inlineStr">
        <is>
          <t>SOLLEFTEÅ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51118-2025</t>
        </is>
      </c>
      <c r="B2159" s="1" t="n">
        <v>45947.53177083333</v>
      </c>
      <c r="C2159" s="1" t="n">
        <v>45998</v>
      </c>
      <c r="D2159" t="inlineStr">
        <is>
          <t>VÄSTERNORRLANDS LÄN</t>
        </is>
      </c>
      <c r="E2159" t="inlineStr">
        <is>
          <t>SOLLEFTEÅ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59635-2025</t>
        </is>
      </c>
      <c r="B2160" s="1" t="n">
        <v>45992.4065625</v>
      </c>
      <c r="C2160" s="1" t="n">
        <v>45998</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59866-2025</t>
        </is>
      </c>
      <c r="B2161" s="1" t="n">
        <v>45992.86497685185</v>
      </c>
      <c r="C2161" s="1" t="n">
        <v>45998</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29436-2025</t>
        </is>
      </c>
      <c r="B2162" s="1" t="n">
        <v>45824.65766203704</v>
      </c>
      <c r="C2162" s="1" t="n">
        <v>45998</v>
      </c>
      <c r="D2162" t="inlineStr">
        <is>
          <t>VÄSTERNORRLANDS LÄN</t>
        </is>
      </c>
      <c r="E2162" t="inlineStr">
        <is>
          <t>SOLLEFTEÅ</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59766-2025</t>
        </is>
      </c>
      <c r="B2163" s="1" t="n">
        <v>45992.59480324074</v>
      </c>
      <c r="C2163" s="1" t="n">
        <v>45998</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54935-2025</t>
        </is>
      </c>
      <c r="B2164" s="1" t="n">
        <v>45967.428125</v>
      </c>
      <c r="C2164" s="1" t="n">
        <v>45998</v>
      </c>
      <c r="D2164" t="inlineStr">
        <is>
          <t>VÄSTERNORRLANDS LÄN</t>
        </is>
      </c>
      <c r="E2164" t="inlineStr">
        <is>
          <t>SOLLEFTEÅ</t>
        </is>
      </c>
      <c r="F2164" t="inlineStr">
        <is>
          <t>Kyrkan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54946-2025</t>
        </is>
      </c>
      <c r="B2165" s="1" t="n">
        <v>45967.44832175926</v>
      </c>
      <c r="C2165" s="1" t="n">
        <v>45998</v>
      </c>
      <c r="D2165" t="inlineStr">
        <is>
          <t>VÄSTERNORRLANDS LÄN</t>
        </is>
      </c>
      <c r="E2165" t="inlineStr">
        <is>
          <t>SOLLEFTEÅ</t>
        </is>
      </c>
      <c r="F2165" t="inlineStr">
        <is>
          <t>Kyrkan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54165-2025</t>
        </is>
      </c>
      <c r="B2166" s="1" t="n">
        <v>45964</v>
      </c>
      <c r="C2166" s="1" t="n">
        <v>45998</v>
      </c>
      <c r="D2166" t="inlineStr">
        <is>
          <t>VÄSTERNORRLANDS LÄN</t>
        </is>
      </c>
      <c r="E2166" t="inlineStr">
        <is>
          <t>SOLLEFTEÅ</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29760-2025</t>
        </is>
      </c>
      <c r="B2167" s="1" t="n">
        <v>45825.61805555555</v>
      </c>
      <c r="C2167" s="1" t="n">
        <v>45998</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29769-2025</t>
        </is>
      </c>
      <c r="B2168" s="1" t="n">
        <v>45825.62796296296</v>
      </c>
      <c r="C2168" s="1" t="n">
        <v>45998</v>
      </c>
      <c r="D2168" t="inlineStr">
        <is>
          <t>VÄSTERNORRLANDS LÄN</t>
        </is>
      </c>
      <c r="E2168" t="inlineStr">
        <is>
          <t>SOLLEFTEÅ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29762-2025</t>
        </is>
      </c>
      <c r="B2169" s="1" t="n">
        <v>45825.61826388889</v>
      </c>
      <c r="C2169" s="1" t="n">
        <v>45998</v>
      </c>
      <c r="D2169" t="inlineStr">
        <is>
          <t>VÄSTERNORRLANDS LÄN</t>
        </is>
      </c>
      <c r="E2169" t="inlineStr">
        <is>
          <t>SOLLEFTEÅ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30073-2025</t>
        </is>
      </c>
      <c r="B2170" s="1" t="n">
        <v>45826.63643518519</v>
      </c>
      <c r="C2170" s="1" t="n">
        <v>45998</v>
      </c>
      <c r="D2170" t="inlineStr">
        <is>
          <t>VÄSTERNORRLANDS LÄN</t>
        </is>
      </c>
      <c r="E2170" t="inlineStr">
        <is>
          <t>SOLLEFTEÅ</t>
        </is>
      </c>
      <c r="F2170" t="inlineStr">
        <is>
          <t>SCA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59592-2025</t>
        </is>
      </c>
      <c r="B2171" s="1" t="n">
        <v>45992.34443287037</v>
      </c>
      <c r="C2171" s="1" t="n">
        <v>45998</v>
      </c>
      <c r="D2171" t="inlineStr">
        <is>
          <t>VÄSTERNORRLANDS LÄN</t>
        </is>
      </c>
      <c r="E2171" t="inlineStr">
        <is>
          <t>SOLLEFTEÅ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30018-2025</t>
        </is>
      </c>
      <c r="B2172" s="1" t="n">
        <v>45826.55332175926</v>
      </c>
      <c r="C2172" s="1" t="n">
        <v>45998</v>
      </c>
      <c r="D2172" t="inlineStr">
        <is>
          <t>VÄSTERNORRLANDS LÄN</t>
        </is>
      </c>
      <c r="E2172" t="inlineStr">
        <is>
          <t>SOLLEFTEÅ</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30020-2025</t>
        </is>
      </c>
      <c r="B2173" s="1" t="n">
        <v>45826.55337962963</v>
      </c>
      <c r="C2173" s="1" t="n">
        <v>45998</v>
      </c>
      <c r="D2173" t="inlineStr">
        <is>
          <t>VÄSTERNORRLANDS LÄN</t>
        </is>
      </c>
      <c r="E2173" t="inlineStr">
        <is>
          <t>SOLLEFTEÅ</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51087-2025</t>
        </is>
      </c>
      <c r="B2174" s="1" t="n">
        <v>45947.46954861111</v>
      </c>
      <c r="C2174" s="1" t="n">
        <v>45998</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51088-2025</t>
        </is>
      </c>
      <c r="B2175" s="1" t="n">
        <v>45947.46975694445</v>
      </c>
      <c r="C2175" s="1" t="n">
        <v>45998</v>
      </c>
      <c r="D2175" t="inlineStr">
        <is>
          <t>VÄSTERNORRLANDS LÄN</t>
        </is>
      </c>
      <c r="E2175" t="inlineStr">
        <is>
          <t>SOLLEFTEÅ</t>
        </is>
      </c>
      <c r="F2175" t="inlineStr">
        <is>
          <t>SCA</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54903-2025</t>
        </is>
      </c>
      <c r="B2176" s="1" t="n">
        <v>45967.36623842592</v>
      </c>
      <c r="C2176" s="1" t="n">
        <v>45998</v>
      </c>
      <c r="D2176" t="inlineStr">
        <is>
          <t>VÄSTERNORRLANDS LÄN</t>
        </is>
      </c>
      <c r="E2176" t="inlineStr">
        <is>
          <t>SOLLEFTEÅ</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54951-2025</t>
        </is>
      </c>
      <c r="B2177" s="1" t="n">
        <v>45967.44902777778</v>
      </c>
      <c r="C2177" s="1" t="n">
        <v>45998</v>
      </c>
      <c r="D2177" t="inlineStr">
        <is>
          <t>VÄSTERNORRLANDS LÄN</t>
        </is>
      </c>
      <c r="E2177" t="inlineStr">
        <is>
          <t>SOLLEFTEÅ</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59789-2025</t>
        </is>
      </c>
      <c r="B2178" s="1" t="n">
        <v>45992.61519675926</v>
      </c>
      <c r="C2178" s="1" t="n">
        <v>45998</v>
      </c>
      <c r="D2178" t="inlineStr">
        <is>
          <t>VÄSTERNORRLANDS LÄN</t>
        </is>
      </c>
      <c r="E2178" t="inlineStr">
        <is>
          <t>SOLLEFTEÅ</t>
        </is>
      </c>
      <c r="F2178" t="inlineStr">
        <is>
          <t>SCA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51521-2025</t>
        </is>
      </c>
      <c r="B2179" s="1" t="n">
        <v>45950.65715277778</v>
      </c>
      <c r="C2179" s="1" t="n">
        <v>45998</v>
      </c>
      <c r="D2179" t="inlineStr">
        <is>
          <t>VÄSTERNORRLANDS LÄN</t>
        </is>
      </c>
      <c r="E2179" t="inlineStr">
        <is>
          <t>SOLLEFTEÅ</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51226-2025</t>
        </is>
      </c>
      <c r="B2180" s="1" t="n">
        <v>45947.65663194445</v>
      </c>
      <c r="C2180" s="1" t="n">
        <v>45998</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29562-2025</t>
        </is>
      </c>
      <c r="B2181" s="1" t="n">
        <v>45825</v>
      </c>
      <c r="C2181" s="1" t="n">
        <v>45998</v>
      </c>
      <c r="D2181" t="inlineStr">
        <is>
          <t>VÄSTERNORRLANDS LÄN</t>
        </is>
      </c>
      <c r="E2181" t="inlineStr">
        <is>
          <t>SOLLEFTEÅ</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29535-2025</t>
        </is>
      </c>
      <c r="B2182" s="1" t="n">
        <v>45825.34486111111</v>
      </c>
      <c r="C2182" s="1" t="n">
        <v>45998</v>
      </c>
      <c r="D2182" t="inlineStr">
        <is>
          <t>VÄSTERNORRLANDS LÄN</t>
        </is>
      </c>
      <c r="E2182" t="inlineStr">
        <is>
          <t>SOLLEFTEÅ</t>
        </is>
      </c>
      <c r="F2182" t="inlineStr">
        <is>
          <t>SCA</t>
        </is>
      </c>
      <c r="G2182" t="n">
        <v>20.6</v>
      </c>
      <c r="H2182" t="n">
        <v>0</v>
      </c>
      <c r="I2182" t="n">
        <v>0</v>
      </c>
      <c r="J2182" t="n">
        <v>0</v>
      </c>
      <c r="K2182" t="n">
        <v>0</v>
      </c>
      <c r="L2182" t="n">
        <v>0</v>
      </c>
      <c r="M2182" t="n">
        <v>0</v>
      </c>
      <c r="N2182" t="n">
        <v>0</v>
      </c>
      <c r="O2182" t="n">
        <v>0</v>
      </c>
      <c r="P2182" t="n">
        <v>0</v>
      </c>
      <c r="Q2182" t="n">
        <v>0</v>
      </c>
      <c r="R2182" s="2" t="inlineStr"/>
    </row>
    <row r="2183" ht="15" customHeight="1">
      <c r="A2183" t="inlineStr">
        <is>
          <t>A 29759-2025</t>
        </is>
      </c>
      <c r="B2183" s="1" t="n">
        <v>45825</v>
      </c>
      <c r="C2183" s="1" t="n">
        <v>45998</v>
      </c>
      <c r="D2183" t="inlineStr">
        <is>
          <t>VÄSTERNORRLANDS LÄN</t>
        </is>
      </c>
      <c r="E2183" t="inlineStr">
        <is>
          <t>SOLLEFTEÅ</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55014-2025</t>
        </is>
      </c>
      <c r="B2184" s="1" t="n">
        <v>45967.61597222222</v>
      </c>
      <c r="C2184" s="1" t="n">
        <v>45998</v>
      </c>
      <c r="D2184" t="inlineStr">
        <is>
          <t>VÄSTERNORRLANDS LÄN</t>
        </is>
      </c>
      <c r="E2184" t="inlineStr">
        <is>
          <t>SOLLEFTEÅ</t>
        </is>
      </c>
      <c r="G2184" t="n">
        <v>12.5</v>
      </c>
      <c r="H2184" t="n">
        <v>0</v>
      </c>
      <c r="I2184" t="n">
        <v>0</v>
      </c>
      <c r="J2184" t="n">
        <v>0</v>
      </c>
      <c r="K2184" t="n">
        <v>0</v>
      </c>
      <c r="L2184" t="n">
        <v>0</v>
      </c>
      <c r="M2184" t="n">
        <v>0</v>
      </c>
      <c r="N2184" t="n">
        <v>0</v>
      </c>
      <c r="O2184" t="n">
        <v>0</v>
      </c>
      <c r="P2184" t="n">
        <v>0</v>
      </c>
      <c r="Q2184" t="n">
        <v>0</v>
      </c>
      <c r="R2184" s="2" t="inlineStr"/>
    </row>
    <row r="2185" ht="15" customHeight="1">
      <c r="A2185" t="inlineStr">
        <is>
          <t>A 59408-2025</t>
        </is>
      </c>
      <c r="B2185" s="1" t="n">
        <v>45989.49541666666</v>
      </c>
      <c r="C2185" s="1" t="n">
        <v>45998</v>
      </c>
      <c r="D2185" t="inlineStr">
        <is>
          <t>VÄSTERNORRLANDS LÄN</t>
        </is>
      </c>
      <c r="E2185" t="inlineStr">
        <is>
          <t>SOLLEFTEÅ</t>
        </is>
      </c>
      <c r="F2185" t="inlineStr">
        <is>
          <t>Holmen skog AB</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59436-2025</t>
        </is>
      </c>
      <c r="B2186" s="1" t="n">
        <v>45989.55641203704</v>
      </c>
      <c r="C2186" s="1" t="n">
        <v>45998</v>
      </c>
      <c r="D2186" t="inlineStr">
        <is>
          <t>VÄSTERNORRLANDS LÄN</t>
        </is>
      </c>
      <c r="E2186" t="inlineStr">
        <is>
          <t>SOLLEFTEÅ</t>
        </is>
      </c>
      <c r="F2186" t="inlineStr">
        <is>
          <t>Holmen skog AB</t>
        </is>
      </c>
      <c r="G2186" t="n">
        <v>20</v>
      </c>
      <c r="H2186" t="n">
        <v>0</v>
      </c>
      <c r="I2186" t="n">
        <v>0</v>
      </c>
      <c r="J2186" t="n">
        <v>0</v>
      </c>
      <c r="K2186" t="n">
        <v>0</v>
      </c>
      <c r="L2186" t="n">
        <v>0</v>
      </c>
      <c r="M2186" t="n">
        <v>0</v>
      </c>
      <c r="N2186" t="n">
        <v>0</v>
      </c>
      <c r="O2186" t="n">
        <v>0</v>
      </c>
      <c r="P2186" t="n">
        <v>0</v>
      </c>
      <c r="Q2186" t="n">
        <v>0</v>
      </c>
      <c r="R2186" s="2" t="inlineStr"/>
    </row>
    <row r="2187" ht="15" customHeight="1">
      <c r="A2187" t="inlineStr">
        <is>
          <t>A 46750-2025</t>
        </is>
      </c>
      <c r="B2187" s="1" t="n">
        <v>45926.61511574074</v>
      </c>
      <c r="C2187" s="1" t="n">
        <v>45998</v>
      </c>
      <c r="D2187" t="inlineStr">
        <is>
          <t>VÄSTERNORRLANDS LÄN</t>
        </is>
      </c>
      <c r="E2187" t="inlineStr">
        <is>
          <t>SOLLEFTEÅ</t>
        </is>
      </c>
      <c r="F2187" t="inlineStr">
        <is>
          <t>SCA</t>
        </is>
      </c>
      <c r="G2187" t="n">
        <v>59.9</v>
      </c>
      <c r="H2187" t="n">
        <v>0</v>
      </c>
      <c r="I2187" t="n">
        <v>0</v>
      </c>
      <c r="J2187" t="n">
        <v>0</v>
      </c>
      <c r="K2187" t="n">
        <v>0</v>
      </c>
      <c r="L2187" t="n">
        <v>0</v>
      </c>
      <c r="M2187" t="n">
        <v>0</v>
      </c>
      <c r="N2187" t="n">
        <v>0</v>
      </c>
      <c r="O2187" t="n">
        <v>0</v>
      </c>
      <c r="P2187" t="n">
        <v>0</v>
      </c>
      <c r="Q2187" t="n">
        <v>0</v>
      </c>
      <c r="R2187" s="2" t="inlineStr"/>
    </row>
    <row r="2188" ht="15" customHeight="1">
      <c r="A2188" t="inlineStr">
        <is>
          <t>A 55137-2025</t>
        </is>
      </c>
      <c r="B2188" s="1" t="n">
        <v>45968.42770833334</v>
      </c>
      <c r="C2188" s="1" t="n">
        <v>45998</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55053-2025</t>
        </is>
      </c>
      <c r="B2189" s="1" t="n">
        <v>45967.67755787037</v>
      </c>
      <c r="C2189" s="1" t="n">
        <v>45998</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40280-2025</t>
        </is>
      </c>
      <c r="B2190" s="1" t="n">
        <v>45895</v>
      </c>
      <c r="C2190" s="1" t="n">
        <v>45998</v>
      </c>
      <c r="D2190" t="inlineStr">
        <is>
          <t>VÄSTERNORRLANDS LÄN</t>
        </is>
      </c>
      <c r="E2190" t="inlineStr">
        <is>
          <t>SOLLEFTEÅ</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29884-2025</t>
        </is>
      </c>
      <c r="B2191" s="1" t="n">
        <v>45826.36582175926</v>
      </c>
      <c r="C2191" s="1" t="n">
        <v>45998</v>
      </c>
      <c r="D2191" t="inlineStr">
        <is>
          <t>VÄSTERNORRLANDS LÄN</t>
        </is>
      </c>
      <c r="E2191" t="inlineStr">
        <is>
          <t>SOLLEFTEÅ</t>
        </is>
      </c>
      <c r="F2191" t="inlineStr">
        <is>
          <t>SCA</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29793-2025</t>
        </is>
      </c>
      <c r="B2192" s="1" t="n">
        <v>45825</v>
      </c>
      <c r="C2192" s="1" t="n">
        <v>45998</v>
      </c>
      <c r="D2192" t="inlineStr">
        <is>
          <t>VÄSTERNORRLANDS LÄN</t>
        </is>
      </c>
      <c r="E2192" t="inlineStr">
        <is>
          <t>SOLLEFTEÅ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26014-2025</t>
        </is>
      </c>
      <c r="B2193" s="1" t="n">
        <v>45804.67773148148</v>
      </c>
      <c r="C2193" s="1" t="n">
        <v>45998</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29883-2025</t>
        </is>
      </c>
      <c r="B2194" s="1" t="n">
        <v>45826.36568287037</v>
      </c>
      <c r="C2194" s="1" t="n">
        <v>45998</v>
      </c>
      <c r="D2194" t="inlineStr">
        <is>
          <t>VÄSTERNORRLANDS LÄN</t>
        </is>
      </c>
      <c r="E2194" t="inlineStr">
        <is>
          <t>SOLLEFTEÅ</t>
        </is>
      </c>
      <c r="F2194" t="inlineStr">
        <is>
          <t>SCA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46784-2025</t>
        </is>
      </c>
      <c r="B2195" s="1" t="n">
        <v>45926</v>
      </c>
      <c r="C2195" s="1" t="n">
        <v>45998</v>
      </c>
      <c r="D2195" t="inlineStr">
        <is>
          <t>VÄSTERNORRLANDS LÄN</t>
        </is>
      </c>
      <c r="E2195" t="inlineStr">
        <is>
          <t>SOLLEFTEÅ</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55115-2025</t>
        </is>
      </c>
      <c r="B2196" s="1" t="n">
        <v>45968</v>
      </c>
      <c r="C2196" s="1" t="n">
        <v>45998</v>
      </c>
      <c r="D2196" t="inlineStr">
        <is>
          <t>VÄSTERNORRLANDS LÄN</t>
        </is>
      </c>
      <c r="E2196" t="inlineStr">
        <is>
          <t>SOLLEFTEÅ</t>
        </is>
      </c>
      <c r="F2196" t="inlineStr">
        <is>
          <t>SCA</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59680-2025</t>
        </is>
      </c>
      <c r="B2197" s="1" t="n">
        <v>45992.46940972222</v>
      </c>
      <c r="C2197" s="1" t="n">
        <v>45998</v>
      </c>
      <c r="D2197" t="inlineStr">
        <is>
          <t>VÄSTERNORRLANDS LÄN</t>
        </is>
      </c>
      <c r="E2197" t="inlineStr">
        <is>
          <t>SOLLEFTEÅ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30311-2025</t>
        </is>
      </c>
      <c r="B2198" s="1" t="n">
        <v>45827.49015046296</v>
      </c>
      <c r="C2198" s="1" t="n">
        <v>45998</v>
      </c>
      <c r="D2198" t="inlineStr">
        <is>
          <t>VÄSTERNORRLANDS LÄN</t>
        </is>
      </c>
      <c r="E2198" t="inlineStr">
        <is>
          <t>SOLLEFTEÅ</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51261-2025</t>
        </is>
      </c>
      <c r="B2199" s="1" t="n">
        <v>45949.46915509259</v>
      </c>
      <c r="C2199" s="1" t="n">
        <v>45998</v>
      </c>
      <c r="D2199" t="inlineStr">
        <is>
          <t>VÄSTERNORRLANDS LÄN</t>
        </is>
      </c>
      <c r="E2199" t="inlineStr">
        <is>
          <t>SOLLEFTEÅ</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30369-2025</t>
        </is>
      </c>
      <c r="B2200" s="1" t="n">
        <v>45827.55729166666</v>
      </c>
      <c r="C2200" s="1" t="n">
        <v>45998</v>
      </c>
      <c r="D2200" t="inlineStr">
        <is>
          <t>VÄSTERNORRLANDS LÄN</t>
        </is>
      </c>
      <c r="E2200" t="inlineStr">
        <is>
          <t>SOLLEFTEÅ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30389-2025</t>
        </is>
      </c>
      <c r="B2201" s="1" t="n">
        <v>45827.57356481482</v>
      </c>
      <c r="C2201" s="1" t="n">
        <v>45998</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51259-2025</t>
        </is>
      </c>
      <c r="B2202" s="1" t="n">
        <v>45949.44818287037</v>
      </c>
      <c r="C2202" s="1" t="n">
        <v>45998</v>
      </c>
      <c r="D2202" t="inlineStr">
        <is>
          <t>VÄSTERNORRLANDS LÄN</t>
        </is>
      </c>
      <c r="E2202" t="inlineStr">
        <is>
          <t>SOLLEFTEÅ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59764-2025</t>
        </is>
      </c>
      <c r="B2203" s="1" t="n">
        <v>45992.59456018519</v>
      </c>
      <c r="C2203" s="1" t="n">
        <v>45998</v>
      </c>
      <c r="D2203" t="inlineStr">
        <is>
          <t>VÄSTERNORRLANDS LÄN</t>
        </is>
      </c>
      <c r="E2203" t="inlineStr">
        <is>
          <t>SOLLEFTEÅ</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59765-2025</t>
        </is>
      </c>
      <c r="B2204" s="1" t="n">
        <v>45992.59473379629</v>
      </c>
      <c r="C2204" s="1" t="n">
        <v>45998</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59541-2025</t>
        </is>
      </c>
      <c r="B2205" s="1" t="n">
        <v>45990.34443287037</v>
      </c>
      <c r="C2205" s="1" t="n">
        <v>45998</v>
      </c>
      <c r="D2205" t="inlineStr">
        <is>
          <t>VÄSTERNORRLANDS LÄN</t>
        </is>
      </c>
      <c r="E2205" t="inlineStr">
        <is>
          <t>SOLLEFTEÅ</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54936-2025</t>
        </is>
      </c>
      <c r="B2206" s="1" t="n">
        <v>45967.42828703704</v>
      </c>
      <c r="C2206" s="1" t="n">
        <v>45998</v>
      </c>
      <c r="D2206" t="inlineStr">
        <is>
          <t>VÄSTERNORRLANDS LÄN</t>
        </is>
      </c>
      <c r="E2206" t="inlineStr">
        <is>
          <t>SOLLEFTEÅ</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54947-2025</t>
        </is>
      </c>
      <c r="B2207" s="1" t="n">
        <v>45967.4485300926</v>
      </c>
      <c r="C2207" s="1" t="n">
        <v>45998</v>
      </c>
      <c r="D2207" t="inlineStr">
        <is>
          <t>VÄSTERNORRLANDS LÄN</t>
        </is>
      </c>
      <c r="E2207" t="inlineStr">
        <is>
          <t>SOLLEFTEÅ</t>
        </is>
      </c>
      <c r="F2207" t="inlineStr">
        <is>
          <t>SCA</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59865-2025</t>
        </is>
      </c>
      <c r="B2208" s="1" t="n">
        <v>45992.86313657407</v>
      </c>
      <c r="C2208" s="1" t="n">
        <v>45998</v>
      </c>
      <c r="D2208" t="inlineStr">
        <is>
          <t>VÄSTERNORRLANDS LÄN</t>
        </is>
      </c>
      <c r="E2208" t="inlineStr">
        <is>
          <t>SOLLEFTEÅ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54956-2025</t>
        </is>
      </c>
      <c r="B2209" s="1" t="n">
        <v>45967.46923611111</v>
      </c>
      <c r="C2209" s="1" t="n">
        <v>45998</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55094-2025</t>
        </is>
      </c>
      <c r="B2210" s="1" t="n">
        <v>45968.34483796296</v>
      </c>
      <c r="C2210" s="1" t="n">
        <v>45998</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30279-2025</t>
        </is>
      </c>
      <c r="B2211" s="1" t="n">
        <v>45827</v>
      </c>
      <c r="C2211" s="1" t="n">
        <v>45998</v>
      </c>
      <c r="D2211" t="inlineStr">
        <is>
          <t>VÄSTERNORRLANDS LÄN</t>
        </is>
      </c>
      <c r="E2211" t="inlineStr">
        <is>
          <t>SOLLEFTEÅ</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30401-2025</t>
        </is>
      </c>
      <c r="B2212" s="1" t="n">
        <v>45827.59135416667</v>
      </c>
      <c r="C2212" s="1" t="n">
        <v>45998</v>
      </c>
      <c r="D2212" t="inlineStr">
        <is>
          <t>VÄSTERNORRLANDS LÄN</t>
        </is>
      </c>
      <c r="E2212" t="inlineStr">
        <is>
          <t>SOLLEFTEÅ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30478-2025</t>
        </is>
      </c>
      <c r="B2213" s="1" t="n">
        <v>45828.45866898148</v>
      </c>
      <c r="C2213" s="1" t="n">
        <v>45998</v>
      </c>
      <c r="D2213" t="inlineStr">
        <is>
          <t>VÄSTERNORRLANDS LÄN</t>
        </is>
      </c>
      <c r="E2213" t="inlineStr">
        <is>
          <t>SOLLEFTEÅ</t>
        </is>
      </c>
      <c r="G2213" t="n">
        <v>1.5</v>
      </c>
      <c r="H2213" t="n">
        <v>0</v>
      </c>
      <c r="I2213" t="n">
        <v>0</v>
      </c>
      <c r="J2213" t="n">
        <v>0</v>
      </c>
      <c r="K2213" t="n">
        <v>0</v>
      </c>
      <c r="L2213" t="n">
        <v>0</v>
      </c>
      <c r="M2213" t="n">
        <v>0</v>
      </c>
      <c r="N2213" t="n">
        <v>0</v>
      </c>
      <c r="O2213" t="n">
        <v>0</v>
      </c>
      <c r="P2213" t="n">
        <v>0</v>
      </c>
      <c r="Q2213" t="n">
        <v>0</v>
      </c>
      <c r="R2213" s="2" t="inlineStr"/>
      <c r="U2213">
        <f>HYPERLINK("https://klasma.github.io/Logging_2283/knärot/A 30478-2025 karta knärot.png", "A 30478-2025")</f>
        <v/>
      </c>
      <c r="V2213">
        <f>HYPERLINK("https://klasma.github.io/Logging_2283/klagomål/A 30478-2025 FSC-klagomål.docx", "A 30478-2025")</f>
        <v/>
      </c>
      <c r="W2213">
        <f>HYPERLINK("https://klasma.github.io/Logging_2283/klagomålsmail/A 30478-2025 FSC-klagomål mail.docx", "A 30478-2025")</f>
        <v/>
      </c>
      <c r="X2213">
        <f>HYPERLINK("https://klasma.github.io/Logging_2283/tillsyn/A 30478-2025 tillsynsbegäran.docx", "A 30478-2025")</f>
        <v/>
      </c>
      <c r="Y2213">
        <f>HYPERLINK("https://klasma.github.io/Logging_2283/tillsynsmail/A 30478-2025 tillsynsbegäran mail.docx", "A 30478-2025")</f>
        <v/>
      </c>
    </row>
    <row r="2214" ht="15" customHeight="1">
      <c r="A2214" t="inlineStr">
        <is>
          <t>A 59758-2025</t>
        </is>
      </c>
      <c r="B2214" s="1" t="n">
        <v>45992.59136574074</v>
      </c>
      <c r="C2214" s="1" t="n">
        <v>45998</v>
      </c>
      <c r="D2214" t="inlineStr">
        <is>
          <t>VÄSTERNORRLANDS LÄN</t>
        </is>
      </c>
      <c r="E2214" t="inlineStr">
        <is>
          <t>SOLLEFTEÅ</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59767-2025</t>
        </is>
      </c>
      <c r="B2215" s="1" t="n">
        <v>45992.59505787037</v>
      </c>
      <c r="C2215" s="1" t="n">
        <v>45998</v>
      </c>
      <c r="D2215" t="inlineStr">
        <is>
          <t>VÄSTERNORRLANDS LÄN</t>
        </is>
      </c>
      <c r="E2215" t="inlineStr">
        <is>
          <t>SOLLEFTEÅ</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51527-2025</t>
        </is>
      </c>
      <c r="B2216" s="1" t="n">
        <v>45950.67748842593</v>
      </c>
      <c r="C2216" s="1" t="n">
        <v>45998</v>
      </c>
      <c r="D2216" t="inlineStr">
        <is>
          <t>VÄSTERNORRLANDS LÄN</t>
        </is>
      </c>
      <c r="E2216" t="inlineStr">
        <is>
          <t>SOLLEFTEÅ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51529-2025</t>
        </is>
      </c>
      <c r="B2217" s="1" t="n">
        <v>45950.67769675926</v>
      </c>
      <c r="C2217" s="1" t="n">
        <v>45998</v>
      </c>
      <c r="D2217" t="inlineStr">
        <is>
          <t>VÄSTERNORRLANDS LÄN</t>
        </is>
      </c>
      <c r="E2217" t="inlineStr">
        <is>
          <t>SOLLEFTEÅ</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51918-2025</t>
        </is>
      </c>
      <c r="B2218" s="1" t="n">
        <v>45952.48068287037</v>
      </c>
      <c r="C2218" s="1" t="n">
        <v>45998</v>
      </c>
      <c r="D2218" t="inlineStr">
        <is>
          <t>VÄSTERNORRLANDS LÄN</t>
        </is>
      </c>
      <c r="E2218" t="inlineStr">
        <is>
          <t>SOLLEFTEÅ</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51770-2025</t>
        </is>
      </c>
      <c r="B2219" s="1" t="n">
        <v>45951.64315972223</v>
      </c>
      <c r="C2219" s="1" t="n">
        <v>45998</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51617-2025</t>
        </is>
      </c>
      <c r="B2220" s="1" t="n">
        <v>45951.40674768519</v>
      </c>
      <c r="C2220" s="1" t="n">
        <v>45998</v>
      </c>
      <c r="D2220" t="inlineStr">
        <is>
          <t>VÄSTERNORRLANDS LÄN</t>
        </is>
      </c>
      <c r="E2220" t="inlineStr">
        <is>
          <t>SOLLEFTEÅ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52078-2025</t>
        </is>
      </c>
      <c r="B2221" s="1" t="n">
        <v>45952.65828703704</v>
      </c>
      <c r="C2221" s="1" t="n">
        <v>45998</v>
      </c>
      <c r="D2221" t="inlineStr">
        <is>
          <t>VÄSTERNORRLANDS LÄN</t>
        </is>
      </c>
      <c r="E2221" t="inlineStr">
        <is>
          <t>SOLLEFTEÅ</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51711-2025</t>
        </is>
      </c>
      <c r="B2222" s="1" t="n">
        <v>45951.57133101852</v>
      </c>
      <c r="C2222" s="1" t="n">
        <v>45998</v>
      </c>
      <c r="D2222" t="inlineStr">
        <is>
          <t>VÄSTERNORRLANDS LÄN</t>
        </is>
      </c>
      <c r="E2222" t="inlineStr">
        <is>
          <t>SOLLEFTEÅ</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30834-2025</t>
        </is>
      </c>
      <c r="B2223" s="1" t="n">
        <v>45831.6984837963</v>
      </c>
      <c r="C2223" s="1" t="n">
        <v>45998</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51792-2025</t>
        </is>
      </c>
      <c r="B2224" s="1" t="n">
        <v>45951.6984837963</v>
      </c>
      <c r="C2224" s="1" t="n">
        <v>45998</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30733-2025</t>
        </is>
      </c>
      <c r="B2225" s="1" t="n">
        <v>45831.57340277778</v>
      </c>
      <c r="C2225" s="1" t="n">
        <v>45998</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30734-2025</t>
        </is>
      </c>
      <c r="B2226" s="1" t="n">
        <v>45831.5734375</v>
      </c>
      <c r="C2226" s="1" t="n">
        <v>45998</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58973-2025</t>
        </is>
      </c>
      <c r="B2227" s="1" t="n">
        <v>45987</v>
      </c>
      <c r="C2227" s="1" t="n">
        <v>45998</v>
      </c>
      <c r="D2227" t="inlineStr">
        <is>
          <t>VÄSTERNORRLANDS LÄN</t>
        </is>
      </c>
      <c r="E2227" t="inlineStr">
        <is>
          <t>SOLLEFTEÅ</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58999-2025</t>
        </is>
      </c>
      <c r="B2228" s="1" t="n">
        <v>45987</v>
      </c>
      <c r="C2228" s="1" t="n">
        <v>45998</v>
      </c>
      <c r="D2228" t="inlineStr">
        <is>
          <t>VÄSTERNORRLANDS LÄN</t>
        </is>
      </c>
      <c r="E2228" t="inlineStr">
        <is>
          <t>SOLLEFTEÅ</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30964-2025</t>
        </is>
      </c>
      <c r="B2229" s="1" t="n">
        <v>45832.45111111111</v>
      </c>
      <c r="C2229" s="1" t="n">
        <v>45998</v>
      </c>
      <c r="D2229" t="inlineStr">
        <is>
          <t>VÄSTERNORRLANDS LÄN</t>
        </is>
      </c>
      <c r="E2229" t="inlineStr">
        <is>
          <t>SOLLEFTEÅ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52023-2025</t>
        </is>
      </c>
      <c r="B2230" s="1" t="n">
        <v>45952.60252314815</v>
      </c>
      <c r="C2230" s="1" t="n">
        <v>45998</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51870-2025</t>
        </is>
      </c>
      <c r="B2231" s="1" t="n">
        <v>45952.38590277778</v>
      </c>
      <c r="C2231" s="1" t="n">
        <v>45998</v>
      </c>
      <c r="D2231" t="inlineStr">
        <is>
          <t>VÄSTERNORRLANDS LÄN</t>
        </is>
      </c>
      <c r="E2231" t="inlineStr">
        <is>
          <t>SOLLEFTEÅ</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59999-2025</t>
        </is>
      </c>
      <c r="B2232" s="1" t="n">
        <v>45993.57372685185</v>
      </c>
      <c r="C2232" s="1" t="n">
        <v>45998</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52092-2025</t>
        </is>
      </c>
      <c r="B2233" s="1" t="n">
        <v>45952.67827546296</v>
      </c>
      <c r="C2233" s="1" t="n">
        <v>45998</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58998-2025</t>
        </is>
      </c>
      <c r="B2234" s="1" t="n">
        <v>45987</v>
      </c>
      <c r="C2234" s="1" t="n">
        <v>45998</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59002-2025</t>
        </is>
      </c>
      <c r="B2235" s="1" t="n">
        <v>45987</v>
      </c>
      <c r="C2235" s="1" t="n">
        <v>45998</v>
      </c>
      <c r="D2235" t="inlineStr">
        <is>
          <t>VÄSTERNORRLANDS LÄN</t>
        </is>
      </c>
      <c r="E2235" t="inlineStr">
        <is>
          <t>SOLLEFTEÅ</t>
        </is>
      </c>
      <c r="F2235" t="inlineStr">
        <is>
          <t>SCA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31183-2025</t>
        </is>
      </c>
      <c r="B2236" s="1" t="n">
        <v>45832.67774305555</v>
      </c>
      <c r="C2236" s="1" t="n">
        <v>45998</v>
      </c>
      <c r="D2236" t="inlineStr">
        <is>
          <t>VÄSTERNORRLANDS LÄN</t>
        </is>
      </c>
      <c r="E2236" t="inlineStr">
        <is>
          <t>SOLLEFTEÅ</t>
        </is>
      </c>
      <c r="F2236" t="inlineStr">
        <is>
          <t>SCA</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52011-2025</t>
        </is>
      </c>
      <c r="B2237" s="1" t="n">
        <v>45952.59517361111</v>
      </c>
      <c r="C2237" s="1" t="n">
        <v>45998</v>
      </c>
      <c r="D2237" t="inlineStr">
        <is>
          <t>VÄSTERNORRLANDS LÄN</t>
        </is>
      </c>
      <c r="E2237" t="inlineStr">
        <is>
          <t>SOLLEFTEÅ</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51609-2025</t>
        </is>
      </c>
      <c r="B2238" s="1" t="n">
        <v>45951.39130787037</v>
      </c>
      <c r="C2238" s="1" t="n">
        <v>45998</v>
      </c>
      <c r="D2238" t="inlineStr">
        <is>
          <t>VÄSTERNORRLANDS LÄN</t>
        </is>
      </c>
      <c r="E2238" t="inlineStr">
        <is>
          <t>SOLLEFTEÅ</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51591-2025</t>
        </is>
      </c>
      <c r="B2239" s="1" t="n">
        <v>45951.3653587963</v>
      </c>
      <c r="C2239" s="1" t="n">
        <v>45998</v>
      </c>
      <c r="D2239" t="inlineStr">
        <is>
          <t>VÄSTERNORRLANDS LÄN</t>
        </is>
      </c>
      <c r="E2239" t="inlineStr">
        <is>
          <t>SOLLEFTEÅ</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60036-2025</t>
        </is>
      </c>
      <c r="B2240" s="1" t="n">
        <v>45993.61569444444</v>
      </c>
      <c r="C2240" s="1" t="n">
        <v>45998</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60123-2025</t>
        </is>
      </c>
      <c r="B2241" s="1" t="n">
        <v>45994.33506944445</v>
      </c>
      <c r="C2241" s="1" t="n">
        <v>45998</v>
      </c>
      <c r="D2241" t="inlineStr">
        <is>
          <t>VÄSTERNORRLANDS LÄN</t>
        </is>
      </c>
      <c r="E2241" t="inlineStr">
        <is>
          <t>SOLLEFTEÅ</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30889-2025</t>
        </is>
      </c>
      <c r="B2242" s="1" t="n">
        <v>45832.34618055556</v>
      </c>
      <c r="C2242" s="1" t="n">
        <v>45998</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30750-2025</t>
        </is>
      </c>
      <c r="B2243" s="1" t="n">
        <v>45831.58900462963</v>
      </c>
      <c r="C2243" s="1" t="n">
        <v>45998</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30754-2025</t>
        </is>
      </c>
      <c r="B2244" s="1" t="n">
        <v>45831.59417824074</v>
      </c>
      <c r="C2244" s="1" t="n">
        <v>45998</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30774-2025</t>
        </is>
      </c>
      <c r="B2245" s="1" t="n">
        <v>45831.61501157407</v>
      </c>
      <c r="C2245" s="1" t="n">
        <v>45998</v>
      </c>
      <c r="D2245" t="inlineStr">
        <is>
          <t>VÄSTERNORRLANDS LÄN</t>
        </is>
      </c>
      <c r="E2245" t="inlineStr">
        <is>
          <t>SOLLEFTEÅ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59896-2025</t>
        </is>
      </c>
      <c r="B2246" s="1" t="n">
        <v>45993.34427083333</v>
      </c>
      <c r="C2246" s="1" t="n">
        <v>45998</v>
      </c>
      <c r="D2246" t="inlineStr">
        <is>
          <t>VÄSTERNORRLANDS LÄN</t>
        </is>
      </c>
      <c r="E2246" t="inlineStr">
        <is>
          <t>SOLLEFTEÅ</t>
        </is>
      </c>
      <c r="F2246" t="inlineStr">
        <is>
          <t>SCA</t>
        </is>
      </c>
      <c r="G2246" t="n">
        <v>16.1</v>
      </c>
      <c r="H2246" t="n">
        <v>0</v>
      </c>
      <c r="I2246" t="n">
        <v>0</v>
      </c>
      <c r="J2246" t="n">
        <v>0</v>
      </c>
      <c r="K2246" t="n">
        <v>0</v>
      </c>
      <c r="L2246" t="n">
        <v>0</v>
      </c>
      <c r="M2246" t="n">
        <v>0</v>
      </c>
      <c r="N2246" t="n">
        <v>0</v>
      </c>
      <c r="O2246" t="n">
        <v>0</v>
      </c>
      <c r="P2246" t="n">
        <v>0</v>
      </c>
      <c r="Q2246" t="n">
        <v>0</v>
      </c>
      <c r="R2246" s="2" t="inlineStr"/>
    </row>
    <row r="2247" ht="15" customHeight="1">
      <c r="A2247" t="inlineStr">
        <is>
          <t>A 59024-2025</t>
        </is>
      </c>
      <c r="B2247" s="1" t="n">
        <v>45988</v>
      </c>
      <c r="C2247" s="1" t="n">
        <v>45998</v>
      </c>
      <c r="D2247" t="inlineStr">
        <is>
          <t>VÄSTERNORRLANDS LÄN</t>
        </is>
      </c>
      <c r="E2247" t="inlineStr">
        <is>
          <t>SOLLEFTEÅ</t>
        </is>
      </c>
      <c r="F2247" t="inlineStr">
        <is>
          <t>SCA</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51559-2025</t>
        </is>
      </c>
      <c r="B2248" s="1" t="n">
        <v>45950.93180555556</v>
      </c>
      <c r="C2248" s="1" t="n">
        <v>45998</v>
      </c>
      <c r="D2248" t="inlineStr">
        <is>
          <t>VÄSTERNORRLANDS LÄN</t>
        </is>
      </c>
      <c r="E2248" t="inlineStr">
        <is>
          <t>SOLLEFTEÅ</t>
        </is>
      </c>
      <c r="G2248" t="n">
        <v>13.2</v>
      </c>
      <c r="H2248" t="n">
        <v>0</v>
      </c>
      <c r="I2248" t="n">
        <v>0</v>
      </c>
      <c r="J2248" t="n">
        <v>0</v>
      </c>
      <c r="K2248" t="n">
        <v>0</v>
      </c>
      <c r="L2248" t="n">
        <v>0</v>
      </c>
      <c r="M2248" t="n">
        <v>0</v>
      </c>
      <c r="N2248" t="n">
        <v>0</v>
      </c>
      <c r="O2248" t="n">
        <v>0</v>
      </c>
      <c r="P2248" t="n">
        <v>0</v>
      </c>
      <c r="Q2248" t="n">
        <v>0</v>
      </c>
      <c r="R2248" s="2" t="inlineStr"/>
    </row>
    <row r="2249" ht="15" customHeight="1">
      <c r="A2249" t="inlineStr">
        <is>
          <t>A 51603-2025</t>
        </is>
      </c>
      <c r="B2249" s="1" t="n">
        <v>45951.38317129629</v>
      </c>
      <c r="C2249" s="1" t="n">
        <v>45998</v>
      </c>
      <c r="D2249" t="inlineStr">
        <is>
          <t>VÄSTERNORRLANDS LÄN</t>
        </is>
      </c>
      <c r="E2249" t="inlineStr">
        <is>
          <t>SOLLEFTEÅ</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60063-2025</t>
        </is>
      </c>
      <c r="B2250" s="1" t="n">
        <v>45993.65711805555</v>
      </c>
      <c r="C2250" s="1" t="n">
        <v>45998</v>
      </c>
      <c r="D2250" t="inlineStr">
        <is>
          <t>VÄSTERNORRLANDS LÄN</t>
        </is>
      </c>
      <c r="E2250" t="inlineStr">
        <is>
          <t>SOLLEFTEÅ</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31396-2025</t>
        </is>
      </c>
      <c r="B2251" s="1" t="n">
        <v>45833.4658912037</v>
      </c>
      <c r="C2251" s="1" t="n">
        <v>45998</v>
      </c>
      <c r="D2251" t="inlineStr">
        <is>
          <t>VÄSTERNORRLANDS LÄN</t>
        </is>
      </c>
      <c r="E2251" t="inlineStr">
        <is>
          <t>SOLLEFTEÅ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51880-2025</t>
        </is>
      </c>
      <c r="B2252" s="1" t="n">
        <v>45952.40435185185</v>
      </c>
      <c r="C2252" s="1" t="n">
        <v>45998</v>
      </c>
      <c r="D2252" t="inlineStr">
        <is>
          <t>VÄSTERNORRLANDS LÄN</t>
        </is>
      </c>
      <c r="E2252" t="inlineStr">
        <is>
          <t>SOLLEFTEÅ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31423-2025</t>
        </is>
      </c>
      <c r="B2253" s="1" t="n">
        <v>45833.48957175926</v>
      </c>
      <c r="C2253" s="1" t="n">
        <v>45998</v>
      </c>
      <c r="D2253" t="inlineStr">
        <is>
          <t>VÄSTERNORRLANDS LÄN</t>
        </is>
      </c>
      <c r="E2253" t="inlineStr">
        <is>
          <t>SOLLEFTEÅ</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31435-2025</t>
        </is>
      </c>
      <c r="B2254" s="1" t="n">
        <v>45833.49708333334</v>
      </c>
      <c r="C2254" s="1" t="n">
        <v>45998</v>
      </c>
      <c r="D2254" t="inlineStr">
        <is>
          <t>VÄSTERNORRLANDS LÄN</t>
        </is>
      </c>
      <c r="E2254" t="inlineStr">
        <is>
          <t>SOLLEFTEÅ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31345-2025</t>
        </is>
      </c>
      <c r="B2255" s="1" t="n">
        <v>45833.42854166667</v>
      </c>
      <c r="C2255" s="1" t="n">
        <v>45998</v>
      </c>
      <c r="D2255" t="inlineStr">
        <is>
          <t>VÄSTERNORRLANDS LÄN</t>
        </is>
      </c>
      <c r="E2255" t="inlineStr">
        <is>
          <t>SOLLEFTEÅ</t>
        </is>
      </c>
      <c r="F2255" t="inlineStr">
        <is>
          <t>SCA</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31347-2025</t>
        </is>
      </c>
      <c r="B2256" s="1" t="n">
        <v>45833</v>
      </c>
      <c r="C2256" s="1" t="n">
        <v>45998</v>
      </c>
      <c r="D2256" t="inlineStr">
        <is>
          <t>VÄSTERNORRLANDS LÄN</t>
        </is>
      </c>
      <c r="E2256" t="inlineStr">
        <is>
          <t>SOLLEFTEÅ</t>
        </is>
      </c>
      <c r="F2256" t="inlineStr">
        <is>
          <t>SCA</t>
        </is>
      </c>
      <c r="G2256" t="n">
        <v>19.5</v>
      </c>
      <c r="H2256" t="n">
        <v>0</v>
      </c>
      <c r="I2256" t="n">
        <v>0</v>
      </c>
      <c r="J2256" t="n">
        <v>0</v>
      </c>
      <c r="K2256" t="n">
        <v>0</v>
      </c>
      <c r="L2256" t="n">
        <v>0</v>
      </c>
      <c r="M2256" t="n">
        <v>0</v>
      </c>
      <c r="N2256" t="n">
        <v>0</v>
      </c>
      <c r="O2256" t="n">
        <v>0</v>
      </c>
      <c r="P2256" t="n">
        <v>0</v>
      </c>
      <c r="Q2256" t="n">
        <v>0</v>
      </c>
      <c r="R2256" s="2" t="inlineStr"/>
    </row>
    <row r="2257" ht="15" customHeight="1">
      <c r="A2257" t="inlineStr">
        <is>
          <t>A 31306-2025</t>
        </is>
      </c>
      <c r="B2257" s="1" t="n">
        <v>45833</v>
      </c>
      <c r="C2257" s="1" t="n">
        <v>45998</v>
      </c>
      <c r="D2257" t="inlineStr">
        <is>
          <t>VÄSTERNORRLANDS LÄN</t>
        </is>
      </c>
      <c r="E2257" t="inlineStr">
        <is>
          <t>SOLLEFTEÅ</t>
        </is>
      </c>
      <c r="F2257" t="inlineStr">
        <is>
          <t>SCA</t>
        </is>
      </c>
      <c r="G2257" t="n">
        <v>19.3</v>
      </c>
      <c r="H2257" t="n">
        <v>0</v>
      </c>
      <c r="I2257" t="n">
        <v>0</v>
      </c>
      <c r="J2257" t="n">
        <v>0</v>
      </c>
      <c r="K2257" t="n">
        <v>0</v>
      </c>
      <c r="L2257" t="n">
        <v>0</v>
      </c>
      <c r="M2257" t="n">
        <v>0</v>
      </c>
      <c r="N2257" t="n">
        <v>0</v>
      </c>
      <c r="O2257" t="n">
        <v>0</v>
      </c>
      <c r="P2257" t="n">
        <v>0</v>
      </c>
      <c r="Q2257" t="n">
        <v>0</v>
      </c>
      <c r="R2257" s="2" t="inlineStr"/>
    </row>
    <row r="2258" ht="15" customHeight="1">
      <c r="A2258" t="inlineStr">
        <is>
          <t>A 52765-2025</t>
        </is>
      </c>
      <c r="B2258" s="1" t="n">
        <v>45957</v>
      </c>
      <c r="C2258" s="1" t="n">
        <v>45998</v>
      </c>
      <c r="D2258" t="inlineStr">
        <is>
          <t>VÄSTERNORRLANDS LÄN</t>
        </is>
      </c>
      <c r="E2258" t="inlineStr">
        <is>
          <t>SOLLEFTEÅ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51575-2025</t>
        </is>
      </c>
      <c r="B2259" s="1" t="n">
        <v>45951.34452546296</v>
      </c>
      <c r="C2259" s="1" t="n">
        <v>45998</v>
      </c>
      <c r="D2259" t="inlineStr">
        <is>
          <t>VÄSTERNORRLANDS LÄN</t>
        </is>
      </c>
      <c r="E2259" t="inlineStr">
        <is>
          <t>SOLLEFTEÅ</t>
        </is>
      </c>
      <c r="F2259" t="inlineStr">
        <is>
          <t>SCA</t>
        </is>
      </c>
      <c r="G2259" t="n">
        <v>35.4</v>
      </c>
      <c r="H2259" t="n">
        <v>0</v>
      </c>
      <c r="I2259" t="n">
        <v>0</v>
      </c>
      <c r="J2259" t="n">
        <v>0</v>
      </c>
      <c r="K2259" t="n">
        <v>0</v>
      </c>
      <c r="L2259" t="n">
        <v>0</v>
      </c>
      <c r="M2259" t="n">
        <v>0</v>
      </c>
      <c r="N2259" t="n">
        <v>0</v>
      </c>
      <c r="O2259" t="n">
        <v>0</v>
      </c>
      <c r="P2259" t="n">
        <v>0</v>
      </c>
      <c r="Q2259" t="n">
        <v>0</v>
      </c>
      <c r="R2259" s="2" t="inlineStr"/>
    </row>
    <row r="2260" ht="15" customHeight="1">
      <c r="A2260" t="inlineStr">
        <is>
          <t>A 31337-2025</t>
        </is>
      </c>
      <c r="B2260" s="1" t="n">
        <v>45833.42751157407</v>
      </c>
      <c r="C2260" s="1" t="n">
        <v>45998</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31479-2025</t>
        </is>
      </c>
      <c r="B2261" s="1" t="n">
        <v>45833.57333333333</v>
      </c>
      <c r="C2261" s="1" t="n">
        <v>45998</v>
      </c>
      <c r="D2261" t="inlineStr">
        <is>
          <t>VÄSTERNORRLANDS LÄN</t>
        </is>
      </c>
      <c r="E2261" t="inlineStr">
        <is>
          <t>SOLLEFTEÅ</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52116-2025</t>
        </is>
      </c>
      <c r="B2262" s="1" t="n">
        <v>45952</v>
      </c>
      <c r="C2262" s="1" t="n">
        <v>45998</v>
      </c>
      <c r="D2262" t="inlineStr">
        <is>
          <t>VÄSTERNORRLANDS LÄN</t>
        </is>
      </c>
      <c r="E2262" t="inlineStr">
        <is>
          <t>SOLLEFTEÅ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31304-2025</t>
        </is>
      </c>
      <c r="B2263" s="1" t="n">
        <v>45833.38600694444</v>
      </c>
      <c r="C2263" s="1" t="n">
        <v>45998</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31338-2025</t>
        </is>
      </c>
      <c r="B2264" s="1" t="n">
        <v>45833.42768518518</v>
      </c>
      <c r="C2264" s="1" t="n">
        <v>45998</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51899-2025</t>
        </is>
      </c>
      <c r="B2265" s="1" t="n">
        <v>45952.44201388889</v>
      </c>
      <c r="C2265" s="1" t="n">
        <v>45998</v>
      </c>
      <c r="D2265" t="inlineStr">
        <is>
          <t>VÄSTERNORRLANDS LÄN</t>
        </is>
      </c>
      <c r="E2265" t="inlineStr">
        <is>
          <t>SOLLEFTEÅ</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31432-2025</t>
        </is>
      </c>
      <c r="B2266" s="1" t="n">
        <v>45833.49442129629</v>
      </c>
      <c r="C2266" s="1" t="n">
        <v>45998</v>
      </c>
      <c r="D2266" t="inlineStr">
        <is>
          <t>VÄSTERNORRLANDS LÄN</t>
        </is>
      </c>
      <c r="E2266" t="inlineStr">
        <is>
          <t>SOLLEFTEÅ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60514-2025</t>
        </is>
      </c>
      <c r="B2267" s="1" t="n">
        <v>45995.63584490741</v>
      </c>
      <c r="C2267" s="1" t="n">
        <v>45998</v>
      </c>
      <c r="D2267" t="inlineStr">
        <is>
          <t>VÄSTERNORRLANDS LÄN</t>
        </is>
      </c>
      <c r="E2267" t="inlineStr">
        <is>
          <t>SOLLEFTEÅ</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60601-2025</t>
        </is>
      </c>
      <c r="B2268" s="1" t="n">
        <v>45996.3521412037</v>
      </c>
      <c r="C2268" s="1" t="n">
        <v>45998</v>
      </c>
      <c r="D2268" t="inlineStr">
        <is>
          <t>VÄSTERNORRLANDS LÄN</t>
        </is>
      </c>
      <c r="E2268" t="inlineStr">
        <is>
          <t>SOLLEFTEÅ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31437-2025</t>
        </is>
      </c>
      <c r="B2269" s="1" t="n">
        <v>45833.49855324074</v>
      </c>
      <c r="C2269" s="1" t="n">
        <v>45998</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52483-2025</t>
        </is>
      </c>
      <c r="B2270" s="1" t="n">
        <v>45954.47412037037</v>
      </c>
      <c r="C2270" s="1" t="n">
        <v>45998</v>
      </c>
      <c r="D2270" t="inlineStr">
        <is>
          <t>VÄSTERNORRLANDS LÄN</t>
        </is>
      </c>
      <c r="E2270" t="inlineStr">
        <is>
          <t>SOLLEFTEÅ</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31545-2025</t>
        </is>
      </c>
      <c r="B2271" s="1" t="n">
        <v>45833.63615740741</v>
      </c>
      <c r="C2271" s="1" t="n">
        <v>45998</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31665-2025</t>
        </is>
      </c>
      <c r="B2272" s="1" t="n">
        <v>45834.36497685185</v>
      </c>
      <c r="C2272" s="1" t="n">
        <v>45998</v>
      </c>
      <c r="D2272" t="inlineStr">
        <is>
          <t>VÄSTERNORRLANDS LÄN</t>
        </is>
      </c>
      <c r="E2272" t="inlineStr">
        <is>
          <t>SOLLEFTEÅ</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31801-2025</t>
        </is>
      </c>
      <c r="B2273" s="1" t="n">
        <v>45834.55290509259</v>
      </c>
      <c r="C2273" s="1" t="n">
        <v>45998</v>
      </c>
      <c r="D2273" t="inlineStr">
        <is>
          <t>VÄSTERNORRLANDS LÄN</t>
        </is>
      </c>
      <c r="E2273" t="inlineStr">
        <is>
          <t>SOLLEFTEÅ</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60591-2025</t>
        </is>
      </c>
      <c r="B2274" s="1" t="n">
        <v>45996.34302083333</v>
      </c>
      <c r="C2274" s="1" t="n">
        <v>45998</v>
      </c>
      <c r="D2274" t="inlineStr">
        <is>
          <t>VÄSTERNORRLANDS LÄN</t>
        </is>
      </c>
      <c r="E2274" t="inlineStr">
        <is>
          <t>SOLLEFTEÅ</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32069-2025</t>
        </is>
      </c>
      <c r="B2275" s="1" t="n">
        <v>45835.4487037037</v>
      </c>
      <c r="C2275" s="1" t="n">
        <v>45998</v>
      </c>
      <c r="D2275" t="inlineStr">
        <is>
          <t>VÄSTERNORRLANDS LÄN</t>
        </is>
      </c>
      <c r="E2275" t="inlineStr">
        <is>
          <t>SOLLEFTEÅ</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60410-2025</t>
        </is>
      </c>
      <c r="B2276" s="1" t="n">
        <v>45995.44840277778</v>
      </c>
      <c r="C2276" s="1" t="n">
        <v>45998</v>
      </c>
      <c r="D2276" t="inlineStr">
        <is>
          <t>VÄSTERNORRLANDS LÄN</t>
        </is>
      </c>
      <c r="E2276" t="inlineStr">
        <is>
          <t>SOLLEFTEÅ</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32291-2025</t>
        </is>
      </c>
      <c r="B2277" s="1" t="n">
        <v>45835.69961805556</v>
      </c>
      <c r="C2277" s="1" t="n">
        <v>45998</v>
      </c>
      <c r="D2277" t="inlineStr">
        <is>
          <t>VÄSTERNORRLANDS LÄN</t>
        </is>
      </c>
      <c r="E2277" t="inlineStr">
        <is>
          <t>SOLLEFTEÅ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32271-2025</t>
        </is>
      </c>
      <c r="B2278" s="1" t="n">
        <v>45835.65662037037</v>
      </c>
      <c r="C2278" s="1" t="n">
        <v>45998</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60597-2025</t>
        </is>
      </c>
      <c r="B2279" s="1" t="n">
        <v>45996.34476851852</v>
      </c>
      <c r="C2279" s="1" t="n">
        <v>45998</v>
      </c>
      <c r="D2279" t="inlineStr">
        <is>
          <t>VÄSTERNORRLANDS LÄN</t>
        </is>
      </c>
      <c r="E2279" t="inlineStr">
        <is>
          <t>SOLLEFTEÅ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60430-2025</t>
        </is>
      </c>
      <c r="B2280" s="1" t="n">
        <v>45995.47020833333</v>
      </c>
      <c r="C2280" s="1" t="n">
        <v>45998</v>
      </c>
      <c r="D2280" t="inlineStr">
        <is>
          <t>VÄSTERNORRLANDS LÄN</t>
        </is>
      </c>
      <c r="E2280" t="inlineStr">
        <is>
          <t>SOLLEFTEÅ</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31963-2025</t>
        </is>
      </c>
      <c r="B2281" s="1" t="n">
        <v>45835.34480324074</v>
      </c>
      <c r="C2281" s="1" t="n">
        <v>45998</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56252-2024</t>
        </is>
      </c>
      <c r="B2282" s="1" t="n">
        <v>45624</v>
      </c>
      <c r="C2282" s="1" t="n">
        <v>45998</v>
      </c>
      <c r="D2282" t="inlineStr">
        <is>
          <t>VÄSTERNORRLANDS LÄN</t>
        </is>
      </c>
      <c r="E2282" t="inlineStr">
        <is>
          <t>SOLLEFTEÅ</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58382-2025</t>
        </is>
      </c>
      <c r="B2283" s="1" t="n">
        <v>45982</v>
      </c>
      <c r="C2283" s="1" t="n">
        <v>45998</v>
      </c>
      <c r="D2283" t="inlineStr">
        <is>
          <t>VÄSTERNORRLANDS LÄN</t>
        </is>
      </c>
      <c r="E2283" t="inlineStr">
        <is>
          <t>SOLLEFTEÅ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32338-2025</t>
        </is>
      </c>
      <c r="B2284" s="1" t="n">
        <v>45836.67751157407</v>
      </c>
      <c r="C2284" s="1" t="n">
        <v>45998</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469-2025</t>
        </is>
      </c>
      <c r="B2285" s="1" t="n">
        <v>45664</v>
      </c>
      <c r="C2285" s="1" t="n">
        <v>45998</v>
      </c>
      <c r="D2285" t="inlineStr">
        <is>
          <t>VÄSTERNORRLANDS LÄN</t>
        </is>
      </c>
      <c r="E2285" t="inlineStr">
        <is>
          <t>SOLLEFTEÅ</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58508-2025</t>
        </is>
      </c>
      <c r="B2286" s="1" t="n">
        <v>45982</v>
      </c>
      <c r="C2286" s="1" t="n">
        <v>45998</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60645-2025</t>
        </is>
      </c>
      <c r="B2287" s="1" t="n">
        <v>45996.44834490741</v>
      </c>
      <c r="C2287" s="1" t="n">
        <v>45998</v>
      </c>
      <c r="D2287" t="inlineStr">
        <is>
          <t>VÄSTERNORRLANDS LÄN</t>
        </is>
      </c>
      <c r="E2287" t="inlineStr">
        <is>
          <t>SOLLEFTEÅ</t>
        </is>
      </c>
      <c r="G2287" t="n">
        <v>11.8</v>
      </c>
      <c r="H2287" t="n">
        <v>0</v>
      </c>
      <c r="I2287" t="n">
        <v>0</v>
      </c>
      <c r="J2287" t="n">
        <v>0</v>
      </c>
      <c r="K2287" t="n">
        <v>0</v>
      </c>
      <c r="L2287" t="n">
        <v>0</v>
      </c>
      <c r="M2287" t="n">
        <v>0</v>
      </c>
      <c r="N2287" t="n">
        <v>0</v>
      </c>
      <c r="O2287" t="n">
        <v>0</v>
      </c>
      <c r="P2287" t="n">
        <v>0</v>
      </c>
      <c r="Q2287" t="n">
        <v>0</v>
      </c>
      <c r="R2287" s="2" t="inlineStr"/>
    </row>
    <row r="2288" ht="15" customHeight="1">
      <c r="A2288" t="inlineStr">
        <is>
          <t>A 32139-2025</t>
        </is>
      </c>
      <c r="B2288" s="1" t="n">
        <v>45835</v>
      </c>
      <c r="C2288" s="1" t="n">
        <v>45998</v>
      </c>
      <c r="D2288" t="inlineStr">
        <is>
          <t>VÄSTERNORRLANDS LÄN</t>
        </is>
      </c>
      <c r="E2288" t="inlineStr">
        <is>
          <t>SOLLEFTEÅ</t>
        </is>
      </c>
      <c r="G2288" t="n">
        <v>17.8</v>
      </c>
      <c r="H2288" t="n">
        <v>0</v>
      </c>
      <c r="I2288" t="n">
        <v>0</v>
      </c>
      <c r="J2288" t="n">
        <v>0</v>
      </c>
      <c r="K2288" t="n">
        <v>0</v>
      </c>
      <c r="L2288" t="n">
        <v>0</v>
      </c>
      <c r="M2288" t="n">
        <v>0</v>
      </c>
      <c r="N2288" t="n">
        <v>0</v>
      </c>
      <c r="O2288" t="n">
        <v>0</v>
      </c>
      <c r="P2288" t="n">
        <v>0</v>
      </c>
      <c r="Q2288" t="n">
        <v>0</v>
      </c>
      <c r="R2288" s="2" t="inlineStr"/>
    </row>
    <row r="2289" ht="15" customHeight="1">
      <c r="A2289" t="inlineStr">
        <is>
          <t>A 52236-2025</t>
        </is>
      </c>
      <c r="B2289" s="1" t="n">
        <v>45953.45596064815</v>
      </c>
      <c r="C2289" s="1" t="n">
        <v>45998</v>
      </c>
      <c r="D2289" t="inlineStr">
        <is>
          <t>VÄSTERNORRLANDS LÄN</t>
        </is>
      </c>
      <c r="E2289" t="inlineStr">
        <is>
          <t>SOLLEFTEÅ</t>
        </is>
      </c>
      <c r="F2289" t="inlineStr">
        <is>
          <t>Holmen skog AB</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58391-2025</t>
        </is>
      </c>
      <c r="B2290" s="1" t="n">
        <v>45982</v>
      </c>
      <c r="C2290" s="1" t="n">
        <v>45998</v>
      </c>
      <c r="D2290" t="inlineStr">
        <is>
          <t>VÄSTERNORRLANDS LÄN</t>
        </is>
      </c>
      <c r="E2290" t="inlineStr">
        <is>
          <t>SOLLEFTEÅ</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52393-2025</t>
        </is>
      </c>
      <c r="B2291" s="1" t="n">
        <v>45954.34443287037</v>
      </c>
      <c r="C2291" s="1" t="n">
        <v>45998</v>
      </c>
      <c r="D2291" t="inlineStr">
        <is>
          <t>VÄSTERNORRLANDS LÄN</t>
        </is>
      </c>
      <c r="E2291" t="inlineStr">
        <is>
          <t>SOLLEFTEÅ</t>
        </is>
      </c>
      <c r="F2291" t="inlineStr">
        <is>
          <t>SCA</t>
        </is>
      </c>
      <c r="G2291" t="n">
        <v>29.1</v>
      </c>
      <c r="H2291" t="n">
        <v>0</v>
      </c>
      <c r="I2291" t="n">
        <v>0</v>
      </c>
      <c r="J2291" t="n">
        <v>0</v>
      </c>
      <c r="K2291" t="n">
        <v>0</v>
      </c>
      <c r="L2291" t="n">
        <v>0</v>
      </c>
      <c r="M2291" t="n">
        <v>0</v>
      </c>
      <c r="N2291" t="n">
        <v>0</v>
      </c>
      <c r="O2291" t="n">
        <v>0</v>
      </c>
      <c r="P2291" t="n">
        <v>0</v>
      </c>
      <c r="Q2291" t="n">
        <v>0</v>
      </c>
      <c r="R2291" s="2" t="inlineStr"/>
    </row>
    <row r="2292" ht="15" customHeight="1">
      <c r="A2292" t="inlineStr">
        <is>
          <t>A 32537-2025</t>
        </is>
      </c>
      <c r="B2292" s="1" t="n">
        <v>45838.49689814815</v>
      </c>
      <c r="C2292" s="1" t="n">
        <v>45998</v>
      </c>
      <c r="D2292" t="inlineStr">
        <is>
          <t>VÄSTERNORRLANDS LÄN</t>
        </is>
      </c>
      <c r="E2292" t="inlineStr">
        <is>
          <t>SOLLEFTEÅ</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32029-2025</t>
        </is>
      </c>
      <c r="B2293" s="1" t="n">
        <v>45835.40788194445</v>
      </c>
      <c r="C2293" s="1" t="n">
        <v>45998</v>
      </c>
      <c r="D2293" t="inlineStr">
        <is>
          <t>VÄSTERNORRLANDS LÄN</t>
        </is>
      </c>
      <c r="E2293" t="inlineStr">
        <is>
          <t>SOLLEFTEÅ</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52305-2025</t>
        </is>
      </c>
      <c r="B2294" s="1" t="n">
        <v>45953.63582175926</v>
      </c>
      <c r="C2294" s="1" t="n">
        <v>45998</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32112-2025</t>
        </is>
      </c>
      <c r="B2295" s="1" t="n">
        <v>45835.48392361111</v>
      </c>
      <c r="C2295" s="1" t="n">
        <v>45998</v>
      </c>
      <c r="D2295" t="inlineStr">
        <is>
          <t>VÄSTERNORRLANDS LÄN</t>
        </is>
      </c>
      <c r="E2295" t="inlineStr">
        <is>
          <t>SOLLEFTEÅ</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55886-2025</t>
        </is>
      </c>
      <c r="B2296" s="1" t="n">
        <v>45973</v>
      </c>
      <c r="C2296" s="1" t="n">
        <v>45998</v>
      </c>
      <c r="D2296" t="inlineStr">
        <is>
          <t>VÄSTERNORRLANDS LÄN</t>
        </is>
      </c>
      <c r="E2296" t="inlineStr">
        <is>
          <t>SOLLEFTEÅ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60515-2025</t>
        </is>
      </c>
      <c r="B2297" s="1" t="n">
        <v>45995</v>
      </c>
      <c r="C2297" s="1" t="n">
        <v>45998</v>
      </c>
      <c r="D2297" t="inlineStr">
        <is>
          <t>VÄSTERNORRLANDS LÄN</t>
        </is>
      </c>
      <c r="E2297" t="inlineStr">
        <is>
          <t>SOLLEFTEÅ</t>
        </is>
      </c>
      <c r="F2297" t="inlineStr">
        <is>
          <t>SCA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32073-2025</t>
        </is>
      </c>
      <c r="B2298" s="1" t="n">
        <v>45835.44931712963</v>
      </c>
      <c r="C2298" s="1" t="n">
        <v>45998</v>
      </c>
      <c r="D2298" t="inlineStr">
        <is>
          <t>VÄSTERNORRLANDS LÄN</t>
        </is>
      </c>
      <c r="E2298" t="inlineStr">
        <is>
          <t>SOLLEFTEÅ</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32346-2025</t>
        </is>
      </c>
      <c r="B2299" s="1" t="n">
        <v>45837.44827546296</v>
      </c>
      <c r="C2299" s="1" t="n">
        <v>45998</v>
      </c>
      <c r="D2299" t="inlineStr">
        <is>
          <t>VÄSTERNORRLANDS LÄN</t>
        </is>
      </c>
      <c r="E2299" t="inlineStr">
        <is>
          <t>SOLLEFTEÅ</t>
        </is>
      </c>
      <c r="F2299" t="inlineStr">
        <is>
          <t>SCA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5867-2024</t>
        </is>
      </c>
      <c r="B2300" s="1" t="n">
        <v>45335.64733796296</v>
      </c>
      <c r="C2300" s="1" t="n">
        <v>45998</v>
      </c>
      <c r="D2300" t="inlineStr">
        <is>
          <t>VÄSTERNORRLANDS LÄN</t>
        </is>
      </c>
      <c r="E2300" t="inlineStr">
        <is>
          <t>SOLLEFTEÅ</t>
        </is>
      </c>
      <c r="F2300" t="inlineStr">
        <is>
          <t>Övriga Aktiebolag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60709-2025</t>
        </is>
      </c>
      <c r="B2301" s="1" t="n">
        <v>45996.62238425926</v>
      </c>
      <c r="C2301" s="1" t="n">
        <v>45998</v>
      </c>
      <c r="D2301" t="inlineStr">
        <is>
          <t>VÄSTERNORRLANDS LÄN</t>
        </is>
      </c>
      <c r="E2301" t="inlineStr">
        <is>
          <t>SOLLEFTEÅ</t>
        </is>
      </c>
      <c r="F2301" t="inlineStr">
        <is>
          <t>Holmen skog AB</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32280-2025</t>
        </is>
      </c>
      <c r="B2302" s="1" t="n">
        <v>45835.67638888889</v>
      </c>
      <c r="C2302" s="1" t="n">
        <v>45998</v>
      </c>
      <c r="D2302" t="inlineStr">
        <is>
          <t>VÄSTERNORRLANDS LÄN</t>
        </is>
      </c>
      <c r="E2302" t="inlineStr">
        <is>
          <t>SOLLEFTEÅ</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28658-2025</t>
        </is>
      </c>
      <c r="B2303" s="1" t="n">
        <v>45819</v>
      </c>
      <c r="C2303" s="1" t="n">
        <v>45998</v>
      </c>
      <c r="D2303" t="inlineStr">
        <is>
          <t>VÄSTERNORRLANDS LÄN</t>
        </is>
      </c>
      <c r="E2303" t="inlineStr">
        <is>
          <t>SOLLEFTEÅ</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60677-2025</t>
        </is>
      </c>
      <c r="B2304" s="1" t="n">
        <v>45996.56097222222</v>
      </c>
      <c r="C2304" s="1" t="n">
        <v>45998</v>
      </c>
      <c r="D2304" t="inlineStr">
        <is>
          <t>VÄSTERNORRLANDS LÄN</t>
        </is>
      </c>
      <c r="E2304" t="inlineStr">
        <is>
          <t>SOLLEFTEÅ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60426-2025</t>
        </is>
      </c>
      <c r="B2305" s="1" t="n">
        <v>45995.46984953704</v>
      </c>
      <c r="C2305" s="1" t="n">
        <v>45998</v>
      </c>
      <c r="D2305" t="inlineStr">
        <is>
          <t>VÄSTERNORRLANDS LÄN</t>
        </is>
      </c>
      <c r="E2305" t="inlineStr">
        <is>
          <t>SOLLEFTEÅ</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33013-2025</t>
        </is>
      </c>
      <c r="B2306" s="1" t="n">
        <v>45840.36518518518</v>
      </c>
      <c r="C2306" s="1" t="n">
        <v>45998</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60516-2025</t>
        </is>
      </c>
      <c r="B2307" s="1" t="n">
        <v>45995.63630787037</v>
      </c>
      <c r="C2307" s="1" t="n">
        <v>45998</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40575-2024</t>
        </is>
      </c>
      <c r="B2308" s="1" t="n">
        <v>45555</v>
      </c>
      <c r="C2308" s="1" t="n">
        <v>45998</v>
      </c>
      <c r="D2308" t="inlineStr">
        <is>
          <t>VÄSTERNORRLANDS LÄN</t>
        </is>
      </c>
      <c r="E2308" t="inlineStr">
        <is>
          <t>SOLLEFTEÅ</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13008-2023</t>
        </is>
      </c>
      <c r="B2309" s="1" t="n">
        <v>45002</v>
      </c>
      <c r="C2309" s="1" t="n">
        <v>45998</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32745-2025</t>
        </is>
      </c>
      <c r="B2310" s="1" t="n">
        <v>45839.42753472222</v>
      </c>
      <c r="C2310" s="1" t="n">
        <v>45998</v>
      </c>
      <c r="D2310" t="inlineStr">
        <is>
          <t>VÄSTERNORRLANDS LÄN</t>
        </is>
      </c>
      <c r="E2310" t="inlineStr">
        <is>
          <t>SOLLEFTEÅ</t>
        </is>
      </c>
      <c r="F2310" t="inlineStr">
        <is>
          <t>SCA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32749-2025</t>
        </is>
      </c>
      <c r="B2311" s="1" t="n">
        <v>45839.42834490741</v>
      </c>
      <c r="C2311" s="1" t="n">
        <v>45998</v>
      </c>
      <c r="D2311" t="inlineStr">
        <is>
          <t>VÄSTERNORRLANDS LÄN</t>
        </is>
      </c>
      <c r="E2311" t="inlineStr">
        <is>
          <t>SOLLEFTEÅ</t>
        </is>
      </c>
      <c r="F2311" t="inlineStr">
        <is>
          <t>SCA</t>
        </is>
      </c>
      <c r="G2311" t="n">
        <v>15.3</v>
      </c>
      <c r="H2311" t="n">
        <v>0</v>
      </c>
      <c r="I2311" t="n">
        <v>0</v>
      </c>
      <c r="J2311" t="n">
        <v>0</v>
      </c>
      <c r="K2311" t="n">
        <v>0</v>
      </c>
      <c r="L2311" t="n">
        <v>0</v>
      </c>
      <c r="M2311" t="n">
        <v>0</v>
      </c>
      <c r="N2311" t="n">
        <v>0</v>
      </c>
      <c r="O2311" t="n">
        <v>0</v>
      </c>
      <c r="P2311" t="n">
        <v>0</v>
      </c>
      <c r="Q2311" t="n">
        <v>0</v>
      </c>
      <c r="R2311" s="2" t="inlineStr"/>
    </row>
    <row r="2312" ht="15" customHeight="1">
      <c r="A2312" t="inlineStr">
        <is>
          <t>A 33012-2025</t>
        </is>
      </c>
      <c r="B2312" s="1" t="n">
        <v>45840.36498842593</v>
      </c>
      <c r="C2312" s="1" t="n">
        <v>45998</v>
      </c>
      <c r="D2312" t="inlineStr">
        <is>
          <t>VÄSTERNORRLANDS LÄN</t>
        </is>
      </c>
      <c r="E2312" t="inlineStr">
        <is>
          <t>SOLLEFTEÅ</t>
        </is>
      </c>
      <c r="F2312" t="inlineStr">
        <is>
          <t>SCA</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11009-2024</t>
        </is>
      </c>
      <c r="B2313" s="1" t="n">
        <v>45370</v>
      </c>
      <c r="C2313" s="1" t="n">
        <v>45998</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5548-2025</t>
        </is>
      </c>
      <c r="B2314" s="1" t="n">
        <v>45693.46940972222</v>
      </c>
      <c r="C2314" s="1" t="n">
        <v>45998</v>
      </c>
      <c r="D2314" t="inlineStr">
        <is>
          <t>VÄSTERNORRLANDS LÄN</t>
        </is>
      </c>
      <c r="E2314" t="inlineStr">
        <is>
          <t>SOLLEFTEÅ</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33675-2025</t>
        </is>
      </c>
      <c r="B2315" s="1" t="n">
        <v>45841.67796296296</v>
      </c>
      <c r="C2315" s="1" t="n">
        <v>45998</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33855-2025</t>
        </is>
      </c>
      <c r="B2316" s="1" t="n">
        <v>45842.51125</v>
      </c>
      <c r="C2316" s="1" t="n">
        <v>45998</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33676-2025</t>
        </is>
      </c>
      <c r="B2317" s="1" t="n">
        <v>45841.67818287037</v>
      </c>
      <c r="C2317" s="1" t="n">
        <v>45998</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33957-2025</t>
        </is>
      </c>
      <c r="B2318" s="1" t="n">
        <v>45842.67762731481</v>
      </c>
      <c r="C2318" s="1" t="n">
        <v>45998</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21852-2024</t>
        </is>
      </c>
      <c r="B2319" s="1" t="n">
        <v>45442.9628125</v>
      </c>
      <c r="C2319" s="1" t="n">
        <v>45998</v>
      </c>
      <c r="D2319" t="inlineStr">
        <is>
          <t>VÄSTERNORRLANDS LÄN</t>
        </is>
      </c>
      <c r="E2319" t="inlineStr">
        <is>
          <t>SOLLEFTEÅ</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33917-2025</t>
        </is>
      </c>
      <c r="B2320" s="1" t="n">
        <v>45842.61491898148</v>
      </c>
      <c r="C2320" s="1" t="n">
        <v>45998</v>
      </c>
      <c r="D2320" t="inlineStr">
        <is>
          <t>VÄSTERNORRLANDS LÄN</t>
        </is>
      </c>
      <c r="E2320" t="inlineStr">
        <is>
          <t>SOLLEFTEÅ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33430-2025</t>
        </is>
      </c>
      <c r="B2321" s="1" t="n">
        <v>45841.44829861111</v>
      </c>
      <c r="C2321" s="1" t="n">
        <v>45998</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33436-2025</t>
        </is>
      </c>
      <c r="B2322" s="1" t="n">
        <v>45841.44898148148</v>
      </c>
      <c r="C2322" s="1" t="n">
        <v>45998</v>
      </c>
      <c r="D2322" t="inlineStr">
        <is>
          <t>VÄSTERNORRLANDS LÄN</t>
        </is>
      </c>
      <c r="E2322" t="inlineStr">
        <is>
          <t>SOLLEFTEÅ</t>
        </is>
      </c>
      <c r="F2322" t="inlineStr">
        <is>
          <t>SCA</t>
        </is>
      </c>
      <c r="G2322" t="n">
        <v>19.2</v>
      </c>
      <c r="H2322" t="n">
        <v>0</v>
      </c>
      <c r="I2322" t="n">
        <v>0</v>
      </c>
      <c r="J2322" t="n">
        <v>0</v>
      </c>
      <c r="K2322" t="n">
        <v>0</v>
      </c>
      <c r="L2322" t="n">
        <v>0</v>
      </c>
      <c r="M2322" t="n">
        <v>0</v>
      </c>
      <c r="N2322" t="n">
        <v>0</v>
      </c>
      <c r="O2322" t="n">
        <v>0</v>
      </c>
      <c r="P2322" t="n">
        <v>0</v>
      </c>
      <c r="Q2322" t="n">
        <v>0</v>
      </c>
      <c r="R2322" s="2" t="inlineStr"/>
    </row>
    <row r="2323" ht="15" customHeight="1">
      <c r="A2323" t="inlineStr">
        <is>
          <t>A 33674-2025</t>
        </is>
      </c>
      <c r="B2323" s="1" t="n">
        <v>45841.67770833334</v>
      </c>
      <c r="C2323" s="1" t="n">
        <v>45998</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5394-2025</t>
        </is>
      </c>
      <c r="B2324" s="1" t="n">
        <v>45692.63591435185</v>
      </c>
      <c r="C2324" s="1" t="n">
        <v>45998</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33442-2025</t>
        </is>
      </c>
      <c r="B2325" s="1" t="n">
        <v>45841.46092592592</v>
      </c>
      <c r="C2325" s="1" t="n">
        <v>45998</v>
      </c>
      <c r="D2325" t="inlineStr">
        <is>
          <t>VÄSTERNORRLANDS LÄN</t>
        </is>
      </c>
      <c r="E2325" t="inlineStr">
        <is>
          <t>SOLLEFTEÅ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47329-2023</t>
        </is>
      </c>
      <c r="B2326" s="1" t="n">
        <v>45196</v>
      </c>
      <c r="C2326" s="1" t="n">
        <v>45998</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33437-2025</t>
        </is>
      </c>
      <c r="B2327" s="1" t="n">
        <v>45841.4502199074</v>
      </c>
      <c r="C2327" s="1" t="n">
        <v>45998</v>
      </c>
      <c r="D2327" t="inlineStr">
        <is>
          <t>VÄSTERNORRLANDS LÄN</t>
        </is>
      </c>
      <c r="E2327" t="inlineStr">
        <is>
          <t>SOLLEFTEÅ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20461-2023</t>
        </is>
      </c>
      <c r="B2328" s="1" t="n">
        <v>45056.95284722222</v>
      </c>
      <c r="C2328" s="1" t="n">
        <v>45998</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33936-2025</t>
        </is>
      </c>
      <c r="B2329" s="1" t="n">
        <v>45842.63630787037</v>
      </c>
      <c r="C2329" s="1" t="n">
        <v>45998</v>
      </c>
      <c r="D2329" t="inlineStr">
        <is>
          <t>VÄSTERNORRLANDS LÄN</t>
        </is>
      </c>
      <c r="E2329" t="inlineStr">
        <is>
          <t>SOLLEFTEÅ</t>
        </is>
      </c>
      <c r="F2329" t="inlineStr">
        <is>
          <t>SCA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42983-2024</t>
        </is>
      </c>
      <c r="B2330" s="1" t="n">
        <v>45567.37471064815</v>
      </c>
      <c r="C2330" s="1" t="n">
        <v>45998</v>
      </c>
      <c r="D2330" t="inlineStr">
        <is>
          <t>VÄSTERNORRLANDS LÄN</t>
        </is>
      </c>
      <c r="E2330" t="inlineStr">
        <is>
          <t>SOLLEFTEÅ</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33825-2025</t>
        </is>
      </c>
      <c r="B2331" s="1" t="n">
        <v>45842.46930555555</v>
      </c>
      <c r="C2331" s="1" t="n">
        <v>45998</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42984-2024</t>
        </is>
      </c>
      <c r="B2332" s="1" t="n">
        <v>45567.37532407408</v>
      </c>
      <c r="C2332" s="1" t="n">
        <v>45998</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42985-2024</t>
        </is>
      </c>
      <c r="B2333" s="1" t="n">
        <v>45567.37533564815</v>
      </c>
      <c r="C2333" s="1" t="n">
        <v>45998</v>
      </c>
      <c r="D2333" t="inlineStr">
        <is>
          <t>VÄSTERNORRLANDS LÄN</t>
        </is>
      </c>
      <c r="E2333" t="inlineStr">
        <is>
          <t>SOLLEFTEÅ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58357-2024</t>
        </is>
      </c>
      <c r="B2334" s="1" t="n">
        <v>45632</v>
      </c>
      <c r="C2334" s="1" t="n">
        <v>45998</v>
      </c>
      <c r="D2334" t="inlineStr">
        <is>
          <t>VÄSTERNORRLANDS LÄN</t>
        </is>
      </c>
      <c r="E2334" t="inlineStr">
        <is>
          <t>SOLLEFTEÅ</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58360-2024</t>
        </is>
      </c>
      <c r="B2335" s="1" t="n">
        <v>45632</v>
      </c>
      <c r="C2335" s="1" t="n">
        <v>45998</v>
      </c>
      <c r="D2335" t="inlineStr">
        <is>
          <t>VÄSTERNORRLANDS LÄN</t>
        </is>
      </c>
      <c r="E2335" t="inlineStr">
        <is>
          <t>SOLLEFTEÅ</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33607-2025</t>
        </is>
      </c>
      <c r="B2336" s="1" t="n">
        <v>45841.61521990741</v>
      </c>
      <c r="C2336" s="1" t="n">
        <v>45998</v>
      </c>
      <c r="D2336" t="inlineStr">
        <is>
          <t>VÄSTERNORRLANDS LÄN</t>
        </is>
      </c>
      <c r="E2336" t="inlineStr">
        <is>
          <t>SOLLEFTEÅ</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33673-2025</t>
        </is>
      </c>
      <c r="B2337" s="1" t="n">
        <v>45841.67761574074</v>
      </c>
      <c r="C2337" s="1" t="n">
        <v>45998</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33935-2025</t>
        </is>
      </c>
      <c r="B2338" s="1" t="n">
        <v>45842.63614583333</v>
      </c>
      <c r="C2338" s="1" t="n">
        <v>45998</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33502-2025</t>
        </is>
      </c>
      <c r="B2339" s="1" t="n">
        <v>45841.51101851852</v>
      </c>
      <c r="C2339" s="1" t="n">
        <v>45998</v>
      </c>
      <c r="D2339" t="inlineStr">
        <is>
          <t>VÄSTERNORRLANDS LÄN</t>
        </is>
      </c>
      <c r="E2339" t="inlineStr">
        <is>
          <t>SOLLEFTEÅ</t>
        </is>
      </c>
      <c r="F2339" t="inlineStr">
        <is>
          <t>SCA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33452-2025</t>
        </is>
      </c>
      <c r="B2340" s="1" t="n">
        <v>45841.46940972222</v>
      </c>
      <c r="C2340" s="1" t="n">
        <v>45998</v>
      </c>
      <c r="D2340" t="inlineStr">
        <is>
          <t>VÄSTERNORRLANDS LÄN</t>
        </is>
      </c>
      <c r="E2340" t="inlineStr">
        <is>
          <t>SOLLEFTEÅ</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33852-2025</t>
        </is>
      </c>
      <c r="B2341" s="1" t="n">
        <v>45842.51079861111</v>
      </c>
      <c r="C2341" s="1" t="n">
        <v>45998</v>
      </c>
      <c r="D2341" t="inlineStr">
        <is>
          <t>VÄSTERNORRLANDS LÄN</t>
        </is>
      </c>
      <c r="E2341" t="inlineStr">
        <is>
          <t>SOLLEFTEÅ</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7009-2023</t>
        </is>
      </c>
      <c r="B2342" s="1" t="n">
        <v>44967.92959490741</v>
      </c>
      <c r="C2342" s="1" t="n">
        <v>45998</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34638-2024</t>
        </is>
      </c>
      <c r="B2343" s="1" t="n">
        <v>45526</v>
      </c>
      <c r="C2343" s="1" t="n">
        <v>45998</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c r="U2343">
        <f>HYPERLINK("https://klasma.github.io/Logging_2283/knärot/A 34638-2024 karta knärot.png", "A 34638-2024")</f>
        <v/>
      </c>
      <c r="V2343">
        <f>HYPERLINK("https://klasma.github.io/Logging_2283/klagomål/A 34638-2024 FSC-klagomål.docx", "A 34638-2024")</f>
        <v/>
      </c>
      <c r="W2343">
        <f>HYPERLINK("https://klasma.github.io/Logging_2283/klagomålsmail/A 34638-2024 FSC-klagomål mail.docx", "A 34638-2024")</f>
        <v/>
      </c>
      <c r="X2343">
        <f>HYPERLINK("https://klasma.github.io/Logging_2283/tillsyn/A 34638-2024 tillsynsbegäran.docx", "A 34638-2024")</f>
        <v/>
      </c>
      <c r="Y2343">
        <f>HYPERLINK("https://klasma.github.io/Logging_2283/tillsynsmail/A 34638-2024 tillsynsbegäran mail.docx", "A 34638-2024")</f>
        <v/>
      </c>
    </row>
    <row r="2344" ht="15" customHeight="1">
      <c r="A2344" t="inlineStr">
        <is>
          <t>A 34000-2025</t>
        </is>
      </c>
      <c r="B2344" s="1" t="n">
        <v>45844.37024305556</v>
      </c>
      <c r="C2344" s="1" t="n">
        <v>45998</v>
      </c>
      <c r="D2344" t="inlineStr">
        <is>
          <t>VÄSTERNORRLANDS LÄN</t>
        </is>
      </c>
      <c r="E2344" t="inlineStr">
        <is>
          <t>SOLLEFTEÅ</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4623-2023</t>
        </is>
      </c>
      <c r="B2345" s="1" t="n">
        <v>44956.94013888889</v>
      </c>
      <c r="C2345" s="1" t="n">
        <v>45998</v>
      </c>
      <c r="D2345" t="inlineStr">
        <is>
          <t>VÄSTERNORRLANDS LÄN</t>
        </is>
      </c>
      <c r="E2345" t="inlineStr">
        <is>
          <t>SOLLEFTEÅ</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49156-2024</t>
        </is>
      </c>
      <c r="B2346" s="1" t="n">
        <v>45594.834375</v>
      </c>
      <c r="C2346" s="1" t="n">
        <v>45998</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7721-2023</t>
        </is>
      </c>
      <c r="B2347" s="1" t="n">
        <v>44972.94123842593</v>
      </c>
      <c r="C2347" s="1" t="n">
        <v>45998</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48038-2024</t>
        </is>
      </c>
      <c r="B2348" s="1" t="n">
        <v>45589.49350694445</v>
      </c>
      <c r="C2348" s="1" t="n">
        <v>45998</v>
      </c>
      <c r="D2348" t="inlineStr">
        <is>
          <t>VÄSTERNORRLANDS LÄN</t>
        </is>
      </c>
      <c r="E2348" t="inlineStr">
        <is>
          <t>SOLLEFTEÅ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55439-2024</t>
        </is>
      </c>
      <c r="B2349" s="1" t="n">
        <v>45622.40663194445</v>
      </c>
      <c r="C2349" s="1" t="n">
        <v>45998</v>
      </c>
      <c r="D2349" t="inlineStr">
        <is>
          <t>VÄSTERNORRLANDS LÄN</t>
        </is>
      </c>
      <c r="E2349" t="inlineStr">
        <is>
          <t>SOLLEFTEÅ</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33999-2025</t>
        </is>
      </c>
      <c r="B2350" s="1" t="n">
        <v>45844.36113425926</v>
      </c>
      <c r="C2350" s="1" t="n">
        <v>45998</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34051-2025</t>
        </is>
      </c>
      <c r="B2351" s="1" t="n">
        <v>45845.40672453704</v>
      </c>
      <c r="C2351" s="1" t="n">
        <v>45998</v>
      </c>
      <c r="D2351" t="inlineStr">
        <is>
          <t>VÄSTERNORRLANDS LÄN</t>
        </is>
      </c>
      <c r="E2351" t="inlineStr">
        <is>
          <t>SOLLEFTEÅ</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7184-2025</t>
        </is>
      </c>
      <c r="B2352" s="1" t="n">
        <v>45702</v>
      </c>
      <c r="C2352" s="1" t="n">
        <v>45998</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10725-2025</t>
        </is>
      </c>
      <c r="B2353" s="1" t="n">
        <v>45722</v>
      </c>
      <c r="C2353" s="1" t="n">
        <v>45998</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10737-2025</t>
        </is>
      </c>
      <c r="B2354" s="1" t="n">
        <v>45722</v>
      </c>
      <c r="C2354" s="1" t="n">
        <v>45998</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34476-2025</t>
        </is>
      </c>
      <c r="B2355" s="1" t="n">
        <v>45847.36752314815</v>
      </c>
      <c r="C2355" s="1" t="n">
        <v>45998</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6896-2025</t>
        </is>
      </c>
      <c r="B2356" s="1" t="n">
        <v>45701.38577546296</v>
      </c>
      <c r="C2356" s="1" t="n">
        <v>45998</v>
      </c>
      <c r="D2356" t="inlineStr">
        <is>
          <t>VÄSTERNORRLANDS LÄN</t>
        </is>
      </c>
      <c r="E2356" t="inlineStr">
        <is>
          <t>SOLLEFTEÅ</t>
        </is>
      </c>
      <c r="F2356" t="inlineStr">
        <is>
          <t>SCA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34459-2025</t>
        </is>
      </c>
      <c r="B2357" s="1" t="n">
        <v>45847.34442129629</v>
      </c>
      <c r="C2357" s="1" t="n">
        <v>45998</v>
      </c>
      <c r="D2357" t="inlineStr">
        <is>
          <t>VÄSTERNORRLANDS LÄN</t>
        </is>
      </c>
      <c r="E2357" t="inlineStr">
        <is>
          <t>SOLLEFTEÅ</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34462-2025</t>
        </is>
      </c>
      <c r="B2358" s="1" t="n">
        <v>45847.34498842592</v>
      </c>
      <c r="C2358" s="1" t="n">
        <v>45998</v>
      </c>
      <c r="D2358" t="inlineStr">
        <is>
          <t>VÄSTERNORRLANDS LÄN</t>
        </is>
      </c>
      <c r="E2358" t="inlineStr">
        <is>
          <t>SOLLEFTEÅ</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34473-2025</t>
        </is>
      </c>
      <c r="B2359" s="1" t="n">
        <v>45847.36511574074</v>
      </c>
      <c r="C2359" s="1" t="n">
        <v>45998</v>
      </c>
      <c r="D2359" t="inlineStr">
        <is>
          <t>VÄSTERNORRLANDS LÄN</t>
        </is>
      </c>
      <c r="E2359" t="inlineStr">
        <is>
          <t>SOLLEFTEÅ</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46759-2024</t>
        </is>
      </c>
      <c r="B2360" s="1" t="n">
        <v>45583.49101851852</v>
      </c>
      <c r="C2360" s="1" t="n">
        <v>45998</v>
      </c>
      <c r="D2360" t="inlineStr">
        <is>
          <t>VÄSTERNORRLANDS LÄN</t>
        </is>
      </c>
      <c r="E2360" t="inlineStr">
        <is>
          <t>SOLLEFTEÅ</t>
        </is>
      </c>
      <c r="F2360" t="inlineStr">
        <is>
          <t>SCA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35041-2025</t>
        </is>
      </c>
      <c r="B2361" s="1" t="n">
        <v>45852.3443287037</v>
      </c>
      <c r="C2361" s="1" t="n">
        <v>45998</v>
      </c>
      <c r="D2361" t="inlineStr">
        <is>
          <t>VÄSTERNORRLANDS LÄN</t>
        </is>
      </c>
      <c r="E2361" t="inlineStr">
        <is>
          <t>SOLLEFTEÅ</t>
        </is>
      </c>
      <c r="F2361" t="inlineStr">
        <is>
          <t>SCA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48265-2024</t>
        </is>
      </c>
      <c r="B2362" s="1" t="n">
        <v>45590.42751157407</v>
      </c>
      <c r="C2362" s="1" t="n">
        <v>45998</v>
      </c>
      <c r="D2362" t="inlineStr">
        <is>
          <t>VÄSTERNORRLANDS LÄN</t>
        </is>
      </c>
      <c r="E2362" t="inlineStr">
        <is>
          <t>SOLLEFTEÅ</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35086-2025</t>
        </is>
      </c>
      <c r="B2363" s="1" t="n">
        <v>45852.51719907407</v>
      </c>
      <c r="C2363" s="1" t="n">
        <v>45998</v>
      </c>
      <c r="D2363" t="inlineStr">
        <is>
          <t>VÄSTERNORRLANDS LÄN</t>
        </is>
      </c>
      <c r="E2363" t="inlineStr">
        <is>
          <t>SOLLEFTEÅ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47631-2024</t>
        </is>
      </c>
      <c r="B2364" s="1" t="n">
        <v>45588.34465277778</v>
      </c>
      <c r="C2364" s="1" t="n">
        <v>45998</v>
      </c>
      <c r="D2364" t="inlineStr">
        <is>
          <t>VÄSTERNORRLANDS LÄN</t>
        </is>
      </c>
      <c r="E2364" t="inlineStr">
        <is>
          <t>SOLLEFTEÅ</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54575-2024</t>
        </is>
      </c>
      <c r="B2365" s="1" t="n">
        <v>45617.65232638889</v>
      </c>
      <c r="C2365" s="1" t="n">
        <v>45998</v>
      </c>
      <c r="D2365" t="inlineStr">
        <is>
          <t>VÄSTERNORRLANDS LÄN</t>
        </is>
      </c>
      <c r="E2365" t="inlineStr">
        <is>
          <t>SOLLEFTEÅ</t>
        </is>
      </c>
      <c r="F2365" t="inlineStr">
        <is>
          <t>Holmen skog AB</t>
        </is>
      </c>
      <c r="G2365" t="n">
        <v>1.7</v>
      </c>
      <c r="H2365" t="n">
        <v>0</v>
      </c>
      <c r="I2365" t="n">
        <v>0</v>
      </c>
      <c r="J2365" t="n">
        <v>0</v>
      </c>
      <c r="K2365" t="n">
        <v>0</v>
      </c>
      <c r="L2365" t="n">
        <v>0</v>
      </c>
      <c r="M2365" t="n">
        <v>0</v>
      </c>
      <c r="N2365" t="n">
        <v>0</v>
      </c>
      <c r="O2365" t="n">
        <v>0</v>
      </c>
      <c r="P2365" t="n">
        <v>0</v>
      </c>
      <c r="Q2365" t="n">
        <v>0</v>
      </c>
      <c r="R2365" s="2" t="inlineStr"/>
      <c r="U2365">
        <f>HYPERLINK("https://klasma.github.io/Logging_2283/knärot/A 54575-2024 karta knärot.png", "A 54575-2024")</f>
        <v/>
      </c>
      <c r="V2365">
        <f>HYPERLINK("https://klasma.github.io/Logging_2283/klagomål/A 54575-2024 FSC-klagomål.docx", "A 54575-2024")</f>
        <v/>
      </c>
      <c r="W2365">
        <f>HYPERLINK("https://klasma.github.io/Logging_2283/klagomålsmail/A 54575-2024 FSC-klagomål mail.docx", "A 54575-2024")</f>
        <v/>
      </c>
      <c r="X2365">
        <f>HYPERLINK("https://klasma.github.io/Logging_2283/tillsyn/A 54575-2024 tillsynsbegäran.docx", "A 54575-2024")</f>
        <v/>
      </c>
      <c r="Y2365">
        <f>HYPERLINK("https://klasma.github.io/Logging_2283/tillsynsmail/A 54575-2024 tillsynsbegäran mail.docx", "A 54575-2024")</f>
        <v/>
      </c>
    </row>
    <row r="2366" ht="15" customHeight="1">
      <c r="A2366" t="inlineStr">
        <is>
          <t>A 7261-2024</t>
        </is>
      </c>
      <c r="B2366" s="1" t="n">
        <v>45344</v>
      </c>
      <c r="C2366" s="1" t="n">
        <v>45998</v>
      </c>
      <c r="D2366" t="inlineStr">
        <is>
          <t>VÄSTERNORRLANDS LÄN</t>
        </is>
      </c>
      <c r="E2366" t="inlineStr">
        <is>
          <t>SOLLEFTEÅ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35042-2025</t>
        </is>
      </c>
      <c r="B2367" s="1" t="n">
        <v>45852.34447916667</v>
      </c>
      <c r="C2367" s="1" t="n">
        <v>45998</v>
      </c>
      <c r="D2367" t="inlineStr">
        <is>
          <t>VÄSTERNORRLANDS LÄN</t>
        </is>
      </c>
      <c r="E2367" t="inlineStr">
        <is>
          <t>SOLLEFTEÅ</t>
        </is>
      </c>
      <c r="F2367" t="inlineStr">
        <is>
          <t>SCA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3689-2023</t>
        </is>
      </c>
      <c r="B2368" s="1" t="n">
        <v>44950</v>
      </c>
      <c r="C2368" s="1" t="n">
        <v>45998</v>
      </c>
      <c r="D2368" t="inlineStr">
        <is>
          <t>VÄSTERNORRLANDS LÄN</t>
        </is>
      </c>
      <c r="E2368" t="inlineStr">
        <is>
          <t>SOLLEFTEÅ</t>
        </is>
      </c>
      <c r="F2368" t="inlineStr">
        <is>
          <t>SCA</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35132-2025</t>
        </is>
      </c>
      <c r="B2369" s="1" t="n">
        <v>45852.63618055556</v>
      </c>
      <c r="C2369" s="1" t="n">
        <v>45998</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34870-2025</t>
        </is>
      </c>
      <c r="B2370" s="1" t="n">
        <v>45849.44729166666</v>
      </c>
      <c r="C2370" s="1" t="n">
        <v>45998</v>
      </c>
      <c r="D2370" t="inlineStr">
        <is>
          <t>VÄSTERNORRLANDS LÄN</t>
        </is>
      </c>
      <c r="E2370" t="inlineStr">
        <is>
          <t>SOLLEFTEÅ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31555-2024</t>
        </is>
      </c>
      <c r="B2371" s="1" t="n">
        <v>45505.96484953703</v>
      </c>
      <c r="C2371" s="1" t="n">
        <v>45998</v>
      </c>
      <c r="D2371" t="inlineStr">
        <is>
          <t>VÄSTERNORRLANDS LÄN</t>
        </is>
      </c>
      <c r="E2371" t="inlineStr">
        <is>
          <t>SOLLEFTEÅ</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3414-2025</t>
        </is>
      </c>
      <c r="B2372" s="1" t="n">
        <v>45680</v>
      </c>
      <c r="C2372" s="1" t="n">
        <v>45998</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36139-2024</t>
        </is>
      </c>
      <c r="B2373" s="1" t="n">
        <v>45534.35474537037</v>
      </c>
      <c r="C2373" s="1" t="n">
        <v>45998</v>
      </c>
      <c r="D2373" t="inlineStr">
        <is>
          <t>VÄSTERNORRLANDS LÄN</t>
        </is>
      </c>
      <c r="E2373" t="inlineStr">
        <is>
          <t>SOLLEFTEÅ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36144-2024</t>
        </is>
      </c>
      <c r="B2374" s="1" t="n">
        <v>45534.36309027778</v>
      </c>
      <c r="C2374" s="1" t="n">
        <v>45998</v>
      </c>
      <c r="D2374" t="inlineStr">
        <is>
          <t>VÄSTERNORRLANDS LÄN</t>
        </is>
      </c>
      <c r="E2374" t="inlineStr">
        <is>
          <t>SOLLEFTEÅ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35066-2025</t>
        </is>
      </c>
      <c r="B2375" s="1" t="n">
        <v>45852.45013888889</v>
      </c>
      <c r="C2375" s="1" t="n">
        <v>45998</v>
      </c>
      <c r="D2375" t="inlineStr">
        <is>
          <t>VÄSTERNORRLANDS LÄN</t>
        </is>
      </c>
      <c r="E2375" t="inlineStr">
        <is>
          <t>SOLLEFTEÅ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22468-2024</t>
        </is>
      </c>
      <c r="B2376" s="1" t="n">
        <v>45446.95068287037</v>
      </c>
      <c r="C2376" s="1" t="n">
        <v>45998</v>
      </c>
      <c r="D2376" t="inlineStr">
        <is>
          <t>VÄSTERNORRLANDS LÄN</t>
        </is>
      </c>
      <c r="E2376" t="inlineStr">
        <is>
          <t>SOLLEFTEÅ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10077-2023</t>
        </is>
      </c>
      <c r="B2377" s="1" t="n">
        <v>44985.94408564815</v>
      </c>
      <c r="C2377" s="1" t="n">
        <v>45998</v>
      </c>
      <c r="D2377" t="inlineStr">
        <is>
          <t>VÄSTERNORRLANDS LÄN</t>
        </is>
      </c>
      <c r="E2377" t="inlineStr">
        <is>
          <t>SOLLEFTEÅ</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25945-2025</t>
        </is>
      </c>
      <c r="B2378" s="1" t="n">
        <v>45804</v>
      </c>
      <c r="C2378" s="1" t="n">
        <v>45998</v>
      </c>
      <c r="D2378" t="inlineStr">
        <is>
          <t>VÄSTERNORRLANDS LÄN</t>
        </is>
      </c>
      <c r="E2378" t="inlineStr">
        <is>
          <t>SOLLEFTEÅ</t>
        </is>
      </c>
      <c r="F2378" t="inlineStr">
        <is>
          <t>SCA</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54330-2023</t>
        </is>
      </c>
      <c r="B2379" s="1" t="n">
        <v>45232.95814814815</v>
      </c>
      <c r="C2379" s="1" t="n">
        <v>45998</v>
      </c>
      <c r="D2379" t="inlineStr">
        <is>
          <t>VÄSTERNORRLANDS LÄN</t>
        </is>
      </c>
      <c r="E2379" t="inlineStr">
        <is>
          <t>SOLLEFTEÅ</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2582-2025</t>
        </is>
      </c>
      <c r="B2380" s="1" t="n">
        <v>45674.67787037037</v>
      </c>
      <c r="C2380" s="1" t="n">
        <v>45998</v>
      </c>
      <c r="D2380" t="inlineStr">
        <is>
          <t>VÄSTERNORRLANDS LÄN</t>
        </is>
      </c>
      <c r="E2380" t="inlineStr">
        <is>
          <t>SOLLEFTEÅ</t>
        </is>
      </c>
      <c r="F2380" t="inlineStr">
        <is>
          <t>SCA</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12379-2025</t>
        </is>
      </c>
      <c r="B2381" s="1" t="n">
        <v>45730</v>
      </c>
      <c r="C2381" s="1" t="n">
        <v>45998</v>
      </c>
      <c r="D2381" t="inlineStr">
        <is>
          <t>VÄSTERNORRLANDS LÄN</t>
        </is>
      </c>
      <c r="E2381" t="inlineStr">
        <is>
          <t>SOLLEFTEÅ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6284-2025</t>
        </is>
      </c>
      <c r="B2382" s="1" t="n">
        <v>45698.63611111111</v>
      </c>
      <c r="C2382" s="1" t="n">
        <v>45998</v>
      </c>
      <c r="D2382" t="inlineStr">
        <is>
          <t>VÄSTERNORRLANDS LÄN</t>
        </is>
      </c>
      <c r="E2382" t="inlineStr">
        <is>
          <t>SOLLEFTEÅ</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62357-2023</t>
        </is>
      </c>
      <c r="B2383" s="1" t="n">
        <v>45267.95109953704</v>
      </c>
      <c r="C2383" s="1" t="n">
        <v>45998</v>
      </c>
      <c r="D2383" t="inlineStr">
        <is>
          <t>VÄSTERNORRLANDS LÄN</t>
        </is>
      </c>
      <c r="E2383" t="inlineStr">
        <is>
          <t>SOLLEFTEÅ</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35286-2025</t>
        </is>
      </c>
      <c r="B2384" s="1" t="n">
        <v>45854.36512731481</v>
      </c>
      <c r="C2384" s="1" t="n">
        <v>45998</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20516-2024</t>
        </is>
      </c>
      <c r="B2385" s="1" t="n">
        <v>45435</v>
      </c>
      <c r="C2385" s="1" t="n">
        <v>45998</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35572-2025</t>
        </is>
      </c>
      <c r="B2386" s="1" t="n">
        <v>45856.59423611111</v>
      </c>
      <c r="C2386" s="1" t="n">
        <v>45998</v>
      </c>
      <c r="D2386" t="inlineStr">
        <is>
          <t>VÄSTERNORRLANDS LÄN</t>
        </is>
      </c>
      <c r="E2386" t="inlineStr">
        <is>
          <t>SOLLEFTEÅ</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35448-2025</t>
        </is>
      </c>
      <c r="B2387" s="1" t="n">
        <v>45855.55247685185</v>
      </c>
      <c r="C2387" s="1" t="n">
        <v>45998</v>
      </c>
      <c r="D2387" t="inlineStr">
        <is>
          <t>VÄSTERNORRLANDS LÄN</t>
        </is>
      </c>
      <c r="E2387" t="inlineStr">
        <is>
          <t>SOLLEFTEÅ</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11057-2025</t>
        </is>
      </c>
      <c r="B2388" s="1" t="n">
        <v>45723.51069444444</v>
      </c>
      <c r="C2388" s="1" t="n">
        <v>45998</v>
      </c>
      <c r="D2388" t="inlineStr">
        <is>
          <t>VÄSTERNORRLANDS LÄN</t>
        </is>
      </c>
      <c r="E2388" t="inlineStr">
        <is>
          <t>SOLLEFTEÅ</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15147-2024</t>
        </is>
      </c>
      <c r="B2389" s="1" t="n">
        <v>45399.94372685185</v>
      </c>
      <c r="C2389" s="1" t="n">
        <v>45998</v>
      </c>
      <c r="D2389" t="inlineStr">
        <is>
          <t>VÄSTERNORRLANDS LÄN</t>
        </is>
      </c>
      <c r="E2389" t="inlineStr">
        <is>
          <t>SOLLEFTEÅ</t>
        </is>
      </c>
      <c r="F2389" t="inlineStr">
        <is>
          <t>SCA</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35506-2025</t>
        </is>
      </c>
      <c r="B2390" s="1" t="n">
        <v>45856</v>
      </c>
      <c r="C2390" s="1" t="n">
        <v>45998</v>
      </c>
      <c r="D2390" t="inlineStr">
        <is>
          <t>VÄSTERNORRLANDS LÄN</t>
        </is>
      </c>
      <c r="E2390" t="inlineStr">
        <is>
          <t>SOLLEFTEÅ</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35513-2025</t>
        </is>
      </c>
      <c r="B2391" s="1" t="n">
        <v>45856.36520833334</v>
      </c>
      <c r="C2391" s="1" t="n">
        <v>45998</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41924-2023</t>
        </is>
      </c>
      <c r="B2392" s="1" t="n">
        <v>45176</v>
      </c>
      <c r="C2392" s="1" t="n">
        <v>45998</v>
      </c>
      <c r="D2392" t="inlineStr">
        <is>
          <t>VÄSTERNORRLANDS LÄN</t>
        </is>
      </c>
      <c r="E2392" t="inlineStr">
        <is>
          <t>SOLLEFTEÅ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6063-2024</t>
        </is>
      </c>
      <c r="B2393" s="1" t="n">
        <v>45336.86584490741</v>
      </c>
      <c r="C2393" s="1" t="n">
        <v>45998</v>
      </c>
      <c r="D2393" t="inlineStr">
        <is>
          <t>VÄSTERNORRLANDS LÄN</t>
        </is>
      </c>
      <c r="E2393" t="inlineStr">
        <is>
          <t>SOLLEFTEÅ</t>
        </is>
      </c>
      <c r="F2393" t="inlineStr">
        <is>
          <t>Övriga Aktiebolag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53831-2024</t>
        </is>
      </c>
      <c r="B2394" s="1" t="n">
        <v>45615.61575231481</v>
      </c>
      <c r="C2394" s="1" t="n">
        <v>45998</v>
      </c>
      <c r="D2394" t="inlineStr">
        <is>
          <t>VÄSTERNORRLANDS LÄN</t>
        </is>
      </c>
      <c r="E2394" t="inlineStr">
        <is>
          <t>SOLLEFTEÅ</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45435-2024</t>
        </is>
      </c>
      <c r="B2395" s="1" t="n">
        <v>45576.61538194444</v>
      </c>
      <c r="C2395" s="1" t="n">
        <v>45998</v>
      </c>
      <c r="D2395" t="inlineStr">
        <is>
          <t>VÄSTERNORRLANDS LÄN</t>
        </is>
      </c>
      <c r="E2395" t="inlineStr">
        <is>
          <t>SOLLEFTEÅ</t>
        </is>
      </c>
      <c r="F2395" t="inlineStr">
        <is>
          <t>SCA</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43585-2024</t>
        </is>
      </c>
      <c r="B2396" s="1" t="n">
        <v>45569.42770833334</v>
      </c>
      <c r="C2396" s="1" t="n">
        <v>45998</v>
      </c>
      <c r="D2396" t="inlineStr">
        <is>
          <t>VÄSTERNORRLANDS LÄN</t>
        </is>
      </c>
      <c r="E2396" t="inlineStr">
        <is>
          <t>SOLLEFTEÅ</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52438-2024</t>
        </is>
      </c>
      <c r="B2397" s="1" t="n">
        <v>45609.48300925926</v>
      </c>
      <c r="C2397" s="1" t="n">
        <v>45998</v>
      </c>
      <c r="D2397" t="inlineStr">
        <is>
          <t>VÄSTERNORRLANDS LÄN</t>
        </is>
      </c>
      <c r="E2397" t="inlineStr">
        <is>
          <t>SOLLEFTEÅ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12311-2023</t>
        </is>
      </c>
      <c r="B2398" s="1" t="n">
        <v>44995</v>
      </c>
      <c r="C2398" s="1" t="n">
        <v>45998</v>
      </c>
      <c r="D2398" t="inlineStr">
        <is>
          <t>VÄSTERNORRLANDS LÄN</t>
        </is>
      </c>
      <c r="E2398" t="inlineStr">
        <is>
          <t>SOLLEFTEÅ</t>
        </is>
      </c>
      <c r="G2398" t="n">
        <v>16.8</v>
      </c>
      <c r="H2398" t="n">
        <v>0</v>
      </c>
      <c r="I2398" t="n">
        <v>0</v>
      </c>
      <c r="J2398" t="n">
        <v>0</v>
      </c>
      <c r="K2398" t="n">
        <v>0</v>
      </c>
      <c r="L2398" t="n">
        <v>0</v>
      </c>
      <c r="M2398" t="n">
        <v>0</v>
      </c>
      <c r="N2398" t="n">
        <v>0</v>
      </c>
      <c r="O2398" t="n">
        <v>0</v>
      </c>
      <c r="P2398" t="n">
        <v>0</v>
      </c>
      <c r="Q2398" t="n">
        <v>0</v>
      </c>
      <c r="R2398" s="2" t="inlineStr"/>
    </row>
    <row r="2399" ht="15" customHeight="1">
      <c r="A2399" t="inlineStr">
        <is>
          <t>A 12764-2022</t>
        </is>
      </c>
      <c r="B2399" s="1" t="n">
        <v>44641.93445601852</v>
      </c>
      <c r="C2399" s="1" t="n">
        <v>45998</v>
      </c>
      <c r="D2399" t="inlineStr">
        <is>
          <t>VÄSTERNORRLANDS LÄN</t>
        </is>
      </c>
      <c r="E2399" t="inlineStr">
        <is>
          <t>SOLLEFTEÅ</t>
        </is>
      </c>
      <c r="F2399" t="inlineStr">
        <is>
          <t>SCA</t>
        </is>
      </c>
      <c r="G2399" t="n">
        <v>13.7</v>
      </c>
      <c r="H2399" t="n">
        <v>0</v>
      </c>
      <c r="I2399" t="n">
        <v>0</v>
      </c>
      <c r="J2399" t="n">
        <v>0</v>
      </c>
      <c r="K2399" t="n">
        <v>0</v>
      </c>
      <c r="L2399" t="n">
        <v>0</v>
      </c>
      <c r="M2399" t="n">
        <v>0</v>
      </c>
      <c r="N2399" t="n">
        <v>0</v>
      </c>
      <c r="O2399" t="n">
        <v>0</v>
      </c>
      <c r="P2399" t="n">
        <v>0</v>
      </c>
      <c r="Q2399" t="n">
        <v>0</v>
      </c>
      <c r="R2399" s="2" t="inlineStr"/>
    </row>
    <row r="2400" ht="15" customHeight="1">
      <c r="A2400" t="inlineStr">
        <is>
          <t>A 50008-2024</t>
        </is>
      </c>
      <c r="B2400" s="1" t="n">
        <v>45598.57908564815</v>
      </c>
      <c r="C2400" s="1" t="n">
        <v>45998</v>
      </c>
      <c r="D2400" t="inlineStr">
        <is>
          <t>VÄSTERNORRLANDS LÄN</t>
        </is>
      </c>
      <c r="E2400" t="inlineStr">
        <is>
          <t>SOLLEFTEÅ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18951-2025</t>
        </is>
      </c>
      <c r="B2401" s="1" t="n">
        <v>45764.51086805556</v>
      </c>
      <c r="C2401" s="1" t="n">
        <v>45998</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32969-2022</t>
        </is>
      </c>
      <c r="B2402" s="1" t="n">
        <v>44784.9402662037</v>
      </c>
      <c r="C2402" s="1" t="n">
        <v>45998</v>
      </c>
      <c r="D2402" t="inlineStr">
        <is>
          <t>VÄSTERNORRLANDS LÄN</t>
        </is>
      </c>
      <c r="E2402" t="inlineStr">
        <is>
          <t>SOLLEFTEÅ</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14448-2022</t>
        </is>
      </c>
      <c r="B2403" s="1" t="n">
        <v>44652</v>
      </c>
      <c r="C2403" s="1" t="n">
        <v>45998</v>
      </c>
      <c r="D2403" t="inlineStr">
        <is>
          <t>VÄSTERNORRLANDS LÄN</t>
        </is>
      </c>
      <c r="E2403" t="inlineStr">
        <is>
          <t>SOLLEFTEÅ</t>
        </is>
      </c>
      <c r="F2403" t="inlineStr">
        <is>
          <t>SCA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41041-2024</t>
        </is>
      </c>
      <c r="B2404" s="1" t="n">
        <v>45558</v>
      </c>
      <c r="C2404" s="1" t="n">
        <v>45998</v>
      </c>
      <c r="D2404" t="inlineStr">
        <is>
          <t>VÄSTERNORRLANDS LÄN</t>
        </is>
      </c>
      <c r="E2404" t="inlineStr">
        <is>
          <t>SOLLEFTEÅ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41042-2024</t>
        </is>
      </c>
      <c r="B2405" s="1" t="n">
        <v>45559.36490740741</v>
      </c>
      <c r="C2405" s="1" t="n">
        <v>45998</v>
      </c>
      <c r="D2405" t="inlineStr">
        <is>
          <t>VÄSTERNORRLANDS LÄN</t>
        </is>
      </c>
      <c r="E2405" t="inlineStr">
        <is>
          <t>SOLLEFTEÅ</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39801-2024</t>
        </is>
      </c>
      <c r="B2406" s="1" t="n">
        <v>45553.34439814815</v>
      </c>
      <c r="C2406" s="1" t="n">
        <v>45998</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29956-2023</t>
        </is>
      </c>
      <c r="B2407" s="1" t="n">
        <v>45107</v>
      </c>
      <c r="C2407" s="1" t="n">
        <v>45998</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39799-2024</t>
        </is>
      </c>
      <c r="B2408" s="1" t="n">
        <v>45553.34415509259</v>
      </c>
      <c r="C2408" s="1" t="n">
        <v>45998</v>
      </c>
      <c r="D2408" t="inlineStr">
        <is>
          <t>VÄSTERNORRLANDS LÄN</t>
        </is>
      </c>
      <c r="E2408" t="inlineStr">
        <is>
          <t>SOLLEFTEÅ</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42115-2024</t>
        </is>
      </c>
      <c r="B2409" s="1" t="n">
        <v>45562.38615740741</v>
      </c>
      <c r="C2409" s="1" t="n">
        <v>45998</v>
      </c>
      <c r="D2409" t="inlineStr">
        <is>
          <t>VÄSTERNORRLANDS LÄN</t>
        </is>
      </c>
      <c r="E2409" t="inlineStr">
        <is>
          <t>SOLLEFTEÅ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2408-2023</t>
        </is>
      </c>
      <c r="B2410" s="1" t="n">
        <v>44942</v>
      </c>
      <c r="C2410" s="1" t="n">
        <v>45998</v>
      </c>
      <c r="D2410" t="inlineStr">
        <is>
          <t>VÄSTERNORRLANDS LÄN</t>
        </is>
      </c>
      <c r="E2410" t="inlineStr">
        <is>
          <t>SOLLEFTEÅ</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25356-2024</t>
        </is>
      </c>
      <c r="B2411" s="1" t="n">
        <v>45462.9565162037</v>
      </c>
      <c r="C2411" s="1" t="n">
        <v>45998</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16308-2025</t>
        </is>
      </c>
      <c r="B2412" s="1" t="n">
        <v>45751.34700231482</v>
      </c>
      <c r="C2412" s="1" t="n">
        <v>45998</v>
      </c>
      <c r="D2412" t="inlineStr">
        <is>
          <t>VÄSTERNORRLANDS LÄN</t>
        </is>
      </c>
      <c r="E2412" t="inlineStr">
        <is>
          <t>SOLLEFTEÅ</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14055-2022</t>
        </is>
      </c>
      <c r="B2413" s="1" t="n">
        <v>44650.93824074074</v>
      </c>
      <c r="C2413" s="1" t="n">
        <v>45998</v>
      </c>
      <c r="D2413" t="inlineStr">
        <is>
          <t>VÄSTERNORRLANDS LÄN</t>
        </is>
      </c>
      <c r="E2413" t="inlineStr">
        <is>
          <t>SOLLEFTEÅ</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7234-2024</t>
        </is>
      </c>
      <c r="B2414" s="1" t="n">
        <v>45344.65627314815</v>
      </c>
      <c r="C2414" s="1" t="n">
        <v>45998</v>
      </c>
      <c r="D2414" t="inlineStr">
        <is>
          <t>VÄSTERNORRLANDS LÄN</t>
        </is>
      </c>
      <c r="E2414" t="inlineStr">
        <is>
          <t>SOLLEFTEÅ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17512-2024</t>
        </is>
      </c>
      <c r="B2415" s="1" t="n">
        <v>45415</v>
      </c>
      <c r="C2415" s="1" t="n">
        <v>45998</v>
      </c>
      <c r="D2415" t="inlineStr">
        <is>
          <t>VÄSTERNORRLANDS LÄN</t>
        </is>
      </c>
      <c r="E2415" t="inlineStr">
        <is>
          <t>SOLLEFTEÅ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20204-2025</t>
        </is>
      </c>
      <c r="B2416" s="1" t="n">
        <v>45772.61537037037</v>
      </c>
      <c r="C2416" s="1" t="n">
        <v>45998</v>
      </c>
      <c r="D2416" t="inlineStr">
        <is>
          <t>VÄSTERNORRLANDS LÄN</t>
        </is>
      </c>
      <c r="E2416" t="inlineStr">
        <is>
          <t>SOLLEFTEÅ</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31559-2024</t>
        </is>
      </c>
      <c r="B2417" s="1" t="n">
        <v>45505.96555555556</v>
      </c>
      <c r="C2417" s="1" t="n">
        <v>45998</v>
      </c>
      <c r="D2417" t="inlineStr">
        <is>
          <t>VÄSTERNORRLANDS LÄN</t>
        </is>
      </c>
      <c r="E2417" t="inlineStr">
        <is>
          <t>SOLLEFTEÅ</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4894-2025</t>
        </is>
      </c>
      <c r="B2418" s="1" t="n">
        <v>45688.67888888889</v>
      </c>
      <c r="C2418" s="1" t="n">
        <v>45998</v>
      </c>
      <c r="D2418" t="inlineStr">
        <is>
          <t>VÄSTERNORRLANDS LÄN</t>
        </is>
      </c>
      <c r="E2418" t="inlineStr">
        <is>
          <t>SOLLEFTEÅ</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4931-2025</t>
        </is>
      </c>
      <c r="B2419" s="1" t="n">
        <v>45688.68476851852</v>
      </c>
      <c r="C2419" s="1" t="n">
        <v>45998</v>
      </c>
      <c r="D2419" t="inlineStr">
        <is>
          <t>VÄSTERNORRLANDS LÄN</t>
        </is>
      </c>
      <c r="E2419" t="inlineStr">
        <is>
          <t>SOLLEFTEÅ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14718-2023</t>
        </is>
      </c>
      <c r="B2420" s="1" t="n">
        <v>45012</v>
      </c>
      <c r="C2420" s="1" t="n">
        <v>45998</v>
      </c>
      <c r="D2420" t="inlineStr">
        <is>
          <t>VÄSTERNORRLANDS LÄN</t>
        </is>
      </c>
      <c r="E2420" t="inlineStr">
        <is>
          <t>SOLLEFTEÅ</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28580-2024</t>
        </is>
      </c>
      <c r="B2421" s="1" t="n">
        <v>45478</v>
      </c>
      <c r="C2421" s="1" t="n">
        <v>45998</v>
      </c>
      <c r="D2421" t="inlineStr">
        <is>
          <t>VÄSTERNORRLANDS LÄN</t>
        </is>
      </c>
      <c r="E2421" t="inlineStr">
        <is>
          <t>SOLLEFTEÅ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23030-2021</t>
        </is>
      </c>
      <c r="B2422" s="1" t="n">
        <v>44328.94091435185</v>
      </c>
      <c r="C2422" s="1" t="n">
        <v>45998</v>
      </c>
      <c r="D2422" t="inlineStr">
        <is>
          <t>VÄSTERNORRLANDS LÄN</t>
        </is>
      </c>
      <c r="E2422" t="inlineStr">
        <is>
          <t>SOLLEFTEÅ</t>
        </is>
      </c>
      <c r="F2422" t="inlineStr">
        <is>
          <t>SCA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55710-2024</t>
        </is>
      </c>
      <c r="B2423" s="1" t="n">
        <v>45622.6985300926</v>
      </c>
      <c r="C2423" s="1" t="n">
        <v>45998</v>
      </c>
      <c r="D2423" t="inlineStr">
        <is>
          <t>VÄSTERNORRLANDS LÄN</t>
        </is>
      </c>
      <c r="E2423" t="inlineStr">
        <is>
          <t>SOLLEFTEÅ</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55726-2024</t>
        </is>
      </c>
      <c r="B2424" s="1" t="n">
        <v>45622.84653935185</v>
      </c>
      <c r="C2424" s="1" t="n">
        <v>45998</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55756-2024</t>
        </is>
      </c>
      <c r="B2425" s="1" t="n">
        <v>45623</v>
      </c>
      <c r="C2425" s="1" t="n">
        <v>45998</v>
      </c>
      <c r="D2425" t="inlineStr">
        <is>
          <t>VÄSTERNORRLANDS LÄN</t>
        </is>
      </c>
      <c r="E2425" t="inlineStr">
        <is>
          <t>SOLLEFTEÅ</t>
        </is>
      </c>
      <c r="F2425" t="inlineStr">
        <is>
          <t>Holmen skog AB</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55769-2024</t>
        </is>
      </c>
      <c r="B2426" s="1" t="n">
        <v>45623.38574074074</v>
      </c>
      <c r="C2426" s="1" t="n">
        <v>45998</v>
      </c>
      <c r="D2426" t="inlineStr">
        <is>
          <t>VÄSTERNORRLANDS LÄN</t>
        </is>
      </c>
      <c r="E2426" t="inlineStr">
        <is>
          <t>SOLLEFTEÅ</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56204-2024</t>
        </is>
      </c>
      <c r="B2427" s="1" t="n">
        <v>45624</v>
      </c>
      <c r="C2427" s="1" t="n">
        <v>45998</v>
      </c>
      <c r="D2427" t="inlineStr">
        <is>
          <t>VÄSTERNORRLANDS LÄN</t>
        </is>
      </c>
      <c r="E2427" t="inlineStr">
        <is>
          <t>SOLLEFTEÅ</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57107-2024</t>
        </is>
      </c>
      <c r="B2428" s="1" t="n">
        <v>45629</v>
      </c>
      <c r="C2428" s="1" t="n">
        <v>45998</v>
      </c>
      <c r="D2428" t="inlineStr">
        <is>
          <t>VÄSTERNORRLANDS LÄN</t>
        </is>
      </c>
      <c r="E2428" t="inlineStr">
        <is>
          <t>SOLLEFTEÅ</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5519-2023</t>
        </is>
      </c>
      <c r="B2429" s="1" t="n">
        <v>44960.42409722223</v>
      </c>
      <c r="C2429" s="1" t="n">
        <v>45998</v>
      </c>
      <c r="D2429" t="inlineStr">
        <is>
          <t>VÄSTERNORRLANDS LÄN</t>
        </is>
      </c>
      <c r="E2429" t="inlineStr">
        <is>
          <t>SOLLEFTEÅ</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55824-2024</t>
        </is>
      </c>
      <c r="B2430" s="1" t="n">
        <v>45623.47813657407</v>
      </c>
      <c r="C2430" s="1" t="n">
        <v>45998</v>
      </c>
      <c r="D2430" t="inlineStr">
        <is>
          <t>VÄSTERNORRLANDS LÄN</t>
        </is>
      </c>
      <c r="E2430" t="inlineStr">
        <is>
          <t>SOLLEFTEÅ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62406-2022</t>
        </is>
      </c>
      <c r="B2431" s="1" t="n">
        <v>44923</v>
      </c>
      <c r="C2431" s="1" t="n">
        <v>45998</v>
      </c>
      <c r="D2431" t="inlineStr">
        <is>
          <t>VÄSTERNORRLANDS LÄN</t>
        </is>
      </c>
      <c r="E2431" t="inlineStr">
        <is>
          <t>SOLLEFTEÅ</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59421-2024</t>
        </is>
      </c>
      <c r="B2432" s="1" t="n">
        <v>45638.41244212963</v>
      </c>
      <c r="C2432" s="1" t="n">
        <v>45998</v>
      </c>
      <c r="D2432" t="inlineStr">
        <is>
          <t>VÄSTERNORRLANDS LÄN</t>
        </is>
      </c>
      <c r="E2432" t="inlineStr">
        <is>
          <t>SOLLEFTEÅ</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59491-2024</t>
        </is>
      </c>
      <c r="B2433" s="1" t="n">
        <v>45637</v>
      </c>
      <c r="C2433" s="1" t="n">
        <v>45998</v>
      </c>
      <c r="D2433" t="inlineStr">
        <is>
          <t>VÄSTERNORRLANDS LÄN</t>
        </is>
      </c>
      <c r="E2433" t="inlineStr">
        <is>
          <t>SOLLEFTEÅ</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19433-2021</t>
        </is>
      </c>
      <c r="B2434" s="1" t="n">
        <v>44309.94400462963</v>
      </c>
      <c r="C2434" s="1" t="n">
        <v>45998</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55851-2024</t>
        </is>
      </c>
      <c r="B2435" s="1" t="n">
        <v>45623.51140046296</v>
      </c>
      <c r="C2435" s="1" t="n">
        <v>45998</v>
      </c>
      <c r="D2435" t="inlineStr">
        <is>
          <t>VÄSTERNORRLANDS LÄN</t>
        </is>
      </c>
      <c r="E2435" t="inlineStr">
        <is>
          <t>SOLLEFTEÅ</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54806-2024</t>
        </is>
      </c>
      <c r="B2436" s="1" t="n">
        <v>45618.51133101852</v>
      </c>
      <c r="C2436" s="1" t="n">
        <v>45998</v>
      </c>
      <c r="D2436" t="inlineStr">
        <is>
          <t>VÄSTERNORRLANDS LÄN</t>
        </is>
      </c>
      <c r="E2436" t="inlineStr">
        <is>
          <t>SOLLEFTEÅ</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21582-2022</t>
        </is>
      </c>
      <c r="B2437" s="1" t="n">
        <v>44706</v>
      </c>
      <c r="C2437" s="1" t="n">
        <v>45998</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43627-2024</t>
        </is>
      </c>
      <c r="B2438" s="1" t="n">
        <v>45569.49006944444</v>
      </c>
      <c r="C2438" s="1" t="n">
        <v>45998</v>
      </c>
      <c r="D2438" t="inlineStr">
        <is>
          <t>VÄSTERNORRLANDS LÄN</t>
        </is>
      </c>
      <c r="E2438" t="inlineStr">
        <is>
          <t>SOLLEFTEÅ</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12734-2023</t>
        </is>
      </c>
      <c r="B2439" s="1" t="n">
        <v>45000.92436342593</v>
      </c>
      <c r="C2439" s="1" t="n">
        <v>45998</v>
      </c>
      <c r="D2439" t="inlineStr">
        <is>
          <t>VÄSTERNORRLANDS LÄN</t>
        </is>
      </c>
      <c r="E2439" t="inlineStr">
        <is>
          <t>SOLLEFTEÅ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12820-2023</t>
        </is>
      </c>
      <c r="B2440" s="1" t="n">
        <v>45000</v>
      </c>
      <c r="C2440" s="1" t="n">
        <v>45998</v>
      </c>
      <c r="D2440" t="inlineStr">
        <is>
          <t>VÄSTERNORRLANDS LÄN</t>
        </is>
      </c>
      <c r="E2440" t="inlineStr">
        <is>
          <t>SOLLEFTEÅ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27391-2023</t>
        </is>
      </c>
      <c r="B2441" s="1" t="n">
        <v>45096.93991898148</v>
      </c>
      <c r="C2441" s="1" t="n">
        <v>45998</v>
      </c>
      <c r="D2441" t="inlineStr">
        <is>
          <t>VÄSTERNORRLANDS LÄN</t>
        </is>
      </c>
      <c r="E2441" t="inlineStr">
        <is>
          <t>SOLLEFTEÅ</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20599-2023</t>
        </is>
      </c>
      <c r="B2442" s="1" t="n">
        <v>45057.94172453704</v>
      </c>
      <c r="C2442" s="1" t="n">
        <v>45998</v>
      </c>
      <c r="D2442" t="inlineStr">
        <is>
          <t>VÄSTERNORRLANDS LÄN</t>
        </is>
      </c>
      <c r="E2442" t="inlineStr">
        <is>
          <t>SOLLEFTEÅ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11039-2023</t>
        </is>
      </c>
      <c r="B2443" s="1" t="n">
        <v>44991.94622685185</v>
      </c>
      <c r="C2443" s="1" t="n">
        <v>45998</v>
      </c>
      <c r="D2443" t="inlineStr">
        <is>
          <t>VÄSTERNORRLANDS LÄN</t>
        </is>
      </c>
      <c r="E2443" t="inlineStr">
        <is>
          <t>SOLLEFTEÅ</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26962-2024</t>
        </is>
      </c>
      <c r="B2444" s="1" t="n">
        <v>45470.9716087963</v>
      </c>
      <c r="C2444" s="1" t="n">
        <v>45998</v>
      </c>
      <c r="D2444" t="inlineStr">
        <is>
          <t>VÄSTERNORRLANDS LÄN</t>
        </is>
      </c>
      <c r="E2444" t="inlineStr">
        <is>
          <t>SOLLEFTEÅ</t>
        </is>
      </c>
      <c r="F2444" t="inlineStr">
        <is>
          <t>SCA</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22235-2024</t>
        </is>
      </c>
      <c r="B2445" s="1" t="n">
        <v>45446</v>
      </c>
      <c r="C2445" s="1" t="n">
        <v>45998</v>
      </c>
      <c r="D2445" t="inlineStr">
        <is>
          <t>VÄSTERNORRLANDS LÄN</t>
        </is>
      </c>
      <c r="E2445" t="inlineStr">
        <is>
          <t>SOLLEFTEÅ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57094-2024</t>
        </is>
      </c>
      <c r="B2446" s="1" t="n">
        <v>45629.35780092593</v>
      </c>
      <c r="C2446" s="1" t="n">
        <v>45998</v>
      </c>
      <c r="D2446" t="inlineStr">
        <is>
          <t>VÄSTERNORRLANDS LÄN</t>
        </is>
      </c>
      <c r="E2446" t="inlineStr">
        <is>
          <t>SOLLEFTEÅ</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3873-2025</t>
        </is>
      </c>
      <c r="B2447" s="1" t="n">
        <v>45684</v>
      </c>
      <c r="C2447" s="1" t="n">
        <v>45998</v>
      </c>
      <c r="D2447" t="inlineStr">
        <is>
          <t>VÄSTERNORRLANDS LÄN</t>
        </is>
      </c>
      <c r="E2447" t="inlineStr">
        <is>
          <t>SOLLEFTEÅ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61201-2024</t>
        </is>
      </c>
      <c r="B2448" s="1" t="n">
        <v>45645.6360300926</v>
      </c>
      <c r="C2448" s="1" t="n">
        <v>45998</v>
      </c>
      <c r="D2448" t="inlineStr">
        <is>
          <t>VÄSTERNORRLANDS LÄN</t>
        </is>
      </c>
      <c r="E2448" t="inlineStr">
        <is>
          <t>SOLLEFTEÅ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5989-2021</t>
        </is>
      </c>
      <c r="B2449" s="1" t="n">
        <v>44231</v>
      </c>
      <c r="C2449" s="1" t="n">
        <v>45998</v>
      </c>
      <c r="D2449" t="inlineStr">
        <is>
          <t>VÄSTERNORRLANDS LÄN</t>
        </is>
      </c>
      <c r="E2449" t="inlineStr">
        <is>
          <t>SOLLEFTEÅ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11125-2022</t>
        </is>
      </c>
      <c r="B2450" s="1" t="n">
        <v>44628</v>
      </c>
      <c r="C2450" s="1" t="n">
        <v>45998</v>
      </c>
      <c r="D2450" t="inlineStr">
        <is>
          <t>VÄSTERNORRLANDS LÄN</t>
        </is>
      </c>
      <c r="E2450" t="inlineStr">
        <is>
          <t>SOLLEFTEÅ</t>
        </is>
      </c>
      <c r="F2450" t="inlineStr">
        <is>
          <t>SCA</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17604-2021</t>
        </is>
      </c>
      <c r="B2451" s="1" t="n">
        <v>44299</v>
      </c>
      <c r="C2451" s="1" t="n">
        <v>45998</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9120-2024</t>
        </is>
      </c>
      <c r="B2452" s="1" t="n">
        <v>45358.04091435186</v>
      </c>
      <c r="C2452" s="1" t="n">
        <v>45998</v>
      </c>
      <c r="D2452" t="inlineStr">
        <is>
          <t>VÄSTERNORRLANDS LÄN</t>
        </is>
      </c>
      <c r="E2452" t="inlineStr">
        <is>
          <t>SOLLEFTEÅ</t>
        </is>
      </c>
      <c r="F2452" t="inlineStr">
        <is>
          <t>SCA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9122-2024</t>
        </is>
      </c>
      <c r="B2453" s="1" t="n">
        <v>45358.04107638889</v>
      </c>
      <c r="C2453" s="1" t="n">
        <v>45998</v>
      </c>
      <c r="D2453" t="inlineStr">
        <is>
          <t>VÄSTERNORRLANDS LÄN</t>
        </is>
      </c>
      <c r="E2453" t="inlineStr">
        <is>
          <t>SOLLEFTEÅ</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60827-2024</t>
        </is>
      </c>
      <c r="B2454" s="1" t="n">
        <v>45644.63590277778</v>
      </c>
      <c r="C2454" s="1" t="n">
        <v>45998</v>
      </c>
      <c r="D2454" t="inlineStr">
        <is>
          <t>VÄSTERNORRLANDS LÄN</t>
        </is>
      </c>
      <c r="E2454" t="inlineStr">
        <is>
          <t>SOLLEFTEÅ</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20738-2022</t>
        </is>
      </c>
      <c r="B2455" s="1" t="n">
        <v>44700</v>
      </c>
      <c r="C2455" s="1" t="n">
        <v>45998</v>
      </c>
      <c r="D2455" t="inlineStr">
        <is>
          <t>VÄSTERNORRLANDS LÄN</t>
        </is>
      </c>
      <c r="E2455" t="inlineStr">
        <is>
          <t>SOLLEFTEÅ</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21095-2024</t>
        </is>
      </c>
      <c r="B2456" s="1" t="n">
        <v>45439.95034722222</v>
      </c>
      <c r="C2456" s="1" t="n">
        <v>45998</v>
      </c>
      <c r="D2456" t="inlineStr">
        <is>
          <t>VÄSTERNORRLANDS LÄN</t>
        </is>
      </c>
      <c r="E2456" t="inlineStr">
        <is>
          <t>SOLLEFTEÅ</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8959-2023</t>
        </is>
      </c>
      <c r="B2457" s="1" t="n">
        <v>44974</v>
      </c>
      <c r="C2457" s="1" t="n">
        <v>45998</v>
      </c>
      <c r="D2457" t="inlineStr">
        <is>
          <t>VÄSTERNORRLANDS LÄN</t>
        </is>
      </c>
      <c r="E2457" t="inlineStr">
        <is>
          <t>SOLLEFTEÅ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2345-2025</t>
        </is>
      </c>
      <c r="B2458" s="1" t="n">
        <v>45673.67747685185</v>
      </c>
      <c r="C2458" s="1" t="n">
        <v>45998</v>
      </c>
      <c r="D2458" t="inlineStr">
        <is>
          <t>VÄSTERNORRLANDS LÄN</t>
        </is>
      </c>
      <c r="E2458" t="inlineStr">
        <is>
          <t>SOLLEFTEÅ</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12539-2023</t>
        </is>
      </c>
      <c r="B2459" s="1" t="n">
        <v>45000.01452546296</v>
      </c>
      <c r="C2459" s="1" t="n">
        <v>45998</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2481-2025</t>
        </is>
      </c>
      <c r="B2460" s="1" t="n">
        <v>45674.48996527777</v>
      </c>
      <c r="C2460" s="1" t="n">
        <v>45998</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62262-2022</t>
        </is>
      </c>
      <c r="B2461" s="1" t="n">
        <v>44922.94387731481</v>
      </c>
      <c r="C2461" s="1" t="n">
        <v>45998</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3082-2025</t>
        </is>
      </c>
      <c r="B2462" s="1" t="n">
        <v>45678.64443287037</v>
      </c>
      <c r="C2462" s="1" t="n">
        <v>45998</v>
      </c>
      <c r="D2462" t="inlineStr">
        <is>
          <t>VÄSTERNORRLANDS LÄN</t>
        </is>
      </c>
      <c r="E2462" t="inlineStr">
        <is>
          <t>SOLLEFTEÅ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3095-2025</t>
        </is>
      </c>
      <c r="B2463" s="1" t="n">
        <v>45678.66633101852</v>
      </c>
      <c r="C2463" s="1" t="n">
        <v>45998</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3103-2025</t>
        </is>
      </c>
      <c r="B2464" s="1" t="n">
        <v>45678.67739583334</v>
      </c>
      <c r="C2464" s="1" t="n">
        <v>45998</v>
      </c>
      <c r="D2464" t="inlineStr">
        <is>
          <t>VÄSTERNORRLANDS LÄN</t>
        </is>
      </c>
      <c r="E2464" t="inlineStr">
        <is>
          <t>SOLLEFTEÅ</t>
        </is>
      </c>
      <c r="F2464" t="inlineStr">
        <is>
          <t>SCA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53483-2024</t>
        </is>
      </c>
      <c r="B2465" s="1" t="n">
        <v>45611</v>
      </c>
      <c r="C2465" s="1" t="n">
        <v>45998</v>
      </c>
      <c r="D2465" t="inlineStr">
        <is>
          <t>VÄSTERNORRLANDS LÄN</t>
        </is>
      </c>
      <c r="E2465" t="inlineStr">
        <is>
          <t>SOLLEFTEÅ</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4501-2023</t>
        </is>
      </c>
      <c r="B2466" s="1" t="n">
        <v>44952</v>
      </c>
      <c r="C2466" s="1" t="n">
        <v>45998</v>
      </c>
      <c r="D2466" t="inlineStr">
        <is>
          <t>VÄSTERNORRLANDS LÄN</t>
        </is>
      </c>
      <c r="E2466" t="inlineStr">
        <is>
          <t>SOLLEFTEÅ</t>
        </is>
      </c>
      <c r="F2466" t="inlineStr">
        <is>
          <t>Övriga Aktiebolag</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12107-2023</t>
        </is>
      </c>
      <c r="B2467" s="1" t="n">
        <v>44995</v>
      </c>
      <c r="C2467" s="1" t="n">
        <v>45998</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64638-2021</t>
        </is>
      </c>
      <c r="B2468" s="1" t="n">
        <v>44511</v>
      </c>
      <c r="C2468" s="1" t="n">
        <v>45998</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54307-2023</t>
        </is>
      </c>
      <c r="B2469" s="1" t="n">
        <v>45225</v>
      </c>
      <c r="C2469" s="1" t="n">
        <v>45998</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25079-2023</t>
        </is>
      </c>
      <c r="B2470" s="1" t="n">
        <v>45086</v>
      </c>
      <c r="C2470" s="1" t="n">
        <v>45998</v>
      </c>
      <c r="D2470" t="inlineStr">
        <is>
          <t>VÄSTERNORRLANDS LÄN</t>
        </is>
      </c>
      <c r="E2470" t="inlineStr">
        <is>
          <t>SOLLEFTEÅ</t>
        </is>
      </c>
      <c r="F2470" t="inlineStr">
        <is>
          <t>Kommuner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62171-2024</t>
        </is>
      </c>
      <c r="B2471" s="1" t="n">
        <v>45657.65657407408</v>
      </c>
      <c r="C2471" s="1" t="n">
        <v>45998</v>
      </c>
      <c r="D2471" t="inlineStr">
        <is>
          <t>VÄSTERNORRLANDS LÄN</t>
        </is>
      </c>
      <c r="E2471" t="inlineStr">
        <is>
          <t>SOLLEFTEÅ</t>
        </is>
      </c>
      <c r="F2471" t="inlineStr">
        <is>
          <t>SCA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657-2025</t>
        </is>
      </c>
      <c r="B2472" s="1" t="n">
        <v>45664.67766203704</v>
      </c>
      <c r="C2472" s="1" t="n">
        <v>45998</v>
      </c>
      <c r="D2472" t="inlineStr">
        <is>
          <t>VÄSTERNORRLANDS LÄN</t>
        </is>
      </c>
      <c r="E2472" t="inlineStr">
        <is>
          <t>SOLLEFTEÅ</t>
        </is>
      </c>
      <c r="F2472" t="inlineStr">
        <is>
          <t>SCA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37726-2023</t>
        </is>
      </c>
      <c r="B2473" s="1" t="n">
        <v>45156</v>
      </c>
      <c r="C2473" s="1" t="n">
        <v>45998</v>
      </c>
      <c r="D2473" t="inlineStr">
        <is>
          <t>VÄSTERNORRLANDS LÄN</t>
        </is>
      </c>
      <c r="E2473" t="inlineStr">
        <is>
          <t>SOLLEFTEÅ</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8712-2025</t>
        </is>
      </c>
      <c r="B2474" s="1" t="n">
        <v>45712.49872685185</v>
      </c>
      <c r="C2474" s="1" t="n">
        <v>45998</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49567-2024</t>
        </is>
      </c>
      <c r="B2475" s="1" t="n">
        <v>45596.49003472222</v>
      </c>
      <c r="C2475" s="1" t="n">
        <v>45998</v>
      </c>
      <c r="D2475" t="inlineStr">
        <is>
          <t>VÄSTERNORRLANDS LÄN</t>
        </is>
      </c>
      <c r="E2475" t="inlineStr">
        <is>
          <t>SOLLEFTEÅ</t>
        </is>
      </c>
      <c r="F2475" t="inlineStr">
        <is>
          <t>SCA</t>
        </is>
      </c>
      <c r="G2475" t="n">
        <v>4.3</v>
      </c>
      <c r="H2475" t="n">
        <v>0</v>
      </c>
      <c r="I2475" t="n">
        <v>0</v>
      </c>
      <c r="J2475" t="n">
        <v>0</v>
      </c>
      <c r="K2475" t="n">
        <v>0</v>
      </c>
      <c r="L2475" t="n">
        <v>0</v>
      </c>
      <c r="M2475" t="n">
        <v>0</v>
      </c>
      <c r="N2475" t="n">
        <v>0</v>
      </c>
      <c r="O2475" t="n">
        <v>0</v>
      </c>
      <c r="P2475" t="n">
        <v>0</v>
      </c>
      <c r="Q2475" t="n">
        <v>0</v>
      </c>
      <c r="R2475" s="2" t="inlineStr"/>
      <c r="U2475">
        <f>HYPERLINK("https://klasma.github.io/Logging_2283/knärot/A 49567-2024 karta knärot.png", "A 49567-2024")</f>
        <v/>
      </c>
      <c r="V2475">
        <f>HYPERLINK("https://klasma.github.io/Logging_2283/klagomål/A 49567-2024 FSC-klagomål.docx", "A 49567-2024")</f>
        <v/>
      </c>
      <c r="W2475">
        <f>HYPERLINK("https://klasma.github.io/Logging_2283/klagomålsmail/A 49567-2024 FSC-klagomål mail.docx", "A 49567-2024")</f>
        <v/>
      </c>
      <c r="X2475">
        <f>HYPERLINK("https://klasma.github.io/Logging_2283/tillsyn/A 49567-2024 tillsynsbegäran.docx", "A 49567-2024")</f>
        <v/>
      </c>
      <c r="Y2475">
        <f>HYPERLINK("https://klasma.github.io/Logging_2283/tillsynsmail/A 49567-2024 tillsynsbegäran mail.docx", "A 49567-2024")</f>
        <v/>
      </c>
    </row>
    <row r="2476" ht="15" customHeight="1">
      <c r="A2476" t="inlineStr">
        <is>
          <t>A 7007-2025</t>
        </is>
      </c>
      <c r="B2476" s="1" t="n">
        <v>45701</v>
      </c>
      <c r="C2476" s="1" t="n">
        <v>45998</v>
      </c>
      <c r="D2476" t="inlineStr">
        <is>
          <t>VÄSTERNORRLANDS LÄN</t>
        </is>
      </c>
      <c r="E2476" t="inlineStr">
        <is>
          <t>SOLLEFTEÅ</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9072-2025</t>
        </is>
      </c>
      <c r="B2477" s="1" t="n">
        <v>45713.65673611111</v>
      </c>
      <c r="C2477" s="1" t="n">
        <v>45998</v>
      </c>
      <c r="D2477" t="inlineStr">
        <is>
          <t>VÄSTERNORRLANDS LÄN</t>
        </is>
      </c>
      <c r="E2477" t="inlineStr">
        <is>
          <t>SOLLEFTEÅ</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34309-2023</t>
        </is>
      </c>
      <c r="B2478" s="1" t="n">
        <v>45138.92300925926</v>
      </c>
      <c r="C2478" s="1" t="n">
        <v>45998</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34328-2023</t>
        </is>
      </c>
      <c r="B2479" s="1" t="n">
        <v>45138.9499074074</v>
      </c>
      <c r="C2479" s="1" t="n">
        <v>45998</v>
      </c>
      <c r="D2479" t="inlineStr">
        <is>
          <t>VÄSTERNORRLANDS LÄN</t>
        </is>
      </c>
      <c r="E2479" t="inlineStr">
        <is>
          <t>SOLLEFTEÅ</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34330-2023</t>
        </is>
      </c>
      <c r="B2480" s="1" t="n">
        <v>45138</v>
      </c>
      <c r="C2480" s="1" t="n">
        <v>45998</v>
      </c>
      <c r="D2480" t="inlineStr">
        <is>
          <t>VÄSTERNORRLANDS LÄN</t>
        </is>
      </c>
      <c r="E2480" t="inlineStr">
        <is>
          <t>SOLLEFTEÅ</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12062-2025</t>
        </is>
      </c>
      <c r="B2481" s="1" t="n">
        <v>45728.6984837963</v>
      </c>
      <c r="C2481" s="1" t="n">
        <v>45998</v>
      </c>
      <c r="D2481" t="inlineStr">
        <is>
          <t>VÄSTERNORRLANDS LÄN</t>
        </is>
      </c>
      <c r="E2481" t="inlineStr">
        <is>
          <t>SOLLEFTEÅ</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774-2025</t>
        </is>
      </c>
      <c r="B2482" s="1" t="n">
        <v>45659</v>
      </c>
      <c r="C2482" s="1" t="n">
        <v>45998</v>
      </c>
      <c r="D2482" t="inlineStr">
        <is>
          <t>VÄSTERNORRLANDS LÄN</t>
        </is>
      </c>
      <c r="E2482" t="inlineStr">
        <is>
          <t>SOLLEFTEÅ</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775-2025</t>
        </is>
      </c>
      <c r="B2483" s="1" t="n">
        <v>45659</v>
      </c>
      <c r="C2483" s="1" t="n">
        <v>45998</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31177-2023</t>
        </is>
      </c>
      <c r="B2484" s="1" t="n">
        <v>45113</v>
      </c>
      <c r="C2484" s="1" t="n">
        <v>45998</v>
      </c>
      <c r="D2484" t="inlineStr">
        <is>
          <t>VÄSTERNORRLANDS LÄN</t>
        </is>
      </c>
      <c r="E2484" t="inlineStr">
        <is>
          <t>SOLLEFTEÅ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5040-2024</t>
        </is>
      </c>
      <c r="B2485" s="1" t="n">
        <v>45329.88962962963</v>
      </c>
      <c r="C2485" s="1" t="n">
        <v>45998</v>
      </c>
      <c r="D2485" t="inlineStr">
        <is>
          <t>VÄSTERNORRLANDS LÄN</t>
        </is>
      </c>
      <c r="E2485" t="inlineStr">
        <is>
          <t>SOLLEFTEÅ</t>
        </is>
      </c>
      <c r="F2485" t="inlineStr">
        <is>
          <t>Övriga Aktiebolag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62099-2023</t>
        </is>
      </c>
      <c r="B2486" s="1" t="n">
        <v>45266</v>
      </c>
      <c r="C2486" s="1" t="n">
        <v>45998</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13539-2024</t>
        </is>
      </c>
      <c r="B2487" s="1" t="n">
        <v>45387.92583333333</v>
      </c>
      <c r="C2487" s="1" t="n">
        <v>45998</v>
      </c>
      <c r="D2487" t="inlineStr">
        <is>
          <t>VÄSTERNORRLANDS LÄN</t>
        </is>
      </c>
      <c r="E2487" t="inlineStr">
        <is>
          <t>SOLLEFTEÅ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57846-2024</t>
        </is>
      </c>
      <c r="B2488" s="1" t="n">
        <v>45631.40759259259</v>
      </c>
      <c r="C2488" s="1" t="n">
        <v>45998</v>
      </c>
      <c r="D2488" t="inlineStr">
        <is>
          <t>VÄSTERNORRLANDS LÄN</t>
        </is>
      </c>
      <c r="E2488" t="inlineStr">
        <is>
          <t>SOLLEFTEÅ</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58808-2024</t>
        </is>
      </c>
      <c r="B2489" s="1" t="n">
        <v>45636.34446759259</v>
      </c>
      <c r="C2489" s="1" t="n">
        <v>45998</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3750-2025</t>
        </is>
      </c>
      <c r="B2490" s="1" t="n">
        <v>45681.580625</v>
      </c>
      <c r="C2490" s="1" t="n">
        <v>45998</v>
      </c>
      <c r="D2490" t="inlineStr">
        <is>
          <t>VÄSTERNORRLANDS LÄN</t>
        </is>
      </c>
      <c r="E2490" t="inlineStr">
        <is>
          <t>SOLLEFTEÅ</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43531-2023</t>
        </is>
      </c>
      <c r="B2491" s="1" t="n">
        <v>45184.52731481481</v>
      </c>
      <c r="C2491" s="1" t="n">
        <v>45998</v>
      </c>
      <c r="D2491" t="inlineStr">
        <is>
          <t>VÄSTERNORRLANDS LÄN</t>
        </is>
      </c>
      <c r="E2491" t="inlineStr">
        <is>
          <t>SOLLEFTEÅ</t>
        </is>
      </c>
      <c r="F2491" t="inlineStr">
        <is>
          <t>Holmen skog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21589-2021</t>
        </is>
      </c>
      <c r="B2492" s="1" t="n">
        <v>44321.66534722222</v>
      </c>
      <c r="C2492" s="1" t="n">
        <v>45998</v>
      </c>
      <c r="D2492" t="inlineStr">
        <is>
          <t>VÄSTERNORRLANDS LÄN</t>
        </is>
      </c>
      <c r="E2492" t="inlineStr">
        <is>
          <t>SOLLEFTEÅ</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11727-2025</t>
        </is>
      </c>
      <c r="B2493" s="1" t="n">
        <v>45727.61512731481</v>
      </c>
      <c r="C2493" s="1" t="n">
        <v>45998</v>
      </c>
      <c r="D2493" t="inlineStr">
        <is>
          <t>VÄSTERNORRLANDS LÄN</t>
        </is>
      </c>
      <c r="E2493" t="inlineStr">
        <is>
          <t>SOLLEFTEÅ</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23753-2021</t>
        </is>
      </c>
      <c r="B2494" s="1" t="n">
        <v>44334</v>
      </c>
      <c r="C2494" s="1" t="n">
        <v>45998</v>
      </c>
      <c r="D2494" t="inlineStr">
        <is>
          <t>VÄSTERNORRLANDS LÄN</t>
        </is>
      </c>
      <c r="E2494" t="inlineStr">
        <is>
          <t>SOLLEFTEÅ</t>
        </is>
      </c>
      <c r="G2494" t="n">
        <v>14.8</v>
      </c>
      <c r="H2494" t="n">
        <v>0</v>
      </c>
      <c r="I2494" t="n">
        <v>0</v>
      </c>
      <c r="J2494" t="n">
        <v>0</v>
      </c>
      <c r="K2494" t="n">
        <v>0</v>
      </c>
      <c r="L2494" t="n">
        <v>0</v>
      </c>
      <c r="M2494" t="n">
        <v>0</v>
      </c>
      <c r="N2494" t="n">
        <v>0</v>
      </c>
      <c r="O2494" t="n">
        <v>0</v>
      </c>
      <c r="P2494" t="n">
        <v>0</v>
      </c>
      <c r="Q2494" t="n">
        <v>0</v>
      </c>
      <c r="R2494" s="2" t="inlineStr"/>
    </row>
    <row r="2495" ht="15" customHeight="1">
      <c r="A2495" t="inlineStr">
        <is>
          <t>A 8084-2025</t>
        </is>
      </c>
      <c r="B2495" s="1" t="n">
        <v>45707</v>
      </c>
      <c r="C2495" s="1" t="n">
        <v>45998</v>
      </c>
      <c r="D2495" t="inlineStr">
        <is>
          <t>VÄSTERNORRLANDS LÄN</t>
        </is>
      </c>
      <c r="E2495" t="inlineStr">
        <is>
          <t>SOLLEFTEÅ</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60583-2024</t>
        </is>
      </c>
      <c r="B2496" s="1" t="n">
        <v>45644</v>
      </c>
      <c r="C2496" s="1" t="n">
        <v>45998</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40098-2023</t>
        </is>
      </c>
      <c r="B2497" s="1" t="n">
        <v>45168.93726851852</v>
      </c>
      <c r="C2497" s="1" t="n">
        <v>45998</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61616-2024</t>
        </is>
      </c>
      <c r="B2498" s="1" t="n">
        <v>45645</v>
      </c>
      <c r="C2498" s="1" t="n">
        <v>45998</v>
      </c>
      <c r="D2498" t="inlineStr">
        <is>
          <t>VÄSTERNORRLANDS LÄN</t>
        </is>
      </c>
      <c r="E2498" t="inlineStr">
        <is>
          <t>SOLLEFTEÅ</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23488-2023</t>
        </is>
      </c>
      <c r="B2499" s="1" t="n">
        <v>45072</v>
      </c>
      <c r="C2499" s="1" t="n">
        <v>45998</v>
      </c>
      <c r="D2499" t="inlineStr">
        <is>
          <t>VÄSTERNORRLANDS LÄN</t>
        </is>
      </c>
      <c r="E2499" t="inlineStr">
        <is>
          <t>SOLLEFTEÅ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1030-2025</t>
        </is>
      </c>
      <c r="B2500" s="1" t="n">
        <v>45666</v>
      </c>
      <c r="C2500" s="1" t="n">
        <v>45998</v>
      </c>
      <c r="D2500" t="inlineStr">
        <is>
          <t>VÄSTERNORRLANDS LÄN</t>
        </is>
      </c>
      <c r="E2500" t="inlineStr">
        <is>
          <t>SOLLEFTEÅ</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48489-2024</t>
        </is>
      </c>
      <c r="B2501" s="1" t="n">
        <v>45592</v>
      </c>
      <c r="C2501" s="1" t="n">
        <v>45998</v>
      </c>
      <c r="D2501" t="inlineStr">
        <is>
          <t>VÄSTERNORRLANDS LÄN</t>
        </is>
      </c>
      <c r="E2501" t="inlineStr">
        <is>
          <t>SOLLEFTEÅ</t>
        </is>
      </c>
      <c r="F2501" t="inlineStr">
        <is>
          <t>SCA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8670-2023</t>
        </is>
      </c>
      <c r="B2502" s="1" t="n">
        <v>44977</v>
      </c>
      <c r="C2502" s="1" t="n">
        <v>45998</v>
      </c>
      <c r="D2502" t="inlineStr">
        <is>
          <t>VÄSTERNORRLANDS LÄN</t>
        </is>
      </c>
      <c r="E2502" t="inlineStr">
        <is>
          <t>SOLLEFTEÅ</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44533-2023</t>
        </is>
      </c>
      <c r="B2503" s="1" t="n">
        <v>45183</v>
      </c>
      <c r="C2503" s="1" t="n">
        <v>45998</v>
      </c>
      <c r="D2503" t="inlineStr">
        <is>
          <t>VÄSTERNORRLANDS LÄN</t>
        </is>
      </c>
      <c r="E2503" t="inlineStr">
        <is>
          <t>SOLLEFTEÅ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10726-2025</t>
        </is>
      </c>
      <c r="B2504" s="1" t="n">
        <v>45722.38599537037</v>
      </c>
      <c r="C2504" s="1" t="n">
        <v>45998</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6876-2025</t>
        </is>
      </c>
      <c r="B2505" s="1" t="n">
        <v>45701.34446759259</v>
      </c>
      <c r="C2505" s="1" t="n">
        <v>45998</v>
      </c>
      <c r="D2505" t="inlineStr">
        <is>
          <t>VÄSTERNORRLANDS LÄN</t>
        </is>
      </c>
      <c r="E2505" t="inlineStr">
        <is>
          <t>SOLLEFTEÅ</t>
        </is>
      </c>
      <c r="F2505" t="inlineStr">
        <is>
          <t>SCA</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46804-2023</t>
        </is>
      </c>
      <c r="B2506" s="1" t="n">
        <v>45198</v>
      </c>
      <c r="C2506" s="1" t="n">
        <v>45998</v>
      </c>
      <c r="D2506" t="inlineStr">
        <is>
          <t>VÄSTERNORRLANDS LÄN</t>
        </is>
      </c>
      <c r="E2506" t="inlineStr">
        <is>
          <t>SOLLEFTEÅ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58578-2024</t>
        </is>
      </c>
      <c r="B2507" s="1" t="n">
        <v>45635</v>
      </c>
      <c r="C2507" s="1" t="n">
        <v>45998</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58588-2024</t>
        </is>
      </c>
      <c r="B2508" s="1" t="n">
        <v>45635.50605324074</v>
      </c>
      <c r="C2508" s="1" t="n">
        <v>45998</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10738-2025</t>
        </is>
      </c>
      <c r="B2509" s="1" t="n">
        <v>45722.40704861111</v>
      </c>
      <c r="C2509" s="1" t="n">
        <v>45998</v>
      </c>
      <c r="D2509" t="inlineStr">
        <is>
          <t>VÄSTERNORRLANDS LÄN</t>
        </is>
      </c>
      <c r="E2509" t="inlineStr">
        <is>
          <t>SOLLEFTEÅ</t>
        </is>
      </c>
      <c r="F2509" t="inlineStr">
        <is>
          <t>SCA</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38054-2024</t>
        </is>
      </c>
      <c r="B2510" s="1" t="n">
        <v>45544.71916666667</v>
      </c>
      <c r="C2510" s="1" t="n">
        <v>45998</v>
      </c>
      <c r="D2510" t="inlineStr">
        <is>
          <t>VÄSTERNORRLANDS LÄN</t>
        </is>
      </c>
      <c r="E2510" t="inlineStr">
        <is>
          <t>SOLLEFTEÅ</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8104-2025</t>
        </is>
      </c>
      <c r="B2511" s="1" t="n">
        <v>45707.69835648148</v>
      </c>
      <c r="C2511" s="1" t="n">
        <v>45998</v>
      </c>
      <c r="D2511" t="inlineStr">
        <is>
          <t>VÄSTERNORRLANDS LÄN</t>
        </is>
      </c>
      <c r="E2511" t="inlineStr">
        <is>
          <t>SOLLEFTEÅ</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8124-2025</t>
        </is>
      </c>
      <c r="B2512" s="1" t="n">
        <v>45707</v>
      </c>
      <c r="C2512" s="1" t="n">
        <v>45998</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61790-2024</t>
        </is>
      </c>
      <c r="B2513" s="1" t="n">
        <v>45649</v>
      </c>
      <c r="C2513" s="1" t="n">
        <v>45998</v>
      </c>
      <c r="D2513" t="inlineStr">
        <is>
          <t>VÄSTERNORRLANDS LÄN</t>
        </is>
      </c>
      <c r="E2513" t="inlineStr">
        <is>
          <t>SOLLEFTEÅ</t>
        </is>
      </c>
      <c r="F2513" t="inlineStr">
        <is>
          <t>Övriga statliga verk och myndigheter</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11455-2025</t>
        </is>
      </c>
      <c r="B2514" s="1" t="n">
        <v>45726.64886574074</v>
      </c>
      <c r="C2514" s="1" t="n">
        <v>45998</v>
      </c>
      <c r="D2514" t="inlineStr">
        <is>
          <t>VÄSTERNORRLANDS LÄN</t>
        </is>
      </c>
      <c r="E2514" t="inlineStr">
        <is>
          <t>SOLLEFTEÅ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10865-2025</t>
        </is>
      </c>
      <c r="B2515" s="1" t="n">
        <v>45722.61526620371</v>
      </c>
      <c r="C2515" s="1" t="n">
        <v>45998</v>
      </c>
      <c r="D2515" t="inlineStr">
        <is>
          <t>VÄSTERNORRLANDS LÄN</t>
        </is>
      </c>
      <c r="E2515" t="inlineStr">
        <is>
          <t>SOLLEFTEÅ</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38432-2022</t>
        </is>
      </c>
      <c r="B2516" s="1" t="n">
        <v>44812</v>
      </c>
      <c r="C2516" s="1" t="n">
        <v>45998</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30692-2021</t>
        </is>
      </c>
      <c r="B2517" s="1" t="n">
        <v>44365</v>
      </c>
      <c r="C2517" s="1" t="n">
        <v>45998</v>
      </c>
      <c r="D2517" t="inlineStr">
        <is>
          <t>VÄSTERNORRLANDS LÄN</t>
        </is>
      </c>
      <c r="E2517" t="inlineStr">
        <is>
          <t>SOLLEFTEÅ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56356-2023</t>
        </is>
      </c>
      <c r="B2518" s="1" t="n">
        <v>45236</v>
      </c>
      <c r="C2518" s="1" t="n">
        <v>45998</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7014-2025</t>
        </is>
      </c>
      <c r="B2519" s="1" t="n">
        <v>45701.61085648148</v>
      </c>
      <c r="C2519" s="1" t="n">
        <v>45998</v>
      </c>
      <c r="D2519" t="inlineStr">
        <is>
          <t>VÄSTERNORRLANDS LÄN</t>
        </is>
      </c>
      <c r="E2519" t="inlineStr">
        <is>
          <t>SOLLEFTEÅ</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58994-2024</t>
        </is>
      </c>
      <c r="B2520" s="1" t="n">
        <v>45636.63717592593</v>
      </c>
      <c r="C2520" s="1" t="n">
        <v>45998</v>
      </c>
      <c r="D2520" t="inlineStr">
        <is>
          <t>VÄSTERNORRLANDS LÄN</t>
        </is>
      </c>
      <c r="E2520" t="inlineStr">
        <is>
          <t>SOLLEFTEÅ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35217-2024</t>
        </is>
      </c>
      <c r="B2521" s="1" t="n">
        <v>45530</v>
      </c>
      <c r="C2521" s="1" t="n">
        <v>45998</v>
      </c>
      <c r="D2521" t="inlineStr">
        <is>
          <t>VÄSTERNORRLANDS LÄN</t>
        </is>
      </c>
      <c r="E2521" t="inlineStr">
        <is>
          <t>SOLLEFTEÅ</t>
        </is>
      </c>
      <c r="F2521" t="inlineStr">
        <is>
          <t>Kommuner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16633-2025</t>
        </is>
      </c>
      <c r="B2522" s="1" t="n">
        <v>45754.36517361111</v>
      </c>
      <c r="C2522" s="1" t="n">
        <v>45998</v>
      </c>
      <c r="D2522" t="inlineStr">
        <is>
          <t>VÄSTERNORRLANDS LÄN</t>
        </is>
      </c>
      <c r="E2522" t="inlineStr">
        <is>
          <t>SOLLEFTEÅ</t>
        </is>
      </c>
      <c r="F2522" t="inlineStr">
        <is>
          <t>SCA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3424-2025</t>
        </is>
      </c>
      <c r="B2523" s="1" t="n">
        <v>45680</v>
      </c>
      <c r="C2523" s="1" t="n">
        <v>45998</v>
      </c>
      <c r="D2523" t="inlineStr">
        <is>
          <t>VÄSTERNORRLANDS LÄN</t>
        </is>
      </c>
      <c r="E2523" t="inlineStr">
        <is>
          <t>SOLLEFTEÅ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9254-2025</t>
        </is>
      </c>
      <c r="B2524" s="1" t="n">
        <v>45714.59442129629</v>
      </c>
      <c r="C2524" s="1" t="n">
        <v>45998</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59179-2024</t>
        </is>
      </c>
      <c r="B2525" s="1" t="n">
        <v>45637.51149305556</v>
      </c>
      <c r="C2525" s="1" t="n">
        <v>45998</v>
      </c>
      <c r="D2525" t="inlineStr">
        <is>
          <t>VÄSTERNORRLANDS LÄN</t>
        </is>
      </c>
      <c r="E2525" t="inlineStr">
        <is>
          <t>SOLLEFTEÅ</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30063-2024</t>
        </is>
      </c>
      <c r="B2526" s="1" t="n">
        <v>45488.94841435185</v>
      </c>
      <c r="C2526" s="1" t="n">
        <v>45998</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34543-2022</t>
        </is>
      </c>
      <c r="B2527" s="1" t="n">
        <v>44793</v>
      </c>
      <c r="C2527" s="1" t="n">
        <v>45998</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30068-2024</t>
        </is>
      </c>
      <c r="B2528" s="1" t="n">
        <v>45488.94886574074</v>
      </c>
      <c r="C2528" s="1" t="n">
        <v>45998</v>
      </c>
      <c r="D2528" t="inlineStr">
        <is>
          <t>VÄSTERNORRLANDS LÄN</t>
        </is>
      </c>
      <c r="E2528" t="inlineStr">
        <is>
          <t>SOLLEFTEÅ</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2939-2025</t>
        </is>
      </c>
      <c r="B2529" s="1" t="n">
        <v>45678.38581018519</v>
      </c>
      <c r="C2529" s="1" t="n">
        <v>45998</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3368-2025</t>
        </is>
      </c>
      <c r="B2530" s="1" t="n">
        <v>45679</v>
      </c>
      <c r="C2530" s="1" t="n">
        <v>45998</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39504-2021</t>
        </is>
      </c>
      <c r="B2531" s="1" t="n">
        <v>44414.93480324074</v>
      </c>
      <c r="C2531" s="1" t="n">
        <v>45998</v>
      </c>
      <c r="D2531" t="inlineStr">
        <is>
          <t>VÄSTERNORRLANDS LÄN</t>
        </is>
      </c>
      <c r="E2531" t="inlineStr">
        <is>
          <t>SOLLEFTEÅ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7569-2025</t>
        </is>
      </c>
      <c r="B2532" s="1" t="n">
        <v>45705.59442129629</v>
      </c>
      <c r="C2532" s="1" t="n">
        <v>45998</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8894-2025</t>
        </is>
      </c>
      <c r="B2533" s="1" t="n">
        <v>45713.40665509259</v>
      </c>
      <c r="C2533" s="1" t="n">
        <v>45998</v>
      </c>
      <c r="D2533" t="inlineStr">
        <is>
          <t>VÄSTERNORRLANDS LÄN</t>
        </is>
      </c>
      <c r="E2533" t="inlineStr">
        <is>
          <t>SOLLEFTEÅ</t>
        </is>
      </c>
      <c r="G2533" t="n">
        <v>8.4</v>
      </c>
      <c r="H2533" t="n">
        <v>0</v>
      </c>
      <c r="I2533" t="n">
        <v>0</v>
      </c>
      <c r="J2533" t="n">
        <v>0</v>
      </c>
      <c r="K2533" t="n">
        <v>0</v>
      </c>
      <c r="L2533" t="n">
        <v>0</v>
      </c>
      <c r="M2533" t="n">
        <v>0</v>
      </c>
      <c r="N2533" t="n">
        <v>0</v>
      </c>
      <c r="O2533" t="n">
        <v>0</v>
      </c>
      <c r="P2533" t="n">
        <v>0</v>
      </c>
      <c r="Q2533" t="n">
        <v>0</v>
      </c>
      <c r="R2533" s="2" t="inlineStr"/>
    </row>
    <row r="2534" ht="15" customHeight="1">
      <c r="A2534" t="inlineStr">
        <is>
          <t>A 54572-2024</t>
        </is>
      </c>
      <c r="B2534" s="1" t="n">
        <v>45617.65054398148</v>
      </c>
      <c r="C2534" s="1" t="n">
        <v>45998</v>
      </c>
      <c r="D2534" t="inlineStr">
        <is>
          <t>VÄSTERNORRLANDS LÄN</t>
        </is>
      </c>
      <c r="E2534" t="inlineStr">
        <is>
          <t>SOLLEFTEÅ</t>
        </is>
      </c>
      <c r="G2534" t="n">
        <v>28.2</v>
      </c>
      <c r="H2534" t="n">
        <v>0</v>
      </c>
      <c r="I2534" t="n">
        <v>0</v>
      </c>
      <c r="J2534" t="n">
        <v>0</v>
      </c>
      <c r="K2534" t="n">
        <v>0</v>
      </c>
      <c r="L2534" t="n">
        <v>0</v>
      </c>
      <c r="M2534" t="n">
        <v>0</v>
      </c>
      <c r="N2534" t="n">
        <v>0</v>
      </c>
      <c r="O2534" t="n">
        <v>0</v>
      </c>
      <c r="P2534" t="n">
        <v>0</v>
      </c>
      <c r="Q2534" t="n">
        <v>0</v>
      </c>
      <c r="R2534" s="2" t="inlineStr"/>
    </row>
    <row r="2535" ht="15" customHeight="1">
      <c r="A2535" t="inlineStr">
        <is>
          <t>A 54574-2024</t>
        </is>
      </c>
      <c r="B2535" s="1" t="n">
        <v>45617.65201388889</v>
      </c>
      <c r="C2535" s="1" t="n">
        <v>45998</v>
      </c>
      <c r="D2535" t="inlineStr">
        <is>
          <t>VÄSTERNORRLANDS LÄN</t>
        </is>
      </c>
      <c r="E2535" t="inlineStr">
        <is>
          <t>SOLLEFTEÅ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18795-2025</t>
        </is>
      </c>
      <c r="B2536" s="1" t="n">
        <v>45764.34564814815</v>
      </c>
      <c r="C2536" s="1" t="n">
        <v>45998</v>
      </c>
      <c r="D2536" t="inlineStr">
        <is>
          <t>VÄSTERNORRLANDS LÄN</t>
        </is>
      </c>
      <c r="E2536" t="inlineStr">
        <is>
          <t>SOLLEFTEÅ</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326-2025</t>
        </is>
      </c>
      <c r="B2537" s="1" t="n">
        <v>45660.65653935185</v>
      </c>
      <c r="C2537" s="1" t="n">
        <v>45998</v>
      </c>
      <c r="D2537" t="inlineStr">
        <is>
          <t>VÄSTERNORRLANDS LÄN</t>
        </is>
      </c>
      <c r="E2537" t="inlineStr">
        <is>
          <t>SOLLEFTEÅ</t>
        </is>
      </c>
      <c r="F2537" t="inlineStr">
        <is>
          <t>SCA</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34473-2021</t>
        </is>
      </c>
      <c r="B2538" s="1" t="n">
        <v>44381.93096064815</v>
      </c>
      <c r="C2538" s="1" t="n">
        <v>45998</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45120-2022</t>
        </is>
      </c>
      <c r="B2539" s="1" t="n">
        <v>44843</v>
      </c>
      <c r="C2539" s="1" t="n">
        <v>45998</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25989-2021</t>
        </is>
      </c>
      <c r="B2540" s="1" t="n">
        <v>44344</v>
      </c>
      <c r="C2540" s="1" t="n">
        <v>45998</v>
      </c>
      <c r="D2540" t="inlineStr">
        <is>
          <t>VÄSTERNORRLANDS LÄN</t>
        </is>
      </c>
      <c r="E2540" t="inlineStr">
        <is>
          <t>SOLLEFTEÅ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25999-2021</t>
        </is>
      </c>
      <c r="B2541" s="1" t="n">
        <v>44344</v>
      </c>
      <c r="C2541" s="1" t="n">
        <v>45998</v>
      </c>
      <c r="D2541" t="inlineStr">
        <is>
          <t>VÄSTERNORRLANDS LÄN</t>
        </is>
      </c>
      <c r="E2541" t="inlineStr">
        <is>
          <t>SOLLEFTEÅ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34395-2021</t>
        </is>
      </c>
      <c r="B2542" s="1" t="n">
        <v>44379</v>
      </c>
      <c r="C2542" s="1" t="n">
        <v>45998</v>
      </c>
      <c r="D2542" t="inlineStr">
        <is>
          <t>VÄSTERNORRLANDS LÄN</t>
        </is>
      </c>
      <c r="E2542" t="inlineStr">
        <is>
          <t>SOLLEFTEÅ</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13652-2025</t>
        </is>
      </c>
      <c r="B2543" s="1" t="n">
        <v>45736.71909722222</v>
      </c>
      <c r="C2543" s="1" t="n">
        <v>45998</v>
      </c>
      <c r="D2543" t="inlineStr">
        <is>
          <t>VÄSTERNORRLANDS LÄN</t>
        </is>
      </c>
      <c r="E2543" t="inlineStr">
        <is>
          <t>SOLLEFTEÅ</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44762-2022</t>
        </is>
      </c>
      <c r="B2544" s="1" t="n">
        <v>44840</v>
      </c>
      <c r="C2544" s="1" t="n">
        <v>45998</v>
      </c>
      <c r="D2544" t="inlineStr">
        <is>
          <t>VÄSTERNORRLANDS LÄN</t>
        </is>
      </c>
      <c r="E2544" t="inlineStr">
        <is>
          <t>SOLLEFTEÅ</t>
        </is>
      </c>
      <c r="F2544" t="inlineStr">
        <is>
          <t>SCA</t>
        </is>
      </c>
      <c r="G2544" t="n">
        <v>1.5</v>
      </c>
      <c r="H2544" t="n">
        <v>0</v>
      </c>
      <c r="I2544" t="n">
        <v>0</v>
      </c>
      <c r="J2544" t="n">
        <v>0</v>
      </c>
      <c r="K2544" t="n">
        <v>0</v>
      </c>
      <c r="L2544" t="n">
        <v>0</v>
      </c>
      <c r="M2544" t="n">
        <v>0</v>
      </c>
      <c r="N2544" t="n">
        <v>0</v>
      </c>
      <c r="O2544" t="n">
        <v>0</v>
      </c>
      <c r="P2544" t="n">
        <v>0</v>
      </c>
      <c r="Q2544" t="n">
        <v>0</v>
      </c>
      <c r="R2544" s="2" t="inlineStr"/>
    </row>
    <row r="2545">
      <c r="A2545" t="inlineStr">
        <is>
          <t>A 12063-2025</t>
        </is>
      </c>
      <c r="B2545" s="1" t="n">
        <v>45728.69851851852</v>
      </c>
      <c r="C2545" s="1" t="n">
        <v>45998</v>
      </c>
      <c r="D2545" t="inlineStr">
        <is>
          <t>VÄSTERNORRLANDS LÄN</t>
        </is>
      </c>
      <c r="E2545" t="inlineStr">
        <is>
          <t>SOLLEFTEÅ</t>
        </is>
      </c>
      <c r="F2545" t="inlineStr">
        <is>
          <t>SCA</t>
        </is>
      </c>
      <c r="G2545" t="n">
        <v>1</v>
      </c>
      <c r="H2545" t="n">
        <v>0</v>
      </c>
      <c r="I2545" t="n">
        <v>0</v>
      </c>
      <c r="J2545" t="n">
        <v>0</v>
      </c>
      <c r="K2545" t="n">
        <v>0</v>
      </c>
      <c r="L2545" t="n">
        <v>0</v>
      </c>
      <c r="M2545" t="n">
        <v>0</v>
      </c>
      <c r="N2545" t="n">
        <v>0</v>
      </c>
      <c r="O2545" t="n">
        <v>0</v>
      </c>
      <c r="P2545" t="n">
        <v>0</v>
      </c>
      <c r="Q2545" t="n">
        <v>0</v>
      </c>
      <c r="R2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2025-12-07T10:27:08Z</dcterms:created>
  <dcterms:modified xmlns:dcterms="http://purl.org/dc/terms/" xmlns:xsi="http://www.w3.org/2001/XMLSchema-instance" xsi:type="dcterms:W3CDTF">2025-12-07T10:27:10Z</dcterms:modified>
</cp:coreProperties>
</file>