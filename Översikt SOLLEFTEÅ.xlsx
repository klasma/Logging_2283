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45268</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45268</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45268</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45268</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45268</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45268</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45268</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45268</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45268</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45268</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45268</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45268</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45268</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45268</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45268</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45268</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45268</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45268</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45268</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45268</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45268</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45268</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45268</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45268</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45268</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45268</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45268</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45268</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45268</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45268</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45268</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45268</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45268</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45268</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45268</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45268</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45268</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45268</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45268</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45268</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45268</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45268</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45268</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45268</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45268</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45268</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45268</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45268</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45268</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45268</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45268</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45268</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45268</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45268</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45268</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45268</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45268</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45268</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45268</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45268</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45268</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45268</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61377-2022</t>
        </is>
      </c>
      <c r="B66" s="1" t="n">
        <v>44915</v>
      </c>
      <c r="C66" s="1" t="n">
        <v>45268</v>
      </c>
      <c r="D66" t="inlineStr">
        <is>
          <t>VÄSTERNORRLANDS LÄN</t>
        </is>
      </c>
      <c r="E66" t="inlineStr">
        <is>
          <t>SOLLEFTEÅ</t>
        </is>
      </c>
      <c r="G66" t="n">
        <v>10.5</v>
      </c>
      <c r="H66" t="n">
        <v>0</v>
      </c>
      <c r="I66" t="n">
        <v>1</v>
      </c>
      <c r="J66" t="n">
        <v>5</v>
      </c>
      <c r="K66" t="n">
        <v>0</v>
      </c>
      <c r="L66" t="n">
        <v>0</v>
      </c>
      <c r="M66" t="n">
        <v>0</v>
      </c>
      <c r="N66" t="n">
        <v>0</v>
      </c>
      <c r="O66" t="n">
        <v>5</v>
      </c>
      <c r="P66" t="n">
        <v>0</v>
      </c>
      <c r="Q66" t="n">
        <v>6</v>
      </c>
      <c r="R66" s="2" t="inlineStr">
        <is>
          <t>Gammelgransskål
Garnlav
Granticka
Lunglav
Stjärntagging
Spädstarr</t>
        </is>
      </c>
      <c r="S66">
        <f>HYPERLINK("https://klasma.github.io/Logging_2283/artfynd/A 61377-2022 artfynd.xlsx", "A 61377-2022")</f>
        <v/>
      </c>
      <c r="T66">
        <f>HYPERLINK("https://klasma.github.io/Logging_2283/kartor/A 61377-2022 karta.png", "A 61377-2022")</f>
        <v/>
      </c>
      <c r="V66">
        <f>HYPERLINK("https://klasma.github.io/Logging_2283/klagomål/A 61377-2022 FSC-klagomål.docx", "A 61377-2022")</f>
        <v/>
      </c>
      <c r="W66">
        <f>HYPERLINK("https://klasma.github.io/Logging_2283/klagomålsmail/A 61377-2022 FSC-klagomål mail.docx", "A 61377-2022")</f>
        <v/>
      </c>
      <c r="X66">
        <f>HYPERLINK("https://klasma.github.io/Logging_2283/tillsyn/A 61377-2022 tillsynsbegäran.docx", "A 61377-2022")</f>
        <v/>
      </c>
      <c r="Y66">
        <f>HYPERLINK("https://klasma.github.io/Logging_2283/tillsynsmail/A 61377-2022 tillsynsbegäran mail.docx", "A 61377-2022")</f>
        <v/>
      </c>
    </row>
    <row r="67" ht="15" customHeight="1">
      <c r="A67" t="inlineStr">
        <is>
          <t>A 14860-2023</t>
        </is>
      </c>
      <c r="B67" s="1" t="n">
        <v>45015</v>
      </c>
      <c r="C67" s="1" t="n">
        <v>45268</v>
      </c>
      <c r="D67" t="inlineStr">
        <is>
          <t>VÄSTERNORRLANDS LÄN</t>
        </is>
      </c>
      <c r="E67" t="inlineStr">
        <is>
          <t>SOLLEFTEÅ</t>
        </is>
      </c>
      <c r="F67" t="inlineStr">
        <is>
          <t>SCA</t>
        </is>
      </c>
      <c r="G67" t="n">
        <v>5.8</v>
      </c>
      <c r="H67" t="n">
        <v>1</v>
      </c>
      <c r="I67" t="n">
        <v>2</v>
      </c>
      <c r="J67" t="n">
        <v>3</v>
      </c>
      <c r="K67" t="n">
        <v>1</v>
      </c>
      <c r="L67" t="n">
        <v>0</v>
      </c>
      <c r="M67" t="n">
        <v>0</v>
      </c>
      <c r="N67" t="n">
        <v>0</v>
      </c>
      <c r="O67" t="n">
        <v>4</v>
      </c>
      <c r="P67" t="n">
        <v>1</v>
      </c>
      <c r="Q67" t="n">
        <v>6</v>
      </c>
      <c r="R67" s="2" t="inlineStr">
        <is>
          <t>Knärot
Granticka
Lunglav
Ullticka
Skinnlav
Stuplav</t>
        </is>
      </c>
      <c r="S67">
        <f>HYPERLINK("https://klasma.github.io/Logging_2283/artfynd/A 14860-2023 artfynd.xlsx", "A 14860-2023")</f>
        <v/>
      </c>
      <c r="T67">
        <f>HYPERLINK("https://klasma.github.io/Logging_2283/kartor/A 14860-2023 karta.png", "A 14860-2023")</f>
        <v/>
      </c>
      <c r="U67">
        <f>HYPERLINK("https://klasma.github.io/Logging_2283/knärot/A 14860-2023 karta knärot.png", "A 14860-2023")</f>
        <v/>
      </c>
      <c r="V67">
        <f>HYPERLINK("https://klasma.github.io/Logging_2283/klagomål/A 14860-2023 FSC-klagomål.docx", "A 14860-2023")</f>
        <v/>
      </c>
      <c r="W67">
        <f>HYPERLINK("https://klasma.github.io/Logging_2283/klagomålsmail/A 14860-2023 FSC-klagomål mail.docx", "A 14860-2023")</f>
        <v/>
      </c>
      <c r="X67">
        <f>HYPERLINK("https://klasma.github.io/Logging_2283/tillsyn/A 14860-2023 tillsynsbegäran.docx", "A 14860-2023")</f>
        <v/>
      </c>
      <c r="Y67">
        <f>HYPERLINK("https://klasma.github.io/Logging_2283/tillsynsmail/A 14860-2023 tillsynsbegäran mail.docx", "A 14860-2023")</f>
        <v/>
      </c>
    </row>
    <row r="68" ht="15" customHeight="1">
      <c r="A68" t="inlineStr">
        <is>
          <t>A 39198-2023</t>
        </is>
      </c>
      <c r="B68" s="1" t="n">
        <v>45166</v>
      </c>
      <c r="C68" s="1" t="n">
        <v>45268</v>
      </c>
      <c r="D68" t="inlineStr">
        <is>
          <t>VÄSTERNORRLANDS LÄN</t>
        </is>
      </c>
      <c r="E68" t="inlineStr">
        <is>
          <t>SOLLEFTEÅ</t>
        </is>
      </c>
      <c r="G68" t="n">
        <v>11</v>
      </c>
      <c r="H68" t="n">
        <v>0</v>
      </c>
      <c r="I68" t="n">
        <v>2</v>
      </c>
      <c r="J68" t="n">
        <v>4</v>
      </c>
      <c r="K68" t="n">
        <v>0</v>
      </c>
      <c r="L68" t="n">
        <v>0</v>
      </c>
      <c r="M68" t="n">
        <v>0</v>
      </c>
      <c r="N68" t="n">
        <v>0</v>
      </c>
      <c r="O68" t="n">
        <v>4</v>
      </c>
      <c r="P68" t="n">
        <v>0</v>
      </c>
      <c r="Q68" t="n">
        <v>6</v>
      </c>
      <c r="R68" s="2" t="inlineStr">
        <is>
          <t>Garnlav
Lunglav
Rosenticka
Ullticka
Stor aspticka
Vedticka</t>
        </is>
      </c>
      <c r="S68">
        <f>HYPERLINK("https://klasma.github.io/Logging_2283/artfynd/A 39198-2023 artfynd.xlsx", "A 39198-2023")</f>
        <v/>
      </c>
      <c r="T68">
        <f>HYPERLINK("https://klasma.github.io/Logging_2283/kartor/A 39198-2023 karta.png", "A 39198-2023")</f>
        <v/>
      </c>
      <c r="U68">
        <f>HYPERLINK("https://klasma.github.io/Logging_2283/knärot/A 39198-2023 karta knärot.png", "A 39198-2023")</f>
        <v/>
      </c>
      <c r="V68">
        <f>HYPERLINK("https://klasma.github.io/Logging_2283/klagomål/A 39198-2023 FSC-klagomål.docx", "A 39198-2023")</f>
        <v/>
      </c>
      <c r="W68">
        <f>HYPERLINK("https://klasma.github.io/Logging_2283/klagomålsmail/A 39198-2023 FSC-klagomål mail.docx", "A 39198-2023")</f>
        <v/>
      </c>
      <c r="X68">
        <f>HYPERLINK("https://klasma.github.io/Logging_2283/tillsyn/A 39198-2023 tillsynsbegäran.docx", "A 39198-2023")</f>
        <v/>
      </c>
      <c r="Y68">
        <f>HYPERLINK("https://klasma.github.io/Logging_2283/tillsynsmail/A 39198-2023 tillsynsbegäran mail.docx", "A 39198-2023")</f>
        <v/>
      </c>
    </row>
    <row r="69" ht="15" customHeight="1">
      <c r="A69" t="inlineStr">
        <is>
          <t>A 40420-2023</t>
        </is>
      </c>
      <c r="B69" s="1" t="n">
        <v>45169</v>
      </c>
      <c r="C69" s="1" t="n">
        <v>45268</v>
      </c>
      <c r="D69" t="inlineStr">
        <is>
          <t>VÄSTERNORRLANDS LÄN</t>
        </is>
      </c>
      <c r="E69" t="inlineStr">
        <is>
          <t>SOLLEFTEÅ</t>
        </is>
      </c>
      <c r="F69" t="inlineStr">
        <is>
          <t>SCA</t>
        </is>
      </c>
      <c r="G69" t="n">
        <v>10</v>
      </c>
      <c r="H69" t="n">
        <v>2</v>
      </c>
      <c r="I69" t="n">
        <v>0</v>
      </c>
      <c r="J69" t="n">
        <v>3</v>
      </c>
      <c r="K69" t="n">
        <v>2</v>
      </c>
      <c r="L69" t="n">
        <v>0</v>
      </c>
      <c r="M69" t="n">
        <v>0</v>
      </c>
      <c r="N69" t="n">
        <v>0</v>
      </c>
      <c r="O69" t="n">
        <v>5</v>
      </c>
      <c r="P69" t="n">
        <v>2</v>
      </c>
      <c r="Q69" t="n">
        <v>6</v>
      </c>
      <c r="R69" s="2" t="inlineStr">
        <is>
          <t>Knärot
Rynkskinn
Lunglav
Rosenticka
Ullticka
Tjäder</t>
        </is>
      </c>
      <c r="S69">
        <f>HYPERLINK("https://klasma.github.io/Logging_2283/artfynd/A 40420-2023 artfynd.xlsx", "A 40420-2023")</f>
        <v/>
      </c>
      <c r="T69">
        <f>HYPERLINK("https://klasma.github.io/Logging_2283/kartor/A 40420-2023 karta.png", "A 40420-2023")</f>
        <v/>
      </c>
      <c r="U69">
        <f>HYPERLINK("https://klasma.github.io/Logging_2283/knärot/A 40420-2023 karta knärot.png", "A 40420-2023")</f>
        <v/>
      </c>
      <c r="V69">
        <f>HYPERLINK("https://klasma.github.io/Logging_2283/klagomål/A 40420-2023 FSC-klagomål.docx", "A 40420-2023")</f>
        <v/>
      </c>
      <c r="W69">
        <f>HYPERLINK("https://klasma.github.io/Logging_2283/klagomålsmail/A 40420-2023 FSC-klagomål mail.docx", "A 40420-2023")</f>
        <v/>
      </c>
      <c r="X69">
        <f>HYPERLINK("https://klasma.github.io/Logging_2283/tillsyn/A 40420-2023 tillsynsbegäran.docx", "A 40420-2023")</f>
        <v/>
      </c>
      <c r="Y69">
        <f>HYPERLINK("https://klasma.github.io/Logging_2283/tillsynsmail/A 40420-2023 tillsynsbegäran mail.docx", "A 40420-2023")</f>
        <v/>
      </c>
    </row>
    <row r="70" ht="15" customHeight="1">
      <c r="A70" t="inlineStr">
        <is>
          <t>A 40417-2023</t>
        </is>
      </c>
      <c r="B70" s="1" t="n">
        <v>45169</v>
      </c>
      <c r="C70" s="1" t="n">
        <v>45268</v>
      </c>
      <c r="D70" t="inlineStr">
        <is>
          <t>VÄSTERNORRLANDS LÄN</t>
        </is>
      </c>
      <c r="E70" t="inlineStr">
        <is>
          <t>SOLLEFTEÅ</t>
        </is>
      </c>
      <c r="F70" t="inlineStr">
        <is>
          <t>SCA</t>
        </is>
      </c>
      <c r="G70" t="n">
        <v>10.6</v>
      </c>
      <c r="H70" t="n">
        <v>2</v>
      </c>
      <c r="I70" t="n">
        <v>0</v>
      </c>
      <c r="J70" t="n">
        <v>4</v>
      </c>
      <c r="K70" t="n">
        <v>1</v>
      </c>
      <c r="L70" t="n">
        <v>0</v>
      </c>
      <c r="M70" t="n">
        <v>0</v>
      </c>
      <c r="N70" t="n">
        <v>0</v>
      </c>
      <c r="O70" t="n">
        <v>5</v>
      </c>
      <c r="P70" t="n">
        <v>1</v>
      </c>
      <c r="Q70" t="n">
        <v>6</v>
      </c>
      <c r="R70" s="2" t="inlineStr">
        <is>
          <t>Knärot
Kolflarnlav
Lunglav
Motaggsvamp
Mörk kolflarnlav
Tjäder</t>
        </is>
      </c>
      <c r="S70">
        <f>HYPERLINK("https://klasma.github.io/Logging_2283/artfynd/A 40417-2023 artfynd.xlsx", "A 40417-2023")</f>
        <v/>
      </c>
      <c r="T70">
        <f>HYPERLINK("https://klasma.github.io/Logging_2283/kartor/A 40417-2023 karta.png", "A 40417-2023")</f>
        <v/>
      </c>
      <c r="U70">
        <f>HYPERLINK("https://klasma.github.io/Logging_2283/knärot/A 40417-2023 karta knärot.png", "A 40417-2023")</f>
        <v/>
      </c>
      <c r="V70">
        <f>HYPERLINK("https://klasma.github.io/Logging_2283/klagomål/A 40417-2023 FSC-klagomål.docx", "A 40417-2023")</f>
        <v/>
      </c>
      <c r="W70">
        <f>HYPERLINK("https://klasma.github.io/Logging_2283/klagomålsmail/A 40417-2023 FSC-klagomål mail.docx", "A 40417-2023")</f>
        <v/>
      </c>
      <c r="X70">
        <f>HYPERLINK("https://klasma.github.io/Logging_2283/tillsyn/A 40417-2023 tillsynsbegäran.docx", "A 40417-2023")</f>
        <v/>
      </c>
      <c r="Y70">
        <f>HYPERLINK("https://klasma.github.io/Logging_2283/tillsynsmail/A 40417-2023 tillsynsbegäran mail.docx", "A 40417-2023")</f>
        <v/>
      </c>
    </row>
    <row r="71" ht="15" customHeight="1">
      <c r="A71" t="inlineStr">
        <is>
          <t>A 62051-2018</t>
        </is>
      </c>
      <c r="B71" s="1" t="n">
        <v>43416</v>
      </c>
      <c r="C71" s="1" t="n">
        <v>45268</v>
      </c>
      <c r="D71" t="inlineStr">
        <is>
          <t>VÄSTERNORRLANDS LÄN</t>
        </is>
      </c>
      <c r="E71" t="inlineStr">
        <is>
          <t>SOLLEFTEÅ</t>
        </is>
      </c>
      <c r="F71" t="inlineStr">
        <is>
          <t>Kyrkan</t>
        </is>
      </c>
      <c r="G71" t="n">
        <v>16.1</v>
      </c>
      <c r="H71" t="n">
        <v>1</v>
      </c>
      <c r="I71" t="n">
        <v>1</v>
      </c>
      <c r="J71" t="n">
        <v>4</v>
      </c>
      <c r="K71" t="n">
        <v>0</v>
      </c>
      <c r="L71" t="n">
        <v>0</v>
      </c>
      <c r="M71" t="n">
        <v>0</v>
      </c>
      <c r="N71" t="n">
        <v>0</v>
      </c>
      <c r="O71" t="n">
        <v>4</v>
      </c>
      <c r="P71" t="n">
        <v>0</v>
      </c>
      <c r="Q71" t="n">
        <v>5</v>
      </c>
      <c r="R71" s="2" t="inlineStr">
        <is>
          <t>Garnlav
Lunglav
Rosenticka
Tretåig hackspett
Vanlig flatbagge</t>
        </is>
      </c>
      <c r="S71">
        <f>HYPERLINK("https://klasma.github.io/Logging_2283/artfynd/A 62051-2018 artfynd.xlsx", "A 62051-2018")</f>
        <v/>
      </c>
      <c r="T71">
        <f>HYPERLINK("https://klasma.github.io/Logging_2283/kartor/A 62051-2018 karta.png", "A 62051-2018")</f>
        <v/>
      </c>
      <c r="V71">
        <f>HYPERLINK("https://klasma.github.io/Logging_2283/klagomål/A 62051-2018 FSC-klagomål.docx", "A 62051-2018")</f>
        <v/>
      </c>
      <c r="W71">
        <f>HYPERLINK("https://klasma.github.io/Logging_2283/klagomålsmail/A 62051-2018 FSC-klagomål mail.docx", "A 62051-2018")</f>
        <v/>
      </c>
      <c r="X71">
        <f>HYPERLINK("https://klasma.github.io/Logging_2283/tillsyn/A 62051-2018 tillsynsbegäran.docx", "A 62051-2018")</f>
        <v/>
      </c>
      <c r="Y71">
        <f>HYPERLINK("https://klasma.github.io/Logging_2283/tillsynsmail/A 62051-2018 tillsynsbegäran mail.docx", "A 62051-2018")</f>
        <v/>
      </c>
    </row>
    <row r="72" ht="15" customHeight="1">
      <c r="A72" t="inlineStr">
        <is>
          <t>A 68033-2018</t>
        </is>
      </c>
      <c r="B72" s="1" t="n">
        <v>43437</v>
      </c>
      <c r="C72" s="1" t="n">
        <v>45268</v>
      </c>
      <c r="D72" t="inlineStr">
        <is>
          <t>VÄSTERNORRLANDS LÄN</t>
        </is>
      </c>
      <c r="E72" t="inlineStr">
        <is>
          <t>SOLLEFTEÅ</t>
        </is>
      </c>
      <c r="F72" t="inlineStr">
        <is>
          <t>Holmen skog AB</t>
        </is>
      </c>
      <c r="G72" t="n">
        <v>7.5</v>
      </c>
      <c r="H72" t="n">
        <v>0</v>
      </c>
      <c r="I72" t="n">
        <v>1</v>
      </c>
      <c r="J72" t="n">
        <v>2</v>
      </c>
      <c r="K72" t="n">
        <v>1</v>
      </c>
      <c r="L72" t="n">
        <v>1</v>
      </c>
      <c r="M72" t="n">
        <v>0</v>
      </c>
      <c r="N72" t="n">
        <v>0</v>
      </c>
      <c r="O72" t="n">
        <v>4</v>
      </c>
      <c r="P72" t="n">
        <v>2</v>
      </c>
      <c r="Q72" t="n">
        <v>5</v>
      </c>
      <c r="R72" s="2" t="inlineStr">
        <is>
          <t>Isabellporing
Lappticka
Nordtagging
Tofsnålskinn
Vedticka</t>
        </is>
      </c>
      <c r="S72">
        <f>HYPERLINK("https://klasma.github.io/Logging_2283/artfynd/A 68033-2018 artfynd.xlsx", "A 68033-2018")</f>
        <v/>
      </c>
      <c r="T72">
        <f>HYPERLINK("https://klasma.github.io/Logging_2283/kartor/A 68033-2018 karta.png", "A 68033-2018")</f>
        <v/>
      </c>
      <c r="V72">
        <f>HYPERLINK("https://klasma.github.io/Logging_2283/klagomål/A 68033-2018 FSC-klagomål.docx", "A 68033-2018")</f>
        <v/>
      </c>
      <c r="W72">
        <f>HYPERLINK("https://klasma.github.io/Logging_2283/klagomålsmail/A 68033-2018 FSC-klagomål mail.docx", "A 68033-2018")</f>
        <v/>
      </c>
      <c r="X72">
        <f>HYPERLINK("https://klasma.github.io/Logging_2283/tillsyn/A 68033-2018 tillsynsbegäran.docx", "A 68033-2018")</f>
        <v/>
      </c>
      <c r="Y72">
        <f>HYPERLINK("https://klasma.github.io/Logging_2283/tillsynsmail/A 68033-2018 tillsynsbegäran mail.docx", "A 68033-2018")</f>
        <v/>
      </c>
    </row>
    <row r="73" ht="15" customHeight="1">
      <c r="A73" t="inlineStr">
        <is>
          <t>A 26633-2019</t>
        </is>
      </c>
      <c r="B73" s="1" t="n">
        <v>43612</v>
      </c>
      <c r="C73" s="1" t="n">
        <v>45268</v>
      </c>
      <c r="D73" t="inlineStr">
        <is>
          <t>VÄSTERNORRLANDS LÄN</t>
        </is>
      </c>
      <c r="E73" t="inlineStr">
        <is>
          <t>SOLLEFTEÅ</t>
        </is>
      </c>
      <c r="F73" t="inlineStr">
        <is>
          <t>SCA</t>
        </is>
      </c>
      <c r="G73" t="n">
        <v>20.5</v>
      </c>
      <c r="H73" t="n">
        <v>1</v>
      </c>
      <c r="I73" t="n">
        <v>1</v>
      </c>
      <c r="J73" t="n">
        <v>4</v>
      </c>
      <c r="K73" t="n">
        <v>0</v>
      </c>
      <c r="L73" t="n">
        <v>0</v>
      </c>
      <c r="M73" t="n">
        <v>0</v>
      </c>
      <c r="N73" t="n">
        <v>0</v>
      </c>
      <c r="O73" t="n">
        <v>4</v>
      </c>
      <c r="P73" t="n">
        <v>0</v>
      </c>
      <c r="Q73" t="n">
        <v>5</v>
      </c>
      <c r="R73" s="2" t="inlineStr">
        <is>
          <t>Grantaggsvamp
Knölgrynna
Tallriska
Tretåig hackspett
Dropptaggsvamp</t>
        </is>
      </c>
      <c r="S73">
        <f>HYPERLINK("https://klasma.github.io/Logging_2283/artfynd/A 26633-2019 artfynd.xlsx", "A 26633-2019")</f>
        <v/>
      </c>
      <c r="T73">
        <f>HYPERLINK("https://klasma.github.io/Logging_2283/kartor/A 26633-2019 karta.png", "A 26633-2019")</f>
        <v/>
      </c>
      <c r="V73">
        <f>HYPERLINK("https://klasma.github.io/Logging_2283/klagomål/A 26633-2019 FSC-klagomål.docx", "A 26633-2019")</f>
        <v/>
      </c>
      <c r="W73">
        <f>HYPERLINK("https://klasma.github.io/Logging_2283/klagomålsmail/A 26633-2019 FSC-klagomål mail.docx", "A 26633-2019")</f>
        <v/>
      </c>
      <c r="X73">
        <f>HYPERLINK("https://klasma.github.io/Logging_2283/tillsyn/A 26633-2019 tillsynsbegäran.docx", "A 26633-2019")</f>
        <v/>
      </c>
      <c r="Y73">
        <f>HYPERLINK("https://klasma.github.io/Logging_2283/tillsynsmail/A 26633-2019 tillsynsbegäran mail.docx", "A 26633-2019")</f>
        <v/>
      </c>
    </row>
    <row r="74" ht="15" customHeight="1">
      <c r="A74" t="inlineStr">
        <is>
          <t>A 41785-2019</t>
        </is>
      </c>
      <c r="B74" s="1" t="n">
        <v>43699</v>
      </c>
      <c r="C74" s="1" t="n">
        <v>45268</v>
      </c>
      <c r="D74" t="inlineStr">
        <is>
          <t>VÄSTERNORRLANDS LÄN</t>
        </is>
      </c>
      <c r="E74" t="inlineStr">
        <is>
          <t>SOLLEFTEÅ</t>
        </is>
      </c>
      <c r="F74" t="inlineStr">
        <is>
          <t>SCA</t>
        </is>
      </c>
      <c r="G74" t="n">
        <v>3.1</v>
      </c>
      <c r="H74" t="n">
        <v>0</v>
      </c>
      <c r="I74" t="n">
        <v>1</v>
      </c>
      <c r="J74" t="n">
        <v>3</v>
      </c>
      <c r="K74" t="n">
        <v>1</v>
      </c>
      <c r="L74" t="n">
        <v>0</v>
      </c>
      <c r="M74" t="n">
        <v>0</v>
      </c>
      <c r="N74" t="n">
        <v>0</v>
      </c>
      <c r="O74" t="n">
        <v>4</v>
      </c>
      <c r="P74" t="n">
        <v>1</v>
      </c>
      <c r="Q74" t="n">
        <v>5</v>
      </c>
      <c r="R74" s="2" t="inlineStr">
        <is>
          <t>Rynkskinn
Rosenticka
Ullticka
Violmussling
Stor aspticka</t>
        </is>
      </c>
      <c r="S74">
        <f>HYPERLINK("https://klasma.github.io/Logging_2283/artfynd/A 41785-2019 artfynd.xlsx", "A 41785-2019")</f>
        <v/>
      </c>
      <c r="T74">
        <f>HYPERLINK("https://klasma.github.io/Logging_2283/kartor/A 41785-2019 karta.png", "A 41785-2019")</f>
        <v/>
      </c>
      <c r="V74">
        <f>HYPERLINK("https://klasma.github.io/Logging_2283/klagomål/A 41785-2019 FSC-klagomål.docx", "A 41785-2019")</f>
        <v/>
      </c>
      <c r="W74">
        <f>HYPERLINK("https://klasma.github.io/Logging_2283/klagomålsmail/A 41785-2019 FSC-klagomål mail.docx", "A 41785-2019")</f>
        <v/>
      </c>
      <c r="X74">
        <f>HYPERLINK("https://klasma.github.io/Logging_2283/tillsyn/A 41785-2019 tillsynsbegäran.docx", "A 41785-2019")</f>
        <v/>
      </c>
      <c r="Y74">
        <f>HYPERLINK("https://klasma.github.io/Logging_2283/tillsynsmail/A 41785-2019 tillsynsbegäran mail.docx", "A 41785-2019")</f>
        <v/>
      </c>
    </row>
    <row r="75" ht="15" customHeight="1">
      <c r="A75" t="inlineStr">
        <is>
          <t>A 57076-2020</t>
        </is>
      </c>
      <c r="B75" s="1" t="n">
        <v>44138</v>
      </c>
      <c r="C75" s="1" t="n">
        <v>45268</v>
      </c>
      <c r="D75" t="inlineStr">
        <is>
          <t>VÄSTERNORRLANDS LÄN</t>
        </is>
      </c>
      <c r="E75" t="inlineStr">
        <is>
          <t>SOLLEFTEÅ</t>
        </is>
      </c>
      <c r="G75" t="n">
        <v>3.8</v>
      </c>
      <c r="H75" t="n">
        <v>3</v>
      </c>
      <c r="I75" t="n">
        <v>1</v>
      </c>
      <c r="J75" t="n">
        <v>3</v>
      </c>
      <c r="K75" t="n">
        <v>0</v>
      </c>
      <c r="L75" t="n">
        <v>0</v>
      </c>
      <c r="M75" t="n">
        <v>0</v>
      </c>
      <c r="N75" t="n">
        <v>0</v>
      </c>
      <c r="O75" t="n">
        <v>3</v>
      </c>
      <c r="P75" t="n">
        <v>0</v>
      </c>
      <c r="Q75" t="n">
        <v>5</v>
      </c>
      <c r="R75" s="2" t="inlineStr">
        <is>
          <t>Kråka
Nipsippa
Rosenticka
Strutbräken
Revlummer</t>
        </is>
      </c>
      <c r="S75">
        <f>HYPERLINK("https://klasma.github.io/Logging_2283/artfynd/A 57076-2020 artfynd.xlsx", "A 57076-2020")</f>
        <v/>
      </c>
      <c r="T75">
        <f>HYPERLINK("https://klasma.github.io/Logging_2283/kartor/A 57076-2020 karta.png", "A 57076-2020")</f>
        <v/>
      </c>
      <c r="V75">
        <f>HYPERLINK("https://klasma.github.io/Logging_2283/klagomål/A 57076-2020 FSC-klagomål.docx", "A 57076-2020")</f>
        <v/>
      </c>
      <c r="W75">
        <f>HYPERLINK("https://klasma.github.io/Logging_2283/klagomålsmail/A 57076-2020 FSC-klagomål mail.docx", "A 57076-2020")</f>
        <v/>
      </c>
      <c r="X75">
        <f>HYPERLINK("https://klasma.github.io/Logging_2283/tillsyn/A 57076-2020 tillsynsbegäran.docx", "A 57076-2020")</f>
        <v/>
      </c>
      <c r="Y75">
        <f>HYPERLINK("https://klasma.github.io/Logging_2283/tillsynsmail/A 57076-2020 tillsynsbegäran mail.docx", "A 57076-2020")</f>
        <v/>
      </c>
    </row>
    <row r="76" ht="15" customHeight="1">
      <c r="A76" t="inlineStr">
        <is>
          <t>A 59318-2021</t>
        </is>
      </c>
      <c r="B76" s="1" t="n">
        <v>44491</v>
      </c>
      <c r="C76" s="1" t="n">
        <v>45268</v>
      </c>
      <c r="D76" t="inlineStr">
        <is>
          <t>VÄSTERNORRLANDS LÄN</t>
        </is>
      </c>
      <c r="E76" t="inlineStr">
        <is>
          <t>SOLLEFTEÅ</t>
        </is>
      </c>
      <c r="G76" t="n">
        <v>1.2</v>
      </c>
      <c r="H76" t="n">
        <v>2</v>
      </c>
      <c r="I76" t="n">
        <v>1</v>
      </c>
      <c r="J76" t="n">
        <v>4</v>
      </c>
      <c r="K76" t="n">
        <v>0</v>
      </c>
      <c r="L76" t="n">
        <v>0</v>
      </c>
      <c r="M76" t="n">
        <v>0</v>
      </c>
      <c r="N76" t="n">
        <v>0</v>
      </c>
      <c r="O76" t="n">
        <v>4</v>
      </c>
      <c r="P76" t="n">
        <v>0</v>
      </c>
      <c r="Q76" t="n">
        <v>5</v>
      </c>
      <c r="R76" s="2" t="inlineStr">
        <is>
          <t>Gammelgransskål
Garnlav
Spillkråka
Talltita
Skinnlav</t>
        </is>
      </c>
      <c r="S76">
        <f>HYPERLINK("https://klasma.github.io/Logging_2283/artfynd/A 59318-2021 artfynd.xlsx", "A 59318-2021")</f>
        <v/>
      </c>
      <c r="T76">
        <f>HYPERLINK("https://klasma.github.io/Logging_2283/kartor/A 59318-2021 karta.png", "A 59318-2021")</f>
        <v/>
      </c>
      <c r="V76">
        <f>HYPERLINK("https://klasma.github.io/Logging_2283/klagomål/A 59318-2021 FSC-klagomål.docx", "A 59318-2021")</f>
        <v/>
      </c>
      <c r="W76">
        <f>HYPERLINK("https://klasma.github.io/Logging_2283/klagomålsmail/A 59318-2021 FSC-klagomål mail.docx", "A 59318-2021")</f>
        <v/>
      </c>
      <c r="X76">
        <f>HYPERLINK("https://klasma.github.io/Logging_2283/tillsyn/A 59318-2021 tillsynsbegäran.docx", "A 59318-2021")</f>
        <v/>
      </c>
      <c r="Y76">
        <f>HYPERLINK("https://klasma.github.io/Logging_2283/tillsynsmail/A 59318-2021 tillsynsbegäran mail.docx", "A 59318-2021")</f>
        <v/>
      </c>
    </row>
    <row r="77" ht="15" customHeight="1">
      <c r="A77" t="inlineStr">
        <is>
          <t>A 68354-2021</t>
        </is>
      </c>
      <c r="B77" s="1" t="n">
        <v>44528</v>
      </c>
      <c r="C77" s="1" t="n">
        <v>45268</v>
      </c>
      <c r="D77" t="inlineStr">
        <is>
          <t>VÄSTERNORRLANDS LÄN</t>
        </is>
      </c>
      <c r="E77" t="inlineStr">
        <is>
          <t>SOLLEFTEÅ</t>
        </is>
      </c>
      <c r="G77" t="n">
        <v>3.3</v>
      </c>
      <c r="H77" t="n">
        <v>2</v>
      </c>
      <c r="I77" t="n">
        <v>1</v>
      </c>
      <c r="J77" t="n">
        <v>4</v>
      </c>
      <c r="K77" t="n">
        <v>0</v>
      </c>
      <c r="L77" t="n">
        <v>0</v>
      </c>
      <c r="M77" t="n">
        <v>0</v>
      </c>
      <c r="N77" t="n">
        <v>0</v>
      </c>
      <c r="O77" t="n">
        <v>4</v>
      </c>
      <c r="P77" t="n">
        <v>0</v>
      </c>
      <c r="Q77" t="n">
        <v>5</v>
      </c>
      <c r="R77" s="2" t="inlineStr">
        <is>
          <t>Rosenticka
Spillkråka
Talltita
Ullticka
Vanlig flatbagge</t>
        </is>
      </c>
      <c r="S77">
        <f>HYPERLINK("https://klasma.github.io/Logging_2283/artfynd/A 68354-2021 artfynd.xlsx", "A 68354-2021")</f>
        <v/>
      </c>
      <c r="T77">
        <f>HYPERLINK("https://klasma.github.io/Logging_2283/kartor/A 68354-2021 karta.png", "A 68354-2021")</f>
        <v/>
      </c>
      <c r="V77">
        <f>HYPERLINK("https://klasma.github.io/Logging_2283/klagomål/A 68354-2021 FSC-klagomål.docx", "A 68354-2021")</f>
        <v/>
      </c>
      <c r="W77">
        <f>HYPERLINK("https://klasma.github.io/Logging_2283/klagomålsmail/A 68354-2021 FSC-klagomål mail.docx", "A 68354-2021")</f>
        <v/>
      </c>
      <c r="X77">
        <f>HYPERLINK("https://klasma.github.io/Logging_2283/tillsyn/A 68354-2021 tillsynsbegäran.docx", "A 68354-2021")</f>
        <v/>
      </c>
      <c r="Y77">
        <f>HYPERLINK("https://klasma.github.io/Logging_2283/tillsynsmail/A 68354-2021 tillsynsbegäran mail.docx", "A 68354-2021")</f>
        <v/>
      </c>
    </row>
    <row r="78" ht="15" customHeight="1">
      <c r="A78" t="inlineStr">
        <is>
          <t>A 10400-2022</t>
        </is>
      </c>
      <c r="B78" s="1" t="n">
        <v>44623</v>
      </c>
      <c r="C78" s="1" t="n">
        <v>45268</v>
      </c>
      <c r="D78" t="inlineStr">
        <is>
          <t>VÄSTERNORRLANDS LÄN</t>
        </is>
      </c>
      <c r="E78" t="inlineStr">
        <is>
          <t>SOLLEFTEÅ</t>
        </is>
      </c>
      <c r="G78" t="n">
        <v>25.8</v>
      </c>
      <c r="H78" t="n">
        <v>2</v>
      </c>
      <c r="I78" t="n">
        <v>1</v>
      </c>
      <c r="J78" t="n">
        <v>4</v>
      </c>
      <c r="K78" t="n">
        <v>0</v>
      </c>
      <c r="L78" t="n">
        <v>0</v>
      </c>
      <c r="M78" t="n">
        <v>0</v>
      </c>
      <c r="N78" t="n">
        <v>0</v>
      </c>
      <c r="O78" t="n">
        <v>4</v>
      </c>
      <c r="P78" t="n">
        <v>0</v>
      </c>
      <c r="Q78" t="n">
        <v>5</v>
      </c>
      <c r="R78" s="2" t="inlineStr">
        <is>
          <t>Lunglav
Spillkråka
Tretåig hackspett
Ullticka
Korallblylav</t>
        </is>
      </c>
      <c r="S78">
        <f>HYPERLINK("https://klasma.github.io/Logging_2283/artfynd/A 10400-2022 artfynd.xlsx", "A 10400-2022")</f>
        <v/>
      </c>
      <c r="T78">
        <f>HYPERLINK("https://klasma.github.io/Logging_2283/kartor/A 10400-2022 karta.png", "A 10400-2022")</f>
        <v/>
      </c>
      <c r="V78">
        <f>HYPERLINK("https://klasma.github.io/Logging_2283/klagomål/A 10400-2022 FSC-klagomål.docx", "A 10400-2022")</f>
        <v/>
      </c>
      <c r="W78">
        <f>HYPERLINK("https://klasma.github.io/Logging_2283/klagomålsmail/A 10400-2022 FSC-klagomål mail.docx", "A 10400-2022")</f>
        <v/>
      </c>
      <c r="X78">
        <f>HYPERLINK("https://klasma.github.io/Logging_2283/tillsyn/A 10400-2022 tillsynsbegäran.docx", "A 10400-2022")</f>
        <v/>
      </c>
      <c r="Y78">
        <f>HYPERLINK("https://klasma.github.io/Logging_2283/tillsynsmail/A 10400-2022 tillsynsbegäran mail.docx", "A 10400-2022")</f>
        <v/>
      </c>
    </row>
    <row r="79" ht="15" customHeight="1">
      <c r="A79" t="inlineStr">
        <is>
          <t>A 11490-2022</t>
        </is>
      </c>
      <c r="B79" s="1" t="n">
        <v>44630</v>
      </c>
      <c r="C79" s="1" t="n">
        <v>45268</v>
      </c>
      <c r="D79" t="inlineStr">
        <is>
          <t>VÄSTERNORRLANDS LÄN</t>
        </is>
      </c>
      <c r="E79" t="inlineStr">
        <is>
          <t>SOLLEFTEÅ</t>
        </is>
      </c>
      <c r="F79" t="inlineStr">
        <is>
          <t>SCA</t>
        </is>
      </c>
      <c r="G79" t="n">
        <v>2</v>
      </c>
      <c r="H79" t="n">
        <v>2</v>
      </c>
      <c r="I79" t="n">
        <v>0</v>
      </c>
      <c r="J79" t="n">
        <v>5</v>
      </c>
      <c r="K79" t="n">
        <v>0</v>
      </c>
      <c r="L79" t="n">
        <v>0</v>
      </c>
      <c r="M79" t="n">
        <v>0</v>
      </c>
      <c r="N79" t="n">
        <v>0</v>
      </c>
      <c r="O79" t="n">
        <v>5</v>
      </c>
      <c r="P79" t="n">
        <v>0</v>
      </c>
      <c r="Q79" t="n">
        <v>5</v>
      </c>
      <c r="R79" s="2" t="inlineStr">
        <is>
          <t>Garnlav
Lunglav
Spillkråka
Tretåig hackspett
Ullticka</t>
        </is>
      </c>
      <c r="S79">
        <f>HYPERLINK("https://klasma.github.io/Logging_2283/artfynd/A 11490-2022 artfynd.xlsx", "A 11490-2022")</f>
        <v/>
      </c>
      <c r="T79">
        <f>HYPERLINK("https://klasma.github.io/Logging_2283/kartor/A 11490-2022 karta.png", "A 11490-2022")</f>
        <v/>
      </c>
      <c r="V79">
        <f>HYPERLINK("https://klasma.github.io/Logging_2283/klagomål/A 11490-2022 FSC-klagomål.docx", "A 11490-2022")</f>
        <v/>
      </c>
      <c r="W79">
        <f>HYPERLINK("https://klasma.github.io/Logging_2283/klagomålsmail/A 11490-2022 FSC-klagomål mail.docx", "A 11490-2022")</f>
        <v/>
      </c>
      <c r="X79">
        <f>HYPERLINK("https://klasma.github.io/Logging_2283/tillsyn/A 11490-2022 tillsynsbegäran.docx", "A 11490-2022")</f>
        <v/>
      </c>
      <c r="Y79">
        <f>HYPERLINK("https://klasma.github.io/Logging_2283/tillsynsmail/A 11490-2022 tillsynsbegäran mail.docx", "A 11490-2022")</f>
        <v/>
      </c>
    </row>
    <row r="80" ht="15" customHeight="1">
      <c r="A80" t="inlineStr">
        <is>
          <t>A 20949-2022</t>
        </is>
      </c>
      <c r="B80" s="1" t="n">
        <v>44702</v>
      </c>
      <c r="C80" s="1" t="n">
        <v>45268</v>
      </c>
      <c r="D80" t="inlineStr">
        <is>
          <t>VÄSTERNORRLANDS LÄN</t>
        </is>
      </c>
      <c r="E80" t="inlineStr">
        <is>
          <t>SOLLEFTEÅ</t>
        </is>
      </c>
      <c r="F80" t="inlineStr">
        <is>
          <t>SCA</t>
        </is>
      </c>
      <c r="G80" t="n">
        <v>2.2</v>
      </c>
      <c r="H80" t="n">
        <v>1</v>
      </c>
      <c r="I80" t="n">
        <v>0</v>
      </c>
      <c r="J80" t="n">
        <v>5</v>
      </c>
      <c r="K80" t="n">
        <v>0</v>
      </c>
      <c r="L80" t="n">
        <v>0</v>
      </c>
      <c r="M80" t="n">
        <v>0</v>
      </c>
      <c r="N80" t="n">
        <v>0</v>
      </c>
      <c r="O80" t="n">
        <v>5</v>
      </c>
      <c r="P80" t="n">
        <v>0</v>
      </c>
      <c r="Q80" t="n">
        <v>5</v>
      </c>
      <c r="R80" s="2" t="inlineStr">
        <is>
          <t>Garnlav
Kolflarnlav
Lunglav
Tretåig hackspett
Vedskivlav</t>
        </is>
      </c>
      <c r="S80">
        <f>HYPERLINK("https://klasma.github.io/Logging_2283/artfynd/A 20949-2022 artfynd.xlsx", "A 20949-2022")</f>
        <v/>
      </c>
      <c r="T80">
        <f>HYPERLINK("https://klasma.github.io/Logging_2283/kartor/A 20949-2022 karta.png", "A 20949-2022")</f>
        <v/>
      </c>
      <c r="V80">
        <f>HYPERLINK("https://klasma.github.io/Logging_2283/klagomål/A 20949-2022 FSC-klagomål.docx", "A 20949-2022")</f>
        <v/>
      </c>
      <c r="W80">
        <f>HYPERLINK("https://klasma.github.io/Logging_2283/klagomålsmail/A 20949-2022 FSC-klagomål mail.docx", "A 20949-2022")</f>
        <v/>
      </c>
      <c r="X80">
        <f>HYPERLINK("https://klasma.github.io/Logging_2283/tillsyn/A 20949-2022 tillsynsbegäran.docx", "A 20949-2022")</f>
        <v/>
      </c>
      <c r="Y80">
        <f>HYPERLINK("https://klasma.github.io/Logging_2283/tillsynsmail/A 20949-2022 tillsynsbegäran mail.docx", "A 20949-2022")</f>
        <v/>
      </c>
    </row>
    <row r="81" ht="15" customHeight="1">
      <c r="A81" t="inlineStr">
        <is>
          <t>A 41169-2022</t>
        </is>
      </c>
      <c r="B81" s="1" t="n">
        <v>44825</v>
      </c>
      <c r="C81" s="1" t="n">
        <v>45268</v>
      </c>
      <c r="D81" t="inlineStr">
        <is>
          <t>VÄSTERNORRLANDS LÄN</t>
        </is>
      </c>
      <c r="E81" t="inlineStr">
        <is>
          <t>SOLLEFTEÅ</t>
        </is>
      </c>
      <c r="F81" t="inlineStr">
        <is>
          <t>SCA</t>
        </is>
      </c>
      <c r="G81" t="n">
        <v>1.8</v>
      </c>
      <c r="H81" t="n">
        <v>2</v>
      </c>
      <c r="I81" t="n">
        <v>1</v>
      </c>
      <c r="J81" t="n">
        <v>4</v>
      </c>
      <c r="K81" t="n">
        <v>0</v>
      </c>
      <c r="L81" t="n">
        <v>0</v>
      </c>
      <c r="M81" t="n">
        <v>0</v>
      </c>
      <c r="N81" t="n">
        <v>0</v>
      </c>
      <c r="O81" t="n">
        <v>4</v>
      </c>
      <c r="P81" t="n">
        <v>0</v>
      </c>
      <c r="Q81" t="n">
        <v>5</v>
      </c>
      <c r="R81" s="2" t="inlineStr">
        <is>
          <t>Spillkråka
Tretåig hackspett
Ullticka
Vedskivlav
Vedticka</t>
        </is>
      </c>
      <c r="S81">
        <f>HYPERLINK("https://klasma.github.io/Logging_2283/artfynd/A 41169-2022 artfynd.xlsx", "A 41169-2022")</f>
        <v/>
      </c>
      <c r="T81">
        <f>HYPERLINK("https://klasma.github.io/Logging_2283/kartor/A 41169-2022 karta.png", "A 41169-2022")</f>
        <v/>
      </c>
      <c r="V81">
        <f>HYPERLINK("https://klasma.github.io/Logging_2283/klagomål/A 41169-2022 FSC-klagomål.docx", "A 41169-2022")</f>
        <v/>
      </c>
      <c r="W81">
        <f>HYPERLINK("https://klasma.github.io/Logging_2283/klagomålsmail/A 41169-2022 FSC-klagomål mail.docx", "A 41169-2022")</f>
        <v/>
      </c>
      <c r="X81">
        <f>HYPERLINK("https://klasma.github.io/Logging_2283/tillsyn/A 41169-2022 tillsynsbegäran.docx", "A 41169-2022")</f>
        <v/>
      </c>
      <c r="Y81">
        <f>HYPERLINK("https://klasma.github.io/Logging_2283/tillsynsmail/A 41169-2022 tillsynsbegäran mail.docx", "A 41169-2022")</f>
        <v/>
      </c>
    </row>
    <row r="82" ht="15" customHeight="1">
      <c r="A82" t="inlineStr">
        <is>
          <t>A 81-2023</t>
        </is>
      </c>
      <c r="B82" s="1" t="n">
        <v>44920</v>
      </c>
      <c r="C82" s="1" t="n">
        <v>45268</v>
      </c>
      <c r="D82" t="inlineStr">
        <is>
          <t>VÄSTERNORRLANDS LÄN</t>
        </is>
      </c>
      <c r="E82" t="inlineStr">
        <is>
          <t>SOLLEFTEÅ</t>
        </is>
      </c>
      <c r="G82" t="n">
        <v>20</v>
      </c>
      <c r="H82" t="n">
        <v>2</v>
      </c>
      <c r="I82" t="n">
        <v>1</v>
      </c>
      <c r="J82" t="n">
        <v>3</v>
      </c>
      <c r="K82" t="n">
        <v>1</v>
      </c>
      <c r="L82" t="n">
        <v>0</v>
      </c>
      <c r="M82" t="n">
        <v>0</v>
      </c>
      <c r="N82" t="n">
        <v>0</v>
      </c>
      <c r="O82" t="n">
        <v>4</v>
      </c>
      <c r="P82" t="n">
        <v>1</v>
      </c>
      <c r="Q82" t="n">
        <v>5</v>
      </c>
      <c r="R82" s="2" t="inlineStr">
        <is>
          <t>Knärot
Garnlav
Lunglav
Talltita
Luddlav</t>
        </is>
      </c>
      <c r="S82">
        <f>HYPERLINK("https://klasma.github.io/Logging_2283/artfynd/A 81-2023 artfynd.xlsx", "A 81-2023")</f>
        <v/>
      </c>
      <c r="T82">
        <f>HYPERLINK("https://klasma.github.io/Logging_2283/kartor/A 81-2023 karta.png", "A 81-2023")</f>
        <v/>
      </c>
      <c r="U82">
        <f>HYPERLINK("https://klasma.github.io/Logging_2283/knärot/A 81-2023 karta knärot.png", "A 81-2023")</f>
        <v/>
      </c>
      <c r="V82">
        <f>HYPERLINK("https://klasma.github.io/Logging_2283/klagomål/A 81-2023 FSC-klagomål.docx", "A 81-2023")</f>
        <v/>
      </c>
      <c r="W82">
        <f>HYPERLINK("https://klasma.github.io/Logging_2283/klagomålsmail/A 81-2023 FSC-klagomål mail.docx", "A 81-2023")</f>
        <v/>
      </c>
      <c r="X82">
        <f>HYPERLINK("https://klasma.github.io/Logging_2283/tillsyn/A 81-2023 tillsynsbegäran.docx", "A 81-2023")</f>
        <v/>
      </c>
      <c r="Y82">
        <f>HYPERLINK("https://klasma.github.io/Logging_2283/tillsynsmail/A 81-2023 tillsynsbegäran mail.docx", "A 81-2023")</f>
        <v/>
      </c>
    </row>
    <row r="83" ht="15" customHeight="1">
      <c r="A83" t="inlineStr">
        <is>
          <t>A 14079-2023</t>
        </is>
      </c>
      <c r="B83" s="1" t="n">
        <v>45009</v>
      </c>
      <c r="C83" s="1" t="n">
        <v>45268</v>
      </c>
      <c r="D83" t="inlineStr">
        <is>
          <t>VÄSTERNORRLANDS LÄN</t>
        </is>
      </c>
      <c r="E83" t="inlineStr">
        <is>
          <t>SOLLEFTEÅ</t>
        </is>
      </c>
      <c r="F83" t="inlineStr">
        <is>
          <t>SCA</t>
        </is>
      </c>
      <c r="G83" t="n">
        <v>9</v>
      </c>
      <c r="H83" t="n">
        <v>0</v>
      </c>
      <c r="I83" t="n">
        <v>0</v>
      </c>
      <c r="J83" t="n">
        <v>5</v>
      </c>
      <c r="K83" t="n">
        <v>0</v>
      </c>
      <c r="L83" t="n">
        <v>0</v>
      </c>
      <c r="M83" t="n">
        <v>0</v>
      </c>
      <c r="N83" t="n">
        <v>0</v>
      </c>
      <c r="O83" t="n">
        <v>5</v>
      </c>
      <c r="P83" t="n">
        <v>0</v>
      </c>
      <c r="Q83" t="n">
        <v>5</v>
      </c>
      <c r="R83" s="2" t="inlineStr">
        <is>
          <t>Gammelgransskål
Garnlav
Ullticka
Vedskivlav
Vedtrappmossa</t>
        </is>
      </c>
      <c r="S83">
        <f>HYPERLINK("https://klasma.github.io/Logging_2283/artfynd/A 14079-2023 artfynd.xlsx", "A 14079-2023")</f>
        <v/>
      </c>
      <c r="T83">
        <f>HYPERLINK("https://klasma.github.io/Logging_2283/kartor/A 14079-2023 karta.png", "A 14079-2023")</f>
        <v/>
      </c>
      <c r="V83">
        <f>HYPERLINK("https://klasma.github.io/Logging_2283/klagomål/A 14079-2023 FSC-klagomål.docx", "A 14079-2023")</f>
        <v/>
      </c>
      <c r="W83">
        <f>HYPERLINK("https://klasma.github.io/Logging_2283/klagomålsmail/A 14079-2023 FSC-klagomål mail.docx", "A 14079-2023")</f>
        <v/>
      </c>
      <c r="X83">
        <f>HYPERLINK("https://klasma.github.io/Logging_2283/tillsyn/A 14079-2023 tillsynsbegäran.docx", "A 14079-2023")</f>
        <v/>
      </c>
      <c r="Y83">
        <f>HYPERLINK("https://klasma.github.io/Logging_2283/tillsynsmail/A 14079-2023 tillsynsbegäran mail.docx", "A 14079-2023")</f>
        <v/>
      </c>
    </row>
    <row r="84" ht="15" customHeight="1">
      <c r="A84" t="inlineStr">
        <is>
          <t>A 18163-2023</t>
        </is>
      </c>
      <c r="B84" s="1" t="n">
        <v>45040</v>
      </c>
      <c r="C84" s="1" t="n">
        <v>45268</v>
      </c>
      <c r="D84" t="inlineStr">
        <is>
          <t>VÄSTERNORRLANDS LÄN</t>
        </is>
      </c>
      <c r="E84" t="inlineStr">
        <is>
          <t>SOLLEFTEÅ</t>
        </is>
      </c>
      <c r="F84" t="inlineStr">
        <is>
          <t>SCA</t>
        </is>
      </c>
      <c r="G84" t="n">
        <v>5.2</v>
      </c>
      <c r="H84" t="n">
        <v>1</v>
      </c>
      <c r="I84" t="n">
        <v>0</v>
      </c>
      <c r="J84" t="n">
        <v>5</v>
      </c>
      <c r="K84" t="n">
        <v>0</v>
      </c>
      <c r="L84" t="n">
        <v>0</v>
      </c>
      <c r="M84" t="n">
        <v>0</v>
      </c>
      <c r="N84" t="n">
        <v>0</v>
      </c>
      <c r="O84" t="n">
        <v>5</v>
      </c>
      <c r="P84" t="n">
        <v>0</v>
      </c>
      <c r="Q84" t="n">
        <v>5</v>
      </c>
      <c r="R84" s="2" t="inlineStr">
        <is>
          <t>Garnlav
Granticka
Kolflarnlav
Spillkråka
Ullticka</t>
        </is>
      </c>
      <c r="S84">
        <f>HYPERLINK("https://klasma.github.io/Logging_2283/artfynd/A 18163-2023 artfynd.xlsx", "A 18163-2023")</f>
        <v/>
      </c>
      <c r="T84">
        <f>HYPERLINK("https://klasma.github.io/Logging_2283/kartor/A 18163-2023 karta.png", "A 18163-2023")</f>
        <v/>
      </c>
      <c r="V84">
        <f>HYPERLINK("https://klasma.github.io/Logging_2283/klagomål/A 18163-2023 FSC-klagomål.docx", "A 18163-2023")</f>
        <v/>
      </c>
      <c r="W84">
        <f>HYPERLINK("https://klasma.github.io/Logging_2283/klagomålsmail/A 18163-2023 FSC-klagomål mail.docx", "A 18163-2023")</f>
        <v/>
      </c>
      <c r="X84">
        <f>HYPERLINK("https://klasma.github.io/Logging_2283/tillsyn/A 18163-2023 tillsynsbegäran.docx", "A 18163-2023")</f>
        <v/>
      </c>
      <c r="Y84">
        <f>HYPERLINK("https://klasma.github.io/Logging_2283/tillsynsmail/A 18163-2023 tillsynsbegäran mail.docx", "A 18163-2023")</f>
        <v/>
      </c>
    </row>
    <row r="85" ht="15" customHeight="1">
      <c r="A85" t="inlineStr">
        <is>
          <t>A 27675-2023</t>
        </is>
      </c>
      <c r="B85" s="1" t="n">
        <v>45097</v>
      </c>
      <c r="C85" s="1" t="n">
        <v>45268</v>
      </c>
      <c r="D85" t="inlineStr">
        <is>
          <t>VÄSTERNORRLANDS LÄN</t>
        </is>
      </c>
      <c r="E85" t="inlineStr">
        <is>
          <t>SOLLEFTEÅ</t>
        </is>
      </c>
      <c r="G85" t="n">
        <v>4.7</v>
      </c>
      <c r="H85" t="n">
        <v>1</v>
      </c>
      <c r="I85" t="n">
        <v>1</v>
      </c>
      <c r="J85" t="n">
        <v>3</v>
      </c>
      <c r="K85" t="n">
        <v>1</v>
      </c>
      <c r="L85" t="n">
        <v>0</v>
      </c>
      <c r="M85" t="n">
        <v>0</v>
      </c>
      <c r="N85" t="n">
        <v>0</v>
      </c>
      <c r="O85" t="n">
        <v>4</v>
      </c>
      <c r="P85" t="n">
        <v>1</v>
      </c>
      <c r="Q85" t="n">
        <v>5</v>
      </c>
      <c r="R85" s="2" t="inlineStr">
        <is>
          <t>Knärot
Garnlav
Lunglav
Ullticka
Stuplav</t>
        </is>
      </c>
      <c r="S85">
        <f>HYPERLINK("https://klasma.github.io/Logging_2283/artfynd/A 27675-2023 artfynd.xlsx", "A 27675-2023")</f>
        <v/>
      </c>
      <c r="T85">
        <f>HYPERLINK("https://klasma.github.io/Logging_2283/kartor/A 27675-2023 karta.png", "A 27675-2023")</f>
        <v/>
      </c>
      <c r="U85">
        <f>HYPERLINK("https://klasma.github.io/Logging_2283/knärot/A 27675-2023 karta knärot.png", "A 27675-2023")</f>
        <v/>
      </c>
      <c r="V85">
        <f>HYPERLINK("https://klasma.github.io/Logging_2283/klagomål/A 27675-2023 FSC-klagomål.docx", "A 27675-2023")</f>
        <v/>
      </c>
      <c r="W85">
        <f>HYPERLINK("https://klasma.github.io/Logging_2283/klagomålsmail/A 27675-2023 FSC-klagomål mail.docx", "A 27675-2023")</f>
        <v/>
      </c>
      <c r="X85">
        <f>HYPERLINK("https://klasma.github.io/Logging_2283/tillsyn/A 27675-2023 tillsynsbegäran.docx", "A 27675-2023")</f>
        <v/>
      </c>
      <c r="Y85">
        <f>HYPERLINK("https://klasma.github.io/Logging_2283/tillsynsmail/A 27675-2023 tillsynsbegäran mail.docx", "A 27675-2023")</f>
        <v/>
      </c>
    </row>
    <row r="86" ht="15" customHeight="1">
      <c r="A86" t="inlineStr">
        <is>
          <t>A 8475-2019</t>
        </is>
      </c>
      <c r="B86" s="1" t="n">
        <v>43497</v>
      </c>
      <c r="C86" s="1" t="n">
        <v>45268</v>
      </c>
      <c r="D86" t="inlineStr">
        <is>
          <t>VÄSTERNORRLANDS LÄN</t>
        </is>
      </c>
      <c r="E86" t="inlineStr">
        <is>
          <t>SOLLEFTEÅ</t>
        </is>
      </c>
      <c r="G86" t="n">
        <v>2.6</v>
      </c>
      <c r="H86" t="n">
        <v>1</v>
      </c>
      <c r="I86" t="n">
        <v>0</v>
      </c>
      <c r="J86" t="n">
        <v>3</v>
      </c>
      <c r="K86" t="n">
        <v>0</v>
      </c>
      <c r="L86" t="n">
        <v>0</v>
      </c>
      <c r="M86" t="n">
        <v>0</v>
      </c>
      <c r="N86" t="n">
        <v>0</v>
      </c>
      <c r="O86" t="n">
        <v>3</v>
      </c>
      <c r="P86" t="n">
        <v>0</v>
      </c>
      <c r="Q86" t="n">
        <v>4</v>
      </c>
      <c r="R86" s="2" t="inlineStr">
        <is>
          <t>Garnlav
Ullticka
Vitgrynig nållav
Revlummer</t>
        </is>
      </c>
      <c r="S86">
        <f>HYPERLINK("https://klasma.github.io/Logging_2283/artfynd/A 8475-2019 artfynd.xlsx", "A 8475-2019")</f>
        <v/>
      </c>
      <c r="T86">
        <f>HYPERLINK("https://klasma.github.io/Logging_2283/kartor/A 8475-2019 karta.png", "A 8475-2019")</f>
        <v/>
      </c>
      <c r="V86">
        <f>HYPERLINK("https://klasma.github.io/Logging_2283/klagomål/A 8475-2019 FSC-klagomål.docx", "A 8475-2019")</f>
        <v/>
      </c>
      <c r="W86">
        <f>HYPERLINK("https://klasma.github.io/Logging_2283/klagomålsmail/A 8475-2019 FSC-klagomål mail.docx", "A 8475-2019")</f>
        <v/>
      </c>
      <c r="X86">
        <f>HYPERLINK("https://klasma.github.io/Logging_2283/tillsyn/A 8475-2019 tillsynsbegäran.docx", "A 8475-2019")</f>
        <v/>
      </c>
      <c r="Y86">
        <f>HYPERLINK("https://klasma.github.io/Logging_2283/tillsynsmail/A 8475-2019 tillsynsbegäran mail.docx", "A 8475-2019")</f>
        <v/>
      </c>
    </row>
    <row r="87" ht="15" customHeight="1">
      <c r="A87" t="inlineStr">
        <is>
          <t>A 23860-2020</t>
        </is>
      </c>
      <c r="B87" s="1" t="n">
        <v>43971</v>
      </c>
      <c r="C87" s="1" t="n">
        <v>45268</v>
      </c>
      <c r="D87" t="inlineStr">
        <is>
          <t>VÄSTERNORRLANDS LÄN</t>
        </is>
      </c>
      <c r="E87" t="inlineStr">
        <is>
          <t>SOLLEFTEÅ</t>
        </is>
      </c>
      <c r="G87" t="n">
        <v>22.3</v>
      </c>
      <c r="H87" t="n">
        <v>0</v>
      </c>
      <c r="I87" t="n">
        <v>1</v>
      </c>
      <c r="J87" t="n">
        <v>2</v>
      </c>
      <c r="K87" t="n">
        <v>1</v>
      </c>
      <c r="L87" t="n">
        <v>0</v>
      </c>
      <c r="M87" t="n">
        <v>0</v>
      </c>
      <c r="N87" t="n">
        <v>0</v>
      </c>
      <c r="O87" t="n">
        <v>3</v>
      </c>
      <c r="P87" t="n">
        <v>1</v>
      </c>
      <c r="Q87" t="n">
        <v>4</v>
      </c>
      <c r="R87" s="2" t="inlineStr">
        <is>
          <t>Aspgelélav
Lunglav
Vedskivlav
Dropptaggsvamp</t>
        </is>
      </c>
      <c r="S87">
        <f>HYPERLINK("https://klasma.github.io/Logging_2283/artfynd/A 23860-2020 artfynd.xlsx", "A 23860-2020")</f>
        <v/>
      </c>
      <c r="T87">
        <f>HYPERLINK("https://klasma.github.io/Logging_2283/kartor/A 23860-2020 karta.png", "A 23860-2020")</f>
        <v/>
      </c>
      <c r="U87">
        <f>HYPERLINK("https://klasma.github.io/Logging_2283/knärot/A 23860-2020 karta knärot.png", "A 23860-2020")</f>
        <v/>
      </c>
      <c r="V87">
        <f>HYPERLINK("https://klasma.github.io/Logging_2283/klagomål/A 23860-2020 FSC-klagomål.docx", "A 23860-2020")</f>
        <v/>
      </c>
      <c r="W87">
        <f>HYPERLINK("https://klasma.github.io/Logging_2283/klagomålsmail/A 23860-2020 FSC-klagomål mail.docx", "A 23860-2020")</f>
        <v/>
      </c>
      <c r="X87">
        <f>HYPERLINK("https://klasma.github.io/Logging_2283/tillsyn/A 23860-2020 tillsynsbegäran.docx", "A 23860-2020")</f>
        <v/>
      </c>
      <c r="Y87">
        <f>HYPERLINK("https://klasma.github.io/Logging_2283/tillsynsmail/A 23860-2020 tillsynsbegäran mail.docx", "A 23860-2020")</f>
        <v/>
      </c>
    </row>
    <row r="88" ht="15" customHeight="1">
      <c r="A88" t="inlineStr">
        <is>
          <t>A 44344-2021</t>
        </is>
      </c>
      <c r="B88" s="1" t="n">
        <v>44435</v>
      </c>
      <c r="C88" s="1" t="n">
        <v>45268</v>
      </c>
      <c r="D88" t="inlineStr">
        <is>
          <t>VÄSTERNORRLANDS LÄN</t>
        </is>
      </c>
      <c r="E88" t="inlineStr">
        <is>
          <t>SOLLEFTEÅ</t>
        </is>
      </c>
      <c r="F88" t="inlineStr">
        <is>
          <t>Kommuner</t>
        </is>
      </c>
      <c r="G88" t="n">
        <v>10.8</v>
      </c>
      <c r="H88" t="n">
        <v>0</v>
      </c>
      <c r="I88" t="n">
        <v>1</v>
      </c>
      <c r="J88" t="n">
        <v>2</v>
      </c>
      <c r="K88" t="n">
        <v>1</v>
      </c>
      <c r="L88" t="n">
        <v>0</v>
      </c>
      <c r="M88" t="n">
        <v>0</v>
      </c>
      <c r="N88" t="n">
        <v>0</v>
      </c>
      <c r="O88" t="n">
        <v>3</v>
      </c>
      <c r="P88" t="n">
        <v>1</v>
      </c>
      <c r="Q88" t="n">
        <v>4</v>
      </c>
      <c r="R88" s="2" t="inlineStr">
        <is>
          <t>Rynkskinn
Rosenticka
Ullticka
Skinnlav</t>
        </is>
      </c>
      <c r="S88">
        <f>HYPERLINK("https://klasma.github.io/Logging_2283/artfynd/A 44344-2021 artfynd.xlsx", "A 44344-2021")</f>
        <v/>
      </c>
      <c r="T88">
        <f>HYPERLINK("https://klasma.github.io/Logging_2283/kartor/A 44344-2021 karta.png", "A 44344-2021")</f>
        <v/>
      </c>
      <c r="V88">
        <f>HYPERLINK("https://klasma.github.io/Logging_2283/klagomål/A 44344-2021 FSC-klagomål.docx", "A 44344-2021")</f>
        <v/>
      </c>
      <c r="W88">
        <f>HYPERLINK("https://klasma.github.io/Logging_2283/klagomålsmail/A 44344-2021 FSC-klagomål mail.docx", "A 44344-2021")</f>
        <v/>
      </c>
      <c r="X88">
        <f>HYPERLINK("https://klasma.github.io/Logging_2283/tillsyn/A 44344-2021 tillsynsbegäran.docx", "A 44344-2021")</f>
        <v/>
      </c>
      <c r="Y88">
        <f>HYPERLINK("https://klasma.github.io/Logging_2283/tillsynsmail/A 44344-2021 tillsynsbegäran mail.docx", "A 44344-2021")</f>
        <v/>
      </c>
    </row>
    <row r="89" ht="15" customHeight="1">
      <c r="A89" t="inlineStr">
        <is>
          <t>A 64943-2021</t>
        </is>
      </c>
      <c r="B89" s="1" t="n">
        <v>44512</v>
      </c>
      <c r="C89" s="1" t="n">
        <v>45268</v>
      </c>
      <c r="D89" t="inlineStr">
        <is>
          <t>VÄSTERNORRLANDS LÄN</t>
        </is>
      </c>
      <c r="E89" t="inlineStr">
        <is>
          <t>SOLLEFTEÅ</t>
        </is>
      </c>
      <c r="F89" t="inlineStr">
        <is>
          <t>SCA</t>
        </is>
      </c>
      <c r="G89" t="n">
        <v>8.1</v>
      </c>
      <c r="H89" t="n">
        <v>0</v>
      </c>
      <c r="I89" t="n">
        <v>1</v>
      </c>
      <c r="J89" t="n">
        <v>3</v>
      </c>
      <c r="K89" t="n">
        <v>0</v>
      </c>
      <c r="L89" t="n">
        <v>0</v>
      </c>
      <c r="M89" t="n">
        <v>0</v>
      </c>
      <c r="N89" t="n">
        <v>0</v>
      </c>
      <c r="O89" t="n">
        <v>3</v>
      </c>
      <c r="P89" t="n">
        <v>0</v>
      </c>
      <c r="Q89" t="n">
        <v>4</v>
      </c>
      <c r="R89" s="2" t="inlineStr">
        <is>
          <t>Garnlav
Lunglav
Ullticka
Vedticka</t>
        </is>
      </c>
      <c r="S89">
        <f>HYPERLINK("https://klasma.github.io/Logging_2283/artfynd/A 64943-2021 artfynd.xlsx", "A 64943-2021")</f>
        <v/>
      </c>
      <c r="T89">
        <f>HYPERLINK("https://klasma.github.io/Logging_2283/kartor/A 64943-2021 karta.png", "A 64943-2021")</f>
        <v/>
      </c>
      <c r="V89">
        <f>HYPERLINK("https://klasma.github.io/Logging_2283/klagomål/A 64943-2021 FSC-klagomål.docx", "A 64943-2021")</f>
        <v/>
      </c>
      <c r="W89">
        <f>HYPERLINK("https://klasma.github.io/Logging_2283/klagomålsmail/A 64943-2021 FSC-klagomål mail.docx", "A 64943-2021")</f>
        <v/>
      </c>
      <c r="X89">
        <f>HYPERLINK("https://klasma.github.io/Logging_2283/tillsyn/A 64943-2021 tillsynsbegäran.docx", "A 64943-2021")</f>
        <v/>
      </c>
      <c r="Y89">
        <f>HYPERLINK("https://klasma.github.io/Logging_2283/tillsynsmail/A 64943-2021 tillsynsbegäran mail.docx", "A 64943-2021")</f>
        <v/>
      </c>
    </row>
    <row r="90" ht="15" customHeight="1">
      <c r="A90" t="inlineStr">
        <is>
          <t>A 18009-2022</t>
        </is>
      </c>
      <c r="B90" s="1" t="n">
        <v>44683</v>
      </c>
      <c r="C90" s="1" t="n">
        <v>45268</v>
      </c>
      <c r="D90" t="inlineStr">
        <is>
          <t>VÄSTERNORRLANDS LÄN</t>
        </is>
      </c>
      <c r="E90" t="inlineStr">
        <is>
          <t>SOLLEFTEÅ</t>
        </is>
      </c>
      <c r="F90" t="inlineStr">
        <is>
          <t>SCA</t>
        </is>
      </c>
      <c r="G90" t="n">
        <v>3.6</v>
      </c>
      <c r="H90" t="n">
        <v>3</v>
      </c>
      <c r="I90" t="n">
        <v>0</v>
      </c>
      <c r="J90" t="n">
        <v>3</v>
      </c>
      <c r="K90" t="n">
        <v>1</v>
      </c>
      <c r="L90" t="n">
        <v>0</v>
      </c>
      <c r="M90" t="n">
        <v>0</v>
      </c>
      <c r="N90" t="n">
        <v>0</v>
      </c>
      <c r="O90" t="n">
        <v>4</v>
      </c>
      <c r="P90" t="n">
        <v>1</v>
      </c>
      <c r="Q90" t="n">
        <v>4</v>
      </c>
      <c r="R90" s="2" t="inlineStr">
        <is>
          <t>Knärot
Garnlav
Järpe
Tretåig hackspett</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row>
    <row r="91" ht="15" customHeight="1">
      <c r="A91" t="inlineStr">
        <is>
          <t>A 18005-2022</t>
        </is>
      </c>
      <c r="B91" s="1" t="n">
        <v>44684</v>
      </c>
      <c r="C91" s="1" t="n">
        <v>45268</v>
      </c>
      <c r="D91" t="inlineStr">
        <is>
          <t>VÄSTERNORRLANDS LÄN</t>
        </is>
      </c>
      <c r="E91" t="inlineStr">
        <is>
          <t>SOLLEFTEÅ</t>
        </is>
      </c>
      <c r="F91" t="inlineStr">
        <is>
          <t>SCA</t>
        </is>
      </c>
      <c r="G91" t="n">
        <v>6.3</v>
      </c>
      <c r="H91" t="n">
        <v>0</v>
      </c>
      <c r="I91" t="n">
        <v>0</v>
      </c>
      <c r="J91" t="n">
        <v>4</v>
      </c>
      <c r="K91" t="n">
        <v>0</v>
      </c>
      <c r="L91" t="n">
        <v>0</v>
      </c>
      <c r="M91" t="n">
        <v>0</v>
      </c>
      <c r="N91" t="n">
        <v>0</v>
      </c>
      <c r="O91" t="n">
        <v>4</v>
      </c>
      <c r="P91" t="n">
        <v>0</v>
      </c>
      <c r="Q91" t="n">
        <v>4</v>
      </c>
      <c r="R91" s="2" t="inlineStr">
        <is>
          <t>Garnlav
Gränsticka
Lunglav
Ullticka</t>
        </is>
      </c>
      <c r="S91">
        <f>HYPERLINK("https://klasma.github.io/Logging_2283/artfynd/A 18005-2022 artfynd.xlsx", "A 18005-2022")</f>
        <v/>
      </c>
      <c r="T91">
        <f>HYPERLINK("https://klasma.github.io/Logging_2283/kartor/A 18005-2022 karta.png", "A 18005-2022")</f>
        <v/>
      </c>
      <c r="V91">
        <f>HYPERLINK("https://klasma.github.io/Logging_2283/klagomål/A 18005-2022 FSC-klagomål.docx", "A 18005-2022")</f>
        <v/>
      </c>
      <c r="W91">
        <f>HYPERLINK("https://klasma.github.io/Logging_2283/klagomålsmail/A 18005-2022 FSC-klagomål mail.docx", "A 18005-2022")</f>
        <v/>
      </c>
      <c r="X91">
        <f>HYPERLINK("https://klasma.github.io/Logging_2283/tillsyn/A 18005-2022 tillsynsbegäran.docx", "A 18005-2022")</f>
        <v/>
      </c>
      <c r="Y91">
        <f>HYPERLINK("https://klasma.github.io/Logging_2283/tillsynsmail/A 18005-2022 tillsynsbegäran mail.docx", "A 18005-2022")</f>
        <v/>
      </c>
    </row>
    <row r="92" ht="15" customHeight="1">
      <c r="A92" t="inlineStr">
        <is>
          <t>A 18025-2022</t>
        </is>
      </c>
      <c r="B92" s="1" t="n">
        <v>44683</v>
      </c>
      <c r="C92" s="1" t="n">
        <v>45268</v>
      </c>
      <c r="D92" t="inlineStr">
        <is>
          <t>VÄSTERNORRLANDS LÄN</t>
        </is>
      </c>
      <c r="E92" t="inlineStr">
        <is>
          <t>SOLLEFTEÅ</t>
        </is>
      </c>
      <c r="F92" t="inlineStr">
        <is>
          <t>SCA</t>
        </is>
      </c>
      <c r="G92" t="n">
        <v>5.2</v>
      </c>
      <c r="H92" t="n">
        <v>1</v>
      </c>
      <c r="I92" t="n">
        <v>1</v>
      </c>
      <c r="J92" t="n">
        <v>2</v>
      </c>
      <c r="K92" t="n">
        <v>0</v>
      </c>
      <c r="L92" t="n">
        <v>0</v>
      </c>
      <c r="M92" t="n">
        <v>0</v>
      </c>
      <c r="N92" t="n">
        <v>0</v>
      </c>
      <c r="O92" t="n">
        <v>2</v>
      </c>
      <c r="P92" t="n">
        <v>0</v>
      </c>
      <c r="Q92" t="n">
        <v>4</v>
      </c>
      <c r="R92" s="2" t="inlineStr">
        <is>
          <t>Garnlav
Lunglav
Bronshjon
Fläcknycklar</t>
        </is>
      </c>
      <c r="S92">
        <f>HYPERLINK("https://klasma.github.io/Logging_2283/artfynd/A 18025-2022 artfynd.xlsx", "A 18025-2022")</f>
        <v/>
      </c>
      <c r="T92">
        <f>HYPERLINK("https://klasma.github.io/Logging_2283/kartor/A 18025-2022 karta.png", "A 18025-2022")</f>
        <v/>
      </c>
      <c r="V92">
        <f>HYPERLINK("https://klasma.github.io/Logging_2283/klagomål/A 18025-2022 FSC-klagomål.docx", "A 18025-2022")</f>
        <v/>
      </c>
      <c r="W92">
        <f>HYPERLINK("https://klasma.github.io/Logging_2283/klagomålsmail/A 18025-2022 FSC-klagomål mail.docx", "A 18025-2022")</f>
        <v/>
      </c>
      <c r="X92">
        <f>HYPERLINK("https://klasma.github.io/Logging_2283/tillsyn/A 18025-2022 tillsynsbegäran.docx", "A 18025-2022")</f>
        <v/>
      </c>
      <c r="Y92">
        <f>HYPERLINK("https://klasma.github.io/Logging_2283/tillsynsmail/A 18025-2022 tillsynsbegäran mail.docx", "A 18025-2022")</f>
        <v/>
      </c>
    </row>
    <row r="93" ht="15" customHeight="1">
      <c r="A93" t="inlineStr">
        <is>
          <t>A 27071-2022</t>
        </is>
      </c>
      <c r="B93" s="1" t="n">
        <v>44741</v>
      </c>
      <c r="C93" s="1" t="n">
        <v>45268</v>
      </c>
      <c r="D93" t="inlineStr">
        <is>
          <t>VÄSTERNORRLANDS LÄN</t>
        </is>
      </c>
      <c r="E93" t="inlineStr">
        <is>
          <t>SOLLEFTEÅ</t>
        </is>
      </c>
      <c r="G93" t="n">
        <v>19</v>
      </c>
      <c r="H93" t="n">
        <v>1</v>
      </c>
      <c r="I93" t="n">
        <v>0</v>
      </c>
      <c r="J93" t="n">
        <v>4</v>
      </c>
      <c r="K93" t="n">
        <v>0</v>
      </c>
      <c r="L93" t="n">
        <v>0</v>
      </c>
      <c r="M93" t="n">
        <v>0</v>
      </c>
      <c r="N93" t="n">
        <v>0</v>
      </c>
      <c r="O93" t="n">
        <v>4</v>
      </c>
      <c r="P93" t="n">
        <v>0</v>
      </c>
      <c r="Q93" t="n">
        <v>4</v>
      </c>
      <c r="R93" s="2" t="inlineStr">
        <is>
          <t>Granticka
Rosenticka
Tretåig hackspett
Ullticka</t>
        </is>
      </c>
      <c r="S93">
        <f>HYPERLINK("https://klasma.github.io/Logging_2283/artfynd/A 27071-2022 artfynd.xlsx", "A 27071-2022")</f>
        <v/>
      </c>
      <c r="T93">
        <f>HYPERLINK("https://klasma.github.io/Logging_2283/kartor/A 27071-2022 karta.png", "A 27071-2022")</f>
        <v/>
      </c>
      <c r="V93">
        <f>HYPERLINK("https://klasma.github.io/Logging_2283/klagomål/A 27071-2022 FSC-klagomål.docx", "A 27071-2022")</f>
        <v/>
      </c>
      <c r="W93">
        <f>HYPERLINK("https://klasma.github.io/Logging_2283/klagomålsmail/A 27071-2022 FSC-klagomål mail.docx", "A 27071-2022")</f>
        <v/>
      </c>
      <c r="X93">
        <f>HYPERLINK("https://klasma.github.io/Logging_2283/tillsyn/A 27071-2022 tillsynsbegäran.docx", "A 27071-2022")</f>
        <v/>
      </c>
      <c r="Y93">
        <f>HYPERLINK("https://klasma.github.io/Logging_2283/tillsynsmail/A 27071-2022 tillsynsbegäran mail.docx", "A 27071-2022")</f>
        <v/>
      </c>
    </row>
    <row r="94" ht="15" customHeight="1">
      <c r="A94" t="inlineStr">
        <is>
          <t>A 57001-2022</t>
        </is>
      </c>
      <c r="B94" s="1" t="n">
        <v>44894</v>
      </c>
      <c r="C94" s="1" t="n">
        <v>45268</v>
      </c>
      <c r="D94" t="inlineStr">
        <is>
          <t>VÄSTERNORRLANDS LÄN</t>
        </is>
      </c>
      <c r="E94" t="inlineStr">
        <is>
          <t>SOLLEFTEÅ</t>
        </is>
      </c>
      <c r="F94" t="inlineStr">
        <is>
          <t>SCA</t>
        </is>
      </c>
      <c r="G94" t="n">
        <v>1.2</v>
      </c>
      <c r="H94" t="n">
        <v>2</v>
      </c>
      <c r="I94" t="n">
        <v>0</v>
      </c>
      <c r="J94" t="n">
        <v>3</v>
      </c>
      <c r="K94" t="n">
        <v>1</v>
      </c>
      <c r="L94" t="n">
        <v>0</v>
      </c>
      <c r="M94" t="n">
        <v>0</v>
      </c>
      <c r="N94" t="n">
        <v>0</v>
      </c>
      <c r="O94" t="n">
        <v>4</v>
      </c>
      <c r="P94" t="n">
        <v>1</v>
      </c>
      <c r="Q94" t="n">
        <v>4</v>
      </c>
      <c r="R94" s="2" t="inlineStr">
        <is>
          <t>Knärot
Garnlav
Järpe
Lunglav</t>
        </is>
      </c>
      <c r="S94">
        <f>HYPERLINK("https://klasma.github.io/Logging_2283/artfynd/A 57001-2022 artfynd.xlsx", "A 57001-2022")</f>
        <v/>
      </c>
      <c r="T94">
        <f>HYPERLINK("https://klasma.github.io/Logging_2283/kartor/A 57001-2022 karta.png", "A 57001-2022")</f>
        <v/>
      </c>
      <c r="U94">
        <f>HYPERLINK("https://klasma.github.io/Logging_2283/knärot/A 57001-2022 karta knärot.png", "A 57001-2022")</f>
        <v/>
      </c>
      <c r="V94">
        <f>HYPERLINK("https://klasma.github.io/Logging_2283/klagomål/A 57001-2022 FSC-klagomål.docx", "A 57001-2022")</f>
        <v/>
      </c>
      <c r="W94">
        <f>HYPERLINK("https://klasma.github.io/Logging_2283/klagomålsmail/A 57001-2022 FSC-klagomål mail.docx", "A 57001-2022")</f>
        <v/>
      </c>
      <c r="X94">
        <f>HYPERLINK("https://klasma.github.io/Logging_2283/tillsyn/A 57001-2022 tillsynsbegäran.docx", "A 57001-2022")</f>
        <v/>
      </c>
      <c r="Y94">
        <f>HYPERLINK("https://klasma.github.io/Logging_2283/tillsynsmail/A 57001-2022 tillsynsbegäran mail.docx", "A 57001-2022")</f>
        <v/>
      </c>
    </row>
    <row r="95" ht="15" customHeight="1">
      <c r="A95" t="inlineStr">
        <is>
          <t>A 62638-2022</t>
        </is>
      </c>
      <c r="B95" s="1" t="n">
        <v>44925</v>
      </c>
      <c r="C95" s="1" t="n">
        <v>45268</v>
      </c>
      <c r="D95" t="inlineStr">
        <is>
          <t>VÄSTERNORRLANDS LÄN</t>
        </is>
      </c>
      <c r="E95" t="inlineStr">
        <is>
          <t>SOLLEFTEÅ</t>
        </is>
      </c>
      <c r="F95" t="inlineStr">
        <is>
          <t>Holmen skog AB</t>
        </is>
      </c>
      <c r="G95" t="n">
        <v>4</v>
      </c>
      <c r="H95" t="n">
        <v>1</v>
      </c>
      <c r="I95" t="n">
        <v>1</v>
      </c>
      <c r="J95" t="n">
        <v>2</v>
      </c>
      <c r="K95" t="n">
        <v>1</v>
      </c>
      <c r="L95" t="n">
        <v>0</v>
      </c>
      <c r="M95" t="n">
        <v>0</v>
      </c>
      <c r="N95" t="n">
        <v>0</v>
      </c>
      <c r="O95" t="n">
        <v>3</v>
      </c>
      <c r="P95" t="n">
        <v>1</v>
      </c>
      <c r="Q95" t="n">
        <v>4</v>
      </c>
      <c r="R95" s="2" t="inlineStr">
        <is>
          <t>Knärot
Koralltaggsvamp
Lunglav
Skinnlav</t>
        </is>
      </c>
      <c r="S95">
        <f>HYPERLINK("https://klasma.github.io/Logging_2283/artfynd/A 62638-2022 artfynd.xlsx", "A 62638-2022")</f>
        <v/>
      </c>
      <c r="T95">
        <f>HYPERLINK("https://klasma.github.io/Logging_2283/kartor/A 62638-2022 karta.png", "A 62638-2022")</f>
        <v/>
      </c>
      <c r="U95">
        <f>HYPERLINK("https://klasma.github.io/Logging_2283/knärot/A 62638-2022 karta knärot.png", "A 62638-2022")</f>
        <v/>
      </c>
      <c r="V95">
        <f>HYPERLINK("https://klasma.github.io/Logging_2283/klagomål/A 62638-2022 FSC-klagomål.docx", "A 62638-2022")</f>
        <v/>
      </c>
      <c r="W95">
        <f>HYPERLINK("https://klasma.github.io/Logging_2283/klagomålsmail/A 62638-2022 FSC-klagomål mail.docx", "A 62638-2022")</f>
        <v/>
      </c>
      <c r="X95">
        <f>HYPERLINK("https://klasma.github.io/Logging_2283/tillsyn/A 62638-2022 tillsynsbegäran.docx", "A 62638-2022")</f>
        <v/>
      </c>
      <c r="Y95">
        <f>HYPERLINK("https://klasma.github.io/Logging_2283/tillsynsmail/A 62638-2022 tillsynsbegäran mail.docx", "A 62638-2022")</f>
        <v/>
      </c>
    </row>
    <row r="96" ht="15" customHeight="1">
      <c r="A96" t="inlineStr">
        <is>
          <t>A 62632-2022</t>
        </is>
      </c>
      <c r="B96" s="1" t="n">
        <v>44925</v>
      </c>
      <c r="C96" s="1" t="n">
        <v>45268</v>
      </c>
      <c r="D96" t="inlineStr">
        <is>
          <t>VÄSTERNORRLANDS LÄN</t>
        </is>
      </c>
      <c r="E96" t="inlineStr">
        <is>
          <t>SOLLEFTEÅ</t>
        </is>
      </c>
      <c r="F96" t="inlineStr">
        <is>
          <t>Holmen skog AB</t>
        </is>
      </c>
      <c r="G96" t="n">
        <v>4.4</v>
      </c>
      <c r="H96" t="n">
        <v>1</v>
      </c>
      <c r="I96" t="n">
        <v>1</v>
      </c>
      <c r="J96" t="n">
        <v>2</v>
      </c>
      <c r="K96" t="n">
        <v>1</v>
      </c>
      <c r="L96" t="n">
        <v>0</v>
      </c>
      <c r="M96" t="n">
        <v>0</v>
      </c>
      <c r="N96" t="n">
        <v>0</v>
      </c>
      <c r="O96" t="n">
        <v>3</v>
      </c>
      <c r="P96" t="n">
        <v>1</v>
      </c>
      <c r="Q96" t="n">
        <v>4</v>
      </c>
      <c r="R96" s="2" t="inlineStr">
        <is>
          <t>Bitter taggsvamp
Blå taggsvamp
Orange taggsvamp
Plattlummer</t>
        </is>
      </c>
      <c r="S96">
        <f>HYPERLINK("https://klasma.github.io/Logging_2283/artfynd/A 62632-2022 artfynd.xlsx", "A 62632-2022")</f>
        <v/>
      </c>
      <c r="T96">
        <f>HYPERLINK("https://klasma.github.io/Logging_2283/kartor/A 62632-2022 karta.png", "A 62632-2022")</f>
        <v/>
      </c>
      <c r="V96">
        <f>HYPERLINK("https://klasma.github.io/Logging_2283/klagomål/A 62632-2022 FSC-klagomål.docx", "A 62632-2022")</f>
        <v/>
      </c>
      <c r="W96">
        <f>HYPERLINK("https://klasma.github.io/Logging_2283/klagomålsmail/A 62632-2022 FSC-klagomål mail.docx", "A 62632-2022")</f>
        <v/>
      </c>
      <c r="X96">
        <f>HYPERLINK("https://klasma.github.io/Logging_2283/tillsyn/A 62632-2022 tillsynsbegäran.docx", "A 62632-2022")</f>
        <v/>
      </c>
      <c r="Y96">
        <f>HYPERLINK("https://klasma.github.io/Logging_2283/tillsynsmail/A 62632-2022 tillsynsbegäran mail.docx", "A 62632-2022")</f>
        <v/>
      </c>
    </row>
    <row r="97" ht="15" customHeight="1">
      <c r="A97" t="inlineStr">
        <is>
          <t>A 2409-2023</t>
        </is>
      </c>
      <c r="B97" s="1" t="n">
        <v>44942</v>
      </c>
      <c r="C97" s="1" t="n">
        <v>45268</v>
      </c>
      <c r="D97" t="inlineStr">
        <is>
          <t>VÄSTERNORRLANDS LÄN</t>
        </is>
      </c>
      <c r="E97" t="inlineStr">
        <is>
          <t>SOLLEFTEÅ</t>
        </is>
      </c>
      <c r="F97" t="inlineStr">
        <is>
          <t>SCA</t>
        </is>
      </c>
      <c r="G97" t="n">
        <v>2</v>
      </c>
      <c r="H97" t="n">
        <v>0</v>
      </c>
      <c r="I97" t="n">
        <v>1</v>
      </c>
      <c r="J97" t="n">
        <v>3</v>
      </c>
      <c r="K97" t="n">
        <v>0</v>
      </c>
      <c r="L97" t="n">
        <v>0</v>
      </c>
      <c r="M97" t="n">
        <v>0</v>
      </c>
      <c r="N97" t="n">
        <v>0</v>
      </c>
      <c r="O97" t="n">
        <v>3</v>
      </c>
      <c r="P97" t="n">
        <v>0</v>
      </c>
      <c r="Q97" t="n">
        <v>4</v>
      </c>
      <c r="R97" s="2" t="inlineStr">
        <is>
          <t>Rosenticka
Tallticka
Ullticka
Dropptaggsvamp</t>
        </is>
      </c>
      <c r="S97">
        <f>HYPERLINK("https://klasma.github.io/Logging_2283/artfynd/A 2409-2023 artfynd.xlsx", "A 2409-2023")</f>
        <v/>
      </c>
      <c r="T97">
        <f>HYPERLINK("https://klasma.github.io/Logging_2283/kartor/A 2409-2023 karta.png", "A 2409-2023")</f>
        <v/>
      </c>
      <c r="V97">
        <f>HYPERLINK("https://klasma.github.io/Logging_2283/klagomål/A 2409-2023 FSC-klagomål.docx", "A 2409-2023")</f>
        <v/>
      </c>
      <c r="W97">
        <f>HYPERLINK("https://klasma.github.io/Logging_2283/klagomålsmail/A 2409-2023 FSC-klagomål mail.docx", "A 2409-2023")</f>
        <v/>
      </c>
      <c r="X97">
        <f>HYPERLINK("https://klasma.github.io/Logging_2283/tillsyn/A 2409-2023 tillsynsbegäran.docx", "A 2409-2023")</f>
        <v/>
      </c>
      <c r="Y97">
        <f>HYPERLINK("https://klasma.github.io/Logging_2283/tillsynsmail/A 2409-2023 tillsynsbegäran mail.docx", "A 2409-2023")</f>
        <v/>
      </c>
    </row>
    <row r="98" ht="15" customHeight="1">
      <c r="A98" t="inlineStr">
        <is>
          <t>A 10776-2023</t>
        </is>
      </c>
      <c r="B98" s="1" t="n">
        <v>44988</v>
      </c>
      <c r="C98" s="1" t="n">
        <v>45268</v>
      </c>
      <c r="D98" t="inlineStr">
        <is>
          <t>VÄSTERNORRLANDS LÄN</t>
        </is>
      </c>
      <c r="E98" t="inlineStr">
        <is>
          <t>SOLLEFTEÅ</t>
        </is>
      </c>
      <c r="F98" t="inlineStr">
        <is>
          <t>SCA</t>
        </is>
      </c>
      <c r="G98" t="n">
        <v>6.2</v>
      </c>
      <c r="H98" t="n">
        <v>0</v>
      </c>
      <c r="I98" t="n">
        <v>0</v>
      </c>
      <c r="J98" t="n">
        <v>4</v>
      </c>
      <c r="K98" t="n">
        <v>0</v>
      </c>
      <c r="L98" t="n">
        <v>0</v>
      </c>
      <c r="M98" t="n">
        <v>0</v>
      </c>
      <c r="N98" t="n">
        <v>0</v>
      </c>
      <c r="O98" t="n">
        <v>4</v>
      </c>
      <c r="P98" t="n">
        <v>0</v>
      </c>
      <c r="Q98" t="n">
        <v>4</v>
      </c>
      <c r="R98" s="2" t="inlineStr">
        <is>
          <t>Granticka
Rosenticka
Ullticka
Vedskivlav</t>
        </is>
      </c>
      <c r="S98">
        <f>HYPERLINK("https://klasma.github.io/Logging_2283/artfynd/A 10776-2023 artfynd.xlsx", "A 10776-2023")</f>
        <v/>
      </c>
      <c r="T98">
        <f>HYPERLINK("https://klasma.github.io/Logging_2283/kartor/A 10776-2023 karta.png", "A 10776-2023")</f>
        <v/>
      </c>
      <c r="V98">
        <f>HYPERLINK("https://klasma.github.io/Logging_2283/klagomål/A 10776-2023 FSC-klagomål.docx", "A 10776-2023")</f>
        <v/>
      </c>
      <c r="W98">
        <f>HYPERLINK("https://klasma.github.io/Logging_2283/klagomålsmail/A 10776-2023 FSC-klagomål mail.docx", "A 10776-2023")</f>
        <v/>
      </c>
      <c r="X98">
        <f>HYPERLINK("https://klasma.github.io/Logging_2283/tillsyn/A 10776-2023 tillsynsbegäran.docx", "A 10776-2023")</f>
        <v/>
      </c>
      <c r="Y98">
        <f>HYPERLINK("https://klasma.github.io/Logging_2283/tillsynsmail/A 10776-2023 tillsynsbegäran mail.docx", "A 10776-2023")</f>
        <v/>
      </c>
    </row>
    <row r="99" ht="15" customHeight="1">
      <c r="A99" t="inlineStr">
        <is>
          <t>A 12365-2023</t>
        </is>
      </c>
      <c r="B99" s="1" t="n">
        <v>44999</v>
      </c>
      <c r="C99" s="1" t="n">
        <v>45268</v>
      </c>
      <c r="D99" t="inlineStr">
        <is>
          <t>VÄSTERNORRLANDS LÄN</t>
        </is>
      </c>
      <c r="E99" t="inlineStr">
        <is>
          <t>SOLLEFTEÅ</t>
        </is>
      </c>
      <c r="F99" t="inlineStr">
        <is>
          <t>Kommuner</t>
        </is>
      </c>
      <c r="G99" t="n">
        <v>2.2</v>
      </c>
      <c r="H99" t="n">
        <v>0</v>
      </c>
      <c r="I99" t="n">
        <v>2</v>
      </c>
      <c r="J99" t="n">
        <v>2</v>
      </c>
      <c r="K99" t="n">
        <v>0</v>
      </c>
      <c r="L99" t="n">
        <v>0</v>
      </c>
      <c r="M99" t="n">
        <v>0</v>
      </c>
      <c r="N99" t="n">
        <v>0</v>
      </c>
      <c r="O99" t="n">
        <v>2</v>
      </c>
      <c r="P99" t="n">
        <v>0</v>
      </c>
      <c r="Q99" t="n">
        <v>4</v>
      </c>
      <c r="R99" s="2" t="inlineStr">
        <is>
          <t>Rosenticka
Ullticka
Mörk husmossa
Skinnlav</t>
        </is>
      </c>
      <c r="S99">
        <f>HYPERLINK("https://klasma.github.io/Logging_2283/artfynd/A 12365-2023 artfynd.xlsx", "A 12365-2023")</f>
        <v/>
      </c>
      <c r="T99">
        <f>HYPERLINK("https://klasma.github.io/Logging_2283/kartor/A 12365-2023 karta.png", "A 12365-2023")</f>
        <v/>
      </c>
      <c r="U99">
        <f>HYPERLINK("https://klasma.github.io/Logging_2283/knärot/A 12365-2023 karta knärot.png", "A 12365-2023")</f>
        <v/>
      </c>
      <c r="V99">
        <f>HYPERLINK("https://klasma.github.io/Logging_2283/klagomål/A 12365-2023 FSC-klagomål.docx", "A 12365-2023")</f>
        <v/>
      </c>
      <c r="W99">
        <f>HYPERLINK("https://klasma.github.io/Logging_2283/klagomålsmail/A 12365-2023 FSC-klagomål mail.docx", "A 12365-2023")</f>
        <v/>
      </c>
      <c r="X99">
        <f>HYPERLINK("https://klasma.github.io/Logging_2283/tillsyn/A 12365-2023 tillsynsbegäran.docx", "A 12365-2023")</f>
        <v/>
      </c>
      <c r="Y99">
        <f>HYPERLINK("https://klasma.github.io/Logging_2283/tillsynsmail/A 12365-2023 tillsynsbegäran mail.docx", "A 12365-2023")</f>
        <v/>
      </c>
    </row>
    <row r="100" ht="15" customHeight="1">
      <c r="A100" t="inlineStr">
        <is>
          <t>A 18066-2023</t>
        </is>
      </c>
      <c r="B100" s="1" t="n">
        <v>45040</v>
      </c>
      <c r="C100" s="1" t="n">
        <v>45268</v>
      </c>
      <c r="D100" t="inlineStr">
        <is>
          <t>VÄSTERNORRLANDS LÄN</t>
        </is>
      </c>
      <c r="E100" t="inlineStr">
        <is>
          <t>SOLLEFTEÅ</t>
        </is>
      </c>
      <c r="G100" t="n">
        <v>0.8</v>
      </c>
      <c r="H100" t="n">
        <v>1</v>
      </c>
      <c r="I100" t="n">
        <v>0</v>
      </c>
      <c r="J100" t="n">
        <v>3</v>
      </c>
      <c r="K100" t="n">
        <v>1</v>
      </c>
      <c r="L100" t="n">
        <v>0</v>
      </c>
      <c r="M100" t="n">
        <v>0</v>
      </c>
      <c r="N100" t="n">
        <v>0</v>
      </c>
      <c r="O100" t="n">
        <v>4</v>
      </c>
      <c r="P100" t="n">
        <v>1</v>
      </c>
      <c r="Q100" t="n">
        <v>4</v>
      </c>
      <c r="R100" s="2" t="inlineStr">
        <is>
          <t>Knärot
Garnlav
Rosenticka
Ullticka</t>
        </is>
      </c>
      <c r="S100">
        <f>HYPERLINK("https://klasma.github.io/Logging_2283/artfynd/A 18066-2023 artfynd.xlsx", "A 18066-2023")</f>
        <v/>
      </c>
      <c r="T100">
        <f>HYPERLINK("https://klasma.github.io/Logging_2283/kartor/A 18066-2023 karta.png", "A 18066-2023")</f>
        <v/>
      </c>
      <c r="U100">
        <f>HYPERLINK("https://klasma.github.io/Logging_2283/knärot/A 18066-2023 karta knärot.png", "A 18066-2023")</f>
        <v/>
      </c>
      <c r="V100">
        <f>HYPERLINK("https://klasma.github.io/Logging_2283/klagomål/A 18066-2023 FSC-klagomål.docx", "A 18066-2023")</f>
        <v/>
      </c>
      <c r="W100">
        <f>HYPERLINK("https://klasma.github.io/Logging_2283/klagomålsmail/A 18066-2023 FSC-klagomål mail.docx", "A 18066-2023")</f>
        <v/>
      </c>
      <c r="X100">
        <f>HYPERLINK("https://klasma.github.io/Logging_2283/tillsyn/A 18066-2023 tillsynsbegäran.docx", "A 18066-2023")</f>
        <v/>
      </c>
      <c r="Y100">
        <f>HYPERLINK("https://klasma.github.io/Logging_2283/tillsynsmail/A 18066-2023 tillsynsbegäran mail.docx", "A 18066-2023")</f>
        <v/>
      </c>
    </row>
    <row r="101" ht="15" customHeight="1">
      <c r="A101" t="inlineStr">
        <is>
          <t>A 50839-2023</t>
        </is>
      </c>
      <c r="B101" s="1" t="n">
        <v>45217</v>
      </c>
      <c r="C101" s="1" t="n">
        <v>45268</v>
      </c>
      <c r="D101" t="inlineStr">
        <is>
          <t>VÄSTERNORRLANDS LÄN</t>
        </is>
      </c>
      <c r="E101" t="inlineStr">
        <is>
          <t>SOLLEFTEÅ</t>
        </is>
      </c>
      <c r="F101" t="inlineStr">
        <is>
          <t>SCA</t>
        </is>
      </c>
      <c r="G101" t="n">
        <v>2.8</v>
      </c>
      <c r="H101" t="n">
        <v>0</v>
      </c>
      <c r="I101" t="n">
        <v>1</v>
      </c>
      <c r="J101" t="n">
        <v>3</v>
      </c>
      <c r="K101" t="n">
        <v>0</v>
      </c>
      <c r="L101" t="n">
        <v>0</v>
      </c>
      <c r="M101" t="n">
        <v>0</v>
      </c>
      <c r="N101" t="n">
        <v>0</v>
      </c>
      <c r="O101" t="n">
        <v>3</v>
      </c>
      <c r="P101" t="n">
        <v>0</v>
      </c>
      <c r="Q101" t="n">
        <v>4</v>
      </c>
      <c r="R101" s="2" t="inlineStr">
        <is>
          <t>Garnlav
Granticka
Vitskaftad svartspik
Gulnål</t>
        </is>
      </c>
      <c r="S101">
        <f>HYPERLINK("https://klasma.github.io/Logging_2283/artfynd/A 50839-2023 artfynd.xlsx", "A 50839-2023")</f>
        <v/>
      </c>
      <c r="T101">
        <f>HYPERLINK("https://klasma.github.io/Logging_2283/kartor/A 50839-2023 karta.png", "A 50839-2023")</f>
        <v/>
      </c>
      <c r="V101">
        <f>HYPERLINK("https://klasma.github.io/Logging_2283/klagomål/A 50839-2023 FSC-klagomål.docx", "A 50839-2023")</f>
        <v/>
      </c>
      <c r="W101">
        <f>HYPERLINK("https://klasma.github.io/Logging_2283/klagomålsmail/A 50839-2023 FSC-klagomål mail.docx", "A 50839-2023")</f>
        <v/>
      </c>
      <c r="X101">
        <f>HYPERLINK("https://klasma.github.io/Logging_2283/tillsyn/A 50839-2023 tillsynsbegäran.docx", "A 50839-2023")</f>
        <v/>
      </c>
      <c r="Y101">
        <f>HYPERLINK("https://klasma.github.io/Logging_2283/tillsynsmail/A 50839-2023 tillsynsbegäran mail.docx", "A 50839-2023")</f>
        <v/>
      </c>
    </row>
    <row r="102" ht="15" customHeight="1">
      <c r="A102" t="inlineStr">
        <is>
          <t>A 52088-2023</t>
        </is>
      </c>
      <c r="B102" s="1" t="n">
        <v>45223</v>
      </c>
      <c r="C102" s="1" t="n">
        <v>45268</v>
      </c>
      <c r="D102" t="inlineStr">
        <is>
          <t>VÄSTERNORRLANDS LÄN</t>
        </is>
      </c>
      <c r="E102" t="inlineStr">
        <is>
          <t>SOLLEFTEÅ</t>
        </is>
      </c>
      <c r="G102" t="n">
        <v>6.4</v>
      </c>
      <c r="H102" t="n">
        <v>0</v>
      </c>
      <c r="I102" t="n">
        <v>1</v>
      </c>
      <c r="J102" t="n">
        <v>3</v>
      </c>
      <c r="K102" t="n">
        <v>0</v>
      </c>
      <c r="L102" t="n">
        <v>0</v>
      </c>
      <c r="M102" t="n">
        <v>0</v>
      </c>
      <c r="N102" t="n">
        <v>0</v>
      </c>
      <c r="O102" t="n">
        <v>3</v>
      </c>
      <c r="P102" t="n">
        <v>0</v>
      </c>
      <c r="Q102" t="n">
        <v>4</v>
      </c>
      <c r="R102" s="2" t="inlineStr">
        <is>
          <t>Granticka
Lunglav
Rosenticka
Vedticka</t>
        </is>
      </c>
      <c r="S102">
        <f>HYPERLINK("https://klasma.github.io/Logging_2283/artfynd/A 52088-2023 artfynd.xlsx", "A 52088-2023")</f>
        <v/>
      </c>
      <c r="T102">
        <f>HYPERLINK("https://klasma.github.io/Logging_2283/kartor/A 52088-2023 karta.png", "A 52088-2023")</f>
        <v/>
      </c>
      <c r="V102">
        <f>HYPERLINK("https://klasma.github.io/Logging_2283/klagomål/A 52088-2023 FSC-klagomål.docx", "A 52088-2023")</f>
        <v/>
      </c>
      <c r="W102">
        <f>HYPERLINK("https://klasma.github.io/Logging_2283/klagomålsmail/A 52088-2023 FSC-klagomål mail.docx", "A 52088-2023")</f>
        <v/>
      </c>
      <c r="X102">
        <f>HYPERLINK("https://klasma.github.io/Logging_2283/tillsyn/A 52088-2023 tillsynsbegäran.docx", "A 52088-2023")</f>
        <v/>
      </c>
      <c r="Y102">
        <f>HYPERLINK("https://klasma.github.io/Logging_2283/tillsynsmail/A 52088-2023 tillsynsbegäran mail.docx", "A 52088-2023")</f>
        <v/>
      </c>
    </row>
    <row r="103" ht="15" customHeight="1">
      <c r="A103" t="inlineStr">
        <is>
          <t>A 53566-2023</t>
        </is>
      </c>
      <c r="B103" s="1" t="n">
        <v>45223</v>
      </c>
      <c r="C103" s="1" t="n">
        <v>45268</v>
      </c>
      <c r="D103" t="inlineStr">
        <is>
          <t>VÄSTERNORRLANDS LÄN</t>
        </is>
      </c>
      <c r="E103" t="inlineStr">
        <is>
          <t>SOLLEFTEÅ</t>
        </is>
      </c>
      <c r="G103" t="n">
        <v>9</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HYPERLINK("https://klasma.github.io/Logging_2283/artfynd/A 53566-2023 artfynd.xlsx", "A 53566-2023")</f>
        <v/>
      </c>
      <c r="T103">
        <f>HYPERLINK("https://klasma.github.io/Logging_2283/kartor/A 53566-2023 karta.png", "A 53566-2023")</f>
        <v/>
      </c>
      <c r="V103">
        <f>HYPERLINK("https://klasma.github.io/Logging_2283/klagomål/A 53566-2023 FSC-klagomål.docx", "A 53566-2023")</f>
        <v/>
      </c>
      <c r="W103">
        <f>HYPERLINK("https://klasma.github.io/Logging_2283/klagomålsmail/A 53566-2023 FSC-klagomål mail.docx", "A 53566-2023")</f>
        <v/>
      </c>
      <c r="X103">
        <f>HYPERLINK("https://klasma.github.io/Logging_2283/tillsyn/A 53566-2023 tillsynsbegäran.docx", "A 53566-2023")</f>
        <v/>
      </c>
      <c r="Y103">
        <f>HYPERLINK("https://klasma.github.io/Logging_2283/tillsynsmail/A 53566-2023 tillsynsbegäran mail.docx", "A 53566-2023")</f>
        <v/>
      </c>
    </row>
    <row r="104" ht="15" customHeight="1">
      <c r="A104" t="inlineStr">
        <is>
          <t>A 56248-2023</t>
        </is>
      </c>
      <c r="B104" s="1" t="n">
        <v>45240</v>
      </c>
      <c r="C104" s="1" t="n">
        <v>45268</v>
      </c>
      <c r="D104" t="inlineStr">
        <is>
          <t>VÄSTERNORRLANDS LÄN</t>
        </is>
      </c>
      <c r="E104" t="inlineStr">
        <is>
          <t>SOLLEFTEÅ</t>
        </is>
      </c>
      <c r="F104" t="inlineStr">
        <is>
          <t>SCA</t>
        </is>
      </c>
      <c r="G104" t="n">
        <v>12.2</v>
      </c>
      <c r="H104" t="n">
        <v>3</v>
      </c>
      <c r="I104" t="n">
        <v>0</v>
      </c>
      <c r="J104" t="n">
        <v>3</v>
      </c>
      <c r="K104" t="n">
        <v>0</v>
      </c>
      <c r="L104" t="n">
        <v>0</v>
      </c>
      <c r="M104" t="n">
        <v>0</v>
      </c>
      <c r="N104" t="n">
        <v>0</v>
      </c>
      <c r="O104" t="n">
        <v>3</v>
      </c>
      <c r="P104" t="n">
        <v>0</v>
      </c>
      <c r="Q104" t="n">
        <v>4</v>
      </c>
      <c r="R104" s="2" t="inlineStr">
        <is>
          <t>Granticka
Mindre hackspett
Tretåig hackspett
Lavskrika</t>
        </is>
      </c>
      <c r="S104">
        <f>HYPERLINK("https://klasma.github.io/Logging_2283/artfynd/A 56248-2023 artfynd.xlsx", "A 56248-2023")</f>
        <v/>
      </c>
      <c r="T104">
        <f>HYPERLINK("https://klasma.github.io/Logging_2283/kartor/A 56248-2023 karta.png", "A 56248-2023")</f>
        <v/>
      </c>
      <c r="V104">
        <f>HYPERLINK("https://klasma.github.io/Logging_2283/klagomål/A 56248-2023 FSC-klagomål.docx", "A 56248-2023")</f>
        <v/>
      </c>
      <c r="W104">
        <f>HYPERLINK("https://klasma.github.io/Logging_2283/klagomålsmail/A 56248-2023 FSC-klagomål mail.docx", "A 56248-2023")</f>
        <v/>
      </c>
      <c r="X104">
        <f>HYPERLINK("https://klasma.github.io/Logging_2283/tillsyn/A 56248-2023 tillsynsbegäran.docx", "A 56248-2023")</f>
        <v/>
      </c>
      <c r="Y104">
        <f>HYPERLINK("https://klasma.github.io/Logging_2283/tillsynsmail/A 56248-2023 tillsynsbegäran mail.docx", "A 56248-2023")</f>
        <v/>
      </c>
    </row>
    <row r="105" ht="15" customHeight="1">
      <c r="A105" t="inlineStr">
        <is>
          <t>A 44334-2018</t>
        </is>
      </c>
      <c r="B105" s="1" t="n">
        <v>43360</v>
      </c>
      <c r="C105" s="1" t="n">
        <v>45268</v>
      </c>
      <c r="D105" t="inlineStr">
        <is>
          <t>VÄSTERNORRLANDS LÄN</t>
        </is>
      </c>
      <c r="E105" t="inlineStr">
        <is>
          <t>SOLLEFTEÅ</t>
        </is>
      </c>
      <c r="G105" t="n">
        <v>6.7</v>
      </c>
      <c r="H105" t="n">
        <v>0</v>
      </c>
      <c r="I105" t="n">
        <v>0</v>
      </c>
      <c r="J105" t="n">
        <v>2</v>
      </c>
      <c r="K105" t="n">
        <v>1</v>
      </c>
      <c r="L105" t="n">
        <v>0</v>
      </c>
      <c r="M105" t="n">
        <v>0</v>
      </c>
      <c r="N105" t="n">
        <v>0</v>
      </c>
      <c r="O105" t="n">
        <v>3</v>
      </c>
      <c r="P105" t="n">
        <v>1</v>
      </c>
      <c r="Q105" t="n">
        <v>3</v>
      </c>
      <c r="R105" s="2" t="inlineStr">
        <is>
          <t>Rynkskinn
Granticka
Ullticka</t>
        </is>
      </c>
      <c r="S105">
        <f>HYPERLINK("https://klasma.github.io/Logging_2283/artfynd/A 44334-2018 artfynd.xlsx", "A 44334-2018")</f>
        <v/>
      </c>
      <c r="T105">
        <f>HYPERLINK("https://klasma.github.io/Logging_2283/kartor/A 44334-2018 karta.png", "A 44334-2018")</f>
        <v/>
      </c>
      <c r="V105">
        <f>HYPERLINK("https://klasma.github.io/Logging_2283/klagomål/A 44334-2018 FSC-klagomål.docx", "A 44334-2018")</f>
        <v/>
      </c>
      <c r="W105">
        <f>HYPERLINK("https://klasma.github.io/Logging_2283/klagomålsmail/A 44334-2018 FSC-klagomål mail.docx", "A 44334-2018")</f>
        <v/>
      </c>
      <c r="X105">
        <f>HYPERLINK("https://klasma.github.io/Logging_2283/tillsyn/A 44334-2018 tillsynsbegäran.docx", "A 44334-2018")</f>
        <v/>
      </c>
      <c r="Y105">
        <f>HYPERLINK("https://klasma.github.io/Logging_2283/tillsynsmail/A 44334-2018 tillsynsbegäran mail.docx", "A 44334-2018")</f>
        <v/>
      </c>
    </row>
    <row r="106" ht="15" customHeight="1">
      <c r="A106" t="inlineStr">
        <is>
          <t>A 57649-2018</t>
        </is>
      </c>
      <c r="B106" s="1" t="n">
        <v>43404</v>
      </c>
      <c r="C106" s="1" t="n">
        <v>45268</v>
      </c>
      <c r="D106" t="inlineStr">
        <is>
          <t>VÄSTERNORRLANDS LÄN</t>
        </is>
      </c>
      <c r="E106" t="inlineStr">
        <is>
          <t>SOLLEFTEÅ</t>
        </is>
      </c>
      <c r="F106" t="inlineStr">
        <is>
          <t>SCA</t>
        </is>
      </c>
      <c r="G106" t="n">
        <v>4.2</v>
      </c>
      <c r="H106" t="n">
        <v>0</v>
      </c>
      <c r="I106" t="n">
        <v>0</v>
      </c>
      <c r="J106" t="n">
        <v>2</v>
      </c>
      <c r="K106" t="n">
        <v>1</v>
      </c>
      <c r="L106" t="n">
        <v>0</v>
      </c>
      <c r="M106" t="n">
        <v>0</v>
      </c>
      <c r="N106" t="n">
        <v>0</v>
      </c>
      <c r="O106" t="n">
        <v>3</v>
      </c>
      <c r="P106" t="n">
        <v>1</v>
      </c>
      <c r="Q106" t="n">
        <v>3</v>
      </c>
      <c r="R106" s="2" t="inlineStr">
        <is>
          <t>Läderlappslav
Stiftgelélav
Violettgrå tagellav</t>
        </is>
      </c>
      <c r="S106">
        <f>HYPERLINK("https://klasma.github.io/Logging_2283/artfynd/A 57649-2018 artfynd.xlsx", "A 57649-2018")</f>
        <v/>
      </c>
      <c r="T106">
        <f>HYPERLINK("https://klasma.github.io/Logging_2283/kartor/A 57649-2018 karta.png", "A 57649-2018")</f>
        <v/>
      </c>
      <c r="V106">
        <f>HYPERLINK("https://klasma.github.io/Logging_2283/klagomål/A 57649-2018 FSC-klagomål.docx", "A 57649-2018")</f>
        <v/>
      </c>
      <c r="W106">
        <f>HYPERLINK("https://klasma.github.io/Logging_2283/klagomålsmail/A 57649-2018 FSC-klagomål mail.docx", "A 57649-2018")</f>
        <v/>
      </c>
      <c r="X106">
        <f>HYPERLINK("https://klasma.github.io/Logging_2283/tillsyn/A 57649-2018 tillsynsbegäran.docx", "A 57649-2018")</f>
        <v/>
      </c>
      <c r="Y106">
        <f>HYPERLINK("https://klasma.github.io/Logging_2283/tillsynsmail/A 57649-2018 tillsynsbegäran mail.docx", "A 57649-2018")</f>
        <v/>
      </c>
    </row>
    <row r="107" ht="15" customHeight="1">
      <c r="A107" t="inlineStr">
        <is>
          <t>A 71518-2018</t>
        </is>
      </c>
      <c r="B107" s="1" t="n">
        <v>43454</v>
      </c>
      <c r="C107" s="1" t="n">
        <v>45268</v>
      </c>
      <c r="D107" t="inlineStr">
        <is>
          <t>VÄSTERNORRLANDS LÄN</t>
        </is>
      </c>
      <c r="E107" t="inlineStr">
        <is>
          <t>SOLLEFTEÅ</t>
        </is>
      </c>
      <c r="G107" t="n">
        <v>2</v>
      </c>
      <c r="H107" t="n">
        <v>0</v>
      </c>
      <c r="I107" t="n">
        <v>0</v>
      </c>
      <c r="J107" t="n">
        <v>3</v>
      </c>
      <c r="K107" t="n">
        <v>0</v>
      </c>
      <c r="L107" t="n">
        <v>0</v>
      </c>
      <c r="M107" t="n">
        <v>0</v>
      </c>
      <c r="N107" t="n">
        <v>0</v>
      </c>
      <c r="O107" t="n">
        <v>3</v>
      </c>
      <c r="P107" t="n">
        <v>0</v>
      </c>
      <c r="Q107" t="n">
        <v>3</v>
      </c>
      <c r="R107" s="2" t="inlineStr">
        <is>
          <t>Granticka
Rosenticka
Ullticka</t>
        </is>
      </c>
      <c r="S107">
        <f>HYPERLINK("https://klasma.github.io/Logging_2283/artfynd/A 71518-2018 artfynd.xlsx", "A 71518-2018")</f>
        <v/>
      </c>
      <c r="T107">
        <f>HYPERLINK("https://klasma.github.io/Logging_2283/kartor/A 71518-2018 karta.png", "A 71518-2018")</f>
        <v/>
      </c>
      <c r="V107">
        <f>HYPERLINK("https://klasma.github.io/Logging_2283/klagomål/A 71518-2018 FSC-klagomål.docx", "A 71518-2018")</f>
        <v/>
      </c>
      <c r="W107">
        <f>HYPERLINK("https://klasma.github.io/Logging_2283/klagomålsmail/A 71518-2018 FSC-klagomål mail.docx", "A 71518-2018")</f>
        <v/>
      </c>
      <c r="X107">
        <f>HYPERLINK("https://klasma.github.io/Logging_2283/tillsyn/A 71518-2018 tillsynsbegäran.docx", "A 71518-2018")</f>
        <v/>
      </c>
      <c r="Y107">
        <f>HYPERLINK("https://klasma.github.io/Logging_2283/tillsynsmail/A 71518-2018 tillsynsbegäran mail.docx", "A 71518-2018")</f>
        <v/>
      </c>
    </row>
    <row r="108" ht="15" customHeight="1">
      <c r="A108" t="inlineStr">
        <is>
          <t>A 55683-2019</t>
        </is>
      </c>
      <c r="B108" s="1" t="n">
        <v>43760</v>
      </c>
      <c r="C108" s="1" t="n">
        <v>45268</v>
      </c>
      <c r="D108" t="inlineStr">
        <is>
          <t>VÄSTERNORRLANDS LÄN</t>
        </is>
      </c>
      <c r="E108" t="inlineStr">
        <is>
          <t>SOLLEFTEÅ</t>
        </is>
      </c>
      <c r="F108" t="inlineStr">
        <is>
          <t>SCA</t>
        </is>
      </c>
      <c r="G108" t="n">
        <v>2.9</v>
      </c>
      <c r="H108" t="n">
        <v>0</v>
      </c>
      <c r="I108" t="n">
        <v>0</v>
      </c>
      <c r="J108" t="n">
        <v>2</v>
      </c>
      <c r="K108" t="n">
        <v>1</v>
      </c>
      <c r="L108" t="n">
        <v>0</v>
      </c>
      <c r="M108" t="n">
        <v>0</v>
      </c>
      <c r="N108" t="n">
        <v>0</v>
      </c>
      <c r="O108" t="n">
        <v>3</v>
      </c>
      <c r="P108" t="n">
        <v>1</v>
      </c>
      <c r="Q108" t="n">
        <v>3</v>
      </c>
      <c r="R108" s="2" t="inlineStr">
        <is>
          <t>Rynkskinn
Granticka
Rosenticka</t>
        </is>
      </c>
      <c r="S108">
        <f>HYPERLINK("https://klasma.github.io/Logging_2283/artfynd/A 55683-2019 artfynd.xlsx", "A 55683-2019")</f>
        <v/>
      </c>
      <c r="T108">
        <f>HYPERLINK("https://klasma.github.io/Logging_2283/kartor/A 55683-2019 karta.png", "A 55683-2019")</f>
        <v/>
      </c>
      <c r="V108">
        <f>HYPERLINK("https://klasma.github.io/Logging_2283/klagomål/A 55683-2019 FSC-klagomål.docx", "A 55683-2019")</f>
        <v/>
      </c>
      <c r="W108">
        <f>HYPERLINK("https://klasma.github.io/Logging_2283/klagomålsmail/A 55683-2019 FSC-klagomål mail.docx", "A 55683-2019")</f>
        <v/>
      </c>
      <c r="X108">
        <f>HYPERLINK("https://klasma.github.io/Logging_2283/tillsyn/A 55683-2019 tillsynsbegäran.docx", "A 55683-2019")</f>
        <v/>
      </c>
      <c r="Y108">
        <f>HYPERLINK("https://klasma.github.io/Logging_2283/tillsynsmail/A 55683-2019 tillsynsbegäran mail.docx", "A 55683-2019")</f>
        <v/>
      </c>
    </row>
    <row r="109" ht="15" customHeight="1">
      <c r="A109" t="inlineStr">
        <is>
          <t>A 24219-2020</t>
        </is>
      </c>
      <c r="B109" s="1" t="n">
        <v>43973</v>
      </c>
      <c r="C109" s="1" t="n">
        <v>45268</v>
      </c>
      <c r="D109" t="inlineStr">
        <is>
          <t>VÄSTERNORRLANDS LÄN</t>
        </is>
      </c>
      <c r="E109" t="inlineStr">
        <is>
          <t>SOLLEFTEÅ</t>
        </is>
      </c>
      <c r="G109" t="n">
        <v>11.9</v>
      </c>
      <c r="H109" t="n">
        <v>0</v>
      </c>
      <c r="I109" t="n">
        <v>0</v>
      </c>
      <c r="J109" t="n">
        <v>3</v>
      </c>
      <c r="K109" t="n">
        <v>0</v>
      </c>
      <c r="L109" t="n">
        <v>0</v>
      </c>
      <c r="M109" t="n">
        <v>0</v>
      </c>
      <c r="N109" t="n">
        <v>0</v>
      </c>
      <c r="O109" t="n">
        <v>3</v>
      </c>
      <c r="P109" t="n">
        <v>0</v>
      </c>
      <c r="Q109" t="n">
        <v>3</v>
      </c>
      <c r="R109" s="2" t="inlineStr">
        <is>
          <t>Garnlav
Lunglav
Rosenticka</t>
        </is>
      </c>
      <c r="S109">
        <f>HYPERLINK("https://klasma.github.io/Logging_2283/artfynd/A 24219-2020 artfynd.xlsx", "A 24219-2020")</f>
        <v/>
      </c>
      <c r="T109">
        <f>HYPERLINK("https://klasma.github.io/Logging_2283/kartor/A 24219-2020 karta.png", "A 24219-2020")</f>
        <v/>
      </c>
      <c r="V109">
        <f>HYPERLINK("https://klasma.github.io/Logging_2283/klagomål/A 24219-2020 FSC-klagomål.docx", "A 24219-2020")</f>
        <v/>
      </c>
      <c r="W109">
        <f>HYPERLINK("https://klasma.github.io/Logging_2283/klagomålsmail/A 24219-2020 FSC-klagomål mail.docx", "A 24219-2020")</f>
        <v/>
      </c>
      <c r="X109">
        <f>HYPERLINK("https://klasma.github.io/Logging_2283/tillsyn/A 24219-2020 tillsynsbegäran.docx", "A 24219-2020")</f>
        <v/>
      </c>
      <c r="Y109">
        <f>HYPERLINK("https://klasma.github.io/Logging_2283/tillsynsmail/A 24219-2020 tillsynsbegäran mail.docx", "A 24219-2020")</f>
        <v/>
      </c>
    </row>
    <row r="110" ht="15" customHeight="1">
      <c r="A110" t="inlineStr">
        <is>
          <t>A 31640-2020</t>
        </is>
      </c>
      <c r="B110" s="1" t="n">
        <v>44013</v>
      </c>
      <c r="C110" s="1" t="n">
        <v>45268</v>
      </c>
      <c r="D110" t="inlineStr">
        <is>
          <t>VÄSTERNORRLANDS LÄN</t>
        </is>
      </c>
      <c r="E110" t="inlineStr">
        <is>
          <t>SOLLEFTEÅ</t>
        </is>
      </c>
      <c r="F110" t="inlineStr">
        <is>
          <t>SCA</t>
        </is>
      </c>
      <c r="G110" t="n">
        <v>27.4</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HYPERLINK("https://klasma.github.io/Logging_2283/artfynd/A 31640-2020 artfynd.xlsx", "A 31640-2020")</f>
        <v/>
      </c>
      <c r="T110">
        <f>HYPERLINK("https://klasma.github.io/Logging_2283/kartor/A 31640-2020 karta.png", "A 31640-2020")</f>
        <v/>
      </c>
      <c r="V110">
        <f>HYPERLINK("https://klasma.github.io/Logging_2283/klagomål/A 31640-2020 FSC-klagomål.docx", "A 31640-2020")</f>
        <v/>
      </c>
      <c r="W110">
        <f>HYPERLINK("https://klasma.github.io/Logging_2283/klagomålsmail/A 31640-2020 FSC-klagomål mail.docx", "A 31640-2020")</f>
        <v/>
      </c>
      <c r="X110">
        <f>HYPERLINK("https://klasma.github.io/Logging_2283/tillsyn/A 31640-2020 tillsynsbegäran.docx", "A 31640-2020")</f>
        <v/>
      </c>
      <c r="Y110">
        <f>HYPERLINK("https://klasma.github.io/Logging_2283/tillsynsmail/A 31640-2020 tillsynsbegäran mail.docx", "A 31640-2020")</f>
        <v/>
      </c>
    </row>
    <row r="111" ht="15" customHeight="1">
      <c r="A111" t="inlineStr">
        <is>
          <t>A 44599-2021</t>
        </is>
      </c>
      <c r="B111" s="1" t="n">
        <v>44436</v>
      </c>
      <c r="C111" s="1" t="n">
        <v>45268</v>
      </c>
      <c r="D111" t="inlineStr">
        <is>
          <t>VÄSTERNORRLANDS LÄN</t>
        </is>
      </c>
      <c r="E111" t="inlineStr">
        <is>
          <t>SOLLEFTEÅ</t>
        </is>
      </c>
      <c r="F111" t="inlineStr">
        <is>
          <t>SCA</t>
        </is>
      </c>
      <c r="G111" t="n">
        <v>6.1</v>
      </c>
      <c r="H111" t="n">
        <v>0</v>
      </c>
      <c r="I111" t="n">
        <v>2</v>
      </c>
      <c r="J111" t="n">
        <v>1</v>
      </c>
      <c r="K111" t="n">
        <v>0</v>
      </c>
      <c r="L111" t="n">
        <v>0</v>
      </c>
      <c r="M111" t="n">
        <v>0</v>
      </c>
      <c r="N111" t="n">
        <v>0</v>
      </c>
      <c r="O111" t="n">
        <v>1</v>
      </c>
      <c r="P111" t="n">
        <v>0</v>
      </c>
      <c r="Q111" t="n">
        <v>3</v>
      </c>
      <c r="R111" s="2" t="inlineStr">
        <is>
          <t>Rosenticka
Strutbräken
Stuplav</t>
        </is>
      </c>
      <c r="S111">
        <f>HYPERLINK("https://klasma.github.io/Logging_2283/artfynd/A 44599-2021 artfynd.xlsx", "A 44599-2021")</f>
        <v/>
      </c>
      <c r="T111">
        <f>HYPERLINK("https://klasma.github.io/Logging_2283/kartor/A 44599-2021 karta.png", "A 44599-2021")</f>
        <v/>
      </c>
      <c r="V111">
        <f>HYPERLINK("https://klasma.github.io/Logging_2283/klagomål/A 44599-2021 FSC-klagomål.docx", "A 44599-2021")</f>
        <v/>
      </c>
      <c r="W111">
        <f>HYPERLINK("https://klasma.github.io/Logging_2283/klagomålsmail/A 44599-2021 FSC-klagomål mail.docx", "A 44599-2021")</f>
        <v/>
      </c>
      <c r="X111">
        <f>HYPERLINK("https://klasma.github.io/Logging_2283/tillsyn/A 44599-2021 tillsynsbegäran.docx", "A 44599-2021")</f>
        <v/>
      </c>
      <c r="Y111">
        <f>HYPERLINK("https://klasma.github.io/Logging_2283/tillsynsmail/A 44599-2021 tillsynsbegäran mail.docx", "A 44599-2021")</f>
        <v/>
      </c>
    </row>
    <row r="112" ht="15" customHeight="1">
      <c r="A112" t="inlineStr">
        <is>
          <t>A 61481-2021</t>
        </is>
      </c>
      <c r="B112" s="1" t="n">
        <v>44500</v>
      </c>
      <c r="C112" s="1" t="n">
        <v>45268</v>
      </c>
      <c r="D112" t="inlineStr">
        <is>
          <t>VÄSTERNORRLANDS LÄN</t>
        </is>
      </c>
      <c r="E112" t="inlineStr">
        <is>
          <t>SOLLEFTEÅ</t>
        </is>
      </c>
      <c r="F112" t="inlineStr">
        <is>
          <t>SCA</t>
        </is>
      </c>
      <c r="G112" t="n">
        <v>6.8</v>
      </c>
      <c r="H112" t="n">
        <v>0</v>
      </c>
      <c r="I112" t="n">
        <v>1</v>
      </c>
      <c r="J112" t="n">
        <v>2</v>
      </c>
      <c r="K112" t="n">
        <v>0</v>
      </c>
      <c r="L112" t="n">
        <v>0</v>
      </c>
      <c r="M112" t="n">
        <v>0</v>
      </c>
      <c r="N112" t="n">
        <v>0</v>
      </c>
      <c r="O112" t="n">
        <v>2</v>
      </c>
      <c r="P112" t="n">
        <v>0</v>
      </c>
      <c r="Q112" t="n">
        <v>3</v>
      </c>
      <c r="R112" s="2" t="inlineStr">
        <is>
          <t>Lunglav
Skrovellav
Kambräken</t>
        </is>
      </c>
      <c r="S112">
        <f>HYPERLINK("https://klasma.github.io/Logging_2283/artfynd/A 61481-2021 artfynd.xlsx", "A 61481-2021")</f>
        <v/>
      </c>
      <c r="T112">
        <f>HYPERLINK("https://klasma.github.io/Logging_2283/kartor/A 61481-2021 karta.png", "A 61481-2021")</f>
        <v/>
      </c>
      <c r="V112">
        <f>HYPERLINK("https://klasma.github.io/Logging_2283/klagomål/A 61481-2021 FSC-klagomål.docx", "A 61481-2021")</f>
        <v/>
      </c>
      <c r="W112">
        <f>HYPERLINK("https://klasma.github.io/Logging_2283/klagomålsmail/A 61481-2021 FSC-klagomål mail.docx", "A 61481-2021")</f>
        <v/>
      </c>
      <c r="X112">
        <f>HYPERLINK("https://klasma.github.io/Logging_2283/tillsyn/A 61481-2021 tillsynsbegäran.docx", "A 61481-2021")</f>
        <v/>
      </c>
      <c r="Y112">
        <f>HYPERLINK("https://klasma.github.io/Logging_2283/tillsynsmail/A 61481-2021 tillsynsbegäran mail.docx", "A 61481-2021")</f>
        <v/>
      </c>
    </row>
    <row r="113" ht="15" customHeight="1">
      <c r="A113" t="inlineStr">
        <is>
          <t>A 18012-2022</t>
        </is>
      </c>
      <c r="B113" s="1" t="n">
        <v>44683</v>
      </c>
      <c r="C113" s="1" t="n">
        <v>45268</v>
      </c>
      <c r="D113" t="inlineStr">
        <is>
          <t>VÄSTERNORRLANDS LÄN</t>
        </is>
      </c>
      <c r="E113" t="inlineStr">
        <is>
          <t>SOLLEFTEÅ</t>
        </is>
      </c>
      <c r="F113" t="inlineStr">
        <is>
          <t>SCA</t>
        </is>
      </c>
      <c r="G113" t="n">
        <v>1.7</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HYPERLINK("https://klasma.github.io/Logging_2283/artfynd/A 18012-2022 artfynd.xlsx", "A 18012-2022")</f>
        <v/>
      </c>
      <c r="T113">
        <f>HYPERLINK("https://klasma.github.io/Logging_2283/kartor/A 18012-2022 karta.png", "A 18012-2022")</f>
        <v/>
      </c>
      <c r="U113">
        <f>HYPERLINK("https://klasma.github.io/Logging_2283/knärot/A 18012-2022 karta knärot.png", "A 18012-2022")</f>
        <v/>
      </c>
      <c r="V113">
        <f>HYPERLINK("https://klasma.github.io/Logging_2283/klagomål/A 18012-2022 FSC-klagomål.docx", "A 18012-2022")</f>
        <v/>
      </c>
      <c r="W113">
        <f>HYPERLINK("https://klasma.github.io/Logging_2283/klagomålsmail/A 18012-2022 FSC-klagomål mail.docx", "A 18012-2022")</f>
        <v/>
      </c>
      <c r="X113">
        <f>HYPERLINK("https://klasma.github.io/Logging_2283/tillsyn/A 18012-2022 tillsynsbegäran.docx", "A 18012-2022")</f>
        <v/>
      </c>
      <c r="Y113">
        <f>HYPERLINK("https://klasma.github.io/Logging_2283/tillsynsmail/A 18012-2022 tillsynsbegäran mail.docx", "A 18012-2022")</f>
        <v/>
      </c>
    </row>
    <row r="114" ht="15" customHeight="1">
      <c r="A114" t="inlineStr">
        <is>
          <t>A 34528-2022</t>
        </is>
      </c>
      <c r="B114" s="1" t="n">
        <v>44792</v>
      </c>
      <c r="C114" s="1" t="n">
        <v>45268</v>
      </c>
      <c r="D114" t="inlineStr">
        <is>
          <t>VÄSTERNORRLANDS LÄN</t>
        </is>
      </c>
      <c r="E114" t="inlineStr">
        <is>
          <t>SOLLEFTEÅ</t>
        </is>
      </c>
      <c r="F114" t="inlineStr">
        <is>
          <t>SCA</t>
        </is>
      </c>
      <c r="G114" t="n">
        <v>1.8</v>
      </c>
      <c r="H114" t="n">
        <v>0</v>
      </c>
      <c r="I114" t="n">
        <v>0</v>
      </c>
      <c r="J114" t="n">
        <v>3</v>
      </c>
      <c r="K114" t="n">
        <v>0</v>
      </c>
      <c r="L114" t="n">
        <v>0</v>
      </c>
      <c r="M114" t="n">
        <v>0</v>
      </c>
      <c r="N114" t="n">
        <v>0</v>
      </c>
      <c r="O114" t="n">
        <v>3</v>
      </c>
      <c r="P114" t="n">
        <v>0</v>
      </c>
      <c r="Q114" t="n">
        <v>3</v>
      </c>
      <c r="R114" s="2" t="inlineStr">
        <is>
          <t>Garnlav
Mörk kolflarnlav
Rosenticka</t>
        </is>
      </c>
      <c r="S114">
        <f>HYPERLINK("https://klasma.github.io/Logging_2283/artfynd/A 34528-2022 artfynd.xlsx", "A 34528-2022")</f>
        <v/>
      </c>
      <c r="T114">
        <f>HYPERLINK("https://klasma.github.io/Logging_2283/kartor/A 34528-2022 karta.png", "A 34528-2022")</f>
        <v/>
      </c>
      <c r="V114">
        <f>HYPERLINK("https://klasma.github.io/Logging_2283/klagomål/A 34528-2022 FSC-klagomål.docx", "A 34528-2022")</f>
        <v/>
      </c>
      <c r="W114">
        <f>HYPERLINK("https://klasma.github.io/Logging_2283/klagomålsmail/A 34528-2022 FSC-klagomål mail.docx", "A 34528-2022")</f>
        <v/>
      </c>
      <c r="X114">
        <f>HYPERLINK("https://klasma.github.io/Logging_2283/tillsyn/A 34528-2022 tillsynsbegäran.docx", "A 34528-2022")</f>
        <v/>
      </c>
      <c r="Y114">
        <f>HYPERLINK("https://klasma.github.io/Logging_2283/tillsynsmail/A 34528-2022 tillsynsbegäran mail.docx", "A 34528-2022")</f>
        <v/>
      </c>
    </row>
    <row r="115" ht="15" customHeight="1">
      <c r="A115" t="inlineStr">
        <is>
          <t>A 20781-2023</t>
        </is>
      </c>
      <c r="B115" s="1" t="n">
        <v>45058</v>
      </c>
      <c r="C115" s="1" t="n">
        <v>45268</v>
      </c>
      <c r="D115" t="inlineStr">
        <is>
          <t>VÄSTERNORRLANDS LÄN</t>
        </is>
      </c>
      <c r="E115" t="inlineStr">
        <is>
          <t>SOLLEFTEÅ</t>
        </is>
      </c>
      <c r="F115" t="inlineStr">
        <is>
          <t>Kyrkan</t>
        </is>
      </c>
      <c r="G115" t="n">
        <v>11.1</v>
      </c>
      <c r="H115" t="n">
        <v>1</v>
      </c>
      <c r="I115" t="n">
        <v>0</v>
      </c>
      <c r="J115" t="n">
        <v>2</v>
      </c>
      <c r="K115" t="n">
        <v>1</v>
      </c>
      <c r="L115" t="n">
        <v>0</v>
      </c>
      <c r="M115" t="n">
        <v>0</v>
      </c>
      <c r="N115" t="n">
        <v>0</v>
      </c>
      <c r="O115" t="n">
        <v>3</v>
      </c>
      <c r="P115" t="n">
        <v>1</v>
      </c>
      <c r="Q115" t="n">
        <v>3</v>
      </c>
      <c r="R115" s="2" t="inlineStr">
        <is>
          <t>Knärot
Garnlav
Ullticka</t>
        </is>
      </c>
      <c r="S115">
        <f>HYPERLINK("https://klasma.github.io/Logging_2283/artfynd/A 20781-2023 artfynd.xlsx", "A 20781-2023")</f>
        <v/>
      </c>
      <c r="T115">
        <f>HYPERLINK("https://klasma.github.io/Logging_2283/kartor/A 20781-2023 karta.png", "A 20781-2023")</f>
        <v/>
      </c>
      <c r="U115">
        <f>HYPERLINK("https://klasma.github.io/Logging_2283/knärot/A 20781-2023 karta knärot.png", "A 20781-2023")</f>
        <v/>
      </c>
      <c r="V115">
        <f>HYPERLINK("https://klasma.github.io/Logging_2283/klagomål/A 20781-2023 FSC-klagomål.docx", "A 20781-2023")</f>
        <v/>
      </c>
      <c r="W115">
        <f>HYPERLINK("https://klasma.github.io/Logging_2283/klagomålsmail/A 20781-2023 FSC-klagomål mail.docx", "A 20781-2023")</f>
        <v/>
      </c>
      <c r="X115">
        <f>HYPERLINK("https://klasma.github.io/Logging_2283/tillsyn/A 20781-2023 tillsynsbegäran.docx", "A 20781-2023")</f>
        <v/>
      </c>
      <c r="Y115">
        <f>HYPERLINK("https://klasma.github.io/Logging_2283/tillsynsmail/A 20781-2023 tillsynsbegäran mail.docx", "A 20781-2023")</f>
        <v/>
      </c>
    </row>
    <row r="116" ht="15" customHeight="1">
      <c r="A116" t="inlineStr">
        <is>
          <t>A 21342-2023</t>
        </is>
      </c>
      <c r="B116" s="1" t="n">
        <v>45062</v>
      </c>
      <c r="C116" s="1" t="n">
        <v>45268</v>
      </c>
      <c r="D116" t="inlineStr">
        <is>
          <t>VÄSTERNORRLANDS LÄN</t>
        </is>
      </c>
      <c r="E116" t="inlineStr">
        <is>
          <t>SOLLEFTEÅ</t>
        </is>
      </c>
      <c r="F116" t="inlineStr">
        <is>
          <t>SCA</t>
        </is>
      </c>
      <c r="G116" t="n">
        <v>4.3</v>
      </c>
      <c r="H116" t="n">
        <v>1</v>
      </c>
      <c r="I116" t="n">
        <v>1</v>
      </c>
      <c r="J116" t="n">
        <v>2</v>
      </c>
      <c r="K116" t="n">
        <v>0</v>
      </c>
      <c r="L116" t="n">
        <v>0</v>
      </c>
      <c r="M116" t="n">
        <v>0</v>
      </c>
      <c r="N116" t="n">
        <v>0</v>
      </c>
      <c r="O116" t="n">
        <v>2</v>
      </c>
      <c r="P116" t="n">
        <v>0</v>
      </c>
      <c r="Q116" t="n">
        <v>3</v>
      </c>
      <c r="R116" s="2" t="inlineStr">
        <is>
          <t>Dvärgbägarlav
Kolflarnlav
Plattlummer</t>
        </is>
      </c>
      <c r="S116">
        <f>HYPERLINK("https://klasma.github.io/Logging_2283/artfynd/A 21342-2023 artfynd.xlsx", "A 21342-2023")</f>
        <v/>
      </c>
      <c r="T116">
        <f>HYPERLINK("https://klasma.github.io/Logging_2283/kartor/A 21342-2023 karta.png", "A 21342-2023")</f>
        <v/>
      </c>
      <c r="V116">
        <f>HYPERLINK("https://klasma.github.io/Logging_2283/klagomål/A 21342-2023 FSC-klagomål.docx", "A 21342-2023")</f>
        <v/>
      </c>
      <c r="W116">
        <f>HYPERLINK("https://klasma.github.io/Logging_2283/klagomålsmail/A 21342-2023 FSC-klagomål mail.docx", "A 21342-2023")</f>
        <v/>
      </c>
      <c r="X116">
        <f>HYPERLINK("https://klasma.github.io/Logging_2283/tillsyn/A 21342-2023 tillsynsbegäran.docx", "A 21342-2023")</f>
        <v/>
      </c>
      <c r="Y116">
        <f>HYPERLINK("https://klasma.github.io/Logging_2283/tillsynsmail/A 21342-2023 tillsynsbegäran mail.docx", "A 21342-2023")</f>
        <v/>
      </c>
    </row>
    <row r="117" ht="15" customHeight="1">
      <c r="A117" t="inlineStr">
        <is>
          <t>A 21343-2023</t>
        </is>
      </c>
      <c r="B117" s="1" t="n">
        <v>45062</v>
      </c>
      <c r="C117" s="1" t="n">
        <v>45268</v>
      </c>
      <c r="D117" t="inlineStr">
        <is>
          <t>VÄSTERNORRLANDS LÄN</t>
        </is>
      </c>
      <c r="E117" t="inlineStr">
        <is>
          <t>SOLLEFTEÅ</t>
        </is>
      </c>
      <c r="F117" t="inlineStr">
        <is>
          <t>SCA</t>
        </is>
      </c>
      <c r="G117" t="n">
        <v>4.8</v>
      </c>
      <c r="H117" t="n">
        <v>0</v>
      </c>
      <c r="I117" t="n">
        <v>0</v>
      </c>
      <c r="J117" t="n">
        <v>3</v>
      </c>
      <c r="K117" t="n">
        <v>0</v>
      </c>
      <c r="L117" t="n">
        <v>0</v>
      </c>
      <c r="M117" t="n">
        <v>0</v>
      </c>
      <c r="N117" t="n">
        <v>0</v>
      </c>
      <c r="O117" t="n">
        <v>3</v>
      </c>
      <c r="P117" t="n">
        <v>0</v>
      </c>
      <c r="Q117" t="n">
        <v>3</v>
      </c>
      <c r="R117" s="2" t="inlineStr">
        <is>
          <t>Garnlav
Kolflarnlav
Vedskivlav</t>
        </is>
      </c>
      <c r="S117">
        <f>HYPERLINK("https://klasma.github.io/Logging_2283/artfynd/A 21343-2023 artfynd.xlsx", "A 21343-2023")</f>
        <v/>
      </c>
      <c r="T117">
        <f>HYPERLINK("https://klasma.github.io/Logging_2283/kartor/A 21343-2023 karta.png", "A 21343-2023")</f>
        <v/>
      </c>
      <c r="V117">
        <f>HYPERLINK("https://klasma.github.io/Logging_2283/klagomål/A 21343-2023 FSC-klagomål.docx", "A 21343-2023")</f>
        <v/>
      </c>
      <c r="W117">
        <f>HYPERLINK("https://klasma.github.io/Logging_2283/klagomålsmail/A 21343-2023 FSC-klagomål mail.docx", "A 21343-2023")</f>
        <v/>
      </c>
      <c r="X117">
        <f>HYPERLINK("https://klasma.github.io/Logging_2283/tillsyn/A 21343-2023 tillsynsbegäran.docx", "A 21343-2023")</f>
        <v/>
      </c>
      <c r="Y117">
        <f>HYPERLINK("https://klasma.github.io/Logging_2283/tillsynsmail/A 21343-2023 tillsynsbegäran mail.docx", "A 21343-2023")</f>
        <v/>
      </c>
    </row>
    <row r="118" ht="15" customHeight="1">
      <c r="A118" t="inlineStr">
        <is>
          <t>A 23782-2023</t>
        </is>
      </c>
      <c r="B118" s="1" t="n">
        <v>45077</v>
      </c>
      <c r="C118" s="1" t="n">
        <v>45268</v>
      </c>
      <c r="D118" t="inlineStr">
        <is>
          <t>VÄSTERNORRLANDS LÄN</t>
        </is>
      </c>
      <c r="E118" t="inlineStr">
        <is>
          <t>SOLLEFTEÅ</t>
        </is>
      </c>
      <c r="F118" t="inlineStr">
        <is>
          <t>SCA</t>
        </is>
      </c>
      <c r="G118" t="n">
        <v>6.3</v>
      </c>
      <c r="H118" t="n">
        <v>0</v>
      </c>
      <c r="I118" t="n">
        <v>2</v>
      </c>
      <c r="J118" t="n">
        <v>1</v>
      </c>
      <c r="K118" t="n">
        <v>0</v>
      </c>
      <c r="L118" t="n">
        <v>0</v>
      </c>
      <c r="M118" t="n">
        <v>0</v>
      </c>
      <c r="N118" t="n">
        <v>0</v>
      </c>
      <c r="O118" t="n">
        <v>1</v>
      </c>
      <c r="P118" t="n">
        <v>0</v>
      </c>
      <c r="Q118" t="n">
        <v>3</v>
      </c>
      <c r="R118" s="2" t="inlineStr">
        <is>
          <t>Garnlav
Bollvitmossa
Norrlandslav</t>
        </is>
      </c>
      <c r="S118">
        <f>HYPERLINK("https://klasma.github.io/Logging_2283/artfynd/A 23782-2023 artfynd.xlsx", "A 23782-2023")</f>
        <v/>
      </c>
      <c r="T118">
        <f>HYPERLINK("https://klasma.github.io/Logging_2283/kartor/A 23782-2023 karta.png", "A 23782-2023")</f>
        <v/>
      </c>
      <c r="V118">
        <f>HYPERLINK("https://klasma.github.io/Logging_2283/klagomål/A 23782-2023 FSC-klagomål.docx", "A 23782-2023")</f>
        <v/>
      </c>
      <c r="W118">
        <f>HYPERLINK("https://klasma.github.io/Logging_2283/klagomålsmail/A 23782-2023 FSC-klagomål mail.docx", "A 23782-2023")</f>
        <v/>
      </c>
      <c r="X118">
        <f>HYPERLINK("https://klasma.github.io/Logging_2283/tillsyn/A 23782-2023 tillsynsbegäran.docx", "A 23782-2023")</f>
        <v/>
      </c>
      <c r="Y118">
        <f>HYPERLINK("https://klasma.github.io/Logging_2283/tillsynsmail/A 23782-2023 tillsynsbegäran mail.docx", "A 23782-2023")</f>
        <v/>
      </c>
    </row>
    <row r="119" ht="15" customHeight="1">
      <c r="A119" t="inlineStr">
        <is>
          <t>A 26374-2023</t>
        </is>
      </c>
      <c r="B119" s="1" t="n">
        <v>45092</v>
      </c>
      <c r="C119" s="1" t="n">
        <v>45268</v>
      </c>
      <c r="D119" t="inlineStr">
        <is>
          <t>VÄSTERNORRLANDS LÄN</t>
        </is>
      </c>
      <c r="E119" t="inlineStr">
        <is>
          <t>SOLLEFTEÅ</t>
        </is>
      </c>
      <c r="F119" t="inlineStr">
        <is>
          <t>SCA</t>
        </is>
      </c>
      <c r="G119" t="n">
        <v>0.9</v>
      </c>
      <c r="H119" t="n">
        <v>0</v>
      </c>
      <c r="I119" t="n">
        <v>0</v>
      </c>
      <c r="J119" t="n">
        <v>2</v>
      </c>
      <c r="K119" t="n">
        <v>1</v>
      </c>
      <c r="L119" t="n">
        <v>0</v>
      </c>
      <c r="M119" t="n">
        <v>0</v>
      </c>
      <c r="N119" t="n">
        <v>0</v>
      </c>
      <c r="O119" t="n">
        <v>3</v>
      </c>
      <c r="P119" t="n">
        <v>1</v>
      </c>
      <c r="Q119" t="n">
        <v>3</v>
      </c>
      <c r="R119" s="2" t="inlineStr">
        <is>
          <t>Blackticka
Granticka
Ullticka</t>
        </is>
      </c>
      <c r="S119">
        <f>HYPERLINK("https://klasma.github.io/Logging_2283/artfynd/A 26374-2023 artfynd.xlsx", "A 26374-2023")</f>
        <v/>
      </c>
      <c r="T119">
        <f>HYPERLINK("https://klasma.github.io/Logging_2283/kartor/A 26374-2023 karta.png", "A 26374-2023")</f>
        <v/>
      </c>
      <c r="V119">
        <f>HYPERLINK("https://klasma.github.io/Logging_2283/klagomål/A 26374-2023 FSC-klagomål.docx", "A 26374-2023")</f>
        <v/>
      </c>
      <c r="W119">
        <f>HYPERLINK("https://klasma.github.io/Logging_2283/klagomålsmail/A 26374-2023 FSC-klagomål mail.docx", "A 26374-2023")</f>
        <v/>
      </c>
      <c r="X119">
        <f>HYPERLINK("https://klasma.github.io/Logging_2283/tillsyn/A 26374-2023 tillsynsbegäran.docx", "A 26374-2023")</f>
        <v/>
      </c>
      <c r="Y119">
        <f>HYPERLINK("https://klasma.github.io/Logging_2283/tillsynsmail/A 26374-2023 tillsynsbegäran mail.docx", "A 26374-2023")</f>
        <v/>
      </c>
    </row>
    <row r="120" ht="15" customHeight="1">
      <c r="A120" t="inlineStr">
        <is>
          <t>A 45006-2023</t>
        </is>
      </c>
      <c r="B120" s="1" t="n">
        <v>45190</v>
      </c>
      <c r="C120" s="1" t="n">
        <v>45268</v>
      </c>
      <c r="D120" t="inlineStr">
        <is>
          <t>VÄSTERNORRLANDS LÄN</t>
        </is>
      </c>
      <c r="E120" t="inlineStr">
        <is>
          <t>SOLLEFTEÅ</t>
        </is>
      </c>
      <c r="F120" t="inlineStr">
        <is>
          <t>SCA</t>
        </is>
      </c>
      <c r="G120" t="n">
        <v>5.1</v>
      </c>
      <c r="H120" t="n">
        <v>0</v>
      </c>
      <c r="I120" t="n">
        <v>0</v>
      </c>
      <c r="J120" t="n">
        <v>2</v>
      </c>
      <c r="K120" t="n">
        <v>1</v>
      </c>
      <c r="L120" t="n">
        <v>0</v>
      </c>
      <c r="M120" t="n">
        <v>0</v>
      </c>
      <c r="N120" t="n">
        <v>0</v>
      </c>
      <c r="O120" t="n">
        <v>3</v>
      </c>
      <c r="P120" t="n">
        <v>1</v>
      </c>
      <c r="Q120" t="n">
        <v>3</v>
      </c>
      <c r="R120" s="2" t="inlineStr">
        <is>
          <t>Rynkskinn
Gammelgransskål
Rosenticka</t>
        </is>
      </c>
      <c r="S120">
        <f>HYPERLINK("https://klasma.github.io/Logging_2283/artfynd/A 45006-2023 artfynd.xlsx", "A 45006-2023")</f>
        <v/>
      </c>
      <c r="T120">
        <f>HYPERLINK("https://klasma.github.io/Logging_2283/kartor/A 45006-2023 karta.png", "A 45006-2023")</f>
        <v/>
      </c>
      <c r="V120">
        <f>HYPERLINK("https://klasma.github.io/Logging_2283/klagomål/A 45006-2023 FSC-klagomål.docx", "A 45006-2023")</f>
        <v/>
      </c>
      <c r="W120">
        <f>HYPERLINK("https://klasma.github.io/Logging_2283/klagomålsmail/A 45006-2023 FSC-klagomål mail.docx", "A 45006-2023")</f>
        <v/>
      </c>
      <c r="X120">
        <f>HYPERLINK("https://klasma.github.io/Logging_2283/tillsyn/A 45006-2023 tillsynsbegäran.docx", "A 45006-2023")</f>
        <v/>
      </c>
      <c r="Y120">
        <f>HYPERLINK("https://klasma.github.io/Logging_2283/tillsynsmail/A 45006-2023 tillsynsbegäran mail.docx", "A 45006-2023")</f>
        <v/>
      </c>
    </row>
    <row r="121" ht="15" customHeight="1">
      <c r="A121" t="inlineStr">
        <is>
          <t>A 50838-2023</t>
        </is>
      </c>
      <c r="B121" s="1" t="n">
        <v>45217</v>
      </c>
      <c r="C121" s="1" t="n">
        <v>45268</v>
      </c>
      <c r="D121" t="inlineStr">
        <is>
          <t>VÄSTERNORRLANDS LÄN</t>
        </is>
      </c>
      <c r="E121" t="inlineStr">
        <is>
          <t>SOLLEFTEÅ</t>
        </is>
      </c>
      <c r="F121" t="inlineStr">
        <is>
          <t>SCA</t>
        </is>
      </c>
      <c r="G121" t="n">
        <v>2.1</v>
      </c>
      <c r="H121" t="n">
        <v>2</v>
      </c>
      <c r="I121" t="n">
        <v>0</v>
      </c>
      <c r="J121" t="n">
        <v>1</v>
      </c>
      <c r="K121" t="n">
        <v>2</v>
      </c>
      <c r="L121" t="n">
        <v>0</v>
      </c>
      <c r="M121" t="n">
        <v>0</v>
      </c>
      <c r="N121" t="n">
        <v>0</v>
      </c>
      <c r="O121" t="n">
        <v>3</v>
      </c>
      <c r="P121" t="n">
        <v>2</v>
      </c>
      <c r="Q121" t="n">
        <v>3</v>
      </c>
      <c r="R121" s="2" t="inlineStr">
        <is>
          <t>Doftticka
Knärot
Lunglav</t>
        </is>
      </c>
      <c r="S121">
        <f>HYPERLINK("https://klasma.github.io/Logging_2283/artfynd/A 50838-2023 artfynd.xlsx", "A 50838-2023")</f>
        <v/>
      </c>
      <c r="T121">
        <f>HYPERLINK("https://klasma.github.io/Logging_2283/kartor/A 50838-2023 karta.png", "A 50838-2023")</f>
        <v/>
      </c>
      <c r="U121">
        <f>HYPERLINK("https://klasma.github.io/Logging_2283/knärot/A 50838-2023 karta knärot.png", "A 50838-2023")</f>
        <v/>
      </c>
      <c r="V121">
        <f>HYPERLINK("https://klasma.github.io/Logging_2283/klagomål/A 50838-2023 FSC-klagomål.docx", "A 50838-2023")</f>
        <v/>
      </c>
      <c r="W121">
        <f>HYPERLINK("https://klasma.github.io/Logging_2283/klagomålsmail/A 50838-2023 FSC-klagomål mail.docx", "A 50838-2023")</f>
        <v/>
      </c>
      <c r="X121">
        <f>HYPERLINK("https://klasma.github.io/Logging_2283/tillsyn/A 50838-2023 tillsynsbegäran.docx", "A 50838-2023")</f>
        <v/>
      </c>
      <c r="Y121">
        <f>HYPERLINK("https://klasma.github.io/Logging_2283/tillsynsmail/A 50838-2023 tillsynsbegäran mail.docx", "A 50838-2023")</f>
        <v/>
      </c>
    </row>
    <row r="122" ht="15" customHeight="1">
      <c r="A122" t="inlineStr">
        <is>
          <t>A 52762-2023</t>
        </is>
      </c>
      <c r="B122" s="1" t="n">
        <v>45225</v>
      </c>
      <c r="C122" s="1" t="n">
        <v>45268</v>
      </c>
      <c r="D122" t="inlineStr">
        <is>
          <t>VÄSTERNORRLANDS LÄN</t>
        </is>
      </c>
      <c r="E122" t="inlineStr">
        <is>
          <t>SOLLEFTEÅ</t>
        </is>
      </c>
      <c r="F122" t="inlineStr">
        <is>
          <t>SCA</t>
        </is>
      </c>
      <c r="G122" t="n">
        <v>6.3</v>
      </c>
      <c r="H122" t="n">
        <v>1</v>
      </c>
      <c r="I122" t="n">
        <v>0</v>
      </c>
      <c r="J122" t="n">
        <v>2</v>
      </c>
      <c r="K122" t="n">
        <v>0</v>
      </c>
      <c r="L122" t="n">
        <v>0</v>
      </c>
      <c r="M122" t="n">
        <v>0</v>
      </c>
      <c r="N122" t="n">
        <v>0</v>
      </c>
      <c r="O122" t="n">
        <v>2</v>
      </c>
      <c r="P122" t="n">
        <v>0</v>
      </c>
      <c r="Q122" t="n">
        <v>3</v>
      </c>
      <c r="R122" s="2" t="inlineStr">
        <is>
          <t>Rosenticka
Ullticka
Fläcknycklar</t>
        </is>
      </c>
      <c r="S122">
        <f>HYPERLINK("https://klasma.github.io/Logging_2283/artfynd/A 52762-2023 artfynd.xlsx", "A 52762-2023")</f>
        <v/>
      </c>
      <c r="T122">
        <f>HYPERLINK("https://klasma.github.io/Logging_2283/kartor/A 52762-2023 karta.png", "A 52762-2023")</f>
        <v/>
      </c>
      <c r="V122">
        <f>HYPERLINK("https://klasma.github.io/Logging_2283/klagomål/A 52762-2023 FSC-klagomål.docx", "A 52762-2023")</f>
        <v/>
      </c>
      <c r="W122">
        <f>HYPERLINK("https://klasma.github.io/Logging_2283/klagomålsmail/A 52762-2023 FSC-klagomål mail.docx", "A 52762-2023")</f>
        <v/>
      </c>
      <c r="X122">
        <f>HYPERLINK("https://klasma.github.io/Logging_2283/tillsyn/A 52762-2023 tillsynsbegäran.docx", "A 52762-2023")</f>
        <v/>
      </c>
      <c r="Y122">
        <f>HYPERLINK("https://klasma.github.io/Logging_2283/tillsynsmail/A 52762-2023 tillsynsbegäran mail.docx", "A 52762-2023")</f>
        <v/>
      </c>
    </row>
    <row r="123" ht="15" customHeight="1">
      <c r="A123" t="inlineStr">
        <is>
          <t>A 58579-2018</t>
        </is>
      </c>
      <c r="B123" s="1" t="n">
        <v>43409</v>
      </c>
      <c r="C123" s="1" t="n">
        <v>45268</v>
      </c>
      <c r="D123" t="inlineStr">
        <is>
          <t>VÄSTERNORRLANDS LÄN</t>
        </is>
      </c>
      <c r="E123" t="inlineStr">
        <is>
          <t>SOLLEFTEÅ</t>
        </is>
      </c>
      <c r="G123" t="n">
        <v>2.3</v>
      </c>
      <c r="H123" t="n">
        <v>0</v>
      </c>
      <c r="I123" t="n">
        <v>0</v>
      </c>
      <c r="J123" t="n">
        <v>2</v>
      </c>
      <c r="K123" t="n">
        <v>0</v>
      </c>
      <c r="L123" t="n">
        <v>0</v>
      </c>
      <c r="M123" t="n">
        <v>0</v>
      </c>
      <c r="N123" t="n">
        <v>0</v>
      </c>
      <c r="O123" t="n">
        <v>2</v>
      </c>
      <c r="P123" t="n">
        <v>0</v>
      </c>
      <c r="Q123" t="n">
        <v>2</v>
      </c>
      <c r="R123" s="2" t="inlineStr">
        <is>
          <t>Garnlav
Ullticka</t>
        </is>
      </c>
      <c r="S123">
        <f>HYPERLINK("https://klasma.github.io/Logging_2283/artfynd/A 58579-2018 artfynd.xlsx", "A 58579-2018")</f>
        <v/>
      </c>
      <c r="T123">
        <f>HYPERLINK("https://klasma.github.io/Logging_2283/kartor/A 58579-2018 karta.png", "A 58579-2018")</f>
        <v/>
      </c>
      <c r="V123">
        <f>HYPERLINK("https://klasma.github.io/Logging_2283/klagomål/A 58579-2018 FSC-klagomål.docx", "A 58579-2018")</f>
        <v/>
      </c>
      <c r="W123">
        <f>HYPERLINK("https://klasma.github.io/Logging_2283/klagomålsmail/A 58579-2018 FSC-klagomål mail.docx", "A 58579-2018")</f>
        <v/>
      </c>
      <c r="X123">
        <f>HYPERLINK("https://klasma.github.io/Logging_2283/tillsyn/A 58579-2018 tillsynsbegäran.docx", "A 58579-2018")</f>
        <v/>
      </c>
      <c r="Y123">
        <f>HYPERLINK("https://klasma.github.io/Logging_2283/tillsynsmail/A 58579-2018 tillsynsbegäran mail.docx", "A 58579-2018")</f>
        <v/>
      </c>
    </row>
    <row r="124" ht="15" customHeight="1">
      <c r="A124" t="inlineStr">
        <is>
          <t>A 3782-2019</t>
        </is>
      </c>
      <c r="B124" s="1" t="n">
        <v>43481</v>
      </c>
      <c r="C124" s="1" t="n">
        <v>45268</v>
      </c>
      <c r="D124" t="inlineStr">
        <is>
          <t>VÄSTERNORRLANDS LÄN</t>
        </is>
      </c>
      <c r="E124" t="inlineStr">
        <is>
          <t>SOLLEFTEÅ</t>
        </is>
      </c>
      <c r="F124" t="inlineStr">
        <is>
          <t>SCA</t>
        </is>
      </c>
      <c r="G124" t="n">
        <v>3.7</v>
      </c>
      <c r="H124" t="n">
        <v>2</v>
      </c>
      <c r="I124" t="n">
        <v>0</v>
      </c>
      <c r="J124" t="n">
        <v>2</v>
      </c>
      <c r="K124" t="n">
        <v>0</v>
      </c>
      <c r="L124" t="n">
        <v>0</v>
      </c>
      <c r="M124" t="n">
        <v>0</v>
      </c>
      <c r="N124" t="n">
        <v>0</v>
      </c>
      <c r="O124" t="n">
        <v>2</v>
      </c>
      <c r="P124" t="n">
        <v>0</v>
      </c>
      <c r="Q124" t="n">
        <v>2</v>
      </c>
      <c r="R124" s="2" t="inlineStr">
        <is>
          <t>Drillsnäppa
Rödvingetrast</t>
        </is>
      </c>
      <c r="S124">
        <f>HYPERLINK("https://klasma.github.io/Logging_2283/artfynd/A 3782-2019 artfynd.xlsx", "A 3782-2019")</f>
        <v/>
      </c>
      <c r="T124">
        <f>HYPERLINK("https://klasma.github.io/Logging_2283/kartor/A 3782-2019 karta.png", "A 3782-2019")</f>
        <v/>
      </c>
      <c r="V124">
        <f>HYPERLINK("https://klasma.github.io/Logging_2283/klagomål/A 3782-2019 FSC-klagomål.docx", "A 3782-2019")</f>
        <v/>
      </c>
      <c r="W124">
        <f>HYPERLINK("https://klasma.github.io/Logging_2283/klagomålsmail/A 3782-2019 FSC-klagomål mail.docx", "A 3782-2019")</f>
        <v/>
      </c>
      <c r="X124">
        <f>HYPERLINK("https://klasma.github.io/Logging_2283/tillsyn/A 3782-2019 tillsynsbegäran.docx", "A 3782-2019")</f>
        <v/>
      </c>
      <c r="Y124">
        <f>HYPERLINK("https://klasma.github.io/Logging_2283/tillsynsmail/A 3782-2019 tillsynsbegäran mail.docx", "A 3782-2019")</f>
        <v/>
      </c>
    </row>
    <row r="125" ht="15" customHeight="1">
      <c r="A125" t="inlineStr">
        <is>
          <t>A 34918-2019</t>
        </is>
      </c>
      <c r="B125" s="1" t="n">
        <v>43658</v>
      </c>
      <c r="C125" s="1" t="n">
        <v>45268</v>
      </c>
      <c r="D125" t="inlineStr">
        <is>
          <t>VÄSTERNORRLANDS LÄN</t>
        </is>
      </c>
      <c r="E125" t="inlineStr">
        <is>
          <t>SOLLEFTEÅ</t>
        </is>
      </c>
      <c r="G125" t="n">
        <v>2.7</v>
      </c>
      <c r="H125" t="n">
        <v>0</v>
      </c>
      <c r="I125" t="n">
        <v>0</v>
      </c>
      <c r="J125" t="n">
        <v>2</v>
      </c>
      <c r="K125" t="n">
        <v>0</v>
      </c>
      <c r="L125" t="n">
        <v>0</v>
      </c>
      <c r="M125" t="n">
        <v>0</v>
      </c>
      <c r="N125" t="n">
        <v>0</v>
      </c>
      <c r="O125" t="n">
        <v>2</v>
      </c>
      <c r="P125" t="n">
        <v>0</v>
      </c>
      <c r="Q125" t="n">
        <v>2</v>
      </c>
      <c r="R125" s="2" t="inlineStr">
        <is>
          <t>Granticka
Ullticka</t>
        </is>
      </c>
      <c r="S125">
        <f>HYPERLINK("https://klasma.github.io/Logging_2283/artfynd/A 34918-2019 artfynd.xlsx", "A 34918-2019")</f>
        <v/>
      </c>
      <c r="T125">
        <f>HYPERLINK("https://klasma.github.io/Logging_2283/kartor/A 34918-2019 karta.png", "A 34918-2019")</f>
        <v/>
      </c>
      <c r="V125">
        <f>HYPERLINK("https://klasma.github.io/Logging_2283/klagomål/A 34918-2019 FSC-klagomål.docx", "A 34918-2019")</f>
        <v/>
      </c>
      <c r="W125">
        <f>HYPERLINK("https://klasma.github.io/Logging_2283/klagomålsmail/A 34918-2019 FSC-klagomål mail.docx", "A 34918-2019")</f>
        <v/>
      </c>
      <c r="X125">
        <f>HYPERLINK("https://klasma.github.io/Logging_2283/tillsyn/A 34918-2019 tillsynsbegäran.docx", "A 34918-2019")</f>
        <v/>
      </c>
      <c r="Y125">
        <f>HYPERLINK("https://klasma.github.io/Logging_2283/tillsynsmail/A 34918-2019 tillsynsbegäran mail.docx", "A 34918-2019")</f>
        <v/>
      </c>
    </row>
    <row r="126" ht="15" customHeight="1">
      <c r="A126" t="inlineStr">
        <is>
          <t>A 66366-2019</t>
        </is>
      </c>
      <c r="B126" s="1" t="n">
        <v>43808</v>
      </c>
      <c r="C126" s="1" t="n">
        <v>45268</v>
      </c>
      <c r="D126" t="inlineStr">
        <is>
          <t>VÄSTERNORRLANDS LÄN</t>
        </is>
      </c>
      <c r="E126" t="inlineStr">
        <is>
          <t>SOLLEFTEÅ</t>
        </is>
      </c>
      <c r="G126" t="n">
        <v>2.9</v>
      </c>
      <c r="H126" t="n">
        <v>0</v>
      </c>
      <c r="I126" t="n">
        <v>1</v>
      </c>
      <c r="J126" t="n">
        <v>1</v>
      </c>
      <c r="K126" t="n">
        <v>0</v>
      </c>
      <c r="L126" t="n">
        <v>0</v>
      </c>
      <c r="M126" t="n">
        <v>0</v>
      </c>
      <c r="N126" t="n">
        <v>0</v>
      </c>
      <c r="O126" t="n">
        <v>1</v>
      </c>
      <c r="P126" t="n">
        <v>0</v>
      </c>
      <c r="Q126" t="n">
        <v>2</v>
      </c>
      <c r="R126" s="2" t="inlineStr">
        <is>
          <t>Lunglav
Stor aspticka</t>
        </is>
      </c>
      <c r="S126">
        <f>HYPERLINK("https://klasma.github.io/Logging_2283/artfynd/A 66366-2019 artfynd.xlsx", "A 66366-2019")</f>
        <v/>
      </c>
      <c r="T126">
        <f>HYPERLINK("https://klasma.github.io/Logging_2283/kartor/A 66366-2019 karta.png", "A 66366-2019")</f>
        <v/>
      </c>
      <c r="V126">
        <f>HYPERLINK("https://klasma.github.io/Logging_2283/klagomål/A 66366-2019 FSC-klagomål.docx", "A 66366-2019")</f>
        <v/>
      </c>
      <c r="W126">
        <f>HYPERLINK("https://klasma.github.io/Logging_2283/klagomålsmail/A 66366-2019 FSC-klagomål mail.docx", "A 66366-2019")</f>
        <v/>
      </c>
      <c r="X126">
        <f>HYPERLINK("https://klasma.github.io/Logging_2283/tillsyn/A 66366-2019 tillsynsbegäran.docx", "A 66366-2019")</f>
        <v/>
      </c>
      <c r="Y126">
        <f>HYPERLINK("https://klasma.github.io/Logging_2283/tillsynsmail/A 66366-2019 tillsynsbegäran mail.docx", "A 66366-2019")</f>
        <v/>
      </c>
    </row>
    <row r="127" ht="15" customHeight="1">
      <c r="A127" t="inlineStr">
        <is>
          <t>A 5314-2020</t>
        </is>
      </c>
      <c r="B127" s="1" t="n">
        <v>43857</v>
      </c>
      <c r="C127" s="1" t="n">
        <v>45268</v>
      </c>
      <c r="D127" t="inlineStr">
        <is>
          <t>VÄSTERNORRLANDS LÄN</t>
        </is>
      </c>
      <c r="E127" t="inlineStr">
        <is>
          <t>SOLLEFTEÅ</t>
        </is>
      </c>
      <c r="G127" t="n">
        <v>1.1</v>
      </c>
      <c r="H127" t="n">
        <v>0</v>
      </c>
      <c r="I127" t="n">
        <v>0</v>
      </c>
      <c r="J127" t="n">
        <v>2</v>
      </c>
      <c r="K127" t="n">
        <v>0</v>
      </c>
      <c r="L127" t="n">
        <v>0</v>
      </c>
      <c r="M127" t="n">
        <v>0</v>
      </c>
      <c r="N127" t="n">
        <v>0</v>
      </c>
      <c r="O127" t="n">
        <v>2</v>
      </c>
      <c r="P127" t="n">
        <v>0</v>
      </c>
      <c r="Q127" t="n">
        <v>2</v>
      </c>
      <c r="R127" s="2" t="inlineStr">
        <is>
          <t>Kolflarnlav
Vedskivlav</t>
        </is>
      </c>
      <c r="S127">
        <f>HYPERLINK("https://klasma.github.io/Logging_2283/artfynd/A 5314-2020 artfynd.xlsx", "A 5314-2020")</f>
        <v/>
      </c>
      <c r="T127">
        <f>HYPERLINK("https://klasma.github.io/Logging_2283/kartor/A 5314-2020 karta.png", "A 5314-2020")</f>
        <v/>
      </c>
      <c r="V127">
        <f>HYPERLINK("https://klasma.github.io/Logging_2283/klagomål/A 5314-2020 FSC-klagomål.docx", "A 5314-2020")</f>
        <v/>
      </c>
      <c r="W127">
        <f>HYPERLINK("https://klasma.github.io/Logging_2283/klagomålsmail/A 5314-2020 FSC-klagomål mail.docx", "A 5314-2020")</f>
        <v/>
      </c>
      <c r="X127">
        <f>HYPERLINK("https://klasma.github.io/Logging_2283/tillsyn/A 5314-2020 tillsynsbegäran.docx", "A 5314-2020")</f>
        <v/>
      </c>
      <c r="Y127">
        <f>HYPERLINK("https://klasma.github.io/Logging_2283/tillsynsmail/A 5314-2020 tillsynsbegäran mail.docx", "A 5314-2020")</f>
        <v/>
      </c>
    </row>
    <row r="128" ht="15" customHeight="1">
      <c r="A128" t="inlineStr">
        <is>
          <t>A 29505-2020</t>
        </is>
      </c>
      <c r="B128" s="1" t="n">
        <v>44004</v>
      </c>
      <c r="C128" s="1" t="n">
        <v>45268</v>
      </c>
      <c r="D128" t="inlineStr">
        <is>
          <t>VÄSTERNORRLANDS LÄN</t>
        </is>
      </c>
      <c r="E128" t="inlineStr">
        <is>
          <t>SOLLEFTEÅ</t>
        </is>
      </c>
      <c r="F128" t="inlineStr">
        <is>
          <t>SCA</t>
        </is>
      </c>
      <c r="G128" t="n">
        <v>1.9</v>
      </c>
      <c r="H128" t="n">
        <v>0</v>
      </c>
      <c r="I128" t="n">
        <v>1</v>
      </c>
      <c r="J128" t="n">
        <v>1</v>
      </c>
      <c r="K128" t="n">
        <v>0</v>
      </c>
      <c r="L128" t="n">
        <v>0</v>
      </c>
      <c r="M128" t="n">
        <v>0</v>
      </c>
      <c r="N128" t="n">
        <v>0</v>
      </c>
      <c r="O128" t="n">
        <v>1</v>
      </c>
      <c r="P128" t="n">
        <v>0</v>
      </c>
      <c r="Q128" t="n">
        <v>2</v>
      </c>
      <c r="R128" s="2" t="inlineStr">
        <is>
          <t>Lunglav
Bårdlav</t>
        </is>
      </c>
      <c r="S128">
        <f>HYPERLINK("https://klasma.github.io/Logging_2283/artfynd/A 29505-2020 artfynd.xlsx", "A 29505-2020")</f>
        <v/>
      </c>
      <c r="T128">
        <f>HYPERLINK("https://klasma.github.io/Logging_2283/kartor/A 29505-2020 karta.png", "A 29505-2020")</f>
        <v/>
      </c>
      <c r="V128">
        <f>HYPERLINK("https://klasma.github.io/Logging_2283/klagomål/A 29505-2020 FSC-klagomål.docx", "A 29505-2020")</f>
        <v/>
      </c>
      <c r="W128">
        <f>HYPERLINK("https://klasma.github.io/Logging_2283/klagomålsmail/A 29505-2020 FSC-klagomål mail.docx", "A 29505-2020")</f>
        <v/>
      </c>
      <c r="X128">
        <f>HYPERLINK("https://klasma.github.io/Logging_2283/tillsyn/A 29505-2020 tillsynsbegäran.docx", "A 29505-2020")</f>
        <v/>
      </c>
      <c r="Y128">
        <f>HYPERLINK("https://klasma.github.io/Logging_2283/tillsynsmail/A 29505-2020 tillsynsbegäran mail.docx", "A 29505-2020")</f>
        <v/>
      </c>
    </row>
    <row r="129" ht="15" customHeight="1">
      <c r="A129" t="inlineStr">
        <is>
          <t>A 34085-2020</t>
        </is>
      </c>
      <c r="B129" s="1" t="n">
        <v>44028</v>
      </c>
      <c r="C129" s="1" t="n">
        <v>45268</v>
      </c>
      <c r="D129" t="inlineStr">
        <is>
          <t>VÄSTERNORRLANDS LÄN</t>
        </is>
      </c>
      <c r="E129" t="inlineStr">
        <is>
          <t>SOLLEFTEÅ</t>
        </is>
      </c>
      <c r="F129" t="inlineStr">
        <is>
          <t>SCA</t>
        </is>
      </c>
      <c r="G129" t="n">
        <v>3.7</v>
      </c>
      <c r="H129" t="n">
        <v>1</v>
      </c>
      <c r="I129" t="n">
        <v>0</v>
      </c>
      <c r="J129" t="n">
        <v>1</v>
      </c>
      <c r="K129" t="n">
        <v>1</v>
      </c>
      <c r="L129" t="n">
        <v>0</v>
      </c>
      <c r="M129" t="n">
        <v>0</v>
      </c>
      <c r="N129" t="n">
        <v>0</v>
      </c>
      <c r="O129" t="n">
        <v>2</v>
      </c>
      <c r="P129" t="n">
        <v>1</v>
      </c>
      <c r="Q129" t="n">
        <v>2</v>
      </c>
      <c r="R129" s="2" t="inlineStr">
        <is>
          <t>Knärot
Lunglav</t>
        </is>
      </c>
      <c r="S129">
        <f>HYPERLINK("https://klasma.github.io/Logging_2283/artfynd/A 34085-2020 artfynd.xlsx", "A 34085-2020")</f>
        <v/>
      </c>
      <c r="T129">
        <f>HYPERLINK("https://klasma.github.io/Logging_2283/kartor/A 34085-2020 karta.png", "A 34085-2020")</f>
        <v/>
      </c>
      <c r="U129">
        <f>HYPERLINK("https://klasma.github.io/Logging_2283/knärot/A 34085-2020 karta knärot.png", "A 34085-2020")</f>
        <v/>
      </c>
      <c r="V129">
        <f>HYPERLINK("https://klasma.github.io/Logging_2283/klagomål/A 34085-2020 FSC-klagomål.docx", "A 34085-2020")</f>
        <v/>
      </c>
      <c r="W129">
        <f>HYPERLINK("https://klasma.github.io/Logging_2283/klagomålsmail/A 34085-2020 FSC-klagomål mail.docx", "A 34085-2020")</f>
        <v/>
      </c>
      <c r="X129">
        <f>HYPERLINK("https://klasma.github.io/Logging_2283/tillsyn/A 34085-2020 tillsynsbegäran.docx", "A 34085-2020")</f>
        <v/>
      </c>
      <c r="Y129">
        <f>HYPERLINK("https://klasma.github.io/Logging_2283/tillsynsmail/A 34085-2020 tillsynsbegäran mail.docx", "A 34085-2020")</f>
        <v/>
      </c>
    </row>
    <row r="130" ht="15" customHeight="1">
      <c r="A130" t="inlineStr">
        <is>
          <t>A 2309-2021</t>
        </is>
      </c>
      <c r="B130" s="1" t="n">
        <v>44213</v>
      </c>
      <c r="C130" s="1" t="n">
        <v>45268</v>
      </c>
      <c r="D130" t="inlineStr">
        <is>
          <t>VÄSTERNORRLANDS LÄN</t>
        </is>
      </c>
      <c r="E130" t="inlineStr">
        <is>
          <t>SOLLEFTEÅ</t>
        </is>
      </c>
      <c r="G130" t="n">
        <v>2.1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HYPERLINK("https://klasma.github.io/Logging_2283/artfynd/A 2309-2021 artfynd.xlsx", "A 2309-2021")</f>
        <v/>
      </c>
      <c r="T130">
        <f>HYPERLINK("https://klasma.github.io/Logging_2283/kartor/A 2309-2021 karta.png", "A 2309-2021")</f>
        <v/>
      </c>
      <c r="V130">
        <f>HYPERLINK("https://klasma.github.io/Logging_2283/klagomål/A 2309-2021 FSC-klagomål.docx", "A 2309-2021")</f>
        <v/>
      </c>
      <c r="W130">
        <f>HYPERLINK("https://klasma.github.io/Logging_2283/klagomålsmail/A 2309-2021 FSC-klagomål mail.docx", "A 2309-2021")</f>
        <v/>
      </c>
      <c r="X130">
        <f>HYPERLINK("https://klasma.github.io/Logging_2283/tillsyn/A 2309-2021 tillsynsbegäran.docx", "A 2309-2021")</f>
        <v/>
      </c>
      <c r="Y130">
        <f>HYPERLINK("https://klasma.github.io/Logging_2283/tillsynsmail/A 2309-2021 tillsynsbegäran mail.docx", "A 2309-2021")</f>
        <v/>
      </c>
    </row>
    <row r="131" ht="15" customHeight="1">
      <c r="A131" t="inlineStr">
        <is>
          <t>A 20836-2021</t>
        </is>
      </c>
      <c r="B131" s="1" t="n">
        <v>44318</v>
      </c>
      <c r="C131" s="1" t="n">
        <v>45268</v>
      </c>
      <c r="D131" t="inlineStr">
        <is>
          <t>VÄSTERNORRLANDS LÄN</t>
        </is>
      </c>
      <c r="E131" t="inlineStr">
        <is>
          <t>SOLLEFTEÅ</t>
        </is>
      </c>
      <c r="F131" t="inlineStr">
        <is>
          <t>SCA</t>
        </is>
      </c>
      <c r="G131" t="n">
        <v>4.8</v>
      </c>
      <c r="H131" t="n">
        <v>1</v>
      </c>
      <c r="I131" t="n">
        <v>0</v>
      </c>
      <c r="J131" t="n">
        <v>2</v>
      </c>
      <c r="K131" t="n">
        <v>0</v>
      </c>
      <c r="L131" t="n">
        <v>0</v>
      </c>
      <c r="M131" t="n">
        <v>0</v>
      </c>
      <c r="N131" t="n">
        <v>0</v>
      </c>
      <c r="O131" t="n">
        <v>2</v>
      </c>
      <c r="P131" t="n">
        <v>0</v>
      </c>
      <c r="Q131" t="n">
        <v>2</v>
      </c>
      <c r="R131" s="2" t="inlineStr">
        <is>
          <t>Garnlav
Talltita</t>
        </is>
      </c>
      <c r="S131">
        <f>HYPERLINK("https://klasma.github.io/Logging_2283/artfynd/A 20836-2021 artfynd.xlsx", "A 20836-2021")</f>
        <v/>
      </c>
      <c r="T131">
        <f>HYPERLINK("https://klasma.github.io/Logging_2283/kartor/A 20836-2021 karta.png", "A 20836-2021")</f>
        <v/>
      </c>
      <c r="V131">
        <f>HYPERLINK("https://klasma.github.io/Logging_2283/klagomål/A 20836-2021 FSC-klagomål.docx", "A 20836-2021")</f>
        <v/>
      </c>
      <c r="W131">
        <f>HYPERLINK("https://klasma.github.io/Logging_2283/klagomålsmail/A 20836-2021 FSC-klagomål mail.docx", "A 20836-2021")</f>
        <v/>
      </c>
      <c r="X131">
        <f>HYPERLINK("https://klasma.github.io/Logging_2283/tillsyn/A 20836-2021 tillsynsbegäran.docx", "A 20836-2021")</f>
        <v/>
      </c>
      <c r="Y131">
        <f>HYPERLINK("https://klasma.github.io/Logging_2283/tillsynsmail/A 20836-2021 tillsynsbegäran mail.docx", "A 20836-2021")</f>
        <v/>
      </c>
    </row>
    <row r="132" ht="15" customHeight="1">
      <c r="A132" t="inlineStr">
        <is>
          <t>A 27983-2021</t>
        </is>
      </c>
      <c r="B132" s="1" t="n">
        <v>44354</v>
      </c>
      <c r="C132" s="1" t="n">
        <v>45268</v>
      </c>
      <c r="D132" t="inlineStr">
        <is>
          <t>VÄSTERNORRLANDS LÄN</t>
        </is>
      </c>
      <c r="E132" t="inlineStr">
        <is>
          <t>SOLLEFTEÅ</t>
        </is>
      </c>
      <c r="F132" t="inlineStr">
        <is>
          <t>SCA</t>
        </is>
      </c>
      <c r="G132" t="n">
        <v>5.4</v>
      </c>
      <c r="H132" t="n">
        <v>0</v>
      </c>
      <c r="I132" t="n">
        <v>0</v>
      </c>
      <c r="J132" t="n">
        <v>2</v>
      </c>
      <c r="K132" t="n">
        <v>0</v>
      </c>
      <c r="L132" t="n">
        <v>0</v>
      </c>
      <c r="M132" t="n">
        <v>0</v>
      </c>
      <c r="N132" t="n">
        <v>0</v>
      </c>
      <c r="O132" t="n">
        <v>2</v>
      </c>
      <c r="P132" t="n">
        <v>0</v>
      </c>
      <c r="Q132" t="n">
        <v>2</v>
      </c>
      <c r="R132" s="2" t="inlineStr">
        <is>
          <t>Rosenticka
Ullticka</t>
        </is>
      </c>
      <c r="S132">
        <f>HYPERLINK("https://klasma.github.io/Logging_2283/artfynd/A 27983-2021 artfynd.xlsx", "A 27983-2021")</f>
        <v/>
      </c>
      <c r="T132">
        <f>HYPERLINK("https://klasma.github.io/Logging_2283/kartor/A 27983-2021 karta.png", "A 27983-2021")</f>
        <v/>
      </c>
      <c r="V132">
        <f>HYPERLINK("https://klasma.github.io/Logging_2283/klagomål/A 27983-2021 FSC-klagomål.docx", "A 27983-2021")</f>
        <v/>
      </c>
      <c r="W132">
        <f>HYPERLINK("https://klasma.github.io/Logging_2283/klagomålsmail/A 27983-2021 FSC-klagomål mail.docx", "A 27983-2021")</f>
        <v/>
      </c>
      <c r="X132">
        <f>HYPERLINK("https://klasma.github.io/Logging_2283/tillsyn/A 27983-2021 tillsynsbegäran.docx", "A 27983-2021")</f>
        <v/>
      </c>
      <c r="Y132">
        <f>HYPERLINK("https://klasma.github.io/Logging_2283/tillsynsmail/A 27983-2021 tillsynsbegäran mail.docx", "A 27983-2021")</f>
        <v/>
      </c>
    </row>
    <row r="133" ht="15" customHeight="1">
      <c r="A133" t="inlineStr">
        <is>
          <t>A 39329-2021</t>
        </is>
      </c>
      <c r="B133" s="1" t="n">
        <v>44414</v>
      </c>
      <c r="C133" s="1" t="n">
        <v>45268</v>
      </c>
      <c r="D133" t="inlineStr">
        <is>
          <t>VÄSTERNORRLANDS LÄN</t>
        </is>
      </c>
      <c r="E133" t="inlineStr">
        <is>
          <t>SOLLEFTEÅ</t>
        </is>
      </c>
      <c r="F133" t="inlineStr">
        <is>
          <t>SCA</t>
        </is>
      </c>
      <c r="G133" t="n">
        <v>2.7</v>
      </c>
      <c r="H133" t="n">
        <v>0</v>
      </c>
      <c r="I133" t="n">
        <v>1</v>
      </c>
      <c r="J133" t="n">
        <v>1</v>
      </c>
      <c r="K133" t="n">
        <v>0</v>
      </c>
      <c r="L133" t="n">
        <v>0</v>
      </c>
      <c r="M133" t="n">
        <v>0</v>
      </c>
      <c r="N133" t="n">
        <v>0</v>
      </c>
      <c r="O133" t="n">
        <v>1</v>
      </c>
      <c r="P133" t="n">
        <v>0</v>
      </c>
      <c r="Q133" t="n">
        <v>2</v>
      </c>
      <c r="R133" s="2" t="inlineStr">
        <is>
          <t>Mörk kolflarnlav
Bollvitmossa</t>
        </is>
      </c>
      <c r="S133">
        <f>HYPERLINK("https://klasma.github.io/Logging_2283/artfynd/A 39329-2021 artfynd.xlsx", "A 39329-2021")</f>
        <v/>
      </c>
      <c r="T133">
        <f>HYPERLINK("https://klasma.github.io/Logging_2283/kartor/A 39329-2021 karta.png", "A 39329-2021")</f>
        <v/>
      </c>
      <c r="V133">
        <f>HYPERLINK("https://klasma.github.io/Logging_2283/klagomål/A 39329-2021 FSC-klagomål.docx", "A 39329-2021")</f>
        <v/>
      </c>
      <c r="W133">
        <f>HYPERLINK("https://klasma.github.io/Logging_2283/klagomålsmail/A 39329-2021 FSC-klagomål mail.docx", "A 39329-2021")</f>
        <v/>
      </c>
      <c r="X133">
        <f>HYPERLINK("https://klasma.github.io/Logging_2283/tillsyn/A 39329-2021 tillsynsbegäran.docx", "A 39329-2021")</f>
        <v/>
      </c>
      <c r="Y133">
        <f>HYPERLINK("https://klasma.github.io/Logging_2283/tillsynsmail/A 39329-2021 tillsynsbegäran mail.docx", "A 39329-2021")</f>
        <v/>
      </c>
    </row>
    <row r="134" ht="15" customHeight="1">
      <c r="A134" t="inlineStr">
        <is>
          <t>A 47858-2021</t>
        </is>
      </c>
      <c r="B134" s="1" t="n">
        <v>44448</v>
      </c>
      <c r="C134" s="1" t="n">
        <v>45268</v>
      </c>
      <c r="D134" t="inlineStr">
        <is>
          <t>VÄSTERNORRLANDS LÄN</t>
        </is>
      </c>
      <c r="E134" t="inlineStr">
        <is>
          <t>SOLLEFTEÅ</t>
        </is>
      </c>
      <c r="G134" t="n">
        <v>7.7</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47858-2021 artfynd.xlsx", "A 47858-2021")</f>
        <v/>
      </c>
      <c r="T134">
        <f>HYPERLINK("https://klasma.github.io/Logging_2283/kartor/A 47858-2021 karta.png", "A 47858-2021")</f>
        <v/>
      </c>
      <c r="V134">
        <f>HYPERLINK("https://klasma.github.io/Logging_2283/klagomål/A 47858-2021 FSC-klagomål.docx", "A 47858-2021")</f>
        <v/>
      </c>
      <c r="W134">
        <f>HYPERLINK("https://klasma.github.io/Logging_2283/klagomålsmail/A 47858-2021 FSC-klagomål mail.docx", "A 47858-2021")</f>
        <v/>
      </c>
      <c r="X134">
        <f>HYPERLINK("https://klasma.github.io/Logging_2283/tillsyn/A 47858-2021 tillsynsbegäran.docx", "A 47858-2021")</f>
        <v/>
      </c>
      <c r="Y134">
        <f>HYPERLINK("https://klasma.github.io/Logging_2283/tillsynsmail/A 47858-2021 tillsynsbegäran mail.docx", "A 47858-2021")</f>
        <v/>
      </c>
    </row>
    <row r="135" ht="15" customHeight="1">
      <c r="A135" t="inlineStr">
        <is>
          <t>A 51024-2021</t>
        </is>
      </c>
      <c r="B135" s="1" t="n">
        <v>44461</v>
      </c>
      <c r="C135" s="1" t="n">
        <v>45268</v>
      </c>
      <c r="D135" t="inlineStr">
        <is>
          <t>VÄSTERNORRLANDS LÄN</t>
        </is>
      </c>
      <c r="E135" t="inlineStr">
        <is>
          <t>SOLLEFTEÅ</t>
        </is>
      </c>
      <c r="F135" t="inlineStr">
        <is>
          <t>SCA</t>
        </is>
      </c>
      <c r="G135" t="n">
        <v>7.1</v>
      </c>
      <c r="H135" t="n">
        <v>0</v>
      </c>
      <c r="I135" t="n">
        <v>0</v>
      </c>
      <c r="J135" t="n">
        <v>2</v>
      </c>
      <c r="K135" t="n">
        <v>0</v>
      </c>
      <c r="L135" t="n">
        <v>0</v>
      </c>
      <c r="M135" t="n">
        <v>0</v>
      </c>
      <c r="N135" t="n">
        <v>0</v>
      </c>
      <c r="O135" t="n">
        <v>2</v>
      </c>
      <c r="P135" t="n">
        <v>0</v>
      </c>
      <c r="Q135" t="n">
        <v>2</v>
      </c>
      <c r="R135" s="2" t="inlineStr">
        <is>
          <t>Tallticka
Ullticka</t>
        </is>
      </c>
      <c r="S135">
        <f>HYPERLINK("https://klasma.github.io/Logging_2283/artfynd/A 51024-2021 artfynd.xlsx", "A 51024-2021")</f>
        <v/>
      </c>
      <c r="T135">
        <f>HYPERLINK("https://klasma.github.io/Logging_2283/kartor/A 51024-2021 karta.png", "A 51024-2021")</f>
        <v/>
      </c>
      <c r="V135">
        <f>HYPERLINK("https://klasma.github.io/Logging_2283/klagomål/A 51024-2021 FSC-klagomål.docx", "A 51024-2021")</f>
        <v/>
      </c>
      <c r="W135">
        <f>HYPERLINK("https://klasma.github.io/Logging_2283/klagomålsmail/A 51024-2021 FSC-klagomål mail.docx", "A 51024-2021")</f>
        <v/>
      </c>
      <c r="X135">
        <f>HYPERLINK("https://klasma.github.io/Logging_2283/tillsyn/A 51024-2021 tillsynsbegäran.docx", "A 51024-2021")</f>
        <v/>
      </c>
      <c r="Y135">
        <f>HYPERLINK("https://klasma.github.io/Logging_2283/tillsynsmail/A 51024-2021 tillsynsbegäran mail.docx", "A 51024-2021")</f>
        <v/>
      </c>
    </row>
    <row r="136" ht="15" customHeight="1">
      <c r="A136" t="inlineStr">
        <is>
          <t>A 54153-2021</t>
        </is>
      </c>
      <c r="B136" s="1" t="n">
        <v>44469</v>
      </c>
      <c r="C136" s="1" t="n">
        <v>45268</v>
      </c>
      <c r="D136" t="inlineStr">
        <is>
          <t>VÄSTERNORRLANDS LÄN</t>
        </is>
      </c>
      <c r="E136" t="inlineStr">
        <is>
          <t>SOLLEFTEÅ</t>
        </is>
      </c>
      <c r="G136" t="n">
        <v>1.4</v>
      </c>
      <c r="H136" t="n">
        <v>0</v>
      </c>
      <c r="I136" t="n">
        <v>0</v>
      </c>
      <c r="J136" t="n">
        <v>2</v>
      </c>
      <c r="K136" t="n">
        <v>0</v>
      </c>
      <c r="L136" t="n">
        <v>0</v>
      </c>
      <c r="M136" t="n">
        <v>0</v>
      </c>
      <c r="N136" t="n">
        <v>0</v>
      </c>
      <c r="O136" t="n">
        <v>2</v>
      </c>
      <c r="P136" t="n">
        <v>0</v>
      </c>
      <c r="Q136" t="n">
        <v>2</v>
      </c>
      <c r="R136" s="2" t="inlineStr">
        <is>
          <t>Garnlav
Rosenticka</t>
        </is>
      </c>
      <c r="S136">
        <f>HYPERLINK("https://klasma.github.io/Logging_2283/artfynd/A 54153-2021 artfynd.xlsx", "A 54153-2021")</f>
        <v/>
      </c>
      <c r="T136">
        <f>HYPERLINK("https://klasma.github.io/Logging_2283/kartor/A 54153-2021 karta.png", "A 54153-2021")</f>
        <v/>
      </c>
      <c r="V136">
        <f>HYPERLINK("https://klasma.github.io/Logging_2283/klagomål/A 54153-2021 FSC-klagomål.docx", "A 54153-2021")</f>
        <v/>
      </c>
      <c r="W136">
        <f>HYPERLINK("https://klasma.github.io/Logging_2283/klagomålsmail/A 54153-2021 FSC-klagomål mail.docx", "A 54153-2021")</f>
        <v/>
      </c>
      <c r="X136">
        <f>HYPERLINK("https://klasma.github.io/Logging_2283/tillsyn/A 54153-2021 tillsynsbegäran.docx", "A 54153-2021")</f>
        <v/>
      </c>
      <c r="Y136">
        <f>HYPERLINK("https://klasma.github.io/Logging_2283/tillsynsmail/A 54153-2021 tillsynsbegäran mail.docx", "A 54153-2021")</f>
        <v/>
      </c>
    </row>
    <row r="137" ht="15" customHeight="1">
      <c r="A137" t="inlineStr">
        <is>
          <t>A 9583-2022</t>
        </is>
      </c>
      <c r="B137" s="1" t="n">
        <v>44617</v>
      </c>
      <c r="C137" s="1" t="n">
        <v>45268</v>
      </c>
      <c r="D137" t="inlineStr">
        <is>
          <t>VÄSTERNORRLANDS LÄN</t>
        </is>
      </c>
      <c r="E137" t="inlineStr">
        <is>
          <t>SOLLEFTEÅ</t>
        </is>
      </c>
      <c r="F137" t="inlineStr">
        <is>
          <t>Övriga Aktiebolag</t>
        </is>
      </c>
      <c r="G137" t="n">
        <v>2.3</v>
      </c>
      <c r="H137" t="n">
        <v>0</v>
      </c>
      <c r="I137" t="n">
        <v>0</v>
      </c>
      <c r="J137" t="n">
        <v>2</v>
      </c>
      <c r="K137" t="n">
        <v>0</v>
      </c>
      <c r="L137" t="n">
        <v>0</v>
      </c>
      <c r="M137" t="n">
        <v>0</v>
      </c>
      <c r="N137" t="n">
        <v>0</v>
      </c>
      <c r="O137" t="n">
        <v>2</v>
      </c>
      <c r="P137" t="n">
        <v>0</v>
      </c>
      <c r="Q137" t="n">
        <v>2</v>
      </c>
      <c r="R137" s="2" t="inlineStr">
        <is>
          <t>Garnlav
Lunglav</t>
        </is>
      </c>
      <c r="S137">
        <f>HYPERLINK("https://klasma.github.io/Logging_2283/artfynd/A 9583-2022 artfynd.xlsx", "A 9583-2022")</f>
        <v/>
      </c>
      <c r="T137">
        <f>HYPERLINK("https://klasma.github.io/Logging_2283/kartor/A 9583-2022 karta.png", "A 9583-2022")</f>
        <v/>
      </c>
      <c r="V137">
        <f>HYPERLINK("https://klasma.github.io/Logging_2283/klagomål/A 9583-2022 FSC-klagomål.docx", "A 9583-2022")</f>
        <v/>
      </c>
      <c r="W137">
        <f>HYPERLINK("https://klasma.github.io/Logging_2283/klagomålsmail/A 9583-2022 FSC-klagomål mail.docx", "A 9583-2022")</f>
        <v/>
      </c>
      <c r="X137">
        <f>HYPERLINK("https://klasma.github.io/Logging_2283/tillsyn/A 9583-2022 tillsynsbegäran.docx", "A 9583-2022")</f>
        <v/>
      </c>
      <c r="Y137">
        <f>HYPERLINK("https://klasma.github.io/Logging_2283/tillsynsmail/A 9583-2022 tillsynsbegäran mail.docx", "A 9583-2022")</f>
        <v/>
      </c>
    </row>
    <row r="138" ht="15" customHeight="1">
      <c r="A138" t="inlineStr">
        <is>
          <t>A 13059-2022</t>
        </is>
      </c>
      <c r="B138" s="1" t="n">
        <v>44643</v>
      </c>
      <c r="C138" s="1" t="n">
        <v>45268</v>
      </c>
      <c r="D138" t="inlineStr">
        <is>
          <t>VÄSTERNORRLANDS LÄN</t>
        </is>
      </c>
      <c r="E138" t="inlineStr">
        <is>
          <t>SOLLEFTEÅ</t>
        </is>
      </c>
      <c r="G138" t="n">
        <v>9.9</v>
      </c>
      <c r="H138" t="n">
        <v>0</v>
      </c>
      <c r="I138" t="n">
        <v>0</v>
      </c>
      <c r="J138" t="n">
        <v>2</v>
      </c>
      <c r="K138" t="n">
        <v>0</v>
      </c>
      <c r="L138" t="n">
        <v>0</v>
      </c>
      <c r="M138" t="n">
        <v>0</v>
      </c>
      <c r="N138" t="n">
        <v>0</v>
      </c>
      <c r="O138" t="n">
        <v>2</v>
      </c>
      <c r="P138" t="n">
        <v>0</v>
      </c>
      <c r="Q138" t="n">
        <v>2</v>
      </c>
      <c r="R138" s="2" t="inlineStr">
        <is>
          <t>Garnlav
Ullticka</t>
        </is>
      </c>
      <c r="S138">
        <f>HYPERLINK("https://klasma.github.io/Logging_2283/artfynd/A 13059-2022 artfynd.xlsx", "A 13059-2022")</f>
        <v/>
      </c>
      <c r="T138">
        <f>HYPERLINK("https://klasma.github.io/Logging_2283/kartor/A 13059-2022 karta.png", "A 13059-2022")</f>
        <v/>
      </c>
      <c r="V138">
        <f>HYPERLINK("https://klasma.github.io/Logging_2283/klagomål/A 13059-2022 FSC-klagomål.docx", "A 13059-2022")</f>
        <v/>
      </c>
      <c r="W138">
        <f>HYPERLINK("https://klasma.github.io/Logging_2283/klagomålsmail/A 13059-2022 FSC-klagomål mail.docx", "A 13059-2022")</f>
        <v/>
      </c>
      <c r="X138">
        <f>HYPERLINK("https://klasma.github.io/Logging_2283/tillsyn/A 13059-2022 tillsynsbegäran.docx", "A 13059-2022")</f>
        <v/>
      </c>
      <c r="Y138">
        <f>HYPERLINK("https://klasma.github.io/Logging_2283/tillsynsmail/A 13059-2022 tillsynsbegäran mail.docx", "A 13059-2022")</f>
        <v/>
      </c>
    </row>
    <row r="139" ht="15" customHeight="1">
      <c r="A139" t="inlineStr">
        <is>
          <t>A 20956-2022</t>
        </is>
      </c>
      <c r="B139" s="1" t="n">
        <v>44701</v>
      </c>
      <c r="C139" s="1" t="n">
        <v>45268</v>
      </c>
      <c r="D139" t="inlineStr">
        <is>
          <t>VÄSTERNORRLANDS LÄN</t>
        </is>
      </c>
      <c r="E139" t="inlineStr">
        <is>
          <t>SOLLEFTEÅ</t>
        </is>
      </c>
      <c r="F139" t="inlineStr">
        <is>
          <t>SCA</t>
        </is>
      </c>
      <c r="G139" t="n">
        <v>2.5</v>
      </c>
      <c r="H139" t="n">
        <v>0</v>
      </c>
      <c r="I139" t="n">
        <v>0</v>
      </c>
      <c r="J139" t="n">
        <v>2</v>
      </c>
      <c r="K139" t="n">
        <v>0</v>
      </c>
      <c r="L139" t="n">
        <v>0</v>
      </c>
      <c r="M139" t="n">
        <v>0</v>
      </c>
      <c r="N139" t="n">
        <v>0</v>
      </c>
      <c r="O139" t="n">
        <v>2</v>
      </c>
      <c r="P139" t="n">
        <v>0</v>
      </c>
      <c r="Q139" t="n">
        <v>2</v>
      </c>
      <c r="R139" s="2" t="inlineStr">
        <is>
          <t>Kandelabersvamp
Stiftgelélav</t>
        </is>
      </c>
      <c r="S139">
        <f>HYPERLINK("https://klasma.github.io/Logging_2283/artfynd/A 20956-2022 artfynd.xlsx", "A 20956-2022")</f>
        <v/>
      </c>
      <c r="T139">
        <f>HYPERLINK("https://klasma.github.io/Logging_2283/kartor/A 20956-2022 karta.png", "A 20956-2022")</f>
        <v/>
      </c>
      <c r="V139">
        <f>HYPERLINK("https://klasma.github.io/Logging_2283/klagomål/A 20956-2022 FSC-klagomål.docx", "A 20956-2022")</f>
        <v/>
      </c>
      <c r="W139">
        <f>HYPERLINK("https://klasma.github.io/Logging_2283/klagomålsmail/A 20956-2022 FSC-klagomål mail.docx", "A 20956-2022")</f>
        <v/>
      </c>
      <c r="X139">
        <f>HYPERLINK("https://klasma.github.io/Logging_2283/tillsyn/A 20956-2022 tillsynsbegäran.docx", "A 20956-2022")</f>
        <v/>
      </c>
      <c r="Y139">
        <f>HYPERLINK("https://klasma.github.io/Logging_2283/tillsynsmail/A 20956-2022 tillsynsbegäran mail.docx", "A 20956-2022")</f>
        <v/>
      </c>
    </row>
    <row r="140" ht="15" customHeight="1">
      <c r="A140" t="inlineStr">
        <is>
          <t>A 24321-2022</t>
        </is>
      </c>
      <c r="B140" s="1" t="n">
        <v>44725</v>
      </c>
      <c r="C140" s="1" t="n">
        <v>45268</v>
      </c>
      <c r="D140" t="inlineStr">
        <is>
          <t>VÄSTERNORRLANDS LÄN</t>
        </is>
      </c>
      <c r="E140" t="inlineStr">
        <is>
          <t>SOLLEFTEÅ</t>
        </is>
      </c>
      <c r="F140" t="inlineStr">
        <is>
          <t>SCA</t>
        </is>
      </c>
      <c r="G140" t="n">
        <v>1.1</v>
      </c>
      <c r="H140" t="n">
        <v>1</v>
      </c>
      <c r="I140" t="n">
        <v>0</v>
      </c>
      <c r="J140" t="n">
        <v>1</v>
      </c>
      <c r="K140" t="n">
        <v>1</v>
      </c>
      <c r="L140" t="n">
        <v>0</v>
      </c>
      <c r="M140" t="n">
        <v>0</v>
      </c>
      <c r="N140" t="n">
        <v>0</v>
      </c>
      <c r="O140" t="n">
        <v>2</v>
      </c>
      <c r="P140" t="n">
        <v>1</v>
      </c>
      <c r="Q140" t="n">
        <v>2</v>
      </c>
      <c r="R140" s="2" t="inlineStr">
        <is>
          <t>Knärot
Garnlav</t>
        </is>
      </c>
      <c r="S140">
        <f>HYPERLINK("https://klasma.github.io/Logging_2283/artfynd/A 24321-2022 artfynd.xlsx", "A 24321-2022")</f>
        <v/>
      </c>
      <c r="T140">
        <f>HYPERLINK("https://klasma.github.io/Logging_2283/kartor/A 24321-2022 karta.png", "A 24321-2022")</f>
        <v/>
      </c>
      <c r="U140">
        <f>HYPERLINK("https://klasma.github.io/Logging_2283/knärot/A 24321-2022 karta knärot.png", "A 24321-2022")</f>
        <v/>
      </c>
      <c r="V140">
        <f>HYPERLINK("https://klasma.github.io/Logging_2283/klagomål/A 24321-2022 FSC-klagomål.docx", "A 24321-2022")</f>
        <v/>
      </c>
      <c r="W140">
        <f>HYPERLINK("https://klasma.github.io/Logging_2283/klagomålsmail/A 24321-2022 FSC-klagomål mail.docx", "A 24321-2022")</f>
        <v/>
      </c>
      <c r="X140">
        <f>HYPERLINK("https://klasma.github.io/Logging_2283/tillsyn/A 24321-2022 tillsynsbegäran.docx", "A 24321-2022")</f>
        <v/>
      </c>
      <c r="Y140">
        <f>HYPERLINK("https://klasma.github.io/Logging_2283/tillsynsmail/A 24321-2022 tillsynsbegäran mail.docx", "A 24321-2022")</f>
        <v/>
      </c>
    </row>
    <row r="141" ht="15" customHeight="1">
      <c r="A141" t="inlineStr">
        <is>
          <t>A 29549-2022</t>
        </is>
      </c>
      <c r="B141" s="1" t="n">
        <v>44753</v>
      </c>
      <c r="C141" s="1" t="n">
        <v>45268</v>
      </c>
      <c r="D141" t="inlineStr">
        <is>
          <t>VÄSTERNORRLANDS LÄN</t>
        </is>
      </c>
      <c r="E141" t="inlineStr">
        <is>
          <t>SOLLEFTEÅ</t>
        </is>
      </c>
      <c r="F141" t="inlineStr">
        <is>
          <t>SCA</t>
        </is>
      </c>
      <c r="G141" t="n">
        <v>36.7</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HYPERLINK("https://klasma.github.io/Logging_2283/artfynd/A 29549-2022 artfynd.xlsx", "A 29549-2022")</f>
        <v/>
      </c>
      <c r="T141">
        <f>HYPERLINK("https://klasma.github.io/Logging_2283/kartor/A 29549-2022 karta.png", "A 29549-2022")</f>
        <v/>
      </c>
      <c r="V141">
        <f>HYPERLINK("https://klasma.github.io/Logging_2283/klagomål/A 29549-2022 FSC-klagomål.docx", "A 29549-2022")</f>
        <v/>
      </c>
      <c r="W141">
        <f>HYPERLINK("https://klasma.github.io/Logging_2283/klagomålsmail/A 29549-2022 FSC-klagomål mail.docx", "A 29549-2022")</f>
        <v/>
      </c>
      <c r="X141">
        <f>HYPERLINK("https://klasma.github.io/Logging_2283/tillsyn/A 29549-2022 tillsynsbegäran.docx", "A 29549-2022")</f>
        <v/>
      </c>
      <c r="Y141">
        <f>HYPERLINK("https://klasma.github.io/Logging_2283/tillsynsmail/A 29549-2022 tillsynsbegäran mail.docx", "A 29549-2022")</f>
        <v/>
      </c>
    </row>
    <row r="142" ht="15" customHeight="1">
      <c r="A142" t="inlineStr">
        <is>
          <t>A 30235-2022</t>
        </is>
      </c>
      <c r="B142" s="1" t="n">
        <v>44757</v>
      </c>
      <c r="C142" s="1" t="n">
        <v>45268</v>
      </c>
      <c r="D142" t="inlineStr">
        <is>
          <t>VÄSTERNORRLANDS LÄN</t>
        </is>
      </c>
      <c r="E142" t="inlineStr">
        <is>
          <t>SOLLEFTEÅ</t>
        </is>
      </c>
      <c r="F142" t="inlineStr">
        <is>
          <t>SCA</t>
        </is>
      </c>
      <c r="G142" t="n">
        <v>4.7</v>
      </c>
      <c r="H142" t="n">
        <v>2</v>
      </c>
      <c r="I142" t="n">
        <v>0</v>
      </c>
      <c r="J142" t="n">
        <v>0</v>
      </c>
      <c r="K142" t="n">
        <v>2</v>
      </c>
      <c r="L142" t="n">
        <v>0</v>
      </c>
      <c r="M142" t="n">
        <v>0</v>
      </c>
      <c r="N142" t="n">
        <v>0</v>
      </c>
      <c r="O142" t="n">
        <v>2</v>
      </c>
      <c r="P142" t="n">
        <v>2</v>
      </c>
      <c r="Q142" t="n">
        <v>2</v>
      </c>
      <c r="R142" s="2" t="inlineStr">
        <is>
          <t>Doftticka
Knärot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row>
    <row r="143" ht="15" customHeight="1">
      <c r="A143" t="inlineStr">
        <is>
          <t>A 33087-2022</t>
        </is>
      </c>
      <c r="B143" s="1" t="n">
        <v>44785</v>
      </c>
      <c r="C143" s="1" t="n">
        <v>45268</v>
      </c>
      <c r="D143" t="inlineStr">
        <is>
          <t>VÄSTERNORRLANDS LÄN</t>
        </is>
      </c>
      <c r="E143" t="inlineStr">
        <is>
          <t>SOLLEFTEÅ</t>
        </is>
      </c>
      <c r="G143" t="n">
        <v>0.5</v>
      </c>
      <c r="H143" t="n">
        <v>0</v>
      </c>
      <c r="I143" t="n">
        <v>0</v>
      </c>
      <c r="J143" t="n">
        <v>2</v>
      </c>
      <c r="K143" t="n">
        <v>0</v>
      </c>
      <c r="L143" t="n">
        <v>0</v>
      </c>
      <c r="M143" t="n">
        <v>0</v>
      </c>
      <c r="N143" t="n">
        <v>0</v>
      </c>
      <c r="O143" t="n">
        <v>2</v>
      </c>
      <c r="P143" t="n">
        <v>0</v>
      </c>
      <c r="Q143" t="n">
        <v>2</v>
      </c>
      <c r="R143" s="2" t="inlineStr">
        <is>
          <t>Garnlav
Lunglav</t>
        </is>
      </c>
      <c r="S143">
        <f>HYPERLINK("https://klasma.github.io/Logging_2283/artfynd/A 33087-2022 artfynd.xlsx", "A 33087-2022")</f>
        <v/>
      </c>
      <c r="T143">
        <f>HYPERLINK("https://klasma.github.io/Logging_2283/kartor/A 33087-2022 karta.png", "A 33087-2022")</f>
        <v/>
      </c>
      <c r="V143">
        <f>HYPERLINK("https://klasma.github.io/Logging_2283/klagomål/A 33087-2022 FSC-klagomål.docx", "A 33087-2022")</f>
        <v/>
      </c>
      <c r="W143">
        <f>HYPERLINK("https://klasma.github.io/Logging_2283/klagomålsmail/A 33087-2022 FSC-klagomål mail.docx", "A 33087-2022")</f>
        <v/>
      </c>
      <c r="X143">
        <f>HYPERLINK("https://klasma.github.io/Logging_2283/tillsyn/A 33087-2022 tillsynsbegäran.docx", "A 33087-2022")</f>
        <v/>
      </c>
      <c r="Y143">
        <f>HYPERLINK("https://klasma.github.io/Logging_2283/tillsynsmail/A 33087-2022 tillsynsbegäran mail.docx", "A 33087-2022")</f>
        <v/>
      </c>
    </row>
    <row r="144" ht="15" customHeight="1">
      <c r="A144" t="inlineStr">
        <is>
          <t>A 34526-2022</t>
        </is>
      </c>
      <c r="B144" s="1" t="n">
        <v>44792</v>
      </c>
      <c r="C144" s="1" t="n">
        <v>45268</v>
      </c>
      <c r="D144" t="inlineStr">
        <is>
          <t>VÄSTERNORRLANDS LÄN</t>
        </is>
      </c>
      <c r="E144" t="inlineStr">
        <is>
          <t>SOLLEFTEÅ</t>
        </is>
      </c>
      <c r="F144" t="inlineStr">
        <is>
          <t>SCA</t>
        </is>
      </c>
      <c r="G144" t="n">
        <v>1.4</v>
      </c>
      <c r="H144" t="n">
        <v>0</v>
      </c>
      <c r="I144" t="n">
        <v>0</v>
      </c>
      <c r="J144" t="n">
        <v>2</v>
      </c>
      <c r="K144" t="n">
        <v>0</v>
      </c>
      <c r="L144" t="n">
        <v>0</v>
      </c>
      <c r="M144" t="n">
        <v>0</v>
      </c>
      <c r="N144" t="n">
        <v>0</v>
      </c>
      <c r="O144" t="n">
        <v>2</v>
      </c>
      <c r="P144" t="n">
        <v>0</v>
      </c>
      <c r="Q144" t="n">
        <v>2</v>
      </c>
      <c r="R144" s="2" t="inlineStr">
        <is>
          <t>Garnlav
Mörk kolflarnlav</t>
        </is>
      </c>
      <c r="S144">
        <f>HYPERLINK("https://klasma.github.io/Logging_2283/artfynd/A 34526-2022 artfynd.xlsx", "A 34526-2022")</f>
        <v/>
      </c>
      <c r="T144">
        <f>HYPERLINK("https://klasma.github.io/Logging_2283/kartor/A 34526-2022 karta.png", "A 34526-2022")</f>
        <v/>
      </c>
      <c r="V144">
        <f>HYPERLINK("https://klasma.github.io/Logging_2283/klagomål/A 34526-2022 FSC-klagomål.docx", "A 34526-2022")</f>
        <v/>
      </c>
      <c r="W144">
        <f>HYPERLINK("https://klasma.github.io/Logging_2283/klagomålsmail/A 34526-2022 FSC-klagomål mail.docx", "A 34526-2022")</f>
        <v/>
      </c>
      <c r="X144">
        <f>HYPERLINK("https://klasma.github.io/Logging_2283/tillsyn/A 34526-2022 tillsynsbegäran.docx", "A 34526-2022")</f>
        <v/>
      </c>
      <c r="Y144">
        <f>HYPERLINK("https://klasma.github.io/Logging_2283/tillsynsmail/A 34526-2022 tillsynsbegäran mail.docx", "A 34526-2022")</f>
        <v/>
      </c>
    </row>
    <row r="145" ht="15" customHeight="1">
      <c r="A145" t="inlineStr">
        <is>
          <t>A 37243-2022</t>
        </is>
      </c>
      <c r="B145" s="1" t="n">
        <v>44806</v>
      </c>
      <c r="C145" s="1" t="n">
        <v>45268</v>
      </c>
      <c r="D145" t="inlineStr">
        <is>
          <t>VÄSTERNORRLANDS LÄN</t>
        </is>
      </c>
      <c r="E145" t="inlineStr">
        <is>
          <t>SOLLEFTEÅ</t>
        </is>
      </c>
      <c r="F145" t="inlineStr">
        <is>
          <t>SCA</t>
        </is>
      </c>
      <c r="G145" t="n">
        <v>7.1</v>
      </c>
      <c r="H145" t="n">
        <v>0</v>
      </c>
      <c r="I145" t="n">
        <v>1</v>
      </c>
      <c r="J145" t="n">
        <v>1</v>
      </c>
      <c r="K145" t="n">
        <v>0</v>
      </c>
      <c r="L145" t="n">
        <v>0</v>
      </c>
      <c r="M145" t="n">
        <v>0</v>
      </c>
      <c r="N145" t="n">
        <v>0</v>
      </c>
      <c r="O145" t="n">
        <v>1</v>
      </c>
      <c r="P145" t="n">
        <v>0</v>
      </c>
      <c r="Q145" t="n">
        <v>2</v>
      </c>
      <c r="R145" s="2" t="inlineStr">
        <is>
          <t>Violettgrå tagellav
Dropptaggsvamp</t>
        </is>
      </c>
      <c r="S145">
        <f>HYPERLINK("https://klasma.github.io/Logging_2283/artfynd/A 37243-2022 artfynd.xlsx", "A 37243-2022")</f>
        <v/>
      </c>
      <c r="T145">
        <f>HYPERLINK("https://klasma.github.io/Logging_2283/kartor/A 37243-2022 karta.png", "A 37243-2022")</f>
        <v/>
      </c>
      <c r="V145">
        <f>HYPERLINK("https://klasma.github.io/Logging_2283/klagomål/A 37243-2022 FSC-klagomål.docx", "A 37243-2022")</f>
        <v/>
      </c>
      <c r="W145">
        <f>HYPERLINK("https://klasma.github.io/Logging_2283/klagomålsmail/A 37243-2022 FSC-klagomål mail.docx", "A 37243-2022")</f>
        <v/>
      </c>
      <c r="X145">
        <f>HYPERLINK("https://klasma.github.io/Logging_2283/tillsyn/A 37243-2022 tillsynsbegäran.docx", "A 37243-2022")</f>
        <v/>
      </c>
      <c r="Y145">
        <f>HYPERLINK("https://klasma.github.io/Logging_2283/tillsynsmail/A 37243-2022 tillsynsbegäran mail.docx", "A 37243-2022")</f>
        <v/>
      </c>
    </row>
    <row r="146" ht="15" customHeight="1">
      <c r="A146" t="inlineStr">
        <is>
          <t>A 45083-2022</t>
        </is>
      </c>
      <c r="B146" s="1" t="n">
        <v>44841</v>
      </c>
      <c r="C146" s="1" t="n">
        <v>45268</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45083-2022 artfynd.xlsx", "A 45083-2022")</f>
        <v/>
      </c>
      <c r="T146">
        <f>HYPERLINK("https://klasma.github.io/Logging_2283/kartor/A 45083-2022 karta.png", "A 45083-2022")</f>
        <v/>
      </c>
      <c r="V146">
        <f>HYPERLINK("https://klasma.github.io/Logging_2283/klagomål/A 45083-2022 FSC-klagomål.docx", "A 45083-2022")</f>
        <v/>
      </c>
      <c r="W146">
        <f>HYPERLINK("https://klasma.github.io/Logging_2283/klagomålsmail/A 45083-2022 FSC-klagomål mail.docx", "A 45083-2022")</f>
        <v/>
      </c>
      <c r="X146">
        <f>HYPERLINK("https://klasma.github.io/Logging_2283/tillsyn/A 45083-2022 tillsynsbegäran.docx", "A 45083-2022")</f>
        <v/>
      </c>
      <c r="Y146">
        <f>HYPERLINK("https://klasma.github.io/Logging_2283/tillsynsmail/A 45083-2022 tillsynsbegäran mail.docx", "A 45083-2022")</f>
        <v/>
      </c>
    </row>
    <row r="147" ht="15" customHeight="1">
      <c r="A147" t="inlineStr">
        <is>
          <t>A 45084-2022</t>
        </is>
      </c>
      <c r="B147" s="1" t="n">
        <v>44841</v>
      </c>
      <c r="C147" s="1" t="n">
        <v>45268</v>
      </c>
      <c r="D147" t="inlineStr">
        <is>
          <t>VÄSTERNORRLANDS LÄN</t>
        </is>
      </c>
      <c r="E147" t="inlineStr">
        <is>
          <t>SOLLEFTEÅ</t>
        </is>
      </c>
      <c r="F147" t="inlineStr">
        <is>
          <t>SCA</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45084-2022 artfynd.xlsx", "A 45084-2022")</f>
        <v/>
      </c>
      <c r="T147">
        <f>HYPERLINK("https://klasma.github.io/Logging_2283/kartor/A 45084-2022 karta.png", "A 45084-2022")</f>
        <v/>
      </c>
      <c r="V147">
        <f>HYPERLINK("https://klasma.github.io/Logging_2283/klagomål/A 45084-2022 FSC-klagomål.docx", "A 45084-2022")</f>
        <v/>
      </c>
      <c r="W147">
        <f>HYPERLINK("https://klasma.github.io/Logging_2283/klagomålsmail/A 45084-2022 FSC-klagomål mail.docx", "A 45084-2022")</f>
        <v/>
      </c>
      <c r="X147">
        <f>HYPERLINK("https://klasma.github.io/Logging_2283/tillsyn/A 45084-2022 tillsynsbegäran.docx", "A 45084-2022")</f>
        <v/>
      </c>
      <c r="Y147">
        <f>HYPERLINK("https://klasma.github.io/Logging_2283/tillsynsmail/A 45084-2022 tillsynsbegäran mail.docx", "A 45084-2022")</f>
        <v/>
      </c>
    </row>
    <row r="148" ht="15" customHeight="1">
      <c r="A148" t="inlineStr">
        <is>
          <t>A 48073-2022</t>
        </is>
      </c>
      <c r="B148" s="1" t="n">
        <v>44855</v>
      </c>
      <c r="C148" s="1" t="n">
        <v>45268</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48073-2022 artfynd.xlsx", "A 48073-2022")</f>
        <v/>
      </c>
      <c r="T148">
        <f>HYPERLINK("https://klasma.github.io/Logging_2283/kartor/A 48073-2022 karta.png", "A 48073-2022")</f>
        <v/>
      </c>
      <c r="V148">
        <f>HYPERLINK("https://klasma.github.io/Logging_2283/klagomål/A 48073-2022 FSC-klagomål.docx", "A 48073-2022")</f>
        <v/>
      </c>
      <c r="W148">
        <f>HYPERLINK("https://klasma.github.io/Logging_2283/klagomålsmail/A 48073-2022 FSC-klagomål mail.docx", "A 48073-2022")</f>
        <v/>
      </c>
      <c r="X148">
        <f>HYPERLINK("https://klasma.github.io/Logging_2283/tillsyn/A 48073-2022 tillsynsbegäran.docx", "A 48073-2022")</f>
        <v/>
      </c>
      <c r="Y148">
        <f>HYPERLINK("https://klasma.github.io/Logging_2283/tillsynsmail/A 48073-2022 tillsynsbegäran mail.docx", "A 48073-2022")</f>
        <v/>
      </c>
    </row>
    <row r="149" ht="15" customHeight="1">
      <c r="A149" t="inlineStr">
        <is>
          <t>A 53130-2022</t>
        </is>
      </c>
      <c r="B149" s="1" t="n">
        <v>44873</v>
      </c>
      <c r="C149" s="1" t="n">
        <v>45268</v>
      </c>
      <c r="D149" t="inlineStr">
        <is>
          <t>VÄSTERNORRLANDS LÄN</t>
        </is>
      </c>
      <c r="E149" t="inlineStr">
        <is>
          <t>SOLLEFTEÅ</t>
        </is>
      </c>
      <c r="G149" t="n">
        <v>19.8</v>
      </c>
      <c r="H149" t="n">
        <v>2</v>
      </c>
      <c r="I149" t="n">
        <v>0</v>
      </c>
      <c r="J149" t="n">
        <v>1</v>
      </c>
      <c r="K149" t="n">
        <v>0</v>
      </c>
      <c r="L149" t="n">
        <v>0</v>
      </c>
      <c r="M149" t="n">
        <v>0</v>
      </c>
      <c r="N149" t="n">
        <v>0</v>
      </c>
      <c r="O149" t="n">
        <v>1</v>
      </c>
      <c r="P149" t="n">
        <v>0</v>
      </c>
      <c r="Q149" t="n">
        <v>2</v>
      </c>
      <c r="R149" s="2" t="inlineStr">
        <is>
          <t>Myrbräcka
Fläcknycklar</t>
        </is>
      </c>
      <c r="S149">
        <f>HYPERLINK("https://klasma.github.io/Logging_2283/artfynd/A 53130-2022 artfynd.xlsx", "A 53130-2022")</f>
        <v/>
      </c>
      <c r="T149">
        <f>HYPERLINK("https://klasma.github.io/Logging_2283/kartor/A 53130-2022 karta.png", "A 53130-2022")</f>
        <v/>
      </c>
      <c r="V149">
        <f>HYPERLINK("https://klasma.github.io/Logging_2283/klagomål/A 53130-2022 FSC-klagomål.docx", "A 53130-2022")</f>
        <v/>
      </c>
      <c r="W149">
        <f>HYPERLINK("https://klasma.github.io/Logging_2283/klagomålsmail/A 53130-2022 FSC-klagomål mail.docx", "A 53130-2022")</f>
        <v/>
      </c>
      <c r="X149">
        <f>HYPERLINK("https://klasma.github.io/Logging_2283/tillsyn/A 53130-2022 tillsynsbegäran.docx", "A 53130-2022")</f>
        <v/>
      </c>
      <c r="Y149">
        <f>HYPERLINK("https://klasma.github.io/Logging_2283/tillsynsmail/A 53130-2022 tillsynsbegäran mail.docx", "A 53130-2022")</f>
        <v/>
      </c>
    </row>
    <row r="150" ht="15" customHeight="1">
      <c r="A150" t="inlineStr">
        <is>
          <t>A 55727-2022</t>
        </is>
      </c>
      <c r="B150" s="1" t="n">
        <v>44883</v>
      </c>
      <c r="C150" s="1" t="n">
        <v>45268</v>
      </c>
      <c r="D150" t="inlineStr">
        <is>
          <t>VÄSTERNORRLANDS LÄN</t>
        </is>
      </c>
      <c r="E150" t="inlineStr">
        <is>
          <t>SOLLEFTEÅ</t>
        </is>
      </c>
      <c r="G150" t="n">
        <v>16.7</v>
      </c>
      <c r="H150" t="n">
        <v>1</v>
      </c>
      <c r="I150" t="n">
        <v>0</v>
      </c>
      <c r="J150" t="n">
        <v>2</v>
      </c>
      <c r="K150" t="n">
        <v>0</v>
      </c>
      <c r="L150" t="n">
        <v>0</v>
      </c>
      <c r="M150" t="n">
        <v>0</v>
      </c>
      <c r="N150" t="n">
        <v>0</v>
      </c>
      <c r="O150" t="n">
        <v>2</v>
      </c>
      <c r="P150" t="n">
        <v>0</v>
      </c>
      <c r="Q150" t="n">
        <v>2</v>
      </c>
      <c r="R150" s="2" t="inlineStr">
        <is>
          <t>Rosenticka
Tretåig hackspett</t>
        </is>
      </c>
      <c r="S150">
        <f>HYPERLINK("https://klasma.github.io/Logging_2283/artfynd/A 55727-2022 artfynd.xlsx", "A 55727-2022")</f>
        <v/>
      </c>
      <c r="T150">
        <f>HYPERLINK("https://klasma.github.io/Logging_2283/kartor/A 55727-2022 karta.png", "A 55727-2022")</f>
        <v/>
      </c>
      <c r="V150">
        <f>HYPERLINK("https://klasma.github.io/Logging_2283/klagomål/A 55727-2022 FSC-klagomål.docx", "A 55727-2022")</f>
        <v/>
      </c>
      <c r="W150">
        <f>HYPERLINK("https://klasma.github.io/Logging_2283/klagomålsmail/A 55727-2022 FSC-klagomål mail.docx", "A 55727-2022")</f>
        <v/>
      </c>
      <c r="X150">
        <f>HYPERLINK("https://klasma.github.io/Logging_2283/tillsyn/A 55727-2022 tillsynsbegäran.docx", "A 55727-2022")</f>
        <v/>
      </c>
      <c r="Y150">
        <f>HYPERLINK("https://klasma.github.io/Logging_2283/tillsynsmail/A 55727-2022 tillsynsbegäran mail.docx", "A 55727-2022")</f>
        <v/>
      </c>
    </row>
    <row r="151" ht="15" customHeight="1">
      <c r="A151" t="inlineStr">
        <is>
          <t>A 59046-2022</t>
        </is>
      </c>
      <c r="B151" s="1" t="n">
        <v>44903</v>
      </c>
      <c r="C151" s="1" t="n">
        <v>45268</v>
      </c>
      <c r="D151" t="inlineStr">
        <is>
          <t>VÄSTERNORRLANDS LÄN</t>
        </is>
      </c>
      <c r="E151" t="inlineStr">
        <is>
          <t>SOLLEFTEÅ</t>
        </is>
      </c>
      <c r="F151" t="inlineStr">
        <is>
          <t>SCA</t>
        </is>
      </c>
      <c r="G151" t="n">
        <v>10.3</v>
      </c>
      <c r="H151" t="n">
        <v>1</v>
      </c>
      <c r="I151" t="n">
        <v>0</v>
      </c>
      <c r="J151" t="n">
        <v>2</v>
      </c>
      <c r="K151" t="n">
        <v>0</v>
      </c>
      <c r="L151" t="n">
        <v>0</v>
      </c>
      <c r="M151" t="n">
        <v>0</v>
      </c>
      <c r="N151" t="n">
        <v>0</v>
      </c>
      <c r="O151" t="n">
        <v>2</v>
      </c>
      <c r="P151" t="n">
        <v>0</v>
      </c>
      <c r="Q151" t="n">
        <v>2</v>
      </c>
      <c r="R151" s="2" t="inlineStr">
        <is>
          <t>Lunglav
Tretåig hackspett</t>
        </is>
      </c>
      <c r="S151">
        <f>HYPERLINK("https://klasma.github.io/Logging_2283/artfynd/A 59046-2022 artfynd.xlsx", "A 59046-2022")</f>
        <v/>
      </c>
      <c r="T151">
        <f>HYPERLINK("https://klasma.github.io/Logging_2283/kartor/A 59046-2022 karta.png", "A 59046-2022")</f>
        <v/>
      </c>
      <c r="V151">
        <f>HYPERLINK("https://klasma.github.io/Logging_2283/klagomål/A 59046-2022 FSC-klagomål.docx", "A 59046-2022")</f>
        <v/>
      </c>
      <c r="W151">
        <f>HYPERLINK("https://klasma.github.io/Logging_2283/klagomålsmail/A 59046-2022 FSC-klagomål mail.docx", "A 59046-2022")</f>
        <v/>
      </c>
      <c r="X151">
        <f>HYPERLINK("https://klasma.github.io/Logging_2283/tillsyn/A 59046-2022 tillsynsbegäran.docx", "A 59046-2022")</f>
        <v/>
      </c>
      <c r="Y151">
        <f>HYPERLINK("https://klasma.github.io/Logging_2283/tillsynsmail/A 59046-2022 tillsynsbegäran mail.docx", "A 59046-2022")</f>
        <v/>
      </c>
    </row>
    <row r="152" ht="15" customHeight="1">
      <c r="A152" t="inlineStr">
        <is>
          <t>A 3017-2023</t>
        </is>
      </c>
      <c r="B152" s="1" t="n">
        <v>44945</v>
      </c>
      <c r="C152" s="1" t="n">
        <v>45268</v>
      </c>
      <c r="D152" t="inlineStr">
        <is>
          <t>VÄSTERNORRLANDS LÄN</t>
        </is>
      </c>
      <c r="E152" t="inlineStr">
        <is>
          <t>SOLLEFTEÅ</t>
        </is>
      </c>
      <c r="G152" t="n">
        <v>3.6</v>
      </c>
      <c r="H152" t="n">
        <v>0</v>
      </c>
      <c r="I152" t="n">
        <v>0</v>
      </c>
      <c r="J152" t="n">
        <v>2</v>
      </c>
      <c r="K152" t="n">
        <v>0</v>
      </c>
      <c r="L152" t="n">
        <v>0</v>
      </c>
      <c r="M152" t="n">
        <v>0</v>
      </c>
      <c r="N152" t="n">
        <v>0</v>
      </c>
      <c r="O152" t="n">
        <v>2</v>
      </c>
      <c r="P152" t="n">
        <v>0</v>
      </c>
      <c r="Q152" t="n">
        <v>2</v>
      </c>
      <c r="R152" s="2" t="inlineStr">
        <is>
          <t>Harticka
Ullticka</t>
        </is>
      </c>
      <c r="S152">
        <f>HYPERLINK("https://klasma.github.io/Logging_2283/artfynd/A 3017-2023 artfynd.xlsx", "A 3017-2023")</f>
        <v/>
      </c>
      <c r="T152">
        <f>HYPERLINK("https://klasma.github.io/Logging_2283/kartor/A 3017-2023 karta.png", "A 3017-2023")</f>
        <v/>
      </c>
      <c r="V152">
        <f>HYPERLINK("https://klasma.github.io/Logging_2283/klagomål/A 3017-2023 FSC-klagomål.docx", "A 3017-2023")</f>
        <v/>
      </c>
      <c r="W152">
        <f>HYPERLINK("https://klasma.github.io/Logging_2283/klagomålsmail/A 3017-2023 FSC-klagomål mail.docx", "A 3017-2023")</f>
        <v/>
      </c>
      <c r="X152">
        <f>HYPERLINK("https://klasma.github.io/Logging_2283/tillsyn/A 3017-2023 tillsynsbegäran.docx", "A 3017-2023")</f>
        <v/>
      </c>
      <c r="Y152">
        <f>HYPERLINK("https://klasma.github.io/Logging_2283/tillsynsmail/A 3017-2023 tillsynsbegäran mail.docx", "A 3017-2023")</f>
        <v/>
      </c>
    </row>
    <row r="153" ht="15" customHeight="1">
      <c r="A153" t="inlineStr">
        <is>
          <t>A 8669-2023</t>
        </is>
      </c>
      <c r="B153" s="1" t="n">
        <v>44977</v>
      </c>
      <c r="C153" s="1" t="n">
        <v>45268</v>
      </c>
      <c r="D153" t="inlineStr">
        <is>
          <t>VÄSTERNORRLANDS LÄN</t>
        </is>
      </c>
      <c r="E153" t="inlineStr">
        <is>
          <t>SOLLEFTEÅ</t>
        </is>
      </c>
      <c r="F153" t="inlineStr">
        <is>
          <t>SCA</t>
        </is>
      </c>
      <c r="G153" t="n">
        <v>2.3</v>
      </c>
      <c r="H153" t="n">
        <v>1</v>
      </c>
      <c r="I153" t="n">
        <v>1</v>
      </c>
      <c r="J153" t="n">
        <v>1</v>
      </c>
      <c r="K153" t="n">
        <v>0</v>
      </c>
      <c r="L153" t="n">
        <v>0</v>
      </c>
      <c r="M153" t="n">
        <v>0</v>
      </c>
      <c r="N153" t="n">
        <v>0</v>
      </c>
      <c r="O153" t="n">
        <v>1</v>
      </c>
      <c r="P153" t="n">
        <v>0</v>
      </c>
      <c r="Q153" t="n">
        <v>2</v>
      </c>
      <c r="R153" s="2" t="inlineStr">
        <is>
          <t>Garnlav
Lappranunkel</t>
        </is>
      </c>
      <c r="S153">
        <f>HYPERLINK("https://klasma.github.io/Logging_2283/artfynd/A 8669-2023 artfynd.xlsx", "A 8669-2023")</f>
        <v/>
      </c>
      <c r="T153">
        <f>HYPERLINK("https://klasma.github.io/Logging_2283/kartor/A 8669-2023 karta.png", "A 8669-2023")</f>
        <v/>
      </c>
      <c r="V153">
        <f>HYPERLINK("https://klasma.github.io/Logging_2283/klagomål/A 8669-2023 FSC-klagomål.docx", "A 8669-2023")</f>
        <v/>
      </c>
      <c r="W153">
        <f>HYPERLINK("https://klasma.github.io/Logging_2283/klagomålsmail/A 8669-2023 FSC-klagomål mail.docx", "A 8669-2023")</f>
        <v/>
      </c>
      <c r="X153">
        <f>HYPERLINK("https://klasma.github.io/Logging_2283/tillsyn/A 8669-2023 tillsynsbegäran.docx", "A 8669-2023")</f>
        <v/>
      </c>
      <c r="Y153">
        <f>HYPERLINK("https://klasma.github.io/Logging_2283/tillsynsmail/A 8669-2023 tillsynsbegäran mail.docx", "A 8669-2023")</f>
        <v/>
      </c>
    </row>
    <row r="154" ht="15" customHeight="1">
      <c r="A154" t="inlineStr">
        <is>
          <t>A 13000-2023</t>
        </is>
      </c>
      <c r="B154" s="1" t="n">
        <v>45002</v>
      </c>
      <c r="C154" s="1" t="n">
        <v>45268</v>
      </c>
      <c r="D154" t="inlineStr">
        <is>
          <t>VÄSTERNORRLANDS LÄN</t>
        </is>
      </c>
      <c r="E154" t="inlineStr">
        <is>
          <t>SOLLEFTEÅ</t>
        </is>
      </c>
      <c r="F154" t="inlineStr">
        <is>
          <t>SCA</t>
        </is>
      </c>
      <c r="G154" t="n">
        <v>93.5</v>
      </c>
      <c r="H154" t="n">
        <v>1</v>
      </c>
      <c r="I154" t="n">
        <v>0</v>
      </c>
      <c r="J154" t="n">
        <v>1</v>
      </c>
      <c r="K154" t="n">
        <v>0</v>
      </c>
      <c r="L154" t="n">
        <v>0</v>
      </c>
      <c r="M154" t="n">
        <v>0</v>
      </c>
      <c r="N154" t="n">
        <v>0</v>
      </c>
      <c r="O154" t="n">
        <v>1</v>
      </c>
      <c r="P154" t="n">
        <v>0</v>
      </c>
      <c r="Q154" t="n">
        <v>2</v>
      </c>
      <c r="R154" s="2" t="inlineStr">
        <is>
          <t>Månlåsbräken
Fläcknycklar</t>
        </is>
      </c>
      <c r="S154">
        <f>HYPERLINK("https://klasma.github.io/Logging_2283/artfynd/A 13000-2023 artfynd.xlsx", "A 13000-2023")</f>
        <v/>
      </c>
      <c r="T154">
        <f>HYPERLINK("https://klasma.github.io/Logging_2283/kartor/A 13000-2023 karta.png", "A 13000-2023")</f>
        <v/>
      </c>
      <c r="V154">
        <f>HYPERLINK("https://klasma.github.io/Logging_2283/klagomål/A 13000-2023 FSC-klagomål.docx", "A 13000-2023")</f>
        <v/>
      </c>
      <c r="W154">
        <f>HYPERLINK("https://klasma.github.io/Logging_2283/klagomålsmail/A 13000-2023 FSC-klagomål mail.docx", "A 13000-2023")</f>
        <v/>
      </c>
      <c r="X154">
        <f>HYPERLINK("https://klasma.github.io/Logging_2283/tillsyn/A 13000-2023 tillsynsbegäran.docx", "A 13000-2023")</f>
        <v/>
      </c>
      <c r="Y154">
        <f>HYPERLINK("https://klasma.github.io/Logging_2283/tillsynsmail/A 13000-2023 tillsynsbegäran mail.docx", "A 13000-2023")</f>
        <v/>
      </c>
    </row>
    <row r="155" ht="15" customHeight="1">
      <c r="A155" t="inlineStr">
        <is>
          <t>A 33036-2023</t>
        </is>
      </c>
      <c r="B155" s="1" t="n">
        <v>45125</v>
      </c>
      <c r="C155" s="1" t="n">
        <v>45268</v>
      </c>
      <c r="D155" t="inlineStr">
        <is>
          <t>VÄSTERNORRLANDS LÄN</t>
        </is>
      </c>
      <c r="E155" t="inlineStr">
        <is>
          <t>SOLLEFTEÅ</t>
        </is>
      </c>
      <c r="F155" t="inlineStr">
        <is>
          <t>SCA</t>
        </is>
      </c>
      <c r="G155" t="n">
        <v>12</v>
      </c>
      <c r="H155" t="n">
        <v>0</v>
      </c>
      <c r="I155" t="n">
        <v>1</v>
      </c>
      <c r="J155" t="n">
        <v>1</v>
      </c>
      <c r="K155" t="n">
        <v>0</v>
      </c>
      <c r="L155" t="n">
        <v>0</v>
      </c>
      <c r="M155" t="n">
        <v>0</v>
      </c>
      <c r="N155" t="n">
        <v>0</v>
      </c>
      <c r="O155" t="n">
        <v>1</v>
      </c>
      <c r="P155" t="n">
        <v>0</v>
      </c>
      <c r="Q155" t="n">
        <v>2</v>
      </c>
      <c r="R155" s="2" t="inlineStr">
        <is>
          <t>Småflikig brosklav
Stuplav</t>
        </is>
      </c>
      <c r="S155">
        <f>HYPERLINK("https://klasma.github.io/Logging_2283/artfynd/A 33036-2023 artfynd.xlsx", "A 33036-2023")</f>
        <v/>
      </c>
      <c r="T155">
        <f>HYPERLINK("https://klasma.github.io/Logging_2283/kartor/A 33036-2023 karta.png", "A 33036-2023")</f>
        <v/>
      </c>
      <c r="V155">
        <f>HYPERLINK("https://klasma.github.io/Logging_2283/klagomål/A 33036-2023 FSC-klagomål.docx", "A 33036-2023")</f>
        <v/>
      </c>
      <c r="W155">
        <f>HYPERLINK("https://klasma.github.io/Logging_2283/klagomålsmail/A 33036-2023 FSC-klagomål mail.docx", "A 33036-2023")</f>
        <v/>
      </c>
      <c r="X155">
        <f>HYPERLINK("https://klasma.github.io/Logging_2283/tillsyn/A 33036-2023 tillsynsbegäran.docx", "A 33036-2023")</f>
        <v/>
      </c>
      <c r="Y155">
        <f>HYPERLINK("https://klasma.github.io/Logging_2283/tillsynsmail/A 33036-2023 tillsynsbegäran mail.docx", "A 33036-2023")</f>
        <v/>
      </c>
    </row>
    <row r="156" ht="15" customHeight="1">
      <c r="A156" t="inlineStr">
        <is>
          <t>A 35587-2023</t>
        </is>
      </c>
      <c r="B156" s="1" t="n">
        <v>45147</v>
      </c>
      <c r="C156" s="1" t="n">
        <v>45268</v>
      </c>
      <c r="D156" t="inlineStr">
        <is>
          <t>VÄSTERNORRLANDS LÄN</t>
        </is>
      </c>
      <c r="E156" t="inlineStr">
        <is>
          <t>SOLLEFTEÅ</t>
        </is>
      </c>
      <c r="F156" t="inlineStr">
        <is>
          <t>Holmen skog AB</t>
        </is>
      </c>
      <c r="G156" t="n">
        <v>5.1</v>
      </c>
      <c r="H156" t="n">
        <v>0</v>
      </c>
      <c r="I156" t="n">
        <v>1</v>
      </c>
      <c r="J156" t="n">
        <v>0</v>
      </c>
      <c r="K156" t="n">
        <v>1</v>
      </c>
      <c r="L156" t="n">
        <v>0</v>
      </c>
      <c r="M156" t="n">
        <v>0</v>
      </c>
      <c r="N156" t="n">
        <v>0</v>
      </c>
      <c r="O156" t="n">
        <v>1</v>
      </c>
      <c r="P156" t="n">
        <v>1</v>
      </c>
      <c r="Q156" t="n">
        <v>2</v>
      </c>
      <c r="R156" s="2" t="inlineStr">
        <is>
          <t>Fläckporing
Dropptaggsvamp</t>
        </is>
      </c>
      <c r="S156">
        <f>HYPERLINK("https://klasma.github.io/Logging_2283/artfynd/A 35587-2023 artfynd.xlsx", "A 35587-2023")</f>
        <v/>
      </c>
      <c r="T156">
        <f>HYPERLINK("https://klasma.github.io/Logging_2283/kartor/A 35587-2023 karta.png", "A 35587-2023")</f>
        <v/>
      </c>
      <c r="V156">
        <f>HYPERLINK("https://klasma.github.io/Logging_2283/klagomål/A 35587-2023 FSC-klagomål.docx", "A 35587-2023")</f>
        <v/>
      </c>
      <c r="W156">
        <f>HYPERLINK("https://klasma.github.io/Logging_2283/klagomålsmail/A 35587-2023 FSC-klagomål mail.docx", "A 35587-2023")</f>
        <v/>
      </c>
      <c r="X156">
        <f>HYPERLINK("https://klasma.github.io/Logging_2283/tillsyn/A 35587-2023 tillsynsbegäran.docx", "A 35587-2023")</f>
        <v/>
      </c>
      <c r="Y156">
        <f>HYPERLINK("https://klasma.github.io/Logging_2283/tillsynsmail/A 35587-2023 tillsynsbegäran mail.docx", "A 35587-2023")</f>
        <v/>
      </c>
    </row>
    <row r="157" ht="15" customHeight="1">
      <c r="A157" t="inlineStr">
        <is>
          <t>A 40419-2023</t>
        </is>
      </c>
      <c r="B157" s="1" t="n">
        <v>45169</v>
      </c>
      <c r="C157" s="1" t="n">
        <v>45268</v>
      </c>
      <c r="D157" t="inlineStr">
        <is>
          <t>VÄSTERNORRLANDS LÄN</t>
        </is>
      </c>
      <c r="E157" t="inlineStr">
        <is>
          <t>SOLLEFTEÅ</t>
        </is>
      </c>
      <c r="F157" t="inlineStr">
        <is>
          <t>SCA</t>
        </is>
      </c>
      <c r="G157" t="n">
        <v>7.9</v>
      </c>
      <c r="H157" t="n">
        <v>1</v>
      </c>
      <c r="I157" t="n">
        <v>0</v>
      </c>
      <c r="J157" t="n">
        <v>1</v>
      </c>
      <c r="K157" t="n">
        <v>1</v>
      </c>
      <c r="L157" t="n">
        <v>0</v>
      </c>
      <c r="M157" t="n">
        <v>0</v>
      </c>
      <c r="N157" t="n">
        <v>0</v>
      </c>
      <c r="O157" t="n">
        <v>2</v>
      </c>
      <c r="P157" t="n">
        <v>1</v>
      </c>
      <c r="Q157" t="n">
        <v>2</v>
      </c>
      <c r="R157" s="2" t="inlineStr">
        <is>
          <t>Knärot
Lunglav</t>
        </is>
      </c>
      <c r="S157">
        <f>HYPERLINK("https://klasma.github.io/Logging_2283/artfynd/A 40419-2023 artfynd.xlsx", "A 40419-2023")</f>
        <v/>
      </c>
      <c r="T157">
        <f>HYPERLINK("https://klasma.github.io/Logging_2283/kartor/A 40419-2023 karta.png", "A 40419-2023")</f>
        <v/>
      </c>
      <c r="U157">
        <f>HYPERLINK("https://klasma.github.io/Logging_2283/knärot/A 40419-2023 karta knärot.png", "A 40419-2023")</f>
        <v/>
      </c>
      <c r="V157">
        <f>HYPERLINK("https://klasma.github.io/Logging_2283/klagomål/A 40419-2023 FSC-klagomål.docx", "A 40419-2023")</f>
        <v/>
      </c>
      <c r="W157">
        <f>HYPERLINK("https://klasma.github.io/Logging_2283/klagomålsmail/A 40419-2023 FSC-klagomål mail.docx", "A 40419-2023")</f>
        <v/>
      </c>
      <c r="X157">
        <f>HYPERLINK("https://klasma.github.io/Logging_2283/tillsyn/A 40419-2023 tillsynsbegäran.docx", "A 40419-2023")</f>
        <v/>
      </c>
      <c r="Y157">
        <f>HYPERLINK("https://klasma.github.io/Logging_2283/tillsynsmail/A 40419-2023 tillsynsbegäran mail.docx", "A 40419-2023")</f>
        <v/>
      </c>
    </row>
    <row r="158" ht="15" customHeight="1">
      <c r="A158" t="inlineStr">
        <is>
          <t>A 40866-2023</t>
        </is>
      </c>
      <c r="B158" s="1" t="n">
        <v>45173</v>
      </c>
      <c r="C158" s="1" t="n">
        <v>45268</v>
      </c>
      <c r="D158" t="inlineStr">
        <is>
          <t>VÄSTERNORRLANDS LÄN</t>
        </is>
      </c>
      <c r="E158" t="inlineStr">
        <is>
          <t>SOLLEFTEÅ</t>
        </is>
      </c>
      <c r="G158" t="n">
        <v>1.7</v>
      </c>
      <c r="H158" t="n">
        <v>1</v>
      </c>
      <c r="I158" t="n">
        <v>1</v>
      </c>
      <c r="J158" t="n">
        <v>0</v>
      </c>
      <c r="K158" t="n">
        <v>0</v>
      </c>
      <c r="L158" t="n">
        <v>0</v>
      </c>
      <c r="M158" t="n">
        <v>0</v>
      </c>
      <c r="N158" t="n">
        <v>0</v>
      </c>
      <c r="O158" t="n">
        <v>0</v>
      </c>
      <c r="P158" t="n">
        <v>0</v>
      </c>
      <c r="Q158" t="n">
        <v>2</v>
      </c>
      <c r="R158" s="2" t="inlineStr">
        <is>
          <t>Tibast
Skogsödla</t>
        </is>
      </c>
      <c r="S158">
        <f>HYPERLINK("https://klasma.github.io/Logging_2283/artfynd/A 40866-2023 artfynd.xlsx", "A 40866-2023")</f>
        <v/>
      </c>
      <c r="T158">
        <f>HYPERLINK("https://klasma.github.io/Logging_2283/kartor/A 40866-2023 karta.png", "A 40866-2023")</f>
        <v/>
      </c>
      <c r="V158">
        <f>HYPERLINK("https://klasma.github.io/Logging_2283/klagomål/A 40866-2023 FSC-klagomål.docx", "A 40866-2023")</f>
        <v/>
      </c>
      <c r="W158">
        <f>HYPERLINK("https://klasma.github.io/Logging_2283/klagomålsmail/A 40866-2023 FSC-klagomål mail.docx", "A 40866-2023")</f>
        <v/>
      </c>
      <c r="X158">
        <f>HYPERLINK("https://klasma.github.io/Logging_2283/tillsyn/A 40866-2023 tillsynsbegäran.docx", "A 40866-2023")</f>
        <v/>
      </c>
      <c r="Y158">
        <f>HYPERLINK("https://klasma.github.io/Logging_2283/tillsynsmail/A 40866-2023 tillsynsbegäran mail.docx", "A 40866-2023")</f>
        <v/>
      </c>
    </row>
    <row r="159" ht="15" customHeight="1">
      <c r="A159" t="inlineStr">
        <is>
          <t>A 48489-2023</t>
        </is>
      </c>
      <c r="B159" s="1" t="n">
        <v>45206</v>
      </c>
      <c r="C159" s="1" t="n">
        <v>45268</v>
      </c>
      <c r="D159" t="inlineStr">
        <is>
          <t>VÄSTERNORRLANDS LÄN</t>
        </is>
      </c>
      <c r="E159" t="inlineStr">
        <is>
          <t>SOLLEFTEÅ</t>
        </is>
      </c>
      <c r="F159" t="inlineStr">
        <is>
          <t>SCA</t>
        </is>
      </c>
      <c r="G159" t="n">
        <v>51.8</v>
      </c>
      <c r="H159" t="n">
        <v>2</v>
      </c>
      <c r="I159" t="n">
        <v>0</v>
      </c>
      <c r="J159" t="n">
        <v>2</v>
      </c>
      <c r="K159" t="n">
        <v>0</v>
      </c>
      <c r="L159" t="n">
        <v>0</v>
      </c>
      <c r="M159" t="n">
        <v>0</v>
      </c>
      <c r="N159" t="n">
        <v>0</v>
      </c>
      <c r="O159" t="n">
        <v>2</v>
      </c>
      <c r="P159" t="n">
        <v>0</v>
      </c>
      <c r="Q159" t="n">
        <v>2</v>
      </c>
      <c r="R159" s="2" t="inlineStr">
        <is>
          <t>Spillkråka
Talltita</t>
        </is>
      </c>
      <c r="S159">
        <f>HYPERLINK("https://klasma.github.io/Logging_2283/artfynd/A 48489-2023 artfynd.xlsx", "A 48489-2023")</f>
        <v/>
      </c>
      <c r="T159">
        <f>HYPERLINK("https://klasma.github.io/Logging_2283/kartor/A 48489-2023 karta.png", "A 48489-2023")</f>
        <v/>
      </c>
      <c r="V159">
        <f>HYPERLINK("https://klasma.github.io/Logging_2283/klagomål/A 48489-2023 FSC-klagomål.docx", "A 48489-2023")</f>
        <v/>
      </c>
      <c r="W159">
        <f>HYPERLINK("https://klasma.github.io/Logging_2283/klagomålsmail/A 48489-2023 FSC-klagomål mail.docx", "A 48489-2023")</f>
        <v/>
      </c>
      <c r="X159">
        <f>HYPERLINK("https://klasma.github.io/Logging_2283/tillsyn/A 48489-2023 tillsynsbegäran.docx", "A 48489-2023")</f>
        <v/>
      </c>
      <c r="Y159">
        <f>HYPERLINK("https://klasma.github.io/Logging_2283/tillsynsmail/A 48489-2023 tillsynsbegäran mail.docx", "A 48489-2023")</f>
        <v/>
      </c>
    </row>
    <row r="160" ht="15" customHeight="1">
      <c r="A160" t="inlineStr">
        <is>
          <t>A 53949-2023</t>
        </is>
      </c>
      <c r="B160" s="1" t="n">
        <v>45224</v>
      </c>
      <c r="C160" s="1" t="n">
        <v>45268</v>
      </c>
      <c r="D160" t="inlineStr">
        <is>
          <t>VÄSTERNORRLANDS LÄN</t>
        </is>
      </c>
      <c r="E160" t="inlineStr">
        <is>
          <t>SOLLEFTEÅ</t>
        </is>
      </c>
      <c r="G160" t="n">
        <v>4</v>
      </c>
      <c r="H160" t="n">
        <v>1</v>
      </c>
      <c r="I160" t="n">
        <v>0</v>
      </c>
      <c r="J160" t="n">
        <v>1</v>
      </c>
      <c r="K160" t="n">
        <v>0</v>
      </c>
      <c r="L160" t="n">
        <v>0</v>
      </c>
      <c r="M160" t="n">
        <v>0</v>
      </c>
      <c r="N160" t="n">
        <v>0</v>
      </c>
      <c r="O160" t="n">
        <v>1</v>
      </c>
      <c r="P160" t="n">
        <v>0</v>
      </c>
      <c r="Q160" t="n">
        <v>2</v>
      </c>
      <c r="R160" s="2" t="inlineStr">
        <is>
          <t>Granticka
Fläcknycklar</t>
        </is>
      </c>
      <c r="S160">
        <f>HYPERLINK("https://klasma.github.io/Logging_2283/artfynd/A 53949-2023 artfynd.xlsx", "A 53949-2023")</f>
        <v/>
      </c>
      <c r="T160">
        <f>HYPERLINK("https://klasma.github.io/Logging_2283/kartor/A 53949-2023 karta.png", "A 53949-2023")</f>
        <v/>
      </c>
      <c r="V160">
        <f>HYPERLINK("https://klasma.github.io/Logging_2283/klagomål/A 53949-2023 FSC-klagomål.docx", "A 53949-2023")</f>
        <v/>
      </c>
      <c r="W160">
        <f>HYPERLINK("https://klasma.github.io/Logging_2283/klagomålsmail/A 53949-2023 FSC-klagomål mail.docx", "A 53949-2023")</f>
        <v/>
      </c>
      <c r="X160">
        <f>HYPERLINK("https://klasma.github.io/Logging_2283/tillsyn/A 53949-2023 tillsynsbegäran.docx", "A 53949-2023")</f>
        <v/>
      </c>
      <c r="Y160">
        <f>HYPERLINK("https://klasma.github.io/Logging_2283/tillsynsmail/A 53949-2023 tillsynsbegäran mail.docx", "A 53949-2023")</f>
        <v/>
      </c>
    </row>
    <row r="161" ht="15" customHeight="1">
      <c r="A161" t="inlineStr">
        <is>
          <t>A 54030-2023</t>
        </is>
      </c>
      <c r="B161" s="1" t="n">
        <v>45231</v>
      </c>
      <c r="C161" s="1" t="n">
        <v>45268</v>
      </c>
      <c r="D161" t="inlineStr">
        <is>
          <t>VÄSTERNORRLANDS LÄN</t>
        </is>
      </c>
      <c r="E161" t="inlineStr">
        <is>
          <t>SOLLEFTEÅ</t>
        </is>
      </c>
      <c r="G161" t="n">
        <v>4.4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54030-2023 artfynd.xlsx", "A 54030-2023")</f>
        <v/>
      </c>
      <c r="T161">
        <f>HYPERLINK("https://klasma.github.io/Logging_2283/kartor/A 54030-2023 karta.png", "A 54030-2023")</f>
        <v/>
      </c>
      <c r="V161">
        <f>HYPERLINK("https://klasma.github.io/Logging_2283/klagomål/A 54030-2023 FSC-klagomål.docx", "A 54030-2023")</f>
        <v/>
      </c>
      <c r="W161">
        <f>HYPERLINK("https://klasma.github.io/Logging_2283/klagomålsmail/A 54030-2023 FSC-klagomål mail.docx", "A 54030-2023")</f>
        <v/>
      </c>
      <c r="X161">
        <f>HYPERLINK("https://klasma.github.io/Logging_2283/tillsyn/A 54030-2023 tillsynsbegäran.docx", "A 54030-2023")</f>
        <v/>
      </c>
      <c r="Y161">
        <f>HYPERLINK("https://klasma.github.io/Logging_2283/tillsynsmail/A 54030-2023 tillsynsbegäran mail.docx", "A 54030-2023")</f>
        <v/>
      </c>
    </row>
    <row r="162" ht="15" customHeight="1">
      <c r="A162" t="inlineStr">
        <is>
          <t>A 58827-2023</t>
        </is>
      </c>
      <c r="B162" s="1" t="n">
        <v>45247</v>
      </c>
      <c r="C162" s="1" t="n">
        <v>45268</v>
      </c>
      <c r="D162" t="inlineStr">
        <is>
          <t>VÄSTERNORRLANDS LÄN</t>
        </is>
      </c>
      <c r="E162" t="inlineStr">
        <is>
          <t>SOLLEFTEÅ</t>
        </is>
      </c>
      <c r="G162" t="n">
        <v>2.2</v>
      </c>
      <c r="H162" t="n">
        <v>1</v>
      </c>
      <c r="I162" t="n">
        <v>0</v>
      </c>
      <c r="J162" t="n">
        <v>1</v>
      </c>
      <c r="K162" t="n">
        <v>0</v>
      </c>
      <c r="L162" t="n">
        <v>0</v>
      </c>
      <c r="M162" t="n">
        <v>0</v>
      </c>
      <c r="N162" t="n">
        <v>0</v>
      </c>
      <c r="O162" t="n">
        <v>1</v>
      </c>
      <c r="P162" t="n">
        <v>0</v>
      </c>
      <c r="Q162" t="n">
        <v>2</v>
      </c>
      <c r="R162" s="2" t="inlineStr">
        <is>
          <t>Garnlav
Mattlummer</t>
        </is>
      </c>
      <c r="S162">
        <f>HYPERLINK("https://klasma.github.io/Logging_2283/artfynd/A 58827-2023 artfynd.xlsx", "A 58827-2023")</f>
        <v/>
      </c>
      <c r="T162">
        <f>HYPERLINK("https://klasma.github.io/Logging_2283/kartor/A 58827-2023 karta.png", "A 58827-2023")</f>
        <v/>
      </c>
      <c r="V162">
        <f>HYPERLINK("https://klasma.github.io/Logging_2283/klagomål/A 58827-2023 FSC-klagomål.docx", "A 58827-2023")</f>
        <v/>
      </c>
      <c r="W162">
        <f>HYPERLINK("https://klasma.github.io/Logging_2283/klagomålsmail/A 58827-2023 FSC-klagomål mail.docx", "A 58827-2023")</f>
        <v/>
      </c>
      <c r="X162">
        <f>HYPERLINK("https://klasma.github.io/Logging_2283/tillsyn/A 58827-2023 tillsynsbegäran.docx", "A 58827-2023")</f>
        <v/>
      </c>
      <c r="Y162">
        <f>HYPERLINK("https://klasma.github.io/Logging_2283/tillsynsmail/A 58827-2023 tillsynsbegäran mail.docx", "A 58827-2023")</f>
        <v/>
      </c>
    </row>
    <row r="163" ht="15" customHeight="1">
      <c r="A163" t="inlineStr">
        <is>
          <t>A 58580-2018</t>
        </is>
      </c>
      <c r="B163" s="1" t="n">
        <v>43409</v>
      </c>
      <c r="C163" s="1" t="n">
        <v>45268</v>
      </c>
      <c r="D163" t="inlineStr">
        <is>
          <t>VÄSTERNORRLANDS LÄN</t>
        </is>
      </c>
      <c r="E163" t="inlineStr">
        <is>
          <t>SOLLEFTEÅ</t>
        </is>
      </c>
      <c r="G163" t="n">
        <v>3.9</v>
      </c>
      <c r="H163" t="n">
        <v>0</v>
      </c>
      <c r="I163" t="n">
        <v>0</v>
      </c>
      <c r="J163" t="n">
        <v>1</v>
      </c>
      <c r="K163" t="n">
        <v>0</v>
      </c>
      <c r="L163" t="n">
        <v>0</v>
      </c>
      <c r="M163" t="n">
        <v>0</v>
      </c>
      <c r="N163" t="n">
        <v>0</v>
      </c>
      <c r="O163" t="n">
        <v>1</v>
      </c>
      <c r="P163" t="n">
        <v>0</v>
      </c>
      <c r="Q163" t="n">
        <v>1</v>
      </c>
      <c r="R163" s="2" t="inlineStr">
        <is>
          <t>Garnlav</t>
        </is>
      </c>
      <c r="S163">
        <f>HYPERLINK("https://klasma.github.io/Logging_2283/artfynd/A 58580-2018 artfynd.xlsx", "A 58580-2018")</f>
        <v/>
      </c>
      <c r="T163">
        <f>HYPERLINK("https://klasma.github.io/Logging_2283/kartor/A 58580-2018 karta.png", "A 58580-2018")</f>
        <v/>
      </c>
      <c r="V163">
        <f>HYPERLINK("https://klasma.github.io/Logging_2283/klagomål/A 58580-2018 FSC-klagomål.docx", "A 58580-2018")</f>
        <v/>
      </c>
      <c r="W163">
        <f>HYPERLINK("https://klasma.github.io/Logging_2283/klagomålsmail/A 58580-2018 FSC-klagomål mail.docx", "A 58580-2018")</f>
        <v/>
      </c>
      <c r="X163">
        <f>HYPERLINK("https://klasma.github.io/Logging_2283/tillsyn/A 58580-2018 tillsynsbegäran.docx", "A 58580-2018")</f>
        <v/>
      </c>
      <c r="Y163">
        <f>HYPERLINK("https://klasma.github.io/Logging_2283/tillsynsmail/A 58580-2018 tillsynsbegäran mail.docx", "A 58580-2018")</f>
        <v/>
      </c>
    </row>
    <row r="164" ht="15" customHeight="1">
      <c r="A164" t="inlineStr">
        <is>
          <t>A 70806-2018</t>
        </is>
      </c>
      <c r="B164" s="1" t="n">
        <v>43451</v>
      </c>
      <c r="C164" s="1" t="n">
        <v>45268</v>
      </c>
      <c r="D164" t="inlineStr">
        <is>
          <t>VÄSTERNORRLANDS LÄN</t>
        </is>
      </c>
      <c r="E164" t="inlineStr">
        <is>
          <t>SOLLEFTEÅ</t>
        </is>
      </c>
      <c r="G164" t="n">
        <v>4.3</v>
      </c>
      <c r="H164" t="n">
        <v>0</v>
      </c>
      <c r="I164" t="n">
        <v>0</v>
      </c>
      <c r="J164" t="n">
        <v>1</v>
      </c>
      <c r="K164" t="n">
        <v>0</v>
      </c>
      <c r="L164" t="n">
        <v>0</v>
      </c>
      <c r="M164" t="n">
        <v>0</v>
      </c>
      <c r="N164" t="n">
        <v>0</v>
      </c>
      <c r="O164" t="n">
        <v>1</v>
      </c>
      <c r="P164" t="n">
        <v>0</v>
      </c>
      <c r="Q164" t="n">
        <v>1</v>
      </c>
      <c r="R164" s="2" t="inlineStr">
        <is>
          <t>Garnlav</t>
        </is>
      </c>
      <c r="S164">
        <f>HYPERLINK("https://klasma.github.io/Logging_2283/artfynd/A 70806-2018 artfynd.xlsx", "A 70806-2018")</f>
        <v/>
      </c>
      <c r="T164">
        <f>HYPERLINK("https://klasma.github.io/Logging_2283/kartor/A 70806-2018 karta.png", "A 70806-2018")</f>
        <v/>
      </c>
      <c r="V164">
        <f>HYPERLINK("https://klasma.github.io/Logging_2283/klagomål/A 70806-2018 FSC-klagomål.docx", "A 70806-2018")</f>
        <v/>
      </c>
      <c r="W164">
        <f>HYPERLINK("https://klasma.github.io/Logging_2283/klagomålsmail/A 70806-2018 FSC-klagomål mail.docx", "A 70806-2018")</f>
        <v/>
      </c>
      <c r="X164">
        <f>HYPERLINK("https://klasma.github.io/Logging_2283/tillsyn/A 70806-2018 tillsynsbegäran.docx", "A 70806-2018")</f>
        <v/>
      </c>
      <c r="Y164">
        <f>HYPERLINK("https://klasma.github.io/Logging_2283/tillsynsmail/A 70806-2018 tillsynsbegäran mail.docx", "A 70806-2018")</f>
        <v/>
      </c>
    </row>
    <row r="165" ht="15" customHeight="1">
      <c r="A165" t="inlineStr">
        <is>
          <t>A 71019-2018</t>
        </is>
      </c>
      <c r="B165" s="1" t="n">
        <v>43451</v>
      </c>
      <c r="C165" s="1" t="n">
        <v>45268</v>
      </c>
      <c r="D165" t="inlineStr">
        <is>
          <t>VÄSTERNORRLANDS LÄN</t>
        </is>
      </c>
      <c r="E165" t="inlineStr">
        <is>
          <t>SOLLEFTEÅ</t>
        </is>
      </c>
      <c r="G165" t="n">
        <v>7.6</v>
      </c>
      <c r="H165" t="n">
        <v>0</v>
      </c>
      <c r="I165" t="n">
        <v>0</v>
      </c>
      <c r="J165" t="n">
        <v>1</v>
      </c>
      <c r="K165" t="n">
        <v>0</v>
      </c>
      <c r="L165" t="n">
        <v>0</v>
      </c>
      <c r="M165" t="n">
        <v>0</v>
      </c>
      <c r="N165" t="n">
        <v>0</v>
      </c>
      <c r="O165" t="n">
        <v>1</v>
      </c>
      <c r="P165" t="n">
        <v>0</v>
      </c>
      <c r="Q165" t="n">
        <v>1</v>
      </c>
      <c r="R165" s="2" t="inlineStr">
        <is>
          <t>Rosenticka</t>
        </is>
      </c>
      <c r="S165">
        <f>HYPERLINK("https://klasma.github.io/Logging_2283/artfynd/A 71019-2018 artfynd.xlsx", "A 71019-2018")</f>
        <v/>
      </c>
      <c r="T165">
        <f>HYPERLINK("https://klasma.github.io/Logging_2283/kartor/A 71019-2018 karta.png", "A 71019-2018")</f>
        <v/>
      </c>
      <c r="V165">
        <f>HYPERLINK("https://klasma.github.io/Logging_2283/klagomål/A 71019-2018 FSC-klagomål.docx", "A 71019-2018")</f>
        <v/>
      </c>
      <c r="W165">
        <f>HYPERLINK("https://klasma.github.io/Logging_2283/klagomålsmail/A 71019-2018 FSC-klagomål mail.docx", "A 71019-2018")</f>
        <v/>
      </c>
      <c r="X165">
        <f>HYPERLINK("https://klasma.github.io/Logging_2283/tillsyn/A 71019-2018 tillsynsbegäran.docx", "A 71019-2018")</f>
        <v/>
      </c>
      <c r="Y165">
        <f>HYPERLINK("https://klasma.github.io/Logging_2283/tillsynsmail/A 71019-2018 tillsynsbegäran mail.docx", "A 71019-2018")</f>
        <v/>
      </c>
    </row>
    <row r="166" ht="15" customHeight="1">
      <c r="A166" t="inlineStr">
        <is>
          <t>A 3779-2019</t>
        </is>
      </c>
      <c r="B166" s="1" t="n">
        <v>43481</v>
      </c>
      <c r="C166" s="1" t="n">
        <v>45268</v>
      </c>
      <c r="D166" t="inlineStr">
        <is>
          <t>VÄSTERNORRLANDS LÄN</t>
        </is>
      </c>
      <c r="E166" t="inlineStr">
        <is>
          <t>SOLLEFTEÅ</t>
        </is>
      </c>
      <c r="F166" t="inlineStr">
        <is>
          <t>SCA</t>
        </is>
      </c>
      <c r="G166" t="n">
        <v>3.3</v>
      </c>
      <c r="H166" t="n">
        <v>0</v>
      </c>
      <c r="I166" t="n">
        <v>0</v>
      </c>
      <c r="J166" t="n">
        <v>1</v>
      </c>
      <c r="K166" t="n">
        <v>0</v>
      </c>
      <c r="L166" t="n">
        <v>0</v>
      </c>
      <c r="M166" t="n">
        <v>0</v>
      </c>
      <c r="N166" t="n">
        <v>0</v>
      </c>
      <c r="O166" t="n">
        <v>1</v>
      </c>
      <c r="P166" t="n">
        <v>0</v>
      </c>
      <c r="Q166" t="n">
        <v>1</v>
      </c>
      <c r="R166" s="2" t="inlineStr">
        <is>
          <t>Ullticka</t>
        </is>
      </c>
      <c r="S166">
        <f>HYPERLINK("https://klasma.github.io/Logging_2283/artfynd/A 3779-2019 artfynd.xlsx", "A 3779-2019")</f>
        <v/>
      </c>
      <c r="T166">
        <f>HYPERLINK("https://klasma.github.io/Logging_2283/kartor/A 3779-2019 karta.png", "A 3779-2019")</f>
        <v/>
      </c>
      <c r="V166">
        <f>HYPERLINK("https://klasma.github.io/Logging_2283/klagomål/A 3779-2019 FSC-klagomål.docx", "A 3779-2019")</f>
        <v/>
      </c>
      <c r="W166">
        <f>HYPERLINK("https://klasma.github.io/Logging_2283/klagomålsmail/A 3779-2019 FSC-klagomål mail.docx", "A 3779-2019")</f>
        <v/>
      </c>
      <c r="X166">
        <f>HYPERLINK("https://klasma.github.io/Logging_2283/tillsyn/A 3779-2019 tillsynsbegäran.docx", "A 3779-2019")</f>
        <v/>
      </c>
      <c r="Y166">
        <f>HYPERLINK("https://klasma.github.io/Logging_2283/tillsynsmail/A 3779-2019 tillsynsbegäran mail.docx", "A 3779-2019")</f>
        <v/>
      </c>
    </row>
    <row r="167" ht="15" customHeight="1">
      <c r="A167" t="inlineStr">
        <is>
          <t>A 8476-2019</t>
        </is>
      </c>
      <c r="B167" s="1" t="n">
        <v>43497</v>
      </c>
      <c r="C167" s="1" t="n">
        <v>45268</v>
      </c>
      <c r="D167" t="inlineStr">
        <is>
          <t>VÄSTERNORRLANDS LÄN</t>
        </is>
      </c>
      <c r="E167" t="inlineStr">
        <is>
          <t>SOLLEFTEÅ</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HYPERLINK("https://klasma.github.io/Logging_2283/artfynd/A 8476-2019 artfynd.xlsx", "A 8476-2019")</f>
        <v/>
      </c>
      <c r="T167">
        <f>HYPERLINK("https://klasma.github.io/Logging_2283/kartor/A 8476-2019 karta.png", "A 8476-2019")</f>
        <v/>
      </c>
      <c r="V167">
        <f>HYPERLINK("https://klasma.github.io/Logging_2283/klagomål/A 8476-2019 FSC-klagomål.docx", "A 8476-2019")</f>
        <v/>
      </c>
      <c r="W167">
        <f>HYPERLINK("https://klasma.github.io/Logging_2283/klagomålsmail/A 8476-2019 FSC-klagomål mail.docx", "A 8476-2019")</f>
        <v/>
      </c>
      <c r="X167">
        <f>HYPERLINK("https://klasma.github.io/Logging_2283/tillsyn/A 8476-2019 tillsynsbegäran.docx", "A 8476-2019")</f>
        <v/>
      </c>
      <c r="Y167">
        <f>HYPERLINK("https://klasma.github.io/Logging_2283/tillsynsmail/A 8476-2019 tillsynsbegäran mail.docx", "A 8476-2019")</f>
        <v/>
      </c>
    </row>
    <row r="168" ht="15" customHeight="1">
      <c r="A168" t="inlineStr">
        <is>
          <t>A 16838-2019</t>
        </is>
      </c>
      <c r="B168" s="1" t="n">
        <v>43549</v>
      </c>
      <c r="C168" s="1" t="n">
        <v>45268</v>
      </c>
      <c r="D168" t="inlineStr">
        <is>
          <t>VÄSTERNORRLANDS LÄN</t>
        </is>
      </c>
      <c r="E168" t="inlineStr">
        <is>
          <t>SOLLEFTEÅ</t>
        </is>
      </c>
      <c r="F168" t="inlineStr">
        <is>
          <t>SCA</t>
        </is>
      </c>
      <c r="G168" t="n">
        <v>16.4</v>
      </c>
      <c r="H168" t="n">
        <v>1</v>
      </c>
      <c r="I168" t="n">
        <v>0</v>
      </c>
      <c r="J168" t="n">
        <v>0</v>
      </c>
      <c r="K168" t="n">
        <v>0</v>
      </c>
      <c r="L168" t="n">
        <v>0</v>
      </c>
      <c r="M168" t="n">
        <v>1</v>
      </c>
      <c r="N168" t="n">
        <v>0</v>
      </c>
      <c r="O168" t="n">
        <v>1</v>
      </c>
      <c r="P168" t="n">
        <v>1</v>
      </c>
      <c r="Q168" t="n">
        <v>1</v>
      </c>
      <c r="R168" s="2" t="inlineStr">
        <is>
          <t>Ortolansparv</t>
        </is>
      </c>
      <c r="S168">
        <f>HYPERLINK("https://klasma.github.io/Logging_2283/artfynd/A 16838-2019 artfynd.xlsx", "A 16838-2019")</f>
        <v/>
      </c>
      <c r="T168">
        <f>HYPERLINK("https://klasma.github.io/Logging_2283/kartor/A 16838-2019 karta.png", "A 16838-2019")</f>
        <v/>
      </c>
      <c r="V168">
        <f>HYPERLINK("https://klasma.github.io/Logging_2283/klagomål/A 16838-2019 FSC-klagomål.docx", "A 16838-2019")</f>
        <v/>
      </c>
      <c r="W168">
        <f>HYPERLINK("https://klasma.github.io/Logging_2283/klagomålsmail/A 16838-2019 FSC-klagomål mail.docx", "A 16838-2019")</f>
        <v/>
      </c>
      <c r="X168">
        <f>HYPERLINK("https://klasma.github.io/Logging_2283/tillsyn/A 16838-2019 tillsynsbegäran.docx", "A 16838-2019")</f>
        <v/>
      </c>
      <c r="Y168">
        <f>HYPERLINK("https://klasma.github.io/Logging_2283/tillsynsmail/A 16838-2019 tillsynsbegäran mail.docx", "A 16838-2019")</f>
        <v/>
      </c>
    </row>
    <row r="169" ht="15" customHeight="1">
      <c r="A169" t="inlineStr">
        <is>
          <t>A 21120-2019</t>
        </is>
      </c>
      <c r="B169" s="1" t="n">
        <v>43578</v>
      </c>
      <c r="C169" s="1" t="n">
        <v>45268</v>
      </c>
      <c r="D169" t="inlineStr">
        <is>
          <t>VÄSTERNORRLANDS LÄN</t>
        </is>
      </c>
      <c r="E169" t="inlineStr">
        <is>
          <t>SOLLEFTEÅ</t>
        </is>
      </c>
      <c r="F169" t="inlineStr">
        <is>
          <t>SCA</t>
        </is>
      </c>
      <c r="G169" t="n">
        <v>54.4</v>
      </c>
      <c r="H169" t="n">
        <v>1</v>
      </c>
      <c r="I169" t="n">
        <v>0</v>
      </c>
      <c r="J169" t="n">
        <v>0</v>
      </c>
      <c r="K169" t="n">
        <v>0</v>
      </c>
      <c r="L169" t="n">
        <v>0</v>
      </c>
      <c r="M169" t="n">
        <v>0</v>
      </c>
      <c r="N169" t="n">
        <v>0</v>
      </c>
      <c r="O169" t="n">
        <v>0</v>
      </c>
      <c r="P169" t="n">
        <v>0</v>
      </c>
      <c r="Q169" t="n">
        <v>1</v>
      </c>
      <c r="R169" s="2" t="inlineStr">
        <is>
          <t>Revlummer</t>
        </is>
      </c>
      <c r="S169">
        <f>HYPERLINK("https://klasma.github.io/Logging_2283/artfynd/A 21120-2019 artfynd.xlsx", "A 21120-2019")</f>
        <v/>
      </c>
      <c r="T169">
        <f>HYPERLINK("https://klasma.github.io/Logging_2283/kartor/A 21120-2019 karta.png", "A 21120-2019")</f>
        <v/>
      </c>
      <c r="V169">
        <f>HYPERLINK("https://klasma.github.io/Logging_2283/klagomål/A 21120-2019 FSC-klagomål.docx", "A 21120-2019")</f>
        <v/>
      </c>
      <c r="W169">
        <f>HYPERLINK("https://klasma.github.io/Logging_2283/klagomålsmail/A 21120-2019 FSC-klagomål mail.docx", "A 21120-2019")</f>
        <v/>
      </c>
      <c r="X169">
        <f>HYPERLINK("https://klasma.github.io/Logging_2283/tillsyn/A 21120-2019 tillsynsbegäran.docx", "A 21120-2019")</f>
        <v/>
      </c>
      <c r="Y169">
        <f>HYPERLINK("https://klasma.github.io/Logging_2283/tillsynsmail/A 21120-2019 tillsynsbegäran mail.docx", "A 21120-2019")</f>
        <v/>
      </c>
    </row>
    <row r="170" ht="15" customHeight="1">
      <c r="A170" t="inlineStr">
        <is>
          <t>A 28600-2019</t>
        </is>
      </c>
      <c r="B170" s="1" t="n">
        <v>43626</v>
      </c>
      <c r="C170" s="1" t="n">
        <v>45268</v>
      </c>
      <c r="D170" t="inlineStr">
        <is>
          <t>VÄSTERNORRLANDS LÄN</t>
        </is>
      </c>
      <c r="E170" t="inlineStr">
        <is>
          <t>SOLLEFTEÅ</t>
        </is>
      </c>
      <c r="F170" t="inlineStr">
        <is>
          <t>SCA</t>
        </is>
      </c>
      <c r="G170" t="n">
        <v>5.9</v>
      </c>
      <c r="H170" t="n">
        <v>0</v>
      </c>
      <c r="I170" t="n">
        <v>0</v>
      </c>
      <c r="J170" t="n">
        <v>1</v>
      </c>
      <c r="K170" t="n">
        <v>0</v>
      </c>
      <c r="L170" t="n">
        <v>0</v>
      </c>
      <c r="M170" t="n">
        <v>0</v>
      </c>
      <c r="N170" t="n">
        <v>0</v>
      </c>
      <c r="O170" t="n">
        <v>1</v>
      </c>
      <c r="P170" t="n">
        <v>0</v>
      </c>
      <c r="Q170" t="n">
        <v>1</v>
      </c>
      <c r="R170" s="2" t="inlineStr">
        <is>
          <t>Tallriska</t>
        </is>
      </c>
      <c r="S170">
        <f>HYPERLINK("https://klasma.github.io/Logging_2283/artfynd/A 28600-2019 artfynd.xlsx", "A 28600-2019")</f>
        <v/>
      </c>
      <c r="T170">
        <f>HYPERLINK("https://klasma.github.io/Logging_2283/kartor/A 28600-2019 karta.png", "A 28600-2019")</f>
        <v/>
      </c>
      <c r="V170">
        <f>HYPERLINK("https://klasma.github.io/Logging_2283/klagomål/A 28600-2019 FSC-klagomål.docx", "A 28600-2019")</f>
        <v/>
      </c>
      <c r="W170">
        <f>HYPERLINK("https://klasma.github.io/Logging_2283/klagomålsmail/A 28600-2019 FSC-klagomål mail.docx", "A 28600-2019")</f>
        <v/>
      </c>
      <c r="X170">
        <f>HYPERLINK("https://klasma.github.io/Logging_2283/tillsyn/A 28600-2019 tillsynsbegäran.docx", "A 28600-2019")</f>
        <v/>
      </c>
      <c r="Y170">
        <f>HYPERLINK("https://klasma.github.io/Logging_2283/tillsynsmail/A 28600-2019 tillsynsbegäran mail.docx", "A 28600-2019")</f>
        <v/>
      </c>
    </row>
    <row r="171" ht="15" customHeight="1">
      <c r="A171" t="inlineStr">
        <is>
          <t>A 36982-2019</t>
        </is>
      </c>
      <c r="B171" s="1" t="n">
        <v>43676</v>
      </c>
      <c r="C171" s="1" t="n">
        <v>45268</v>
      </c>
      <c r="D171" t="inlineStr">
        <is>
          <t>VÄSTERNORRLANDS LÄN</t>
        </is>
      </c>
      <c r="E171" t="inlineStr">
        <is>
          <t>SOLLEFTEÅ</t>
        </is>
      </c>
      <c r="G171" t="n">
        <v>1.2</v>
      </c>
      <c r="H171" t="n">
        <v>0</v>
      </c>
      <c r="I171" t="n">
        <v>1</v>
      </c>
      <c r="J171" t="n">
        <v>0</v>
      </c>
      <c r="K171" t="n">
        <v>0</v>
      </c>
      <c r="L171" t="n">
        <v>0</v>
      </c>
      <c r="M171" t="n">
        <v>0</v>
      </c>
      <c r="N171" t="n">
        <v>0</v>
      </c>
      <c r="O171" t="n">
        <v>0</v>
      </c>
      <c r="P171" t="n">
        <v>0</v>
      </c>
      <c r="Q171" t="n">
        <v>1</v>
      </c>
      <c r="R171" s="2" t="inlineStr">
        <is>
          <t>Trådticka</t>
        </is>
      </c>
      <c r="S171">
        <f>HYPERLINK("https://klasma.github.io/Logging_2283/artfynd/A 36982-2019 artfynd.xlsx", "A 36982-2019")</f>
        <v/>
      </c>
      <c r="T171">
        <f>HYPERLINK("https://klasma.github.io/Logging_2283/kartor/A 36982-2019 karta.png", "A 36982-2019")</f>
        <v/>
      </c>
      <c r="V171">
        <f>HYPERLINK("https://klasma.github.io/Logging_2283/klagomål/A 36982-2019 FSC-klagomål.docx", "A 36982-2019")</f>
        <v/>
      </c>
      <c r="W171">
        <f>HYPERLINK("https://klasma.github.io/Logging_2283/klagomålsmail/A 36982-2019 FSC-klagomål mail.docx", "A 36982-2019")</f>
        <v/>
      </c>
      <c r="X171">
        <f>HYPERLINK("https://klasma.github.io/Logging_2283/tillsyn/A 36982-2019 tillsynsbegäran.docx", "A 36982-2019")</f>
        <v/>
      </c>
      <c r="Y171">
        <f>HYPERLINK("https://klasma.github.io/Logging_2283/tillsynsmail/A 36982-2019 tillsynsbegäran mail.docx", "A 36982-2019")</f>
        <v/>
      </c>
    </row>
    <row r="172" ht="15" customHeight="1">
      <c r="A172" t="inlineStr">
        <is>
          <t>A 38091-2019</t>
        </is>
      </c>
      <c r="B172" s="1" t="n">
        <v>43682</v>
      </c>
      <c r="C172" s="1" t="n">
        <v>45268</v>
      </c>
      <c r="D172" t="inlineStr">
        <is>
          <t>VÄSTERNORRLANDS LÄN</t>
        </is>
      </c>
      <c r="E172" t="inlineStr">
        <is>
          <t>SOLLEFTEÅ</t>
        </is>
      </c>
      <c r="F172" t="inlineStr">
        <is>
          <t>Holmen skog AB</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HYPERLINK("https://klasma.github.io/Logging_2283/artfynd/A 38091-2019 artfynd.xlsx", "A 38091-2019")</f>
        <v/>
      </c>
      <c r="T172">
        <f>HYPERLINK("https://klasma.github.io/Logging_2283/kartor/A 38091-2019 karta.png", "A 38091-2019")</f>
        <v/>
      </c>
      <c r="V172">
        <f>HYPERLINK("https://klasma.github.io/Logging_2283/klagomål/A 38091-2019 FSC-klagomål.docx", "A 38091-2019")</f>
        <v/>
      </c>
      <c r="W172">
        <f>HYPERLINK("https://klasma.github.io/Logging_2283/klagomålsmail/A 38091-2019 FSC-klagomål mail.docx", "A 38091-2019")</f>
        <v/>
      </c>
      <c r="X172">
        <f>HYPERLINK("https://klasma.github.io/Logging_2283/tillsyn/A 38091-2019 tillsynsbegäran.docx", "A 38091-2019")</f>
        <v/>
      </c>
      <c r="Y172">
        <f>HYPERLINK("https://klasma.github.io/Logging_2283/tillsynsmail/A 38091-2019 tillsynsbegäran mail.docx", "A 38091-2019")</f>
        <v/>
      </c>
    </row>
    <row r="173" ht="15" customHeight="1">
      <c r="A173" t="inlineStr">
        <is>
          <t>A 51669-2019</t>
        </is>
      </c>
      <c r="B173" s="1" t="n">
        <v>43740</v>
      </c>
      <c r="C173" s="1" t="n">
        <v>45268</v>
      </c>
      <c r="D173" t="inlineStr">
        <is>
          <t>VÄSTERNORRLANDS LÄN</t>
        </is>
      </c>
      <c r="E173" t="inlineStr">
        <is>
          <t>SOLLEFTEÅ</t>
        </is>
      </c>
      <c r="F173" t="inlineStr">
        <is>
          <t>SCA</t>
        </is>
      </c>
      <c r="G173" t="n">
        <v>3.6</v>
      </c>
      <c r="H173" t="n">
        <v>0</v>
      </c>
      <c r="I173" t="n">
        <v>0</v>
      </c>
      <c r="J173" t="n">
        <v>1</v>
      </c>
      <c r="K173" t="n">
        <v>0</v>
      </c>
      <c r="L173" t="n">
        <v>0</v>
      </c>
      <c r="M173" t="n">
        <v>0</v>
      </c>
      <c r="N173" t="n">
        <v>0</v>
      </c>
      <c r="O173" t="n">
        <v>1</v>
      </c>
      <c r="P173" t="n">
        <v>0</v>
      </c>
      <c r="Q173" t="n">
        <v>1</v>
      </c>
      <c r="R173" s="2" t="inlineStr">
        <is>
          <t>Rosenticka</t>
        </is>
      </c>
      <c r="S173">
        <f>HYPERLINK("https://klasma.github.io/Logging_2283/artfynd/A 51669-2019 artfynd.xlsx", "A 51669-2019")</f>
        <v/>
      </c>
      <c r="T173">
        <f>HYPERLINK("https://klasma.github.io/Logging_2283/kartor/A 51669-2019 karta.png", "A 51669-2019")</f>
        <v/>
      </c>
      <c r="V173">
        <f>HYPERLINK("https://klasma.github.io/Logging_2283/klagomål/A 51669-2019 FSC-klagomål.docx", "A 51669-2019")</f>
        <v/>
      </c>
      <c r="W173">
        <f>HYPERLINK("https://klasma.github.io/Logging_2283/klagomålsmail/A 51669-2019 FSC-klagomål mail.docx", "A 51669-2019")</f>
        <v/>
      </c>
      <c r="X173">
        <f>HYPERLINK("https://klasma.github.io/Logging_2283/tillsyn/A 51669-2019 tillsynsbegäran.docx", "A 51669-2019")</f>
        <v/>
      </c>
      <c r="Y173">
        <f>HYPERLINK("https://klasma.github.io/Logging_2283/tillsynsmail/A 51669-2019 tillsynsbegäran mail.docx", "A 51669-2019")</f>
        <v/>
      </c>
    </row>
    <row r="174" ht="15" customHeight="1">
      <c r="A174" t="inlineStr">
        <is>
          <t>A 9178-2020</t>
        </is>
      </c>
      <c r="B174" s="1" t="n">
        <v>43879</v>
      </c>
      <c r="C174" s="1" t="n">
        <v>45268</v>
      </c>
      <c r="D174" t="inlineStr">
        <is>
          <t>VÄSTERNORRLANDS LÄN</t>
        </is>
      </c>
      <c r="E174" t="inlineStr">
        <is>
          <t>SOLLEFTEÅ</t>
        </is>
      </c>
      <c r="G174" t="n">
        <v>5.3</v>
      </c>
      <c r="H174" t="n">
        <v>1</v>
      </c>
      <c r="I174" t="n">
        <v>0</v>
      </c>
      <c r="J174" t="n">
        <v>0</v>
      </c>
      <c r="K174" t="n">
        <v>0</v>
      </c>
      <c r="L174" t="n">
        <v>0</v>
      </c>
      <c r="M174" t="n">
        <v>0</v>
      </c>
      <c r="N174" t="n">
        <v>0</v>
      </c>
      <c r="O174" t="n">
        <v>0</v>
      </c>
      <c r="P174" t="n">
        <v>0</v>
      </c>
      <c r="Q174" t="n">
        <v>1</v>
      </c>
      <c r="R174" s="2" t="inlineStr">
        <is>
          <t>Fläcknycklar</t>
        </is>
      </c>
      <c r="S174">
        <f>HYPERLINK("https://klasma.github.io/Logging_2283/artfynd/A 9178-2020 artfynd.xlsx", "A 9178-2020")</f>
        <v/>
      </c>
      <c r="T174">
        <f>HYPERLINK("https://klasma.github.io/Logging_2283/kartor/A 9178-2020 karta.png", "A 9178-2020")</f>
        <v/>
      </c>
      <c r="V174">
        <f>HYPERLINK("https://klasma.github.io/Logging_2283/klagomål/A 9178-2020 FSC-klagomål.docx", "A 9178-2020")</f>
        <v/>
      </c>
      <c r="W174">
        <f>HYPERLINK("https://klasma.github.io/Logging_2283/klagomålsmail/A 9178-2020 FSC-klagomål mail.docx", "A 9178-2020")</f>
        <v/>
      </c>
      <c r="X174">
        <f>HYPERLINK("https://klasma.github.io/Logging_2283/tillsyn/A 9178-2020 tillsynsbegäran.docx", "A 9178-2020")</f>
        <v/>
      </c>
      <c r="Y174">
        <f>HYPERLINK("https://klasma.github.io/Logging_2283/tillsynsmail/A 9178-2020 tillsynsbegäran mail.docx", "A 9178-2020")</f>
        <v/>
      </c>
    </row>
    <row r="175" ht="15" customHeight="1">
      <c r="A175" t="inlineStr">
        <is>
          <t>A 19166-2020</t>
        </is>
      </c>
      <c r="B175" s="1" t="n">
        <v>43936</v>
      </c>
      <c r="C175" s="1" t="n">
        <v>45268</v>
      </c>
      <c r="D175" t="inlineStr">
        <is>
          <t>VÄSTERNORRLANDS LÄN</t>
        </is>
      </c>
      <c r="E175" t="inlineStr">
        <is>
          <t>SOLLEFTEÅ</t>
        </is>
      </c>
      <c r="G175" t="n">
        <v>3</v>
      </c>
      <c r="H175" t="n">
        <v>0</v>
      </c>
      <c r="I175" t="n">
        <v>0</v>
      </c>
      <c r="J175" t="n">
        <v>1</v>
      </c>
      <c r="K175" t="n">
        <v>0</v>
      </c>
      <c r="L175" t="n">
        <v>0</v>
      </c>
      <c r="M175" t="n">
        <v>0</v>
      </c>
      <c r="N175" t="n">
        <v>0</v>
      </c>
      <c r="O175" t="n">
        <v>1</v>
      </c>
      <c r="P175" t="n">
        <v>0</v>
      </c>
      <c r="Q175" t="n">
        <v>1</v>
      </c>
      <c r="R175" s="2" t="inlineStr">
        <is>
          <t>Garnlav</t>
        </is>
      </c>
      <c r="S175">
        <f>HYPERLINK("https://klasma.github.io/Logging_2283/artfynd/A 19166-2020 artfynd.xlsx", "A 19166-2020")</f>
        <v/>
      </c>
      <c r="T175">
        <f>HYPERLINK("https://klasma.github.io/Logging_2283/kartor/A 19166-2020 karta.png", "A 19166-2020")</f>
        <v/>
      </c>
      <c r="V175">
        <f>HYPERLINK("https://klasma.github.io/Logging_2283/klagomål/A 19166-2020 FSC-klagomål.docx", "A 19166-2020")</f>
        <v/>
      </c>
      <c r="W175">
        <f>HYPERLINK("https://klasma.github.io/Logging_2283/klagomålsmail/A 19166-2020 FSC-klagomål mail.docx", "A 19166-2020")</f>
        <v/>
      </c>
      <c r="X175">
        <f>HYPERLINK("https://klasma.github.io/Logging_2283/tillsyn/A 19166-2020 tillsynsbegäran.docx", "A 19166-2020")</f>
        <v/>
      </c>
      <c r="Y175">
        <f>HYPERLINK("https://klasma.github.io/Logging_2283/tillsynsmail/A 19166-2020 tillsynsbegäran mail.docx", "A 19166-2020")</f>
        <v/>
      </c>
    </row>
    <row r="176" ht="15" customHeight="1">
      <c r="A176" t="inlineStr">
        <is>
          <t>A 24641-2020</t>
        </is>
      </c>
      <c r="B176" s="1" t="n">
        <v>43977</v>
      </c>
      <c r="C176" s="1" t="n">
        <v>45268</v>
      </c>
      <c r="D176" t="inlineStr">
        <is>
          <t>VÄSTERNORRLANDS LÄN</t>
        </is>
      </c>
      <c r="E176" t="inlineStr">
        <is>
          <t>SOLLEFTEÅ</t>
        </is>
      </c>
      <c r="F176" t="inlineStr">
        <is>
          <t>SCA</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HYPERLINK("https://klasma.github.io/Logging_2283/artfynd/A 24641-2020 artfynd.xlsx", "A 24641-2020")</f>
        <v/>
      </c>
      <c r="T176">
        <f>HYPERLINK("https://klasma.github.io/Logging_2283/kartor/A 24641-2020 karta.png", "A 24641-2020")</f>
        <v/>
      </c>
      <c r="U176">
        <f>HYPERLINK("https://klasma.github.io/Logging_2283/knärot/A 24641-2020 karta knärot.png", "A 24641-2020")</f>
        <v/>
      </c>
      <c r="V176">
        <f>HYPERLINK("https://klasma.github.io/Logging_2283/klagomål/A 24641-2020 FSC-klagomål.docx", "A 24641-2020")</f>
        <v/>
      </c>
      <c r="W176">
        <f>HYPERLINK("https://klasma.github.io/Logging_2283/klagomålsmail/A 24641-2020 FSC-klagomål mail.docx", "A 24641-2020")</f>
        <v/>
      </c>
      <c r="X176">
        <f>HYPERLINK("https://klasma.github.io/Logging_2283/tillsyn/A 24641-2020 tillsynsbegäran.docx", "A 24641-2020")</f>
        <v/>
      </c>
      <c r="Y176">
        <f>HYPERLINK("https://klasma.github.io/Logging_2283/tillsynsmail/A 24641-2020 tillsynsbegäran mail.docx", "A 24641-2020")</f>
        <v/>
      </c>
    </row>
    <row r="177" ht="15" customHeight="1">
      <c r="A177" t="inlineStr">
        <is>
          <t>A 33612-2020</t>
        </is>
      </c>
      <c r="B177" s="1" t="n">
        <v>44025</v>
      </c>
      <c r="C177" s="1" t="n">
        <v>45268</v>
      </c>
      <c r="D177" t="inlineStr">
        <is>
          <t>VÄSTERNORRLANDS LÄN</t>
        </is>
      </c>
      <c r="E177" t="inlineStr">
        <is>
          <t>SOLLEFTEÅ</t>
        </is>
      </c>
      <c r="F177" t="inlineStr">
        <is>
          <t>SCA</t>
        </is>
      </c>
      <c r="G177" t="n">
        <v>2.3</v>
      </c>
      <c r="H177" t="n">
        <v>0</v>
      </c>
      <c r="I177" t="n">
        <v>0</v>
      </c>
      <c r="J177" t="n">
        <v>1</v>
      </c>
      <c r="K177" t="n">
        <v>0</v>
      </c>
      <c r="L177" t="n">
        <v>0</v>
      </c>
      <c r="M177" t="n">
        <v>0</v>
      </c>
      <c r="N177" t="n">
        <v>0</v>
      </c>
      <c r="O177" t="n">
        <v>1</v>
      </c>
      <c r="P177" t="n">
        <v>0</v>
      </c>
      <c r="Q177" t="n">
        <v>1</v>
      </c>
      <c r="R177" s="2" t="inlineStr">
        <is>
          <t>Dvärgbägarlav</t>
        </is>
      </c>
      <c r="S177">
        <f>HYPERLINK("https://klasma.github.io/Logging_2283/artfynd/A 33612-2020 artfynd.xlsx", "A 33612-2020")</f>
        <v/>
      </c>
      <c r="T177">
        <f>HYPERLINK("https://klasma.github.io/Logging_2283/kartor/A 33612-2020 karta.png", "A 33612-2020")</f>
        <v/>
      </c>
      <c r="V177">
        <f>HYPERLINK("https://klasma.github.io/Logging_2283/klagomål/A 33612-2020 FSC-klagomål.docx", "A 33612-2020")</f>
        <v/>
      </c>
      <c r="W177">
        <f>HYPERLINK("https://klasma.github.io/Logging_2283/klagomålsmail/A 33612-2020 FSC-klagomål mail.docx", "A 33612-2020")</f>
        <v/>
      </c>
      <c r="X177">
        <f>HYPERLINK("https://klasma.github.io/Logging_2283/tillsyn/A 33612-2020 tillsynsbegäran.docx", "A 33612-2020")</f>
        <v/>
      </c>
      <c r="Y177">
        <f>HYPERLINK("https://klasma.github.io/Logging_2283/tillsynsmail/A 33612-2020 tillsynsbegäran mail.docx", "A 33612-2020")</f>
        <v/>
      </c>
    </row>
    <row r="178" ht="15" customHeight="1">
      <c r="A178" t="inlineStr">
        <is>
          <t>A 47840-2020</t>
        </is>
      </c>
      <c r="B178" s="1" t="n">
        <v>44098</v>
      </c>
      <c r="C178" s="1" t="n">
        <v>45268</v>
      </c>
      <c r="D178" t="inlineStr">
        <is>
          <t>VÄSTERNORRLANDS LÄN</t>
        </is>
      </c>
      <c r="E178" t="inlineStr">
        <is>
          <t>SOLLEFTEÅ</t>
        </is>
      </c>
      <c r="F178" t="inlineStr">
        <is>
          <t>SCA</t>
        </is>
      </c>
      <c r="G178" t="n">
        <v>9.699999999999999</v>
      </c>
      <c r="H178" t="n">
        <v>1</v>
      </c>
      <c r="I178" t="n">
        <v>0</v>
      </c>
      <c r="J178" t="n">
        <v>0</v>
      </c>
      <c r="K178" t="n">
        <v>1</v>
      </c>
      <c r="L178" t="n">
        <v>0</v>
      </c>
      <c r="M178" t="n">
        <v>0</v>
      </c>
      <c r="N178" t="n">
        <v>0</v>
      </c>
      <c r="O178" t="n">
        <v>1</v>
      </c>
      <c r="P178" t="n">
        <v>1</v>
      </c>
      <c r="Q178" t="n">
        <v>1</v>
      </c>
      <c r="R178" s="2" t="inlineStr">
        <is>
          <t>Knärot</t>
        </is>
      </c>
      <c r="S178">
        <f>HYPERLINK("https://klasma.github.io/Logging_2283/artfynd/A 47840-2020 artfynd.xlsx", "A 47840-2020")</f>
        <v/>
      </c>
      <c r="T178">
        <f>HYPERLINK("https://klasma.github.io/Logging_2283/kartor/A 47840-2020 karta.png", "A 47840-2020")</f>
        <v/>
      </c>
      <c r="U178">
        <f>HYPERLINK("https://klasma.github.io/Logging_2283/knärot/A 47840-2020 karta knärot.png", "A 47840-2020")</f>
        <v/>
      </c>
      <c r="V178">
        <f>HYPERLINK("https://klasma.github.io/Logging_2283/klagomål/A 47840-2020 FSC-klagomål.docx", "A 47840-2020")</f>
        <v/>
      </c>
      <c r="W178">
        <f>HYPERLINK("https://klasma.github.io/Logging_2283/klagomålsmail/A 47840-2020 FSC-klagomål mail.docx", "A 47840-2020")</f>
        <v/>
      </c>
      <c r="X178">
        <f>HYPERLINK("https://klasma.github.io/Logging_2283/tillsyn/A 47840-2020 tillsynsbegäran.docx", "A 47840-2020")</f>
        <v/>
      </c>
      <c r="Y178">
        <f>HYPERLINK("https://klasma.github.io/Logging_2283/tillsynsmail/A 47840-2020 tillsynsbegäran mail.docx", "A 47840-2020")</f>
        <v/>
      </c>
    </row>
    <row r="179" ht="15" customHeight="1">
      <c r="A179" t="inlineStr">
        <is>
          <t>A 68651-2020</t>
        </is>
      </c>
      <c r="B179" s="1" t="n">
        <v>44186</v>
      </c>
      <c r="C179" s="1" t="n">
        <v>45268</v>
      </c>
      <c r="D179" t="inlineStr">
        <is>
          <t>VÄSTERNORRLANDS LÄN</t>
        </is>
      </c>
      <c r="E179" t="inlineStr">
        <is>
          <t>SOLLEFTEÅ</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HYPERLINK("https://klasma.github.io/Logging_2283/artfynd/A 68651-2020 artfynd.xlsx", "A 68651-2020")</f>
        <v/>
      </c>
      <c r="T179">
        <f>HYPERLINK("https://klasma.github.io/Logging_2283/kartor/A 68651-2020 karta.png", "A 68651-2020")</f>
        <v/>
      </c>
      <c r="V179">
        <f>HYPERLINK("https://klasma.github.io/Logging_2283/klagomål/A 68651-2020 FSC-klagomål.docx", "A 68651-2020")</f>
        <v/>
      </c>
      <c r="W179">
        <f>HYPERLINK("https://klasma.github.io/Logging_2283/klagomålsmail/A 68651-2020 FSC-klagomål mail.docx", "A 68651-2020")</f>
        <v/>
      </c>
      <c r="X179">
        <f>HYPERLINK("https://klasma.github.io/Logging_2283/tillsyn/A 68651-2020 tillsynsbegäran.docx", "A 68651-2020")</f>
        <v/>
      </c>
      <c r="Y179">
        <f>HYPERLINK("https://klasma.github.io/Logging_2283/tillsynsmail/A 68651-2020 tillsynsbegäran mail.docx", "A 68651-2020")</f>
        <v/>
      </c>
    </row>
    <row r="180" ht="15" customHeight="1">
      <c r="A180" t="inlineStr">
        <is>
          <t>A 68789-2020</t>
        </is>
      </c>
      <c r="B180" s="1" t="n">
        <v>44186</v>
      </c>
      <c r="C180" s="1" t="n">
        <v>45268</v>
      </c>
      <c r="D180" t="inlineStr">
        <is>
          <t>VÄSTERNORRLANDS LÄN</t>
        </is>
      </c>
      <c r="E180" t="inlineStr">
        <is>
          <t>SOLLEFTEÅ</t>
        </is>
      </c>
      <c r="G180" t="n">
        <v>2.1</v>
      </c>
      <c r="H180" t="n">
        <v>0</v>
      </c>
      <c r="I180" t="n">
        <v>1</v>
      </c>
      <c r="J180" t="n">
        <v>0</v>
      </c>
      <c r="K180" t="n">
        <v>0</v>
      </c>
      <c r="L180" t="n">
        <v>0</v>
      </c>
      <c r="M180" t="n">
        <v>0</v>
      </c>
      <c r="N180" t="n">
        <v>0</v>
      </c>
      <c r="O180" t="n">
        <v>0</v>
      </c>
      <c r="P180" t="n">
        <v>0</v>
      </c>
      <c r="Q180" t="n">
        <v>1</v>
      </c>
      <c r="R180" s="2" t="inlineStr">
        <is>
          <t>Svart trolldruva</t>
        </is>
      </c>
      <c r="S180">
        <f>HYPERLINK("https://klasma.github.io/Logging_2283/artfynd/A 68789-2020 artfynd.xlsx", "A 68789-2020")</f>
        <v/>
      </c>
      <c r="T180">
        <f>HYPERLINK("https://klasma.github.io/Logging_2283/kartor/A 68789-2020 karta.png", "A 68789-2020")</f>
        <v/>
      </c>
      <c r="U180">
        <f>HYPERLINK("https://klasma.github.io/Logging_2283/knärot/A 68789-2020 karta knärot.png", "A 68789-2020")</f>
        <v/>
      </c>
      <c r="V180">
        <f>HYPERLINK("https://klasma.github.io/Logging_2283/klagomål/A 68789-2020 FSC-klagomål.docx", "A 68789-2020")</f>
        <v/>
      </c>
      <c r="W180">
        <f>HYPERLINK("https://klasma.github.io/Logging_2283/klagomålsmail/A 68789-2020 FSC-klagomål mail.docx", "A 68789-2020")</f>
        <v/>
      </c>
      <c r="X180">
        <f>HYPERLINK("https://klasma.github.io/Logging_2283/tillsyn/A 68789-2020 tillsynsbegäran.docx", "A 68789-2020")</f>
        <v/>
      </c>
      <c r="Y180">
        <f>HYPERLINK("https://klasma.github.io/Logging_2283/tillsynsmail/A 68789-2020 tillsynsbegäran mail.docx", "A 68789-2020")</f>
        <v/>
      </c>
    </row>
    <row r="181" ht="15" customHeight="1">
      <c r="A181" t="inlineStr">
        <is>
          <t>A 17377-2021</t>
        </is>
      </c>
      <c r="B181" s="1" t="n">
        <v>44298</v>
      </c>
      <c r="C181" s="1" t="n">
        <v>45268</v>
      </c>
      <c r="D181" t="inlineStr">
        <is>
          <t>VÄSTERNORRLANDS LÄN</t>
        </is>
      </c>
      <c r="E181" t="inlineStr">
        <is>
          <t>SOLLEFTEÅ</t>
        </is>
      </c>
      <c r="G181" t="n">
        <v>5.1</v>
      </c>
      <c r="H181" t="n">
        <v>0</v>
      </c>
      <c r="I181" t="n">
        <v>0</v>
      </c>
      <c r="J181" t="n">
        <v>1</v>
      </c>
      <c r="K181" t="n">
        <v>0</v>
      </c>
      <c r="L181" t="n">
        <v>0</v>
      </c>
      <c r="M181" t="n">
        <v>0</v>
      </c>
      <c r="N181" t="n">
        <v>0</v>
      </c>
      <c r="O181" t="n">
        <v>1</v>
      </c>
      <c r="P181" t="n">
        <v>0</v>
      </c>
      <c r="Q181" t="n">
        <v>1</v>
      </c>
      <c r="R181" s="2" t="inlineStr">
        <is>
          <t>Ullticka</t>
        </is>
      </c>
      <c r="S181">
        <f>HYPERLINK("https://klasma.github.io/Logging_2283/artfynd/A 17377-2021 artfynd.xlsx", "A 17377-2021")</f>
        <v/>
      </c>
      <c r="T181">
        <f>HYPERLINK("https://klasma.github.io/Logging_2283/kartor/A 17377-2021 karta.png", "A 17377-2021")</f>
        <v/>
      </c>
      <c r="V181">
        <f>HYPERLINK("https://klasma.github.io/Logging_2283/klagomål/A 17377-2021 FSC-klagomål.docx", "A 17377-2021")</f>
        <v/>
      </c>
      <c r="W181">
        <f>HYPERLINK("https://klasma.github.io/Logging_2283/klagomålsmail/A 17377-2021 FSC-klagomål mail.docx", "A 17377-2021")</f>
        <v/>
      </c>
      <c r="X181">
        <f>HYPERLINK("https://klasma.github.io/Logging_2283/tillsyn/A 17377-2021 tillsynsbegäran.docx", "A 17377-2021")</f>
        <v/>
      </c>
      <c r="Y181">
        <f>HYPERLINK("https://klasma.github.io/Logging_2283/tillsynsmail/A 17377-2021 tillsynsbegäran mail.docx", "A 17377-2021")</f>
        <v/>
      </c>
    </row>
    <row r="182" ht="15" customHeight="1">
      <c r="A182" t="inlineStr">
        <is>
          <t>A 18461-2021</t>
        </is>
      </c>
      <c r="B182" s="1" t="n">
        <v>44305</v>
      </c>
      <c r="C182" s="1" t="n">
        <v>45268</v>
      </c>
      <c r="D182" t="inlineStr">
        <is>
          <t>VÄSTERNORRLANDS LÄN</t>
        </is>
      </c>
      <c r="E182" t="inlineStr">
        <is>
          <t>SOLLEFTEÅ</t>
        </is>
      </c>
      <c r="F182" t="inlineStr">
        <is>
          <t>SCA</t>
        </is>
      </c>
      <c r="G182" t="n">
        <v>1.7</v>
      </c>
      <c r="H182" t="n">
        <v>1</v>
      </c>
      <c r="I182" t="n">
        <v>0</v>
      </c>
      <c r="J182" t="n">
        <v>1</v>
      </c>
      <c r="K182" t="n">
        <v>0</v>
      </c>
      <c r="L182" t="n">
        <v>0</v>
      </c>
      <c r="M182" t="n">
        <v>0</v>
      </c>
      <c r="N182" t="n">
        <v>0</v>
      </c>
      <c r="O182" t="n">
        <v>1</v>
      </c>
      <c r="P182" t="n">
        <v>0</v>
      </c>
      <c r="Q182" t="n">
        <v>1</v>
      </c>
      <c r="R182" s="2" t="inlineStr">
        <is>
          <t>Nordfladdermus</t>
        </is>
      </c>
      <c r="S182">
        <f>HYPERLINK("https://klasma.github.io/Logging_2283/artfynd/A 18461-2021 artfynd.xlsx", "A 18461-2021")</f>
        <v/>
      </c>
      <c r="T182">
        <f>HYPERLINK("https://klasma.github.io/Logging_2283/kartor/A 18461-2021 karta.png", "A 18461-2021")</f>
        <v/>
      </c>
      <c r="V182">
        <f>HYPERLINK("https://klasma.github.io/Logging_2283/klagomål/A 18461-2021 FSC-klagomål.docx", "A 18461-2021")</f>
        <v/>
      </c>
      <c r="W182">
        <f>HYPERLINK("https://klasma.github.io/Logging_2283/klagomålsmail/A 18461-2021 FSC-klagomål mail.docx", "A 18461-2021")</f>
        <v/>
      </c>
      <c r="X182">
        <f>HYPERLINK("https://klasma.github.io/Logging_2283/tillsyn/A 18461-2021 tillsynsbegäran.docx", "A 18461-2021")</f>
        <v/>
      </c>
      <c r="Y182">
        <f>HYPERLINK("https://klasma.github.io/Logging_2283/tillsynsmail/A 18461-2021 tillsynsbegäran mail.docx", "A 18461-2021")</f>
        <v/>
      </c>
    </row>
    <row r="183" ht="15" customHeight="1">
      <c r="A183" t="inlineStr">
        <is>
          <t>A 42224-2021</t>
        </is>
      </c>
      <c r="B183" s="1" t="n">
        <v>44426</v>
      </c>
      <c r="C183" s="1" t="n">
        <v>45268</v>
      </c>
      <c r="D183" t="inlineStr">
        <is>
          <t>VÄSTERNORRLANDS LÄN</t>
        </is>
      </c>
      <c r="E183" t="inlineStr">
        <is>
          <t>SOLLEFTEÅ</t>
        </is>
      </c>
      <c r="G183" t="n">
        <v>0.6</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42224-2021 artfynd.xlsx", "A 42224-2021")</f>
        <v/>
      </c>
      <c r="T183">
        <f>HYPERLINK("https://klasma.github.io/Logging_2283/kartor/A 42224-2021 karta.png", "A 42224-2021")</f>
        <v/>
      </c>
      <c r="V183">
        <f>HYPERLINK("https://klasma.github.io/Logging_2283/klagomål/A 42224-2021 FSC-klagomål.docx", "A 42224-2021")</f>
        <v/>
      </c>
      <c r="W183">
        <f>HYPERLINK("https://klasma.github.io/Logging_2283/klagomålsmail/A 42224-2021 FSC-klagomål mail.docx", "A 42224-2021")</f>
        <v/>
      </c>
      <c r="X183">
        <f>HYPERLINK("https://klasma.github.io/Logging_2283/tillsyn/A 42224-2021 tillsynsbegäran.docx", "A 42224-2021")</f>
        <v/>
      </c>
      <c r="Y183">
        <f>HYPERLINK("https://klasma.github.io/Logging_2283/tillsynsmail/A 42224-2021 tillsynsbegäran mail.docx", "A 42224-2021")</f>
        <v/>
      </c>
    </row>
    <row r="184" ht="15" customHeight="1">
      <c r="A184" t="inlineStr">
        <is>
          <t>A 51019-2021</t>
        </is>
      </c>
      <c r="B184" s="1" t="n">
        <v>44460</v>
      </c>
      <c r="C184" s="1" t="n">
        <v>45268</v>
      </c>
      <c r="D184" t="inlineStr">
        <is>
          <t>VÄSTERNORRLANDS LÄN</t>
        </is>
      </c>
      <c r="E184" t="inlineStr">
        <is>
          <t>SOLLEFTEÅ</t>
        </is>
      </c>
      <c r="F184" t="inlineStr">
        <is>
          <t>SCA</t>
        </is>
      </c>
      <c r="G184" t="n">
        <v>2.1</v>
      </c>
      <c r="H184" t="n">
        <v>1</v>
      </c>
      <c r="I184" t="n">
        <v>0</v>
      </c>
      <c r="J184" t="n">
        <v>0</v>
      </c>
      <c r="K184" t="n">
        <v>0</v>
      </c>
      <c r="L184" t="n">
        <v>0</v>
      </c>
      <c r="M184" t="n">
        <v>0</v>
      </c>
      <c r="N184" t="n">
        <v>0</v>
      </c>
      <c r="O184" t="n">
        <v>0</v>
      </c>
      <c r="P184" t="n">
        <v>0</v>
      </c>
      <c r="Q184" t="n">
        <v>1</v>
      </c>
      <c r="R184" s="2" t="inlineStr">
        <is>
          <t>Fläcknycklar</t>
        </is>
      </c>
      <c r="S184">
        <f>HYPERLINK("https://klasma.github.io/Logging_2283/artfynd/A 51019-2021 artfynd.xlsx", "A 51019-2021")</f>
        <v/>
      </c>
      <c r="T184">
        <f>HYPERLINK("https://klasma.github.io/Logging_2283/kartor/A 51019-2021 karta.png", "A 51019-2021")</f>
        <v/>
      </c>
      <c r="V184">
        <f>HYPERLINK("https://klasma.github.io/Logging_2283/klagomål/A 51019-2021 FSC-klagomål.docx", "A 51019-2021")</f>
        <v/>
      </c>
      <c r="W184">
        <f>HYPERLINK("https://klasma.github.io/Logging_2283/klagomålsmail/A 51019-2021 FSC-klagomål mail.docx", "A 51019-2021")</f>
        <v/>
      </c>
      <c r="X184">
        <f>HYPERLINK("https://klasma.github.io/Logging_2283/tillsyn/A 51019-2021 tillsynsbegäran.docx", "A 51019-2021")</f>
        <v/>
      </c>
      <c r="Y184">
        <f>HYPERLINK("https://klasma.github.io/Logging_2283/tillsynsmail/A 51019-2021 tillsynsbegäran mail.docx", "A 51019-2021")</f>
        <v/>
      </c>
    </row>
    <row r="185" ht="15" customHeight="1">
      <c r="A185" t="inlineStr">
        <is>
          <t>A 67402-2021</t>
        </is>
      </c>
      <c r="B185" s="1" t="n">
        <v>44523</v>
      </c>
      <c r="C185" s="1" t="n">
        <v>45268</v>
      </c>
      <c r="D185" t="inlineStr">
        <is>
          <t>VÄSTERNORRLANDS LÄN</t>
        </is>
      </c>
      <c r="E185" t="inlineStr">
        <is>
          <t>SOLLEFTEÅ</t>
        </is>
      </c>
      <c r="F185" t="inlineStr">
        <is>
          <t>SCA</t>
        </is>
      </c>
      <c r="G185" t="n">
        <v>11</v>
      </c>
      <c r="H185" t="n">
        <v>1</v>
      </c>
      <c r="I185" t="n">
        <v>0</v>
      </c>
      <c r="J185" t="n">
        <v>0</v>
      </c>
      <c r="K185" t="n">
        <v>1</v>
      </c>
      <c r="L185" t="n">
        <v>0</v>
      </c>
      <c r="M185" t="n">
        <v>0</v>
      </c>
      <c r="N185" t="n">
        <v>0</v>
      </c>
      <c r="O185" t="n">
        <v>1</v>
      </c>
      <c r="P185" t="n">
        <v>1</v>
      </c>
      <c r="Q185" t="n">
        <v>1</v>
      </c>
      <c r="R185" s="2" t="inlineStr">
        <is>
          <t>Knärot</t>
        </is>
      </c>
      <c r="S185">
        <f>HYPERLINK("https://klasma.github.io/Logging_2283/artfynd/A 67402-2021 artfynd.xlsx", "A 67402-2021")</f>
        <v/>
      </c>
      <c r="T185">
        <f>HYPERLINK("https://klasma.github.io/Logging_2283/kartor/A 67402-2021 karta.png", "A 67402-2021")</f>
        <v/>
      </c>
      <c r="U185">
        <f>HYPERLINK("https://klasma.github.io/Logging_2283/knärot/A 67402-2021 karta knärot.png", "A 67402-2021")</f>
        <v/>
      </c>
      <c r="V185">
        <f>HYPERLINK("https://klasma.github.io/Logging_2283/klagomål/A 67402-2021 FSC-klagomål.docx", "A 67402-2021")</f>
        <v/>
      </c>
      <c r="W185">
        <f>HYPERLINK("https://klasma.github.io/Logging_2283/klagomålsmail/A 67402-2021 FSC-klagomål mail.docx", "A 67402-2021")</f>
        <v/>
      </c>
      <c r="X185">
        <f>HYPERLINK("https://klasma.github.io/Logging_2283/tillsyn/A 67402-2021 tillsynsbegäran.docx", "A 67402-2021")</f>
        <v/>
      </c>
      <c r="Y185">
        <f>HYPERLINK("https://klasma.github.io/Logging_2283/tillsynsmail/A 67402-2021 tillsynsbegäran mail.docx", "A 67402-2021")</f>
        <v/>
      </c>
    </row>
    <row r="186" ht="15" customHeight="1">
      <c r="A186" t="inlineStr">
        <is>
          <t>A 68781-2021</t>
        </is>
      </c>
      <c r="B186" s="1" t="n">
        <v>44529</v>
      </c>
      <c r="C186" s="1" t="n">
        <v>45268</v>
      </c>
      <c r="D186" t="inlineStr">
        <is>
          <t>VÄSTERNORRLANDS LÄN</t>
        </is>
      </c>
      <c r="E186" t="inlineStr">
        <is>
          <t>SOLLEFTEÅ</t>
        </is>
      </c>
      <c r="F186" t="inlineStr">
        <is>
          <t>SCA</t>
        </is>
      </c>
      <c r="G186" t="n">
        <v>1.9</v>
      </c>
      <c r="H186" t="n">
        <v>1</v>
      </c>
      <c r="I186" t="n">
        <v>0</v>
      </c>
      <c r="J186" t="n">
        <v>0</v>
      </c>
      <c r="K186" t="n">
        <v>1</v>
      </c>
      <c r="L186" t="n">
        <v>0</v>
      </c>
      <c r="M186" t="n">
        <v>0</v>
      </c>
      <c r="N186" t="n">
        <v>0</v>
      </c>
      <c r="O186" t="n">
        <v>1</v>
      </c>
      <c r="P186" t="n">
        <v>1</v>
      </c>
      <c r="Q186" t="n">
        <v>1</v>
      </c>
      <c r="R186" s="2" t="inlineStr">
        <is>
          <t>Doftticka</t>
        </is>
      </c>
      <c r="S186">
        <f>HYPERLINK("https://klasma.github.io/Logging_2283/artfynd/A 68781-2021 artfynd.xlsx", "A 68781-2021")</f>
        <v/>
      </c>
      <c r="T186">
        <f>HYPERLINK("https://klasma.github.io/Logging_2283/kartor/A 68781-2021 karta.png", "A 68781-2021")</f>
        <v/>
      </c>
      <c r="V186">
        <f>HYPERLINK("https://klasma.github.io/Logging_2283/klagomål/A 68781-2021 FSC-klagomål.docx", "A 68781-2021")</f>
        <v/>
      </c>
      <c r="W186">
        <f>HYPERLINK("https://klasma.github.io/Logging_2283/klagomålsmail/A 68781-2021 FSC-klagomål mail.docx", "A 68781-2021")</f>
        <v/>
      </c>
      <c r="X186">
        <f>HYPERLINK("https://klasma.github.io/Logging_2283/tillsyn/A 68781-2021 tillsynsbegäran.docx", "A 68781-2021")</f>
        <v/>
      </c>
      <c r="Y186">
        <f>HYPERLINK("https://klasma.github.io/Logging_2283/tillsynsmail/A 68781-2021 tillsynsbegäran mail.docx", "A 68781-2021")</f>
        <v/>
      </c>
    </row>
    <row r="187" ht="15" customHeight="1">
      <c r="A187" t="inlineStr">
        <is>
          <t>A 71349-2021</t>
        </is>
      </c>
      <c r="B187" s="1" t="n">
        <v>44539</v>
      </c>
      <c r="C187" s="1" t="n">
        <v>45268</v>
      </c>
      <c r="D187" t="inlineStr">
        <is>
          <t>VÄSTERNORRLANDS LÄN</t>
        </is>
      </c>
      <c r="E187" t="inlineStr">
        <is>
          <t>SOLLEFTEÅ</t>
        </is>
      </c>
      <c r="G187" t="n">
        <v>0.5</v>
      </c>
      <c r="H187" t="n">
        <v>1</v>
      </c>
      <c r="I187" t="n">
        <v>0</v>
      </c>
      <c r="J187" t="n">
        <v>1</v>
      </c>
      <c r="K187" t="n">
        <v>0</v>
      </c>
      <c r="L187" t="n">
        <v>0</v>
      </c>
      <c r="M187" t="n">
        <v>0</v>
      </c>
      <c r="N187" t="n">
        <v>0</v>
      </c>
      <c r="O187" t="n">
        <v>1</v>
      </c>
      <c r="P187" t="n">
        <v>0</v>
      </c>
      <c r="Q187" t="n">
        <v>1</v>
      </c>
      <c r="R187" s="2" t="inlineStr">
        <is>
          <t>Björktrast</t>
        </is>
      </c>
      <c r="S187">
        <f>HYPERLINK("https://klasma.github.io/Logging_2283/artfynd/A 71349-2021 artfynd.xlsx", "A 71349-2021")</f>
        <v/>
      </c>
      <c r="T187">
        <f>HYPERLINK("https://klasma.github.io/Logging_2283/kartor/A 71349-2021 karta.png", "A 71349-2021")</f>
        <v/>
      </c>
      <c r="V187">
        <f>HYPERLINK("https://klasma.github.io/Logging_2283/klagomål/A 71349-2021 FSC-klagomål.docx", "A 71349-2021")</f>
        <v/>
      </c>
      <c r="W187">
        <f>HYPERLINK("https://klasma.github.io/Logging_2283/klagomålsmail/A 71349-2021 FSC-klagomål mail.docx", "A 71349-2021")</f>
        <v/>
      </c>
      <c r="X187">
        <f>HYPERLINK("https://klasma.github.io/Logging_2283/tillsyn/A 71349-2021 tillsynsbegäran.docx", "A 71349-2021")</f>
        <v/>
      </c>
      <c r="Y187">
        <f>HYPERLINK("https://klasma.github.io/Logging_2283/tillsynsmail/A 71349-2021 tillsynsbegäran mail.docx", "A 71349-2021")</f>
        <v/>
      </c>
    </row>
    <row r="188" ht="15" customHeight="1">
      <c r="A188" t="inlineStr">
        <is>
          <t>A 15669-2022</t>
        </is>
      </c>
      <c r="B188" s="1" t="n">
        <v>44662</v>
      </c>
      <c r="C188" s="1" t="n">
        <v>45268</v>
      </c>
      <c r="D188" t="inlineStr">
        <is>
          <t>VÄSTERNORRLANDS LÄN</t>
        </is>
      </c>
      <c r="E188" t="inlineStr">
        <is>
          <t>SOLLEFTEÅ</t>
        </is>
      </c>
      <c r="G188" t="n">
        <v>12.1</v>
      </c>
      <c r="H188" t="n">
        <v>0</v>
      </c>
      <c r="I188" t="n">
        <v>1</v>
      </c>
      <c r="J188" t="n">
        <v>0</v>
      </c>
      <c r="K188" t="n">
        <v>0</v>
      </c>
      <c r="L188" t="n">
        <v>0</v>
      </c>
      <c r="M188" t="n">
        <v>0</v>
      </c>
      <c r="N188" t="n">
        <v>0</v>
      </c>
      <c r="O188" t="n">
        <v>0</v>
      </c>
      <c r="P188" t="n">
        <v>0</v>
      </c>
      <c r="Q188" t="n">
        <v>1</v>
      </c>
      <c r="R188" s="2" t="inlineStr">
        <is>
          <t>Skinnlav</t>
        </is>
      </c>
      <c r="S188">
        <f>HYPERLINK("https://klasma.github.io/Logging_2283/artfynd/A 15669-2022 artfynd.xlsx", "A 15669-2022")</f>
        <v/>
      </c>
      <c r="T188">
        <f>HYPERLINK("https://klasma.github.io/Logging_2283/kartor/A 15669-2022 karta.png", "A 15669-2022")</f>
        <v/>
      </c>
      <c r="V188">
        <f>HYPERLINK("https://klasma.github.io/Logging_2283/klagomål/A 15669-2022 FSC-klagomål.docx", "A 15669-2022")</f>
        <v/>
      </c>
      <c r="W188">
        <f>HYPERLINK("https://klasma.github.io/Logging_2283/klagomålsmail/A 15669-2022 FSC-klagomål mail.docx", "A 15669-2022")</f>
        <v/>
      </c>
      <c r="X188">
        <f>HYPERLINK("https://klasma.github.io/Logging_2283/tillsyn/A 15669-2022 tillsynsbegäran.docx", "A 15669-2022")</f>
        <v/>
      </c>
      <c r="Y188">
        <f>HYPERLINK("https://klasma.github.io/Logging_2283/tillsynsmail/A 15669-2022 tillsynsbegäran mail.docx", "A 15669-2022")</f>
        <v/>
      </c>
    </row>
    <row r="189" ht="15" customHeight="1">
      <c r="A189" t="inlineStr">
        <is>
          <t>A 16269-2022</t>
        </is>
      </c>
      <c r="B189" s="1" t="n">
        <v>44670</v>
      </c>
      <c r="C189" s="1" t="n">
        <v>45268</v>
      </c>
      <c r="D189" t="inlineStr">
        <is>
          <t>VÄSTERNORRLANDS LÄN</t>
        </is>
      </c>
      <c r="E189" t="inlineStr">
        <is>
          <t>SOLLEFTEÅ</t>
        </is>
      </c>
      <c r="F189" t="inlineStr">
        <is>
          <t>Holmen skog AB</t>
        </is>
      </c>
      <c r="G189" t="n">
        <v>4.6</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16269-2022 artfynd.xlsx", "A 16269-2022")</f>
        <v/>
      </c>
      <c r="T189">
        <f>HYPERLINK("https://klasma.github.io/Logging_2283/kartor/A 16269-2022 karta.png", "A 16269-2022")</f>
        <v/>
      </c>
      <c r="V189">
        <f>HYPERLINK("https://klasma.github.io/Logging_2283/klagomål/A 16269-2022 FSC-klagomål.docx", "A 16269-2022")</f>
        <v/>
      </c>
      <c r="W189">
        <f>HYPERLINK("https://klasma.github.io/Logging_2283/klagomålsmail/A 16269-2022 FSC-klagomål mail.docx", "A 16269-2022")</f>
        <v/>
      </c>
      <c r="X189">
        <f>HYPERLINK("https://klasma.github.io/Logging_2283/tillsyn/A 16269-2022 tillsynsbegäran.docx", "A 16269-2022")</f>
        <v/>
      </c>
      <c r="Y189">
        <f>HYPERLINK("https://klasma.github.io/Logging_2283/tillsynsmail/A 16269-2022 tillsynsbegäran mail.docx", "A 16269-2022")</f>
        <v/>
      </c>
    </row>
    <row r="190" ht="15" customHeight="1">
      <c r="A190" t="inlineStr">
        <is>
          <t>A 21708-2022</t>
        </is>
      </c>
      <c r="B190" s="1" t="n">
        <v>44707</v>
      </c>
      <c r="C190" s="1" t="n">
        <v>45268</v>
      </c>
      <c r="D190" t="inlineStr">
        <is>
          <t>VÄSTERNORRLANDS LÄN</t>
        </is>
      </c>
      <c r="E190" t="inlineStr">
        <is>
          <t>SOLLEFTEÅ</t>
        </is>
      </c>
      <c r="F190" t="inlineStr">
        <is>
          <t>SCA</t>
        </is>
      </c>
      <c r="G190" t="n">
        <v>2.6</v>
      </c>
      <c r="H190" t="n">
        <v>0</v>
      </c>
      <c r="I190" t="n">
        <v>0</v>
      </c>
      <c r="J190" t="n">
        <v>1</v>
      </c>
      <c r="K190" t="n">
        <v>0</v>
      </c>
      <c r="L190" t="n">
        <v>0</v>
      </c>
      <c r="M190" t="n">
        <v>0</v>
      </c>
      <c r="N190" t="n">
        <v>0</v>
      </c>
      <c r="O190" t="n">
        <v>1</v>
      </c>
      <c r="P190" t="n">
        <v>0</v>
      </c>
      <c r="Q190" t="n">
        <v>1</v>
      </c>
      <c r="R190" s="2" t="inlineStr">
        <is>
          <t>Lunglav</t>
        </is>
      </c>
      <c r="S190">
        <f>HYPERLINK("https://klasma.github.io/Logging_2283/artfynd/A 21708-2022 artfynd.xlsx", "A 21708-2022")</f>
        <v/>
      </c>
      <c r="T190">
        <f>HYPERLINK("https://klasma.github.io/Logging_2283/kartor/A 21708-2022 karta.png", "A 21708-2022")</f>
        <v/>
      </c>
      <c r="V190">
        <f>HYPERLINK("https://klasma.github.io/Logging_2283/klagomål/A 21708-2022 FSC-klagomål.docx", "A 21708-2022")</f>
        <v/>
      </c>
      <c r="W190">
        <f>HYPERLINK("https://klasma.github.io/Logging_2283/klagomålsmail/A 21708-2022 FSC-klagomål mail.docx", "A 21708-2022")</f>
        <v/>
      </c>
      <c r="X190">
        <f>HYPERLINK("https://klasma.github.io/Logging_2283/tillsyn/A 21708-2022 tillsynsbegäran.docx", "A 21708-2022")</f>
        <v/>
      </c>
      <c r="Y190">
        <f>HYPERLINK("https://klasma.github.io/Logging_2283/tillsynsmail/A 21708-2022 tillsynsbegäran mail.docx", "A 21708-2022")</f>
        <v/>
      </c>
    </row>
    <row r="191" ht="15" customHeight="1">
      <c r="A191" t="inlineStr">
        <is>
          <t>A 26121-2022</t>
        </is>
      </c>
      <c r="B191" s="1" t="n">
        <v>44734</v>
      </c>
      <c r="C191" s="1" t="n">
        <v>45268</v>
      </c>
      <c r="D191" t="inlineStr">
        <is>
          <t>VÄSTERNORRLANDS LÄN</t>
        </is>
      </c>
      <c r="E191" t="inlineStr">
        <is>
          <t>SOLLEFTEÅ</t>
        </is>
      </c>
      <c r="F191" t="inlineStr">
        <is>
          <t>SCA</t>
        </is>
      </c>
      <c r="G191" t="n">
        <v>6.3</v>
      </c>
      <c r="H191" t="n">
        <v>0</v>
      </c>
      <c r="I191" t="n">
        <v>0</v>
      </c>
      <c r="J191" t="n">
        <v>1</v>
      </c>
      <c r="K191" t="n">
        <v>0</v>
      </c>
      <c r="L191" t="n">
        <v>0</v>
      </c>
      <c r="M191" t="n">
        <v>0</v>
      </c>
      <c r="N191" t="n">
        <v>0</v>
      </c>
      <c r="O191" t="n">
        <v>1</v>
      </c>
      <c r="P191" t="n">
        <v>0</v>
      </c>
      <c r="Q191" t="n">
        <v>1</v>
      </c>
      <c r="R191" s="2" t="inlineStr">
        <is>
          <t>Veckticka</t>
        </is>
      </c>
      <c r="S191">
        <f>HYPERLINK("https://klasma.github.io/Logging_2283/artfynd/A 26121-2022 artfynd.xlsx", "A 26121-2022")</f>
        <v/>
      </c>
      <c r="T191">
        <f>HYPERLINK("https://klasma.github.io/Logging_2283/kartor/A 26121-2022 karta.png", "A 26121-2022")</f>
        <v/>
      </c>
      <c r="V191">
        <f>HYPERLINK("https://klasma.github.io/Logging_2283/klagomål/A 26121-2022 FSC-klagomål.docx", "A 26121-2022")</f>
        <v/>
      </c>
      <c r="W191">
        <f>HYPERLINK("https://klasma.github.io/Logging_2283/klagomålsmail/A 26121-2022 FSC-klagomål mail.docx", "A 26121-2022")</f>
        <v/>
      </c>
      <c r="X191">
        <f>HYPERLINK("https://klasma.github.io/Logging_2283/tillsyn/A 26121-2022 tillsynsbegäran.docx", "A 26121-2022")</f>
        <v/>
      </c>
      <c r="Y191">
        <f>HYPERLINK("https://klasma.github.io/Logging_2283/tillsynsmail/A 26121-2022 tillsynsbegäran mail.docx", "A 26121-2022")</f>
        <v/>
      </c>
    </row>
    <row r="192" ht="15" customHeight="1">
      <c r="A192" t="inlineStr">
        <is>
          <t>A 27106-2022</t>
        </is>
      </c>
      <c r="B192" s="1" t="n">
        <v>44741</v>
      </c>
      <c r="C192" s="1" t="n">
        <v>45268</v>
      </c>
      <c r="D192" t="inlineStr">
        <is>
          <t>VÄSTERNORRLANDS LÄN</t>
        </is>
      </c>
      <c r="E192" t="inlineStr">
        <is>
          <t>SOLLEFTEÅ</t>
        </is>
      </c>
      <c r="G192" t="n">
        <v>1.3</v>
      </c>
      <c r="H192" t="n">
        <v>1</v>
      </c>
      <c r="I192" t="n">
        <v>0</v>
      </c>
      <c r="J192" t="n">
        <v>0</v>
      </c>
      <c r="K192" t="n">
        <v>0</v>
      </c>
      <c r="L192" t="n">
        <v>0</v>
      </c>
      <c r="M192" t="n">
        <v>0</v>
      </c>
      <c r="N192" t="n">
        <v>0</v>
      </c>
      <c r="O192" t="n">
        <v>0</v>
      </c>
      <c r="P192" t="n">
        <v>0</v>
      </c>
      <c r="Q192" t="n">
        <v>1</v>
      </c>
      <c r="R192" s="2" t="inlineStr">
        <is>
          <t>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29037-2022</t>
        </is>
      </c>
      <c r="B193" s="1" t="n">
        <v>44749</v>
      </c>
      <c r="C193" s="1" t="n">
        <v>45268</v>
      </c>
      <c r="D193" t="inlineStr">
        <is>
          <t>VÄSTERNORRLANDS LÄN</t>
        </is>
      </c>
      <c r="E193" t="inlineStr">
        <is>
          <t>SOLLEFTEÅ</t>
        </is>
      </c>
      <c r="F193" t="inlineStr">
        <is>
          <t>SCA</t>
        </is>
      </c>
      <c r="G193" t="n">
        <v>1</v>
      </c>
      <c r="H193" t="n">
        <v>0</v>
      </c>
      <c r="I193" t="n">
        <v>1</v>
      </c>
      <c r="J193" t="n">
        <v>0</v>
      </c>
      <c r="K193" t="n">
        <v>0</v>
      </c>
      <c r="L193" t="n">
        <v>0</v>
      </c>
      <c r="M193" t="n">
        <v>0</v>
      </c>
      <c r="N193" t="n">
        <v>0</v>
      </c>
      <c r="O193" t="n">
        <v>0</v>
      </c>
      <c r="P193" t="n">
        <v>0</v>
      </c>
      <c r="Q193" t="n">
        <v>1</v>
      </c>
      <c r="R193" s="2" t="inlineStr">
        <is>
          <t>Vanlig flatbagge</t>
        </is>
      </c>
      <c r="S193">
        <f>HYPERLINK("https://klasma.github.io/Logging_2283/artfynd/A 29037-2022 artfynd.xlsx", "A 29037-2022")</f>
        <v/>
      </c>
      <c r="T193">
        <f>HYPERLINK("https://klasma.github.io/Logging_2283/kartor/A 29037-2022 karta.png", "A 29037-2022")</f>
        <v/>
      </c>
      <c r="V193">
        <f>HYPERLINK("https://klasma.github.io/Logging_2283/klagomål/A 29037-2022 FSC-klagomål.docx", "A 29037-2022")</f>
        <v/>
      </c>
      <c r="W193">
        <f>HYPERLINK("https://klasma.github.io/Logging_2283/klagomålsmail/A 29037-2022 FSC-klagomål mail.docx", "A 29037-2022")</f>
        <v/>
      </c>
      <c r="X193">
        <f>HYPERLINK("https://klasma.github.io/Logging_2283/tillsyn/A 29037-2022 tillsynsbegäran.docx", "A 29037-2022")</f>
        <v/>
      </c>
      <c r="Y193">
        <f>HYPERLINK("https://klasma.github.io/Logging_2283/tillsynsmail/A 29037-2022 tillsynsbegäran mail.docx", "A 29037-2022")</f>
        <v/>
      </c>
    </row>
    <row r="194" ht="15" customHeight="1">
      <c r="A194" t="inlineStr">
        <is>
          <t>A 33216-2022</t>
        </is>
      </c>
      <c r="B194" s="1" t="n">
        <v>44785</v>
      </c>
      <c r="C194" s="1" t="n">
        <v>45268</v>
      </c>
      <c r="D194" t="inlineStr">
        <is>
          <t>VÄSTERNORRLANDS LÄN</t>
        </is>
      </c>
      <c r="E194" t="inlineStr">
        <is>
          <t>SOLLEFTEÅ</t>
        </is>
      </c>
      <c r="F194" t="inlineStr">
        <is>
          <t>SCA</t>
        </is>
      </c>
      <c r="G194" t="n">
        <v>4.4</v>
      </c>
      <c r="H194" t="n">
        <v>0</v>
      </c>
      <c r="I194" t="n">
        <v>0</v>
      </c>
      <c r="J194" t="n">
        <v>0</v>
      </c>
      <c r="K194" t="n">
        <v>1</v>
      </c>
      <c r="L194" t="n">
        <v>0</v>
      </c>
      <c r="M194" t="n">
        <v>0</v>
      </c>
      <c r="N194" t="n">
        <v>0</v>
      </c>
      <c r="O194" t="n">
        <v>1</v>
      </c>
      <c r="P194" t="n">
        <v>1</v>
      </c>
      <c r="Q194" t="n">
        <v>1</v>
      </c>
      <c r="R194" s="2" t="inlineStr">
        <is>
          <t>Rynkskinn</t>
        </is>
      </c>
      <c r="S194">
        <f>HYPERLINK("https://klasma.github.io/Logging_2283/artfynd/A 33216-2022 artfynd.xlsx", "A 33216-2022")</f>
        <v/>
      </c>
      <c r="T194">
        <f>HYPERLINK("https://klasma.github.io/Logging_2283/kartor/A 33216-2022 karta.png", "A 33216-2022")</f>
        <v/>
      </c>
      <c r="V194">
        <f>HYPERLINK("https://klasma.github.io/Logging_2283/klagomål/A 33216-2022 FSC-klagomål.docx", "A 33216-2022")</f>
        <v/>
      </c>
      <c r="W194">
        <f>HYPERLINK("https://klasma.github.io/Logging_2283/klagomålsmail/A 33216-2022 FSC-klagomål mail.docx", "A 33216-2022")</f>
        <v/>
      </c>
      <c r="X194">
        <f>HYPERLINK("https://klasma.github.io/Logging_2283/tillsyn/A 33216-2022 tillsynsbegäran.docx", "A 33216-2022")</f>
        <v/>
      </c>
      <c r="Y194">
        <f>HYPERLINK("https://klasma.github.io/Logging_2283/tillsynsmail/A 33216-2022 tillsynsbegäran mail.docx", "A 33216-2022")</f>
        <v/>
      </c>
    </row>
    <row r="195" ht="15" customHeight="1">
      <c r="A195" t="inlineStr">
        <is>
          <t>A 33504-2022</t>
        </is>
      </c>
      <c r="B195" s="1" t="n">
        <v>44788</v>
      </c>
      <c r="C195" s="1" t="n">
        <v>45268</v>
      </c>
      <c r="D195" t="inlineStr">
        <is>
          <t>VÄSTERNORRLANDS LÄN</t>
        </is>
      </c>
      <c r="E195" t="inlineStr">
        <is>
          <t>SOLLEFTEÅ</t>
        </is>
      </c>
      <c r="F195" t="inlineStr">
        <is>
          <t>SCA</t>
        </is>
      </c>
      <c r="G195" t="n">
        <v>5.2</v>
      </c>
      <c r="H195" t="n">
        <v>1</v>
      </c>
      <c r="I195" t="n">
        <v>0</v>
      </c>
      <c r="J195" t="n">
        <v>0</v>
      </c>
      <c r="K195" t="n">
        <v>1</v>
      </c>
      <c r="L195" t="n">
        <v>0</v>
      </c>
      <c r="M195" t="n">
        <v>0</v>
      </c>
      <c r="N195" t="n">
        <v>0</v>
      </c>
      <c r="O195" t="n">
        <v>1</v>
      </c>
      <c r="P195" t="n">
        <v>1</v>
      </c>
      <c r="Q195" t="n">
        <v>1</v>
      </c>
      <c r="R195" s="2" t="inlineStr">
        <is>
          <t>Knärot</t>
        </is>
      </c>
      <c r="S195">
        <f>HYPERLINK("https://klasma.github.io/Logging_2283/artfynd/A 33504-2022 artfynd.xlsx", "A 33504-2022")</f>
        <v/>
      </c>
      <c r="T195">
        <f>HYPERLINK("https://klasma.github.io/Logging_2283/kartor/A 33504-2022 karta.png", "A 33504-2022")</f>
        <v/>
      </c>
      <c r="U195">
        <f>HYPERLINK("https://klasma.github.io/Logging_2283/knärot/A 33504-2022 karta knärot.png", "A 33504-2022")</f>
        <v/>
      </c>
      <c r="V195">
        <f>HYPERLINK("https://klasma.github.io/Logging_2283/klagomål/A 33504-2022 FSC-klagomål.docx", "A 33504-2022")</f>
        <v/>
      </c>
      <c r="W195">
        <f>HYPERLINK("https://klasma.github.io/Logging_2283/klagomålsmail/A 33504-2022 FSC-klagomål mail.docx", "A 33504-2022")</f>
        <v/>
      </c>
      <c r="X195">
        <f>HYPERLINK("https://klasma.github.io/Logging_2283/tillsyn/A 33504-2022 tillsynsbegäran.docx", "A 33504-2022")</f>
        <v/>
      </c>
      <c r="Y195">
        <f>HYPERLINK("https://klasma.github.io/Logging_2283/tillsynsmail/A 33504-2022 tillsynsbegäran mail.docx", "A 33504-2022")</f>
        <v/>
      </c>
    </row>
    <row r="196" ht="15" customHeight="1">
      <c r="A196" t="inlineStr">
        <is>
          <t>A 35013-2022</t>
        </is>
      </c>
      <c r="B196" s="1" t="n">
        <v>44796</v>
      </c>
      <c r="C196" s="1" t="n">
        <v>45268</v>
      </c>
      <c r="D196" t="inlineStr">
        <is>
          <t>VÄSTERNORRLANDS LÄN</t>
        </is>
      </c>
      <c r="E196" t="inlineStr">
        <is>
          <t>SOLLEFTEÅ</t>
        </is>
      </c>
      <c r="F196" t="inlineStr">
        <is>
          <t>SCA</t>
        </is>
      </c>
      <c r="G196" t="n">
        <v>2.1</v>
      </c>
      <c r="H196" t="n">
        <v>0</v>
      </c>
      <c r="I196" t="n">
        <v>0</v>
      </c>
      <c r="J196" t="n">
        <v>1</v>
      </c>
      <c r="K196" t="n">
        <v>0</v>
      </c>
      <c r="L196" t="n">
        <v>0</v>
      </c>
      <c r="M196" t="n">
        <v>0</v>
      </c>
      <c r="N196" t="n">
        <v>0</v>
      </c>
      <c r="O196" t="n">
        <v>1</v>
      </c>
      <c r="P196" t="n">
        <v>0</v>
      </c>
      <c r="Q196" t="n">
        <v>1</v>
      </c>
      <c r="R196" s="2" t="inlineStr">
        <is>
          <t>Rosenticka</t>
        </is>
      </c>
      <c r="S196">
        <f>HYPERLINK("https://klasma.github.io/Logging_2283/artfynd/A 35013-2022 artfynd.xlsx", "A 35013-2022")</f>
        <v/>
      </c>
      <c r="T196">
        <f>HYPERLINK("https://klasma.github.io/Logging_2283/kartor/A 35013-2022 karta.png", "A 35013-2022")</f>
        <v/>
      </c>
      <c r="V196">
        <f>HYPERLINK("https://klasma.github.io/Logging_2283/klagomål/A 35013-2022 FSC-klagomål.docx", "A 35013-2022")</f>
        <v/>
      </c>
      <c r="W196">
        <f>HYPERLINK("https://klasma.github.io/Logging_2283/klagomålsmail/A 35013-2022 FSC-klagomål mail.docx", "A 35013-2022")</f>
        <v/>
      </c>
      <c r="X196">
        <f>HYPERLINK("https://klasma.github.io/Logging_2283/tillsyn/A 35013-2022 tillsynsbegäran.docx", "A 35013-2022")</f>
        <v/>
      </c>
      <c r="Y196">
        <f>HYPERLINK("https://klasma.github.io/Logging_2283/tillsynsmail/A 35013-2022 tillsynsbegäran mail.docx", "A 35013-2022")</f>
        <v/>
      </c>
    </row>
    <row r="197" ht="15" customHeight="1">
      <c r="A197" t="inlineStr">
        <is>
          <t>A 38367-2022</t>
        </is>
      </c>
      <c r="B197" s="1" t="n">
        <v>44812</v>
      </c>
      <c r="C197" s="1" t="n">
        <v>45268</v>
      </c>
      <c r="D197" t="inlineStr">
        <is>
          <t>VÄSTERNORRLANDS LÄN</t>
        </is>
      </c>
      <c r="E197" t="inlineStr">
        <is>
          <t>SOLLEFTEÅ</t>
        </is>
      </c>
      <c r="F197" t="inlineStr">
        <is>
          <t>Kommuner</t>
        </is>
      </c>
      <c r="G197" t="n">
        <v>19.6</v>
      </c>
      <c r="H197" t="n">
        <v>0</v>
      </c>
      <c r="I197" t="n">
        <v>0</v>
      </c>
      <c r="J197" t="n">
        <v>1</v>
      </c>
      <c r="K197" t="n">
        <v>0</v>
      </c>
      <c r="L197" t="n">
        <v>0</v>
      </c>
      <c r="M197" t="n">
        <v>0</v>
      </c>
      <c r="N197" t="n">
        <v>0</v>
      </c>
      <c r="O197" t="n">
        <v>1</v>
      </c>
      <c r="P197" t="n">
        <v>0</v>
      </c>
      <c r="Q197" t="n">
        <v>1</v>
      </c>
      <c r="R197" s="2" t="inlineStr">
        <is>
          <t>Garnlav</t>
        </is>
      </c>
      <c r="S197">
        <f>HYPERLINK("https://klasma.github.io/Logging_2283/artfynd/A 38367-2022 artfynd.xlsx", "A 38367-2022")</f>
        <v/>
      </c>
      <c r="T197">
        <f>HYPERLINK("https://klasma.github.io/Logging_2283/kartor/A 38367-2022 karta.png", "A 38367-2022")</f>
        <v/>
      </c>
      <c r="V197">
        <f>HYPERLINK("https://klasma.github.io/Logging_2283/klagomål/A 38367-2022 FSC-klagomål.docx", "A 38367-2022")</f>
        <v/>
      </c>
      <c r="W197">
        <f>HYPERLINK("https://klasma.github.io/Logging_2283/klagomålsmail/A 38367-2022 FSC-klagomål mail.docx", "A 38367-2022")</f>
        <v/>
      </c>
      <c r="X197">
        <f>HYPERLINK("https://klasma.github.io/Logging_2283/tillsyn/A 38367-2022 tillsynsbegäran.docx", "A 38367-2022")</f>
        <v/>
      </c>
      <c r="Y197">
        <f>HYPERLINK("https://klasma.github.io/Logging_2283/tillsynsmail/A 38367-2022 tillsynsbegäran mail.docx", "A 38367-2022")</f>
        <v/>
      </c>
    </row>
    <row r="198" ht="15" customHeight="1">
      <c r="A198" t="inlineStr">
        <is>
          <t>A 38363-2022</t>
        </is>
      </c>
      <c r="B198" s="1" t="n">
        <v>44812</v>
      </c>
      <c r="C198" s="1" t="n">
        <v>45268</v>
      </c>
      <c r="D198" t="inlineStr">
        <is>
          <t>VÄSTERNORRLANDS LÄN</t>
        </is>
      </c>
      <c r="E198" t="inlineStr">
        <is>
          <t>SOLLEFTEÅ</t>
        </is>
      </c>
      <c r="F198" t="inlineStr">
        <is>
          <t>Kommuner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HYPERLINK("https://klasma.github.io/Logging_2283/artfynd/A 38363-2022 artfynd.xlsx", "A 38363-2022")</f>
        <v/>
      </c>
      <c r="T198">
        <f>HYPERLINK("https://klasma.github.io/Logging_2283/kartor/A 38363-2022 karta.png", "A 38363-2022")</f>
        <v/>
      </c>
      <c r="V198">
        <f>HYPERLINK("https://klasma.github.io/Logging_2283/klagomål/A 38363-2022 FSC-klagomål.docx", "A 38363-2022")</f>
        <v/>
      </c>
      <c r="W198">
        <f>HYPERLINK("https://klasma.github.io/Logging_2283/klagomålsmail/A 38363-2022 FSC-klagomål mail.docx", "A 38363-2022")</f>
        <v/>
      </c>
      <c r="X198">
        <f>HYPERLINK("https://klasma.github.io/Logging_2283/tillsyn/A 38363-2022 tillsynsbegäran.docx", "A 38363-2022")</f>
        <v/>
      </c>
      <c r="Y198">
        <f>HYPERLINK("https://klasma.github.io/Logging_2283/tillsynsmail/A 38363-2022 tillsynsbegäran mail.docx", "A 38363-2022")</f>
        <v/>
      </c>
    </row>
    <row r="199" ht="15" customHeight="1">
      <c r="A199" t="inlineStr">
        <is>
          <t>A 40626-2022</t>
        </is>
      </c>
      <c r="B199" s="1" t="n">
        <v>44824</v>
      </c>
      <c r="C199" s="1" t="n">
        <v>45268</v>
      </c>
      <c r="D199" t="inlineStr">
        <is>
          <t>VÄSTERNORRLANDS LÄN</t>
        </is>
      </c>
      <c r="E199" t="inlineStr">
        <is>
          <t>SOLLEFTEÅ</t>
        </is>
      </c>
      <c r="F199" t="inlineStr">
        <is>
          <t>SCA</t>
        </is>
      </c>
      <c r="G199" t="n">
        <v>2.5</v>
      </c>
      <c r="H199" t="n">
        <v>1</v>
      </c>
      <c r="I199" t="n">
        <v>0</v>
      </c>
      <c r="J199" t="n">
        <v>1</v>
      </c>
      <c r="K199" t="n">
        <v>0</v>
      </c>
      <c r="L199" t="n">
        <v>0</v>
      </c>
      <c r="M199" t="n">
        <v>0</v>
      </c>
      <c r="N199" t="n">
        <v>0</v>
      </c>
      <c r="O199" t="n">
        <v>1</v>
      </c>
      <c r="P199" t="n">
        <v>0</v>
      </c>
      <c r="Q199" t="n">
        <v>1</v>
      </c>
      <c r="R199" s="2" t="inlineStr">
        <is>
          <t>Spillkråka</t>
        </is>
      </c>
      <c r="S199">
        <f>HYPERLINK("https://klasma.github.io/Logging_2283/artfynd/A 40626-2022 artfynd.xlsx", "A 40626-2022")</f>
        <v/>
      </c>
      <c r="T199">
        <f>HYPERLINK("https://klasma.github.io/Logging_2283/kartor/A 40626-2022 karta.png", "A 40626-2022")</f>
        <v/>
      </c>
      <c r="V199">
        <f>HYPERLINK("https://klasma.github.io/Logging_2283/klagomål/A 40626-2022 FSC-klagomål.docx", "A 40626-2022")</f>
        <v/>
      </c>
      <c r="W199">
        <f>HYPERLINK("https://klasma.github.io/Logging_2283/klagomålsmail/A 40626-2022 FSC-klagomål mail.docx", "A 40626-2022")</f>
        <v/>
      </c>
      <c r="X199">
        <f>HYPERLINK("https://klasma.github.io/Logging_2283/tillsyn/A 40626-2022 tillsynsbegäran.docx", "A 40626-2022")</f>
        <v/>
      </c>
      <c r="Y199">
        <f>HYPERLINK("https://klasma.github.io/Logging_2283/tillsynsmail/A 40626-2022 tillsynsbegäran mail.docx", "A 40626-2022")</f>
        <v/>
      </c>
    </row>
    <row r="200" ht="15" customHeight="1">
      <c r="A200" t="inlineStr">
        <is>
          <t>A 44763-2022</t>
        </is>
      </c>
      <c r="B200" s="1" t="n">
        <v>44840</v>
      </c>
      <c r="C200" s="1" t="n">
        <v>45268</v>
      </c>
      <c r="D200" t="inlineStr">
        <is>
          <t>VÄSTERNORRLANDS LÄN</t>
        </is>
      </c>
      <c r="E200" t="inlineStr">
        <is>
          <t>SOLLEFTEÅ</t>
        </is>
      </c>
      <c r="F200" t="inlineStr">
        <is>
          <t>SCA</t>
        </is>
      </c>
      <c r="G200" t="n">
        <v>1.2</v>
      </c>
      <c r="H200" t="n">
        <v>0</v>
      </c>
      <c r="I200" t="n">
        <v>0</v>
      </c>
      <c r="J200" t="n">
        <v>1</v>
      </c>
      <c r="K200" t="n">
        <v>0</v>
      </c>
      <c r="L200" t="n">
        <v>0</v>
      </c>
      <c r="M200" t="n">
        <v>0</v>
      </c>
      <c r="N200" t="n">
        <v>0</v>
      </c>
      <c r="O200" t="n">
        <v>1</v>
      </c>
      <c r="P200" t="n">
        <v>0</v>
      </c>
      <c r="Q200" t="n">
        <v>1</v>
      </c>
      <c r="R200" s="2" t="inlineStr">
        <is>
          <t>Rosenticka</t>
        </is>
      </c>
      <c r="S200">
        <f>HYPERLINK("https://klasma.github.io/Logging_2283/artfynd/A 44763-2022 artfynd.xlsx", "A 44763-2022")</f>
        <v/>
      </c>
      <c r="T200">
        <f>HYPERLINK("https://klasma.github.io/Logging_2283/kartor/A 44763-2022 karta.png", "A 44763-2022")</f>
        <v/>
      </c>
      <c r="V200">
        <f>HYPERLINK("https://klasma.github.io/Logging_2283/klagomål/A 44763-2022 FSC-klagomål.docx", "A 44763-2022")</f>
        <v/>
      </c>
      <c r="W200">
        <f>HYPERLINK("https://klasma.github.io/Logging_2283/klagomålsmail/A 44763-2022 FSC-klagomål mail.docx", "A 44763-2022")</f>
        <v/>
      </c>
      <c r="X200">
        <f>HYPERLINK("https://klasma.github.io/Logging_2283/tillsyn/A 44763-2022 tillsynsbegäran.docx", "A 44763-2022")</f>
        <v/>
      </c>
      <c r="Y200">
        <f>HYPERLINK("https://klasma.github.io/Logging_2283/tillsynsmail/A 44763-2022 tillsynsbegäran mail.docx", "A 44763-2022")</f>
        <v/>
      </c>
    </row>
    <row r="201" ht="15" customHeight="1">
      <c r="A201" t="inlineStr">
        <is>
          <t>A 46041-2022</t>
        </is>
      </c>
      <c r="B201" s="1" t="n">
        <v>44846</v>
      </c>
      <c r="C201" s="1" t="n">
        <v>45268</v>
      </c>
      <c r="D201" t="inlineStr">
        <is>
          <t>VÄSTERNORRLANDS LÄN</t>
        </is>
      </c>
      <c r="E201" t="inlineStr">
        <is>
          <t>SOLLEFTEÅ</t>
        </is>
      </c>
      <c r="F201" t="inlineStr">
        <is>
          <t>SCA</t>
        </is>
      </c>
      <c r="G201" t="n">
        <v>21.1</v>
      </c>
      <c r="H201" t="n">
        <v>0</v>
      </c>
      <c r="I201" t="n">
        <v>0</v>
      </c>
      <c r="J201" t="n">
        <v>1</v>
      </c>
      <c r="K201" t="n">
        <v>0</v>
      </c>
      <c r="L201" t="n">
        <v>0</v>
      </c>
      <c r="M201" t="n">
        <v>0</v>
      </c>
      <c r="N201" t="n">
        <v>0</v>
      </c>
      <c r="O201" t="n">
        <v>1</v>
      </c>
      <c r="P201" t="n">
        <v>0</v>
      </c>
      <c r="Q201" t="n">
        <v>1</v>
      </c>
      <c r="R201" s="2" t="inlineStr">
        <is>
          <t>Lunglav</t>
        </is>
      </c>
      <c r="S201">
        <f>HYPERLINK("https://klasma.github.io/Logging_2283/artfynd/A 46041-2022 artfynd.xlsx", "A 46041-2022")</f>
        <v/>
      </c>
      <c r="T201">
        <f>HYPERLINK("https://klasma.github.io/Logging_2283/kartor/A 46041-2022 karta.png", "A 46041-2022")</f>
        <v/>
      </c>
      <c r="V201">
        <f>HYPERLINK("https://klasma.github.io/Logging_2283/klagomål/A 46041-2022 FSC-klagomål.docx", "A 46041-2022")</f>
        <v/>
      </c>
      <c r="W201">
        <f>HYPERLINK("https://klasma.github.io/Logging_2283/klagomålsmail/A 46041-2022 FSC-klagomål mail.docx", "A 46041-2022")</f>
        <v/>
      </c>
      <c r="X201">
        <f>HYPERLINK("https://klasma.github.io/Logging_2283/tillsyn/A 46041-2022 tillsynsbegäran.docx", "A 46041-2022")</f>
        <v/>
      </c>
      <c r="Y201">
        <f>HYPERLINK("https://klasma.github.io/Logging_2283/tillsynsmail/A 46041-2022 tillsynsbegäran mail.docx", "A 46041-2022")</f>
        <v/>
      </c>
    </row>
    <row r="202" ht="15" customHeight="1">
      <c r="A202" t="inlineStr">
        <is>
          <t>A 46376-2022</t>
        </is>
      </c>
      <c r="B202" s="1" t="n">
        <v>44848</v>
      </c>
      <c r="C202" s="1" t="n">
        <v>45268</v>
      </c>
      <c r="D202" t="inlineStr">
        <is>
          <t>VÄSTERNORRLANDS LÄN</t>
        </is>
      </c>
      <c r="E202" t="inlineStr">
        <is>
          <t>SOLLEFTEÅ</t>
        </is>
      </c>
      <c r="F202" t="inlineStr">
        <is>
          <t>Holmen skog AB</t>
        </is>
      </c>
      <c r="G202" t="n">
        <v>23.9</v>
      </c>
      <c r="H202" t="n">
        <v>0</v>
      </c>
      <c r="I202" t="n">
        <v>1</v>
      </c>
      <c r="J202" t="n">
        <v>0</v>
      </c>
      <c r="K202" t="n">
        <v>0</v>
      </c>
      <c r="L202" t="n">
        <v>0</v>
      </c>
      <c r="M202" t="n">
        <v>0</v>
      </c>
      <c r="N202" t="n">
        <v>0</v>
      </c>
      <c r="O202" t="n">
        <v>0</v>
      </c>
      <c r="P202" t="n">
        <v>0</v>
      </c>
      <c r="Q202" t="n">
        <v>1</v>
      </c>
      <c r="R202" s="2" t="inlineStr">
        <is>
          <t>Skarp dropptaggsvamp</t>
        </is>
      </c>
      <c r="S202">
        <f>HYPERLINK("https://klasma.github.io/Logging_2283/artfynd/A 46376-2022 artfynd.xlsx", "A 46376-2022")</f>
        <v/>
      </c>
      <c r="T202">
        <f>HYPERLINK("https://klasma.github.io/Logging_2283/kartor/A 46376-2022 karta.png", "A 46376-2022")</f>
        <v/>
      </c>
      <c r="V202">
        <f>HYPERLINK("https://klasma.github.io/Logging_2283/klagomål/A 46376-2022 FSC-klagomål.docx", "A 46376-2022")</f>
        <v/>
      </c>
      <c r="W202">
        <f>HYPERLINK("https://klasma.github.io/Logging_2283/klagomålsmail/A 46376-2022 FSC-klagomål mail.docx", "A 46376-2022")</f>
        <v/>
      </c>
      <c r="X202">
        <f>HYPERLINK("https://klasma.github.io/Logging_2283/tillsyn/A 46376-2022 tillsynsbegäran.docx", "A 46376-2022")</f>
        <v/>
      </c>
      <c r="Y202">
        <f>HYPERLINK("https://klasma.github.io/Logging_2283/tillsynsmail/A 46376-2022 tillsynsbegäran mail.docx", "A 46376-2022")</f>
        <v/>
      </c>
    </row>
    <row r="203" ht="15" customHeight="1">
      <c r="A203" t="inlineStr">
        <is>
          <t>A 46629-2022</t>
        </is>
      </c>
      <c r="B203" s="1" t="n">
        <v>44848</v>
      </c>
      <c r="C203" s="1" t="n">
        <v>45268</v>
      </c>
      <c r="D203" t="inlineStr">
        <is>
          <t>VÄSTERNORRLANDS LÄN</t>
        </is>
      </c>
      <c r="E203" t="inlineStr">
        <is>
          <t>SOLLEFTEÅ</t>
        </is>
      </c>
      <c r="F203" t="inlineStr">
        <is>
          <t>SCA</t>
        </is>
      </c>
      <c r="G203" t="n">
        <v>4.5</v>
      </c>
      <c r="H203" t="n">
        <v>1</v>
      </c>
      <c r="I203" t="n">
        <v>0</v>
      </c>
      <c r="J203" t="n">
        <v>0</v>
      </c>
      <c r="K203" t="n">
        <v>1</v>
      </c>
      <c r="L203" t="n">
        <v>0</v>
      </c>
      <c r="M203" t="n">
        <v>0</v>
      </c>
      <c r="N203" t="n">
        <v>0</v>
      </c>
      <c r="O203" t="n">
        <v>1</v>
      </c>
      <c r="P203" t="n">
        <v>1</v>
      </c>
      <c r="Q203" t="n">
        <v>1</v>
      </c>
      <c r="R203" s="2" t="inlineStr">
        <is>
          <t>Knärot</t>
        </is>
      </c>
      <c r="S203">
        <f>HYPERLINK("https://klasma.github.io/Logging_2283/artfynd/A 46629-2022 artfynd.xlsx", "A 46629-2022")</f>
        <v/>
      </c>
      <c r="T203">
        <f>HYPERLINK("https://klasma.github.io/Logging_2283/kartor/A 46629-2022 karta.png", "A 46629-2022")</f>
        <v/>
      </c>
      <c r="U203">
        <f>HYPERLINK("https://klasma.github.io/Logging_2283/knärot/A 46629-2022 karta knärot.png", "A 46629-2022")</f>
        <v/>
      </c>
      <c r="V203">
        <f>HYPERLINK("https://klasma.github.io/Logging_2283/klagomål/A 46629-2022 FSC-klagomål.docx", "A 46629-2022")</f>
        <v/>
      </c>
      <c r="W203">
        <f>HYPERLINK("https://klasma.github.io/Logging_2283/klagomålsmail/A 46629-2022 FSC-klagomål mail.docx", "A 46629-2022")</f>
        <v/>
      </c>
      <c r="X203">
        <f>HYPERLINK("https://klasma.github.io/Logging_2283/tillsyn/A 46629-2022 tillsynsbegäran.docx", "A 46629-2022")</f>
        <v/>
      </c>
      <c r="Y203">
        <f>HYPERLINK("https://klasma.github.io/Logging_2283/tillsynsmail/A 46629-2022 tillsynsbegäran mail.docx", "A 46629-2022")</f>
        <v/>
      </c>
    </row>
    <row r="204" ht="15" customHeight="1">
      <c r="A204" t="inlineStr">
        <is>
          <t>A 46630-2022</t>
        </is>
      </c>
      <c r="B204" s="1" t="n">
        <v>44848</v>
      </c>
      <c r="C204" s="1" t="n">
        <v>45268</v>
      </c>
      <c r="D204" t="inlineStr">
        <is>
          <t>VÄSTERNORRLANDS LÄN</t>
        </is>
      </c>
      <c r="E204" t="inlineStr">
        <is>
          <t>SOLLEFTEÅ</t>
        </is>
      </c>
      <c r="F204" t="inlineStr">
        <is>
          <t>SCA</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HYPERLINK("https://klasma.github.io/Logging_2283/artfynd/A 46630-2022 artfynd.xlsx", "A 46630-2022")</f>
        <v/>
      </c>
      <c r="T204">
        <f>HYPERLINK("https://klasma.github.io/Logging_2283/kartor/A 46630-2022 karta.png", "A 46630-2022")</f>
        <v/>
      </c>
      <c r="U204">
        <f>HYPERLINK("https://klasma.github.io/Logging_2283/knärot/A 46630-2022 karta knärot.png", "A 46630-2022")</f>
        <v/>
      </c>
      <c r="V204">
        <f>HYPERLINK("https://klasma.github.io/Logging_2283/klagomål/A 46630-2022 FSC-klagomål.docx", "A 46630-2022")</f>
        <v/>
      </c>
      <c r="W204">
        <f>HYPERLINK("https://klasma.github.io/Logging_2283/klagomålsmail/A 46630-2022 FSC-klagomål mail.docx", "A 46630-2022")</f>
        <v/>
      </c>
      <c r="X204">
        <f>HYPERLINK("https://klasma.github.io/Logging_2283/tillsyn/A 46630-2022 tillsynsbegäran.docx", "A 46630-2022")</f>
        <v/>
      </c>
      <c r="Y204">
        <f>HYPERLINK("https://klasma.github.io/Logging_2283/tillsynsmail/A 46630-2022 tillsynsbegäran mail.docx", "A 46630-2022")</f>
        <v/>
      </c>
    </row>
    <row r="205" ht="15" customHeight="1">
      <c r="A205" t="inlineStr">
        <is>
          <t>A 52736-2022</t>
        </is>
      </c>
      <c r="B205" s="1" t="n">
        <v>44874</v>
      </c>
      <c r="C205" s="1" t="n">
        <v>45268</v>
      </c>
      <c r="D205" t="inlineStr">
        <is>
          <t>VÄSTERNORRLANDS LÄN</t>
        </is>
      </c>
      <c r="E205" t="inlineStr">
        <is>
          <t>SOLLEFTEÅ</t>
        </is>
      </c>
      <c r="F205" t="inlineStr">
        <is>
          <t>SCA</t>
        </is>
      </c>
      <c r="G205" t="n">
        <v>15.1</v>
      </c>
      <c r="H205" t="n">
        <v>0</v>
      </c>
      <c r="I205" t="n">
        <v>0</v>
      </c>
      <c r="J205" t="n">
        <v>1</v>
      </c>
      <c r="K205" t="n">
        <v>0</v>
      </c>
      <c r="L205" t="n">
        <v>0</v>
      </c>
      <c r="M205" t="n">
        <v>0</v>
      </c>
      <c r="N205" t="n">
        <v>0</v>
      </c>
      <c r="O205" t="n">
        <v>1</v>
      </c>
      <c r="P205" t="n">
        <v>0</v>
      </c>
      <c r="Q205" t="n">
        <v>1</v>
      </c>
      <c r="R205" s="2" t="inlineStr">
        <is>
          <t>Orange taggsvamp</t>
        </is>
      </c>
      <c r="S205">
        <f>HYPERLINK("https://klasma.github.io/Logging_2283/artfynd/A 52736-2022 artfynd.xlsx", "A 52736-2022")</f>
        <v/>
      </c>
      <c r="T205">
        <f>HYPERLINK("https://klasma.github.io/Logging_2283/kartor/A 52736-2022 karta.png", "A 52736-2022")</f>
        <v/>
      </c>
      <c r="V205">
        <f>HYPERLINK("https://klasma.github.io/Logging_2283/klagomål/A 52736-2022 FSC-klagomål.docx", "A 52736-2022")</f>
        <v/>
      </c>
      <c r="W205">
        <f>HYPERLINK("https://klasma.github.io/Logging_2283/klagomålsmail/A 52736-2022 FSC-klagomål mail.docx", "A 52736-2022")</f>
        <v/>
      </c>
      <c r="X205">
        <f>HYPERLINK("https://klasma.github.io/Logging_2283/tillsyn/A 52736-2022 tillsynsbegäran.docx", "A 52736-2022")</f>
        <v/>
      </c>
      <c r="Y205">
        <f>HYPERLINK("https://klasma.github.io/Logging_2283/tillsynsmail/A 52736-2022 tillsynsbegäran mail.docx", "A 52736-2022")</f>
        <v/>
      </c>
    </row>
    <row r="206" ht="15" customHeight="1">
      <c r="A206" t="inlineStr">
        <is>
          <t>A 56932-2022</t>
        </is>
      </c>
      <c r="B206" s="1" t="n">
        <v>44894</v>
      </c>
      <c r="C206" s="1" t="n">
        <v>45268</v>
      </c>
      <c r="D206" t="inlineStr">
        <is>
          <t>VÄSTERNORRLANDS LÄN</t>
        </is>
      </c>
      <c r="E206" t="inlineStr">
        <is>
          <t>SOLLEFTEÅ</t>
        </is>
      </c>
      <c r="F206" t="inlineStr">
        <is>
          <t>Holmen skog AB</t>
        </is>
      </c>
      <c r="G206" t="n">
        <v>1.9</v>
      </c>
      <c r="H206" t="n">
        <v>0</v>
      </c>
      <c r="I206" t="n">
        <v>0</v>
      </c>
      <c r="J206" t="n">
        <v>1</v>
      </c>
      <c r="K206" t="n">
        <v>0</v>
      </c>
      <c r="L206" t="n">
        <v>0</v>
      </c>
      <c r="M206" t="n">
        <v>0</v>
      </c>
      <c r="N206" t="n">
        <v>0</v>
      </c>
      <c r="O206" t="n">
        <v>1</v>
      </c>
      <c r="P206" t="n">
        <v>0</v>
      </c>
      <c r="Q206" t="n">
        <v>1</v>
      </c>
      <c r="R206" s="2" t="inlineStr">
        <is>
          <t>Koralltaggsvamp</t>
        </is>
      </c>
      <c r="S206">
        <f>HYPERLINK("https://klasma.github.io/Logging_2283/artfynd/A 56932-2022 artfynd.xlsx", "A 56932-2022")</f>
        <v/>
      </c>
      <c r="T206">
        <f>HYPERLINK("https://klasma.github.io/Logging_2283/kartor/A 56932-2022 karta.png", "A 56932-2022")</f>
        <v/>
      </c>
      <c r="V206">
        <f>HYPERLINK("https://klasma.github.io/Logging_2283/klagomål/A 56932-2022 FSC-klagomål.docx", "A 56932-2022")</f>
        <v/>
      </c>
      <c r="W206">
        <f>HYPERLINK("https://klasma.github.io/Logging_2283/klagomålsmail/A 56932-2022 FSC-klagomål mail.docx", "A 56932-2022")</f>
        <v/>
      </c>
      <c r="X206">
        <f>HYPERLINK("https://klasma.github.io/Logging_2283/tillsyn/A 56932-2022 tillsynsbegäran.docx", "A 56932-2022")</f>
        <v/>
      </c>
      <c r="Y206">
        <f>HYPERLINK("https://klasma.github.io/Logging_2283/tillsynsmail/A 56932-2022 tillsynsbegäran mail.docx", "A 56932-2022")</f>
        <v/>
      </c>
    </row>
    <row r="207" ht="15" customHeight="1">
      <c r="A207" t="inlineStr">
        <is>
          <t>A 60833-2022</t>
        </is>
      </c>
      <c r="B207" s="1" t="n">
        <v>44907</v>
      </c>
      <c r="C207" s="1" t="n">
        <v>45268</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Kolflarnlav</t>
        </is>
      </c>
      <c r="S207">
        <f>HYPERLINK("https://klasma.github.io/Logging_2283/artfynd/A 60833-2022 artfynd.xlsx", "A 60833-2022")</f>
        <v/>
      </c>
      <c r="T207">
        <f>HYPERLINK("https://klasma.github.io/Logging_2283/kartor/A 60833-2022 karta.png", "A 60833-2022")</f>
        <v/>
      </c>
      <c r="V207">
        <f>HYPERLINK("https://klasma.github.io/Logging_2283/klagomål/A 60833-2022 FSC-klagomål.docx", "A 60833-2022")</f>
        <v/>
      </c>
      <c r="W207">
        <f>HYPERLINK("https://klasma.github.io/Logging_2283/klagomålsmail/A 60833-2022 FSC-klagomål mail.docx", "A 60833-2022")</f>
        <v/>
      </c>
      <c r="X207">
        <f>HYPERLINK("https://klasma.github.io/Logging_2283/tillsyn/A 60833-2022 tillsynsbegäran.docx", "A 60833-2022")</f>
        <v/>
      </c>
      <c r="Y207">
        <f>HYPERLINK("https://klasma.github.io/Logging_2283/tillsynsmail/A 60833-2022 tillsynsbegäran mail.docx", "A 60833-2022")</f>
        <v/>
      </c>
    </row>
    <row r="208" ht="15" customHeight="1">
      <c r="A208" t="inlineStr">
        <is>
          <t>A 60939-2022</t>
        </is>
      </c>
      <c r="B208" s="1" t="n">
        <v>44908</v>
      </c>
      <c r="C208" s="1" t="n">
        <v>45268</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Garnlav</t>
        </is>
      </c>
      <c r="S208">
        <f>HYPERLINK("https://klasma.github.io/Logging_2283/artfynd/A 60939-2022 artfynd.xlsx", "A 60939-2022")</f>
        <v/>
      </c>
      <c r="T208">
        <f>HYPERLINK("https://klasma.github.io/Logging_2283/kartor/A 60939-2022 karta.png", "A 60939-2022")</f>
        <v/>
      </c>
      <c r="V208">
        <f>HYPERLINK("https://klasma.github.io/Logging_2283/klagomål/A 60939-2022 FSC-klagomål.docx", "A 60939-2022")</f>
        <v/>
      </c>
      <c r="W208">
        <f>HYPERLINK("https://klasma.github.io/Logging_2283/klagomålsmail/A 60939-2022 FSC-klagomål mail.docx", "A 60939-2022")</f>
        <v/>
      </c>
      <c r="X208">
        <f>HYPERLINK("https://klasma.github.io/Logging_2283/tillsyn/A 60939-2022 tillsynsbegäran.docx", "A 60939-2022")</f>
        <v/>
      </c>
      <c r="Y208">
        <f>HYPERLINK("https://klasma.github.io/Logging_2283/tillsynsmail/A 60939-2022 tillsynsbegäran mail.docx", "A 60939-2022")</f>
        <v/>
      </c>
    </row>
    <row r="209" ht="15" customHeight="1">
      <c r="A209" t="inlineStr">
        <is>
          <t>A 986-2023</t>
        </is>
      </c>
      <c r="B209" s="1" t="n">
        <v>44935</v>
      </c>
      <c r="C209" s="1" t="n">
        <v>45268</v>
      </c>
      <c r="D209" t="inlineStr">
        <is>
          <t>VÄSTERNORRLANDS LÄN</t>
        </is>
      </c>
      <c r="E209" t="inlineStr">
        <is>
          <t>SOLLEFTEÅ</t>
        </is>
      </c>
      <c r="G209" t="n">
        <v>2.6</v>
      </c>
      <c r="H209" t="n">
        <v>1</v>
      </c>
      <c r="I209" t="n">
        <v>0</v>
      </c>
      <c r="J209" t="n">
        <v>0</v>
      </c>
      <c r="K209" t="n">
        <v>0</v>
      </c>
      <c r="L209" t="n">
        <v>0</v>
      </c>
      <c r="M209" t="n">
        <v>0</v>
      </c>
      <c r="N209" t="n">
        <v>0</v>
      </c>
      <c r="O209" t="n">
        <v>0</v>
      </c>
      <c r="P209" t="n">
        <v>0</v>
      </c>
      <c r="Q209" t="n">
        <v>1</v>
      </c>
      <c r="R209" s="2" t="inlineStr">
        <is>
          <t>Revlummer</t>
        </is>
      </c>
      <c r="S209">
        <f>HYPERLINK("https://klasma.github.io/Logging_2283/artfynd/A 986-2023 artfynd.xlsx", "A 986-2023")</f>
        <v/>
      </c>
      <c r="T209">
        <f>HYPERLINK("https://klasma.github.io/Logging_2283/kartor/A 986-2023 karta.png", "A 986-2023")</f>
        <v/>
      </c>
      <c r="V209">
        <f>HYPERLINK("https://klasma.github.io/Logging_2283/klagomål/A 986-2023 FSC-klagomål.docx", "A 986-2023")</f>
        <v/>
      </c>
      <c r="W209">
        <f>HYPERLINK("https://klasma.github.io/Logging_2283/klagomålsmail/A 986-2023 FSC-klagomål mail.docx", "A 986-2023")</f>
        <v/>
      </c>
      <c r="X209">
        <f>HYPERLINK("https://klasma.github.io/Logging_2283/tillsyn/A 986-2023 tillsynsbegäran.docx", "A 986-2023")</f>
        <v/>
      </c>
      <c r="Y209">
        <f>HYPERLINK("https://klasma.github.io/Logging_2283/tillsynsmail/A 986-2023 tillsynsbegäran mail.docx", "A 986-2023")</f>
        <v/>
      </c>
    </row>
    <row r="210" ht="15" customHeight="1">
      <c r="A210" t="inlineStr">
        <is>
          <t>A 12862-2023</t>
        </is>
      </c>
      <c r="B210" s="1" t="n">
        <v>45001</v>
      </c>
      <c r="C210" s="1" t="n">
        <v>45268</v>
      </c>
      <c r="D210" t="inlineStr">
        <is>
          <t>VÄSTERNORRLANDS LÄN</t>
        </is>
      </c>
      <c r="E210" t="inlineStr">
        <is>
          <t>SOLLEFTEÅ</t>
        </is>
      </c>
      <c r="F210" t="inlineStr">
        <is>
          <t>Övriga Aktiebolag</t>
        </is>
      </c>
      <c r="G210" t="n">
        <v>10.4</v>
      </c>
      <c r="H210" t="n">
        <v>0</v>
      </c>
      <c r="I210" t="n">
        <v>1</v>
      </c>
      <c r="J210" t="n">
        <v>0</v>
      </c>
      <c r="K210" t="n">
        <v>0</v>
      </c>
      <c r="L210" t="n">
        <v>0</v>
      </c>
      <c r="M210" t="n">
        <v>0</v>
      </c>
      <c r="N210" t="n">
        <v>0</v>
      </c>
      <c r="O210" t="n">
        <v>0</v>
      </c>
      <c r="P210" t="n">
        <v>0</v>
      </c>
      <c r="Q210" t="n">
        <v>1</v>
      </c>
      <c r="R210" s="2" t="inlineStr">
        <is>
          <t>Korallblylav</t>
        </is>
      </c>
      <c r="S210">
        <f>HYPERLINK("https://klasma.github.io/Logging_2283/artfynd/A 12862-2023 artfynd.xlsx", "A 12862-2023")</f>
        <v/>
      </c>
      <c r="T210">
        <f>HYPERLINK("https://klasma.github.io/Logging_2283/kartor/A 12862-2023 karta.png", "A 12862-2023")</f>
        <v/>
      </c>
      <c r="V210">
        <f>HYPERLINK("https://klasma.github.io/Logging_2283/klagomål/A 12862-2023 FSC-klagomål.docx", "A 12862-2023")</f>
        <v/>
      </c>
      <c r="W210">
        <f>HYPERLINK("https://klasma.github.io/Logging_2283/klagomålsmail/A 12862-2023 FSC-klagomål mail.docx", "A 12862-2023")</f>
        <v/>
      </c>
      <c r="X210">
        <f>HYPERLINK("https://klasma.github.io/Logging_2283/tillsyn/A 12862-2023 tillsynsbegäran.docx", "A 12862-2023")</f>
        <v/>
      </c>
      <c r="Y210">
        <f>HYPERLINK("https://klasma.github.io/Logging_2283/tillsynsmail/A 12862-2023 tillsynsbegäran mail.docx", "A 12862-2023")</f>
        <v/>
      </c>
    </row>
    <row r="211" ht="15" customHeight="1">
      <c r="A211" t="inlineStr">
        <is>
          <t>A 29958-2023</t>
        </is>
      </c>
      <c r="B211" s="1" t="n">
        <v>45107</v>
      </c>
      <c r="C211" s="1" t="n">
        <v>45268</v>
      </c>
      <c r="D211" t="inlineStr">
        <is>
          <t>VÄSTERNORRLANDS LÄN</t>
        </is>
      </c>
      <c r="E211" t="inlineStr">
        <is>
          <t>SOLLEFTEÅ</t>
        </is>
      </c>
      <c r="F211" t="inlineStr">
        <is>
          <t>SCA</t>
        </is>
      </c>
      <c r="G211" t="n">
        <v>7.5</v>
      </c>
      <c r="H211" t="n">
        <v>1</v>
      </c>
      <c r="I211" t="n">
        <v>0</v>
      </c>
      <c r="J211" t="n">
        <v>1</v>
      </c>
      <c r="K211" t="n">
        <v>0</v>
      </c>
      <c r="L211" t="n">
        <v>0</v>
      </c>
      <c r="M211" t="n">
        <v>0</v>
      </c>
      <c r="N211" t="n">
        <v>0</v>
      </c>
      <c r="O211" t="n">
        <v>1</v>
      </c>
      <c r="P211" t="n">
        <v>0</v>
      </c>
      <c r="Q211" t="n">
        <v>1</v>
      </c>
      <c r="R211" s="2" t="inlineStr">
        <is>
          <t>Tretåig hackspett</t>
        </is>
      </c>
      <c r="S211">
        <f>HYPERLINK("https://klasma.github.io/Logging_2283/artfynd/A 29958-2023 artfynd.xlsx", "A 29958-2023")</f>
        <v/>
      </c>
      <c r="T211">
        <f>HYPERLINK("https://klasma.github.io/Logging_2283/kartor/A 29958-2023 karta.png", "A 29958-2023")</f>
        <v/>
      </c>
      <c r="V211">
        <f>HYPERLINK("https://klasma.github.io/Logging_2283/klagomål/A 29958-2023 FSC-klagomål.docx", "A 29958-2023")</f>
        <v/>
      </c>
      <c r="W211">
        <f>HYPERLINK("https://klasma.github.io/Logging_2283/klagomålsmail/A 29958-2023 FSC-klagomål mail.docx", "A 29958-2023")</f>
        <v/>
      </c>
      <c r="X211">
        <f>HYPERLINK("https://klasma.github.io/Logging_2283/tillsyn/A 29958-2023 tillsynsbegäran.docx", "A 29958-2023")</f>
        <v/>
      </c>
      <c r="Y211">
        <f>HYPERLINK("https://klasma.github.io/Logging_2283/tillsynsmail/A 29958-2023 tillsynsbegäran mail.docx", "A 29958-2023")</f>
        <v/>
      </c>
    </row>
    <row r="212" ht="15" customHeight="1">
      <c r="A212" t="inlineStr">
        <is>
          <t>A 31920-2023</t>
        </is>
      </c>
      <c r="B212" s="1" t="n">
        <v>45118</v>
      </c>
      <c r="C212" s="1" t="n">
        <v>45268</v>
      </c>
      <c r="D212" t="inlineStr">
        <is>
          <t>VÄSTERNORRLANDS LÄN</t>
        </is>
      </c>
      <c r="E212" t="inlineStr">
        <is>
          <t>SOLLEFTEÅ</t>
        </is>
      </c>
      <c r="F212" t="inlineStr">
        <is>
          <t>SCA</t>
        </is>
      </c>
      <c r="G212" t="n">
        <v>2</v>
      </c>
      <c r="H212" t="n">
        <v>0</v>
      </c>
      <c r="I212" t="n">
        <v>0</v>
      </c>
      <c r="J212" t="n">
        <v>1</v>
      </c>
      <c r="K212" t="n">
        <v>0</v>
      </c>
      <c r="L212" t="n">
        <v>0</v>
      </c>
      <c r="M212" t="n">
        <v>0</v>
      </c>
      <c r="N212" t="n">
        <v>0</v>
      </c>
      <c r="O212" t="n">
        <v>1</v>
      </c>
      <c r="P212" t="n">
        <v>0</v>
      </c>
      <c r="Q212" t="n">
        <v>1</v>
      </c>
      <c r="R212" s="2" t="inlineStr">
        <is>
          <t>Ullticka</t>
        </is>
      </c>
      <c r="S212">
        <f>HYPERLINK("https://klasma.github.io/Logging_2283/artfynd/A 31920-2023 artfynd.xlsx", "A 31920-2023")</f>
        <v/>
      </c>
      <c r="T212">
        <f>HYPERLINK("https://klasma.github.io/Logging_2283/kartor/A 31920-2023 karta.png", "A 31920-2023")</f>
        <v/>
      </c>
      <c r="V212">
        <f>HYPERLINK("https://klasma.github.io/Logging_2283/klagomål/A 31920-2023 FSC-klagomål.docx", "A 31920-2023")</f>
        <v/>
      </c>
      <c r="W212">
        <f>HYPERLINK("https://klasma.github.io/Logging_2283/klagomålsmail/A 31920-2023 FSC-klagomål mail.docx", "A 31920-2023")</f>
        <v/>
      </c>
      <c r="X212">
        <f>HYPERLINK("https://klasma.github.io/Logging_2283/tillsyn/A 31920-2023 tillsynsbegäran.docx", "A 31920-2023")</f>
        <v/>
      </c>
      <c r="Y212">
        <f>HYPERLINK("https://klasma.github.io/Logging_2283/tillsynsmail/A 31920-2023 tillsynsbegäran mail.docx", "A 31920-2023")</f>
        <v/>
      </c>
    </row>
    <row r="213" ht="15" customHeight="1">
      <c r="A213" t="inlineStr">
        <is>
          <t>A 32217-2023</t>
        </is>
      </c>
      <c r="B213" s="1" t="n">
        <v>45119</v>
      </c>
      <c r="C213" s="1" t="n">
        <v>45268</v>
      </c>
      <c r="D213" t="inlineStr">
        <is>
          <t>VÄSTERNORRLANDS LÄN</t>
        </is>
      </c>
      <c r="E213" t="inlineStr">
        <is>
          <t>SOLLEFTEÅ</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row>
    <row r="214" ht="15" customHeight="1">
      <c r="A214" t="inlineStr">
        <is>
          <t>A 32734-2023</t>
        </is>
      </c>
      <c r="B214" s="1" t="n">
        <v>45121</v>
      </c>
      <c r="C214" s="1" t="n">
        <v>45268</v>
      </c>
      <c r="D214" t="inlineStr">
        <is>
          <t>VÄSTERNORRLANDS LÄN</t>
        </is>
      </c>
      <c r="E214" t="inlineStr">
        <is>
          <t>SOLLEFTEÅ</t>
        </is>
      </c>
      <c r="G214" t="n">
        <v>1.8</v>
      </c>
      <c r="H214" t="n">
        <v>0</v>
      </c>
      <c r="I214" t="n">
        <v>0</v>
      </c>
      <c r="J214" t="n">
        <v>1</v>
      </c>
      <c r="K214" t="n">
        <v>0</v>
      </c>
      <c r="L214" t="n">
        <v>0</v>
      </c>
      <c r="M214" t="n">
        <v>0</v>
      </c>
      <c r="N214" t="n">
        <v>0</v>
      </c>
      <c r="O214" t="n">
        <v>1</v>
      </c>
      <c r="P214" t="n">
        <v>0</v>
      </c>
      <c r="Q214" t="n">
        <v>1</v>
      </c>
      <c r="R214" s="2" t="inlineStr">
        <is>
          <t>Garnlav</t>
        </is>
      </c>
      <c r="S214">
        <f>HYPERLINK("https://klasma.github.io/Logging_2283/artfynd/A 32734-2023 artfynd.xlsx", "A 32734-2023")</f>
        <v/>
      </c>
      <c r="T214">
        <f>HYPERLINK("https://klasma.github.io/Logging_2283/kartor/A 32734-2023 karta.png", "A 32734-2023")</f>
        <v/>
      </c>
      <c r="V214">
        <f>HYPERLINK("https://klasma.github.io/Logging_2283/klagomål/A 32734-2023 FSC-klagomål.docx", "A 32734-2023")</f>
        <v/>
      </c>
      <c r="W214">
        <f>HYPERLINK("https://klasma.github.io/Logging_2283/klagomålsmail/A 32734-2023 FSC-klagomål mail.docx", "A 32734-2023")</f>
        <v/>
      </c>
      <c r="X214">
        <f>HYPERLINK("https://klasma.github.io/Logging_2283/tillsyn/A 32734-2023 tillsynsbegäran.docx", "A 32734-2023")</f>
        <v/>
      </c>
      <c r="Y214">
        <f>HYPERLINK("https://klasma.github.io/Logging_2283/tillsynsmail/A 32734-2023 tillsynsbegäran mail.docx", "A 32734-2023")</f>
        <v/>
      </c>
    </row>
    <row r="215" ht="15" customHeight="1">
      <c r="A215" t="inlineStr">
        <is>
          <t>A 38089-2023</t>
        </is>
      </c>
      <c r="B215" s="1" t="n">
        <v>45160</v>
      </c>
      <c r="C215" s="1" t="n">
        <v>45268</v>
      </c>
      <c r="D215" t="inlineStr">
        <is>
          <t>VÄSTERNORRLANDS LÄN</t>
        </is>
      </c>
      <c r="E215" t="inlineStr">
        <is>
          <t>SOLLEFTEÅ</t>
        </is>
      </c>
      <c r="F215" t="inlineStr">
        <is>
          <t>SCA</t>
        </is>
      </c>
      <c r="G215" t="n">
        <v>4.3</v>
      </c>
      <c r="H215" t="n">
        <v>0</v>
      </c>
      <c r="I215" t="n">
        <v>0</v>
      </c>
      <c r="J215" t="n">
        <v>1</v>
      </c>
      <c r="K215" t="n">
        <v>0</v>
      </c>
      <c r="L215" t="n">
        <v>0</v>
      </c>
      <c r="M215" t="n">
        <v>0</v>
      </c>
      <c r="N215" t="n">
        <v>0</v>
      </c>
      <c r="O215" t="n">
        <v>1</v>
      </c>
      <c r="P215" t="n">
        <v>0</v>
      </c>
      <c r="Q215" t="n">
        <v>1</v>
      </c>
      <c r="R215" s="2" t="inlineStr">
        <is>
          <t>Garnlav</t>
        </is>
      </c>
      <c r="S215">
        <f>HYPERLINK("https://klasma.github.io/Logging_2283/artfynd/A 38089-2023 artfynd.xlsx", "A 38089-2023")</f>
        <v/>
      </c>
      <c r="T215">
        <f>HYPERLINK("https://klasma.github.io/Logging_2283/kartor/A 38089-2023 karta.png", "A 38089-2023")</f>
        <v/>
      </c>
      <c r="V215">
        <f>HYPERLINK("https://klasma.github.io/Logging_2283/klagomål/A 38089-2023 FSC-klagomål.docx", "A 38089-2023")</f>
        <v/>
      </c>
      <c r="W215">
        <f>HYPERLINK("https://klasma.github.io/Logging_2283/klagomålsmail/A 38089-2023 FSC-klagomål mail.docx", "A 38089-2023")</f>
        <v/>
      </c>
      <c r="X215">
        <f>HYPERLINK("https://klasma.github.io/Logging_2283/tillsyn/A 38089-2023 tillsynsbegäran.docx", "A 38089-2023")</f>
        <v/>
      </c>
      <c r="Y215">
        <f>HYPERLINK("https://klasma.github.io/Logging_2283/tillsynsmail/A 38089-2023 tillsynsbegäran mail.docx", "A 38089-2023")</f>
        <v/>
      </c>
    </row>
    <row r="216" ht="15" customHeight="1">
      <c r="A216" t="inlineStr">
        <is>
          <t>A 39565-2023</t>
        </is>
      </c>
      <c r="B216" s="1" t="n">
        <v>45167</v>
      </c>
      <c r="C216" s="1" t="n">
        <v>45268</v>
      </c>
      <c r="D216" t="inlineStr">
        <is>
          <t>VÄSTERNORRLANDS LÄN</t>
        </is>
      </c>
      <c r="E216" t="inlineStr">
        <is>
          <t>SOLLEFTEÅ</t>
        </is>
      </c>
      <c r="G216" t="n">
        <v>3.2</v>
      </c>
      <c r="H216" t="n">
        <v>0</v>
      </c>
      <c r="I216" t="n">
        <v>0</v>
      </c>
      <c r="J216" t="n">
        <v>1</v>
      </c>
      <c r="K216" t="n">
        <v>0</v>
      </c>
      <c r="L216" t="n">
        <v>0</v>
      </c>
      <c r="M216" t="n">
        <v>0</v>
      </c>
      <c r="N216" t="n">
        <v>0</v>
      </c>
      <c r="O216" t="n">
        <v>1</v>
      </c>
      <c r="P216" t="n">
        <v>0</v>
      </c>
      <c r="Q216" t="n">
        <v>1</v>
      </c>
      <c r="R216" s="2" t="inlineStr">
        <is>
          <t>Ullticka</t>
        </is>
      </c>
      <c r="S216">
        <f>HYPERLINK("https://klasma.github.io/Logging_2283/artfynd/A 39565-2023 artfynd.xlsx", "A 39565-2023")</f>
        <v/>
      </c>
      <c r="T216">
        <f>HYPERLINK("https://klasma.github.io/Logging_2283/kartor/A 39565-2023 karta.png", "A 39565-2023")</f>
        <v/>
      </c>
      <c r="V216">
        <f>HYPERLINK("https://klasma.github.io/Logging_2283/klagomål/A 39565-2023 FSC-klagomål.docx", "A 39565-2023")</f>
        <v/>
      </c>
      <c r="W216">
        <f>HYPERLINK("https://klasma.github.io/Logging_2283/klagomålsmail/A 39565-2023 FSC-klagomål mail.docx", "A 39565-2023")</f>
        <v/>
      </c>
      <c r="X216">
        <f>HYPERLINK("https://klasma.github.io/Logging_2283/tillsyn/A 39565-2023 tillsynsbegäran.docx", "A 39565-2023")</f>
        <v/>
      </c>
      <c r="Y216">
        <f>HYPERLINK("https://klasma.github.io/Logging_2283/tillsynsmail/A 39565-2023 tillsynsbegäran mail.docx", "A 39565-2023")</f>
        <v/>
      </c>
    </row>
    <row r="217" ht="15" customHeight="1">
      <c r="A217" t="inlineStr">
        <is>
          <t>A 46203-2023</t>
        </is>
      </c>
      <c r="B217" s="1" t="n">
        <v>45190</v>
      </c>
      <c r="C217" s="1" t="n">
        <v>45268</v>
      </c>
      <c r="D217" t="inlineStr">
        <is>
          <t>VÄSTERNORRLANDS LÄN</t>
        </is>
      </c>
      <c r="E217" t="inlineStr">
        <is>
          <t>SOLLEFTEÅ</t>
        </is>
      </c>
      <c r="G217" t="n">
        <v>13</v>
      </c>
      <c r="H217" t="n">
        <v>0</v>
      </c>
      <c r="I217" t="n">
        <v>0</v>
      </c>
      <c r="J217" t="n">
        <v>1</v>
      </c>
      <c r="K217" t="n">
        <v>0</v>
      </c>
      <c r="L217" t="n">
        <v>0</v>
      </c>
      <c r="M217" t="n">
        <v>0</v>
      </c>
      <c r="N217" t="n">
        <v>0</v>
      </c>
      <c r="O217" t="n">
        <v>1</v>
      </c>
      <c r="P217" t="n">
        <v>0</v>
      </c>
      <c r="Q217" t="n">
        <v>1</v>
      </c>
      <c r="R217" s="2" t="inlineStr">
        <is>
          <t>Garnlav</t>
        </is>
      </c>
      <c r="S217">
        <f>HYPERLINK("https://klasma.github.io/Logging_2283/artfynd/A 46203-2023 artfynd.xlsx", "A 46203-2023")</f>
        <v/>
      </c>
      <c r="T217">
        <f>HYPERLINK("https://klasma.github.io/Logging_2283/kartor/A 46203-2023 karta.png", "A 46203-2023")</f>
        <v/>
      </c>
      <c r="V217">
        <f>HYPERLINK("https://klasma.github.io/Logging_2283/klagomål/A 46203-2023 FSC-klagomål.docx", "A 46203-2023")</f>
        <v/>
      </c>
      <c r="W217">
        <f>HYPERLINK("https://klasma.github.io/Logging_2283/klagomålsmail/A 46203-2023 FSC-klagomål mail.docx", "A 46203-2023")</f>
        <v/>
      </c>
      <c r="X217">
        <f>HYPERLINK("https://klasma.github.io/Logging_2283/tillsyn/A 46203-2023 tillsynsbegäran.docx", "A 46203-2023")</f>
        <v/>
      </c>
      <c r="Y217">
        <f>HYPERLINK("https://klasma.github.io/Logging_2283/tillsynsmail/A 46203-2023 tillsynsbegäran mail.docx", "A 46203-2023")</f>
        <v/>
      </c>
    </row>
    <row r="218" ht="15" customHeight="1">
      <c r="A218" t="inlineStr">
        <is>
          <t>A 48087-2023</t>
        </is>
      </c>
      <c r="B218" s="1" t="n">
        <v>45204</v>
      </c>
      <c r="C218" s="1" t="n">
        <v>45268</v>
      </c>
      <c r="D218" t="inlineStr">
        <is>
          <t>VÄSTERNORRLANDS LÄN</t>
        </is>
      </c>
      <c r="E218" t="inlineStr">
        <is>
          <t>SOLLEFTEÅ</t>
        </is>
      </c>
      <c r="F218" t="inlineStr">
        <is>
          <t>SCA</t>
        </is>
      </c>
      <c r="G218" t="n">
        <v>0.6</v>
      </c>
      <c r="H218" t="n">
        <v>0</v>
      </c>
      <c r="I218" t="n">
        <v>0</v>
      </c>
      <c r="J218" t="n">
        <v>1</v>
      </c>
      <c r="K218" t="n">
        <v>0</v>
      </c>
      <c r="L218" t="n">
        <v>0</v>
      </c>
      <c r="M218" t="n">
        <v>0</v>
      </c>
      <c r="N218" t="n">
        <v>0</v>
      </c>
      <c r="O218" t="n">
        <v>1</v>
      </c>
      <c r="P218" t="n">
        <v>0</v>
      </c>
      <c r="Q218" t="n">
        <v>1</v>
      </c>
      <c r="R218" s="2" t="inlineStr">
        <is>
          <t>Doftskinn</t>
        </is>
      </c>
      <c r="S218">
        <f>HYPERLINK("https://klasma.github.io/Logging_2283/artfynd/A 48087-2023 artfynd.xlsx", "A 48087-2023")</f>
        <v/>
      </c>
      <c r="T218">
        <f>HYPERLINK("https://klasma.github.io/Logging_2283/kartor/A 48087-2023 karta.png", "A 48087-2023")</f>
        <v/>
      </c>
      <c r="V218">
        <f>HYPERLINK("https://klasma.github.io/Logging_2283/klagomål/A 48087-2023 FSC-klagomål.docx", "A 48087-2023")</f>
        <v/>
      </c>
      <c r="W218">
        <f>HYPERLINK("https://klasma.github.io/Logging_2283/klagomålsmail/A 48087-2023 FSC-klagomål mail.docx", "A 48087-2023")</f>
        <v/>
      </c>
      <c r="X218">
        <f>HYPERLINK("https://klasma.github.io/Logging_2283/tillsyn/A 48087-2023 tillsynsbegäran.docx", "A 48087-2023")</f>
        <v/>
      </c>
      <c r="Y218">
        <f>HYPERLINK("https://klasma.github.io/Logging_2283/tillsynsmail/A 48087-2023 tillsynsbegäran mail.docx", "A 48087-2023")</f>
        <v/>
      </c>
    </row>
    <row r="219" ht="15" customHeight="1">
      <c r="A219" t="inlineStr">
        <is>
          <t>A 53059-2023</t>
        </is>
      </c>
      <c r="B219" s="1" t="n">
        <v>45226</v>
      </c>
      <c r="C219" s="1" t="n">
        <v>45268</v>
      </c>
      <c r="D219" t="inlineStr">
        <is>
          <t>VÄSTERNORRLANDS LÄN</t>
        </is>
      </c>
      <c r="E219" t="inlineStr">
        <is>
          <t>SOLLEFTEÅ</t>
        </is>
      </c>
      <c r="F219" t="inlineStr">
        <is>
          <t>SCA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HYPERLINK("https://klasma.github.io/Logging_2283/artfynd/A 53059-2023 artfynd.xlsx", "A 53059-2023")</f>
        <v/>
      </c>
      <c r="T219">
        <f>HYPERLINK("https://klasma.github.io/Logging_2283/kartor/A 53059-2023 karta.png", "A 53059-2023")</f>
        <v/>
      </c>
      <c r="U219">
        <f>HYPERLINK("https://klasma.github.io/Logging_2283/knärot/A 53059-2023 karta knärot.png", "A 53059-2023")</f>
        <v/>
      </c>
      <c r="V219">
        <f>HYPERLINK("https://klasma.github.io/Logging_2283/klagomål/A 53059-2023 FSC-klagomål.docx", "A 53059-2023")</f>
        <v/>
      </c>
      <c r="W219">
        <f>HYPERLINK("https://klasma.github.io/Logging_2283/klagomålsmail/A 53059-2023 FSC-klagomål mail.docx", "A 53059-2023")</f>
        <v/>
      </c>
      <c r="X219">
        <f>HYPERLINK("https://klasma.github.io/Logging_2283/tillsyn/A 53059-2023 tillsynsbegäran.docx", "A 53059-2023")</f>
        <v/>
      </c>
      <c r="Y219">
        <f>HYPERLINK("https://klasma.github.io/Logging_2283/tillsynsmail/A 53059-2023 tillsynsbegäran mail.docx", "A 53059-2023")</f>
        <v/>
      </c>
    </row>
    <row r="220" ht="15" customHeight="1">
      <c r="A220" t="inlineStr">
        <is>
          <t>A 53039-2023</t>
        </is>
      </c>
      <c r="B220" s="1" t="n">
        <v>45226</v>
      </c>
      <c r="C220" s="1" t="n">
        <v>45268</v>
      </c>
      <c r="D220" t="inlineStr">
        <is>
          <t>VÄSTERNORRLANDS LÄN</t>
        </is>
      </c>
      <c r="E220" t="inlineStr">
        <is>
          <t>SOLLEFTEÅ</t>
        </is>
      </c>
      <c r="F220" t="inlineStr">
        <is>
          <t>SCA</t>
        </is>
      </c>
      <c r="G220" t="n">
        <v>1.8</v>
      </c>
      <c r="H220" t="n">
        <v>1</v>
      </c>
      <c r="I220" t="n">
        <v>0</v>
      </c>
      <c r="J220" t="n">
        <v>1</v>
      </c>
      <c r="K220" t="n">
        <v>0</v>
      </c>
      <c r="L220" t="n">
        <v>0</v>
      </c>
      <c r="M220" t="n">
        <v>0</v>
      </c>
      <c r="N220" t="n">
        <v>0</v>
      </c>
      <c r="O220" t="n">
        <v>1</v>
      </c>
      <c r="P220" t="n">
        <v>0</v>
      </c>
      <c r="Q220" t="n">
        <v>1</v>
      </c>
      <c r="R220" s="2" t="inlineStr">
        <is>
          <t>Nordfladdermus</t>
        </is>
      </c>
      <c r="S220">
        <f>HYPERLINK("https://klasma.github.io/Logging_2283/artfynd/A 53039-2023 artfynd.xlsx", "A 53039-2023")</f>
        <v/>
      </c>
      <c r="T220">
        <f>HYPERLINK("https://klasma.github.io/Logging_2283/kartor/A 53039-2023 karta.png", "A 53039-2023")</f>
        <v/>
      </c>
      <c r="V220">
        <f>HYPERLINK("https://klasma.github.io/Logging_2283/klagomål/A 53039-2023 FSC-klagomål.docx", "A 53039-2023")</f>
        <v/>
      </c>
      <c r="W220">
        <f>HYPERLINK("https://klasma.github.io/Logging_2283/klagomålsmail/A 53039-2023 FSC-klagomål mail.docx", "A 53039-2023")</f>
        <v/>
      </c>
      <c r="X220">
        <f>HYPERLINK("https://klasma.github.io/Logging_2283/tillsyn/A 53039-2023 tillsynsbegäran.docx", "A 53039-2023")</f>
        <v/>
      </c>
      <c r="Y220">
        <f>HYPERLINK("https://klasma.github.io/Logging_2283/tillsynsmail/A 53039-2023 tillsynsbegäran mail.docx", "A 53039-2023")</f>
        <v/>
      </c>
    </row>
    <row r="221" ht="15" customHeight="1">
      <c r="A221" t="inlineStr">
        <is>
          <t>A 53446-2023</t>
        </is>
      </c>
      <c r="B221" s="1" t="n">
        <v>45229</v>
      </c>
      <c r="C221" s="1" t="n">
        <v>45268</v>
      </c>
      <c r="D221" t="inlineStr">
        <is>
          <t>VÄSTERNORRLANDS LÄN</t>
        </is>
      </c>
      <c r="E221" t="inlineStr">
        <is>
          <t>SOLLEFTEÅ</t>
        </is>
      </c>
      <c r="F221" t="inlineStr">
        <is>
          <t>SCA</t>
        </is>
      </c>
      <c r="G221" t="n">
        <v>2.2</v>
      </c>
      <c r="H221" t="n">
        <v>0</v>
      </c>
      <c r="I221" t="n">
        <v>0</v>
      </c>
      <c r="J221" t="n">
        <v>1</v>
      </c>
      <c r="K221" t="n">
        <v>0</v>
      </c>
      <c r="L221" t="n">
        <v>0</v>
      </c>
      <c r="M221" t="n">
        <v>0</v>
      </c>
      <c r="N221" t="n">
        <v>0</v>
      </c>
      <c r="O221" t="n">
        <v>1</v>
      </c>
      <c r="P221" t="n">
        <v>0</v>
      </c>
      <c r="Q221" t="n">
        <v>1</v>
      </c>
      <c r="R221" s="2" t="inlineStr">
        <is>
          <t>Kolflarnlav</t>
        </is>
      </c>
      <c r="S221">
        <f>HYPERLINK("https://klasma.github.io/Logging_2283/artfynd/A 53446-2023 artfynd.xlsx", "A 53446-2023")</f>
        <v/>
      </c>
      <c r="T221">
        <f>HYPERLINK("https://klasma.github.io/Logging_2283/kartor/A 53446-2023 karta.png", "A 53446-2023")</f>
        <v/>
      </c>
      <c r="V221">
        <f>HYPERLINK("https://klasma.github.io/Logging_2283/klagomål/A 53446-2023 FSC-klagomål.docx", "A 53446-2023")</f>
        <v/>
      </c>
      <c r="W221">
        <f>HYPERLINK("https://klasma.github.io/Logging_2283/klagomålsmail/A 53446-2023 FSC-klagomål mail.docx", "A 53446-2023")</f>
        <v/>
      </c>
      <c r="X221">
        <f>HYPERLINK("https://klasma.github.io/Logging_2283/tillsyn/A 53446-2023 tillsynsbegäran.docx", "A 53446-2023")</f>
        <v/>
      </c>
      <c r="Y221">
        <f>HYPERLINK("https://klasma.github.io/Logging_2283/tillsynsmail/A 53446-2023 tillsynsbegäran mail.docx", "A 53446-2023")</f>
        <v/>
      </c>
    </row>
    <row r="222" ht="15" customHeight="1">
      <c r="A222" t="inlineStr">
        <is>
          <t>A 56257-2023</t>
        </is>
      </c>
      <c r="B222" s="1" t="n">
        <v>45240</v>
      </c>
      <c r="C222" s="1" t="n">
        <v>45268</v>
      </c>
      <c r="D222" t="inlineStr">
        <is>
          <t>VÄSTERNORRLANDS LÄN</t>
        </is>
      </c>
      <c r="E222" t="inlineStr">
        <is>
          <t>SOLLEFTEÅ</t>
        </is>
      </c>
      <c r="F222" t="inlineStr">
        <is>
          <t>SCA</t>
        </is>
      </c>
      <c r="G222" t="n">
        <v>2.9</v>
      </c>
      <c r="H222" t="n">
        <v>0</v>
      </c>
      <c r="I222" t="n">
        <v>1</v>
      </c>
      <c r="J222" t="n">
        <v>0</v>
      </c>
      <c r="K222" t="n">
        <v>0</v>
      </c>
      <c r="L222" t="n">
        <v>0</v>
      </c>
      <c r="M222" t="n">
        <v>0</v>
      </c>
      <c r="N222" t="n">
        <v>0</v>
      </c>
      <c r="O222" t="n">
        <v>0</v>
      </c>
      <c r="P222" t="n">
        <v>0</v>
      </c>
      <c r="Q222" t="n">
        <v>1</v>
      </c>
      <c r="R222" s="2" t="inlineStr">
        <is>
          <t>Tibast</t>
        </is>
      </c>
      <c r="S222">
        <f>HYPERLINK("https://klasma.github.io/Logging_2283/artfynd/A 56257-2023 artfynd.xlsx", "A 56257-2023")</f>
        <v/>
      </c>
      <c r="T222">
        <f>HYPERLINK("https://klasma.github.io/Logging_2283/kartor/A 56257-2023 karta.png", "A 56257-2023")</f>
        <v/>
      </c>
      <c r="V222">
        <f>HYPERLINK("https://klasma.github.io/Logging_2283/klagomål/A 56257-2023 FSC-klagomål.docx", "A 56257-2023")</f>
        <v/>
      </c>
      <c r="W222">
        <f>HYPERLINK("https://klasma.github.io/Logging_2283/klagomålsmail/A 56257-2023 FSC-klagomål mail.docx", "A 56257-2023")</f>
        <v/>
      </c>
      <c r="X222">
        <f>HYPERLINK("https://klasma.github.io/Logging_2283/tillsyn/A 56257-2023 tillsynsbegäran.docx", "A 56257-2023")</f>
        <v/>
      </c>
      <c r="Y222">
        <f>HYPERLINK("https://klasma.github.io/Logging_2283/tillsynsmail/A 56257-2023 tillsynsbegäran mail.docx", "A 56257-2023")</f>
        <v/>
      </c>
    </row>
    <row r="223" ht="15" customHeight="1">
      <c r="A223" t="inlineStr">
        <is>
          <t>A 59100-2023</t>
        </is>
      </c>
      <c r="B223" s="1" t="n">
        <v>45252</v>
      </c>
      <c r="C223" s="1" t="n">
        <v>45268</v>
      </c>
      <c r="D223" t="inlineStr">
        <is>
          <t>VÄSTERNORRLANDS LÄN</t>
        </is>
      </c>
      <c r="E223" t="inlineStr">
        <is>
          <t>SOLLEFTEÅ</t>
        </is>
      </c>
      <c r="F223" t="inlineStr">
        <is>
          <t>SCA</t>
        </is>
      </c>
      <c r="G223" t="n">
        <v>4.2</v>
      </c>
      <c r="H223" t="n">
        <v>0</v>
      </c>
      <c r="I223" t="n">
        <v>0</v>
      </c>
      <c r="J223" t="n">
        <v>1</v>
      </c>
      <c r="K223" t="n">
        <v>0</v>
      </c>
      <c r="L223" t="n">
        <v>0</v>
      </c>
      <c r="M223" t="n">
        <v>0</v>
      </c>
      <c r="N223" t="n">
        <v>0</v>
      </c>
      <c r="O223" t="n">
        <v>1</v>
      </c>
      <c r="P223" t="n">
        <v>0</v>
      </c>
      <c r="Q223" t="n">
        <v>1</v>
      </c>
      <c r="R223" s="2" t="inlineStr">
        <is>
          <t>Skrovlig taggsvamp</t>
        </is>
      </c>
      <c r="S223">
        <f>HYPERLINK("https://klasma.github.io/Logging_2283/artfynd/A 59100-2023 artfynd.xlsx", "A 59100-2023")</f>
        <v/>
      </c>
      <c r="T223">
        <f>HYPERLINK("https://klasma.github.io/Logging_2283/kartor/A 59100-2023 karta.png", "A 59100-2023")</f>
        <v/>
      </c>
      <c r="V223">
        <f>HYPERLINK("https://klasma.github.io/Logging_2283/klagomål/A 59100-2023 FSC-klagomål.docx", "A 59100-2023")</f>
        <v/>
      </c>
      <c r="W223">
        <f>HYPERLINK("https://klasma.github.io/Logging_2283/klagomålsmail/A 59100-2023 FSC-klagomål mail.docx", "A 59100-2023")</f>
        <v/>
      </c>
      <c r="X223">
        <f>HYPERLINK("https://klasma.github.io/Logging_2283/tillsyn/A 59100-2023 tillsynsbegäran.docx", "A 59100-2023")</f>
        <v/>
      </c>
      <c r="Y223">
        <f>HYPERLINK("https://klasma.github.io/Logging_2283/tillsynsmail/A 59100-2023 tillsynsbegäran mail.docx", "A 59100-2023")</f>
        <v/>
      </c>
    </row>
    <row r="224" ht="15" customHeight="1">
      <c r="A224" t="inlineStr">
        <is>
          <t>A 33896-2018</t>
        </is>
      </c>
      <c r="B224" s="1" t="n">
        <v>43314</v>
      </c>
      <c r="C224" s="1" t="n">
        <v>45268</v>
      </c>
      <c r="D224" t="inlineStr">
        <is>
          <t>VÄSTERNORRLANDS LÄN</t>
        </is>
      </c>
      <c r="E224" t="inlineStr">
        <is>
          <t>SOLLEFTEÅ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34267-2018</t>
        </is>
      </c>
      <c r="B225" s="1" t="n">
        <v>43318</v>
      </c>
      <c r="C225" s="1" t="n">
        <v>45268</v>
      </c>
      <c r="D225" t="inlineStr">
        <is>
          <t>VÄSTERNORRLANDS LÄN</t>
        </is>
      </c>
      <c r="E225" t="inlineStr">
        <is>
          <t>SOLLEFTEÅ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36973-2018</t>
        </is>
      </c>
      <c r="B226" s="1" t="n">
        <v>43332</v>
      </c>
      <c r="C226" s="1" t="n">
        <v>45268</v>
      </c>
      <c r="D226" t="inlineStr">
        <is>
          <t>VÄSTERNORRLANDS LÄN</t>
        </is>
      </c>
      <c r="E226" t="inlineStr">
        <is>
          <t>SOLLEFTEÅ</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37589-2018</t>
        </is>
      </c>
      <c r="B227" s="1" t="n">
        <v>43334</v>
      </c>
      <c r="C227" s="1" t="n">
        <v>45268</v>
      </c>
      <c r="D227" t="inlineStr">
        <is>
          <t>VÄSTERNORRLANDS LÄN</t>
        </is>
      </c>
      <c r="E227" t="inlineStr">
        <is>
          <t>SOLLEFTEÅ</t>
        </is>
      </c>
      <c r="G227" t="n">
        <v>1.6</v>
      </c>
      <c r="H227" t="n">
        <v>0</v>
      </c>
      <c r="I227" t="n">
        <v>0</v>
      </c>
      <c r="J227" t="n">
        <v>0</v>
      </c>
      <c r="K227" t="n">
        <v>0</v>
      </c>
      <c r="L227" t="n">
        <v>0</v>
      </c>
      <c r="M227" t="n">
        <v>0</v>
      </c>
      <c r="N227" t="n">
        <v>0</v>
      </c>
      <c r="O227" t="n">
        <v>0</v>
      </c>
      <c r="P227" t="n">
        <v>0</v>
      </c>
      <c r="Q227" t="n">
        <v>0</v>
      </c>
      <c r="R227" s="2" t="inlineStr"/>
    </row>
    <row r="228" ht="15" customHeight="1">
      <c r="A228" t="inlineStr">
        <is>
          <t>A 37875-2018</t>
        </is>
      </c>
      <c r="B228" s="1" t="n">
        <v>43335</v>
      </c>
      <c r="C228" s="1" t="n">
        <v>45268</v>
      </c>
      <c r="D228" t="inlineStr">
        <is>
          <t>VÄSTERNORRLANDS LÄN</t>
        </is>
      </c>
      <c r="E228" t="inlineStr">
        <is>
          <t>SOLLEFTEÅ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40310-2018</t>
        </is>
      </c>
      <c r="B229" s="1" t="n">
        <v>43343</v>
      </c>
      <c r="C229" s="1" t="n">
        <v>45268</v>
      </c>
      <c r="D229" t="inlineStr">
        <is>
          <t>VÄSTERNORRLANDS LÄN</t>
        </is>
      </c>
      <c r="E229" t="inlineStr">
        <is>
          <t>SOLLEFTEÅ</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40433-2018</t>
        </is>
      </c>
      <c r="B230" s="1" t="n">
        <v>43346</v>
      </c>
      <c r="C230" s="1" t="n">
        <v>45268</v>
      </c>
      <c r="D230" t="inlineStr">
        <is>
          <t>VÄSTERNORRLANDS LÄN</t>
        </is>
      </c>
      <c r="E230" t="inlineStr">
        <is>
          <t>SOLLEFTEÅ</t>
        </is>
      </c>
      <c r="G230" t="n">
        <v>4.1</v>
      </c>
      <c r="H230" t="n">
        <v>0</v>
      </c>
      <c r="I230" t="n">
        <v>0</v>
      </c>
      <c r="J230" t="n">
        <v>0</v>
      </c>
      <c r="K230" t="n">
        <v>0</v>
      </c>
      <c r="L230" t="n">
        <v>0</v>
      </c>
      <c r="M230" t="n">
        <v>0</v>
      </c>
      <c r="N230" t="n">
        <v>0</v>
      </c>
      <c r="O230" t="n">
        <v>0</v>
      </c>
      <c r="P230" t="n">
        <v>0</v>
      </c>
      <c r="Q230" t="n">
        <v>0</v>
      </c>
      <c r="R230" s="2" t="inlineStr"/>
    </row>
    <row r="231" ht="15" customHeight="1">
      <c r="A231" t="inlineStr">
        <is>
          <t>A 40683-2018</t>
        </is>
      </c>
      <c r="B231" s="1" t="n">
        <v>43346</v>
      </c>
      <c r="C231" s="1" t="n">
        <v>45268</v>
      </c>
      <c r="D231" t="inlineStr">
        <is>
          <t>VÄSTERNORRLANDS LÄN</t>
        </is>
      </c>
      <c r="E231" t="inlineStr">
        <is>
          <t>SOLLEFTEÅ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41185-2018</t>
        </is>
      </c>
      <c r="B232" s="1" t="n">
        <v>43346</v>
      </c>
      <c r="C232" s="1" t="n">
        <v>45268</v>
      </c>
      <c r="D232" t="inlineStr">
        <is>
          <t>VÄSTERNORRLANDS LÄN</t>
        </is>
      </c>
      <c r="E232" t="inlineStr">
        <is>
          <t>SOLLEFTEÅ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41661-2018</t>
        </is>
      </c>
      <c r="B233" s="1" t="n">
        <v>43349</v>
      </c>
      <c r="C233" s="1" t="n">
        <v>45268</v>
      </c>
      <c r="D233" t="inlineStr">
        <is>
          <t>VÄSTERNORRLANDS LÄN</t>
        </is>
      </c>
      <c r="E233" t="inlineStr">
        <is>
          <t>SOLLEFTEÅ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43215-2018</t>
        </is>
      </c>
      <c r="B234" s="1" t="n">
        <v>43353</v>
      </c>
      <c r="C234" s="1" t="n">
        <v>45268</v>
      </c>
      <c r="D234" t="inlineStr">
        <is>
          <t>VÄSTERNORRLANDS LÄN</t>
        </is>
      </c>
      <c r="E234" t="inlineStr">
        <is>
          <t>SOLLEFTEÅ</t>
        </is>
      </c>
      <c r="G234" t="n">
        <v>16</v>
      </c>
      <c r="H234" t="n">
        <v>0</v>
      </c>
      <c r="I234" t="n">
        <v>0</v>
      </c>
      <c r="J234" t="n">
        <v>0</v>
      </c>
      <c r="K234" t="n">
        <v>0</v>
      </c>
      <c r="L234" t="n">
        <v>0</v>
      </c>
      <c r="M234" t="n">
        <v>0</v>
      </c>
      <c r="N234" t="n">
        <v>0</v>
      </c>
      <c r="O234" t="n">
        <v>0</v>
      </c>
      <c r="P234" t="n">
        <v>0</v>
      </c>
      <c r="Q234" t="n">
        <v>0</v>
      </c>
      <c r="R234" s="2" t="inlineStr"/>
    </row>
    <row r="235" ht="15" customHeight="1">
      <c r="A235" t="inlineStr">
        <is>
          <t>A 45786-2018</t>
        </is>
      </c>
      <c r="B235" s="1" t="n">
        <v>43362</v>
      </c>
      <c r="C235" s="1" t="n">
        <v>45268</v>
      </c>
      <c r="D235" t="inlineStr">
        <is>
          <t>VÄSTERNORRLANDS LÄN</t>
        </is>
      </c>
      <c r="E235" t="inlineStr">
        <is>
          <t>SOLLEFTEÅ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50423-2018</t>
        </is>
      </c>
      <c r="B236" s="1" t="n">
        <v>43378</v>
      </c>
      <c r="C236" s="1" t="n">
        <v>45268</v>
      </c>
      <c r="D236" t="inlineStr">
        <is>
          <t>VÄSTERNORRLANDS LÄN</t>
        </is>
      </c>
      <c r="E236" t="inlineStr">
        <is>
          <t>SOLLEFTEÅ</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50996-2018</t>
        </is>
      </c>
      <c r="B237" s="1" t="n">
        <v>43378</v>
      </c>
      <c r="C237" s="1" t="n">
        <v>45268</v>
      </c>
      <c r="D237" t="inlineStr">
        <is>
          <t>VÄSTERNORRLANDS LÄN</t>
        </is>
      </c>
      <c r="E237" t="inlineStr">
        <is>
          <t>SOLLEFTEÅ</t>
        </is>
      </c>
      <c r="G237" t="n">
        <v>2.5</v>
      </c>
      <c r="H237" t="n">
        <v>0</v>
      </c>
      <c r="I237" t="n">
        <v>0</v>
      </c>
      <c r="J237" t="n">
        <v>0</v>
      </c>
      <c r="K237" t="n">
        <v>0</v>
      </c>
      <c r="L237" t="n">
        <v>0</v>
      </c>
      <c r="M237" t="n">
        <v>0</v>
      </c>
      <c r="N237" t="n">
        <v>0</v>
      </c>
      <c r="O237" t="n">
        <v>0</v>
      </c>
      <c r="P237" t="n">
        <v>0</v>
      </c>
      <c r="Q237" t="n">
        <v>0</v>
      </c>
      <c r="R237" s="2" t="inlineStr"/>
    </row>
    <row r="238" ht="15" customHeight="1">
      <c r="A238" t="inlineStr">
        <is>
          <t>A 52458-2018</t>
        </is>
      </c>
      <c r="B238" s="1" t="n">
        <v>43383</v>
      </c>
      <c r="C238" s="1" t="n">
        <v>45268</v>
      </c>
      <c r="D238" t="inlineStr">
        <is>
          <t>VÄSTERNORRLANDS LÄN</t>
        </is>
      </c>
      <c r="E238" t="inlineStr">
        <is>
          <t>SOLLEFTEÅ</t>
        </is>
      </c>
      <c r="G238" t="n">
        <v>7.6</v>
      </c>
      <c r="H238" t="n">
        <v>0</v>
      </c>
      <c r="I238" t="n">
        <v>0</v>
      </c>
      <c r="J238" t="n">
        <v>0</v>
      </c>
      <c r="K238" t="n">
        <v>0</v>
      </c>
      <c r="L238" t="n">
        <v>0</v>
      </c>
      <c r="M238" t="n">
        <v>0</v>
      </c>
      <c r="N238" t="n">
        <v>0</v>
      </c>
      <c r="O238" t="n">
        <v>0</v>
      </c>
      <c r="P238" t="n">
        <v>0</v>
      </c>
      <c r="Q238" t="n">
        <v>0</v>
      </c>
      <c r="R238" s="2" t="inlineStr"/>
    </row>
    <row r="239" ht="15" customHeight="1">
      <c r="A239" t="inlineStr">
        <is>
          <t>A 52745-2018</t>
        </is>
      </c>
      <c r="B239" s="1" t="n">
        <v>43384</v>
      </c>
      <c r="C239" s="1" t="n">
        <v>45268</v>
      </c>
      <c r="D239" t="inlineStr">
        <is>
          <t>VÄSTERNORRLANDS LÄN</t>
        </is>
      </c>
      <c r="E239" t="inlineStr">
        <is>
          <t>SOLLEFTEÅ</t>
        </is>
      </c>
      <c r="G239" t="n">
        <v>4.7</v>
      </c>
      <c r="H239" t="n">
        <v>0</v>
      </c>
      <c r="I239" t="n">
        <v>0</v>
      </c>
      <c r="J239" t="n">
        <v>0</v>
      </c>
      <c r="K239" t="n">
        <v>0</v>
      </c>
      <c r="L239" t="n">
        <v>0</v>
      </c>
      <c r="M239" t="n">
        <v>0</v>
      </c>
      <c r="N239" t="n">
        <v>0</v>
      </c>
      <c r="O239" t="n">
        <v>0</v>
      </c>
      <c r="P239" t="n">
        <v>0</v>
      </c>
      <c r="Q239" t="n">
        <v>0</v>
      </c>
      <c r="R239" s="2" t="inlineStr"/>
    </row>
    <row r="240" ht="15" customHeight="1">
      <c r="A240" t="inlineStr">
        <is>
          <t>A 53595-2018</t>
        </is>
      </c>
      <c r="B240" s="1" t="n">
        <v>43388</v>
      </c>
      <c r="C240" s="1" t="n">
        <v>45268</v>
      </c>
      <c r="D240" t="inlineStr">
        <is>
          <t>VÄSTERNORRLANDS LÄN</t>
        </is>
      </c>
      <c r="E240" t="inlineStr">
        <is>
          <t>SOLLEFTEÅ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54076-2018</t>
        </is>
      </c>
      <c r="B241" s="1" t="n">
        <v>43388</v>
      </c>
      <c r="C241" s="1" t="n">
        <v>45268</v>
      </c>
      <c r="D241" t="inlineStr">
        <is>
          <t>VÄSTERNORRLANDS LÄN</t>
        </is>
      </c>
      <c r="E241" t="inlineStr">
        <is>
          <t>SOLLEFTEÅ</t>
        </is>
      </c>
      <c r="G241" t="n">
        <v>1.1</v>
      </c>
      <c r="H241" t="n">
        <v>0</v>
      </c>
      <c r="I241" t="n">
        <v>0</v>
      </c>
      <c r="J241" t="n">
        <v>0</v>
      </c>
      <c r="K241" t="n">
        <v>0</v>
      </c>
      <c r="L241" t="n">
        <v>0</v>
      </c>
      <c r="M241" t="n">
        <v>0</v>
      </c>
      <c r="N241" t="n">
        <v>0</v>
      </c>
      <c r="O241" t="n">
        <v>0</v>
      </c>
      <c r="P241" t="n">
        <v>0</v>
      </c>
      <c r="Q241" t="n">
        <v>0</v>
      </c>
      <c r="R241" s="2" t="inlineStr"/>
    </row>
    <row r="242" ht="15" customHeight="1">
      <c r="A242" t="inlineStr">
        <is>
          <t>A 56189-2018</t>
        </is>
      </c>
      <c r="B242" s="1" t="n">
        <v>43389</v>
      </c>
      <c r="C242" s="1" t="n">
        <v>45268</v>
      </c>
      <c r="D242" t="inlineStr">
        <is>
          <t>VÄSTERNORRLANDS LÄN</t>
        </is>
      </c>
      <c r="E242" t="inlineStr">
        <is>
          <t>SOLLEFTEÅ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54667-2018</t>
        </is>
      </c>
      <c r="B243" s="1" t="n">
        <v>43389</v>
      </c>
      <c r="C243" s="1" t="n">
        <v>45268</v>
      </c>
      <c r="D243" t="inlineStr">
        <is>
          <t>VÄSTERNORRLANDS LÄN</t>
        </is>
      </c>
      <c r="E243" t="inlineStr">
        <is>
          <t>SOLLEFTEÅ</t>
        </is>
      </c>
      <c r="G243" t="n">
        <v>1.8</v>
      </c>
      <c r="H243" t="n">
        <v>0</v>
      </c>
      <c r="I243" t="n">
        <v>0</v>
      </c>
      <c r="J243" t="n">
        <v>0</v>
      </c>
      <c r="K243" t="n">
        <v>0</v>
      </c>
      <c r="L243" t="n">
        <v>0</v>
      </c>
      <c r="M243" t="n">
        <v>0</v>
      </c>
      <c r="N243" t="n">
        <v>0</v>
      </c>
      <c r="O243" t="n">
        <v>0</v>
      </c>
      <c r="P243" t="n">
        <v>0</v>
      </c>
      <c r="Q243" t="n">
        <v>0</v>
      </c>
      <c r="R243" s="2" t="inlineStr"/>
    </row>
    <row r="244" ht="15" customHeight="1">
      <c r="A244" t="inlineStr">
        <is>
          <t>A 53746-2018</t>
        </is>
      </c>
      <c r="B244" s="1" t="n">
        <v>43391</v>
      </c>
      <c r="C244" s="1" t="n">
        <v>45268</v>
      </c>
      <c r="D244" t="inlineStr">
        <is>
          <t>VÄSTERNORRLANDS LÄN</t>
        </is>
      </c>
      <c r="E244" t="inlineStr">
        <is>
          <t>SOLLEFTEÅ</t>
        </is>
      </c>
      <c r="G244" t="n">
        <v>1</v>
      </c>
      <c r="H244" t="n">
        <v>0</v>
      </c>
      <c r="I244" t="n">
        <v>0</v>
      </c>
      <c r="J244" t="n">
        <v>0</v>
      </c>
      <c r="K244" t="n">
        <v>0</v>
      </c>
      <c r="L244" t="n">
        <v>0</v>
      </c>
      <c r="M244" t="n">
        <v>0</v>
      </c>
      <c r="N244" t="n">
        <v>0</v>
      </c>
      <c r="O244" t="n">
        <v>0</v>
      </c>
      <c r="P244" t="n">
        <v>0</v>
      </c>
      <c r="Q244" t="n">
        <v>0</v>
      </c>
      <c r="R244" s="2" t="inlineStr"/>
    </row>
    <row r="245" ht="15" customHeight="1">
      <c r="A245" t="inlineStr">
        <is>
          <t>A 54226-2018</t>
        </is>
      </c>
      <c r="B245" s="1" t="n">
        <v>43392</v>
      </c>
      <c r="C245" s="1" t="n">
        <v>45268</v>
      </c>
      <c r="D245" t="inlineStr">
        <is>
          <t>VÄSTERNORRLANDS LÄN</t>
        </is>
      </c>
      <c r="E245" t="inlineStr">
        <is>
          <t>SOLLEFTEÅ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55996-2018</t>
        </is>
      </c>
      <c r="B246" s="1" t="n">
        <v>43392</v>
      </c>
      <c r="C246" s="1" t="n">
        <v>45268</v>
      </c>
      <c r="D246" t="inlineStr">
        <is>
          <t>VÄSTERNORRLANDS LÄN</t>
        </is>
      </c>
      <c r="E246" t="inlineStr">
        <is>
          <t>SOLLEFTEÅ</t>
        </is>
      </c>
      <c r="G246" t="n">
        <v>2</v>
      </c>
      <c r="H246" t="n">
        <v>0</v>
      </c>
      <c r="I246" t="n">
        <v>0</v>
      </c>
      <c r="J246" t="n">
        <v>0</v>
      </c>
      <c r="K246" t="n">
        <v>0</v>
      </c>
      <c r="L246" t="n">
        <v>0</v>
      </c>
      <c r="M246" t="n">
        <v>0</v>
      </c>
      <c r="N246" t="n">
        <v>0</v>
      </c>
      <c r="O246" t="n">
        <v>0</v>
      </c>
      <c r="P246" t="n">
        <v>0</v>
      </c>
      <c r="Q246" t="n">
        <v>0</v>
      </c>
      <c r="R246" s="2" t="inlineStr"/>
    </row>
    <row r="247" ht="15" customHeight="1">
      <c r="A247" t="inlineStr">
        <is>
          <t>A 56610-2018</t>
        </is>
      </c>
      <c r="B247" s="1" t="n">
        <v>43395</v>
      </c>
      <c r="C247" s="1" t="n">
        <v>45268</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56666-2018</t>
        </is>
      </c>
      <c r="B248" s="1" t="n">
        <v>43395</v>
      </c>
      <c r="C248" s="1" t="n">
        <v>45268</v>
      </c>
      <c r="D248" t="inlineStr">
        <is>
          <t>VÄSTERNORRLANDS LÄN</t>
        </is>
      </c>
      <c r="E248" t="inlineStr">
        <is>
          <t>SOLLEFTEÅ</t>
        </is>
      </c>
      <c r="G248" t="n">
        <v>6</v>
      </c>
      <c r="H248" t="n">
        <v>0</v>
      </c>
      <c r="I248" t="n">
        <v>0</v>
      </c>
      <c r="J248" t="n">
        <v>0</v>
      </c>
      <c r="K248" t="n">
        <v>0</v>
      </c>
      <c r="L248" t="n">
        <v>0</v>
      </c>
      <c r="M248" t="n">
        <v>0</v>
      </c>
      <c r="N248" t="n">
        <v>0</v>
      </c>
      <c r="O248" t="n">
        <v>0</v>
      </c>
      <c r="P248" t="n">
        <v>0</v>
      </c>
      <c r="Q248" t="n">
        <v>0</v>
      </c>
      <c r="R248" s="2" t="inlineStr"/>
    </row>
    <row r="249" ht="15" customHeight="1">
      <c r="A249" t="inlineStr">
        <is>
          <t>A 56629-2018</t>
        </is>
      </c>
      <c r="B249" s="1" t="n">
        <v>43395</v>
      </c>
      <c r="C249" s="1" t="n">
        <v>45268</v>
      </c>
      <c r="D249" t="inlineStr">
        <is>
          <t>VÄSTERNORRLANDS LÄN</t>
        </is>
      </c>
      <c r="E249" t="inlineStr">
        <is>
          <t>SOLLEFTEÅ</t>
        </is>
      </c>
      <c r="G249" t="n">
        <v>10.6</v>
      </c>
      <c r="H249" t="n">
        <v>0</v>
      </c>
      <c r="I249" t="n">
        <v>0</v>
      </c>
      <c r="J249" t="n">
        <v>0</v>
      </c>
      <c r="K249" t="n">
        <v>0</v>
      </c>
      <c r="L249" t="n">
        <v>0</v>
      </c>
      <c r="M249" t="n">
        <v>0</v>
      </c>
      <c r="N249" t="n">
        <v>0</v>
      </c>
      <c r="O249" t="n">
        <v>0</v>
      </c>
      <c r="P249" t="n">
        <v>0</v>
      </c>
      <c r="Q249" t="n">
        <v>0</v>
      </c>
      <c r="R249" s="2" t="inlineStr"/>
    </row>
    <row r="250" ht="15" customHeight="1">
      <c r="A250" t="inlineStr">
        <is>
          <t>A 56139-2018</t>
        </is>
      </c>
      <c r="B250" s="1" t="n">
        <v>43398</v>
      </c>
      <c r="C250" s="1" t="n">
        <v>45268</v>
      </c>
      <c r="D250" t="inlineStr">
        <is>
          <t>VÄSTERNORRLANDS LÄN</t>
        </is>
      </c>
      <c r="E250" t="inlineStr">
        <is>
          <t>SOLLEFTEÅ</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58020-2018</t>
        </is>
      </c>
      <c r="B251" s="1" t="n">
        <v>43398</v>
      </c>
      <c r="C251" s="1" t="n">
        <v>45268</v>
      </c>
      <c r="D251" t="inlineStr">
        <is>
          <t>VÄSTERNORRLANDS LÄN</t>
        </is>
      </c>
      <c r="E251" t="inlineStr">
        <is>
          <t>SOLLEFTEÅ</t>
        </is>
      </c>
      <c r="G251" t="n">
        <v>6.5</v>
      </c>
      <c r="H251" t="n">
        <v>0</v>
      </c>
      <c r="I251" t="n">
        <v>0</v>
      </c>
      <c r="J251" t="n">
        <v>0</v>
      </c>
      <c r="K251" t="n">
        <v>0</v>
      </c>
      <c r="L251" t="n">
        <v>0</v>
      </c>
      <c r="M251" t="n">
        <v>0</v>
      </c>
      <c r="N251" t="n">
        <v>0</v>
      </c>
      <c r="O251" t="n">
        <v>0</v>
      </c>
      <c r="P251" t="n">
        <v>0</v>
      </c>
      <c r="Q251" t="n">
        <v>0</v>
      </c>
      <c r="R251" s="2" t="inlineStr"/>
    </row>
    <row r="252" ht="15" customHeight="1">
      <c r="A252" t="inlineStr">
        <is>
          <t>A 58397-2018</t>
        </is>
      </c>
      <c r="B252" s="1" t="n">
        <v>43399</v>
      </c>
      <c r="C252" s="1" t="n">
        <v>45268</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56500-2018</t>
        </is>
      </c>
      <c r="B253" s="1" t="n">
        <v>43399</v>
      </c>
      <c r="C253" s="1" t="n">
        <v>45268</v>
      </c>
      <c r="D253" t="inlineStr">
        <is>
          <t>VÄSTERNORRLANDS LÄN</t>
        </is>
      </c>
      <c r="E253" t="inlineStr">
        <is>
          <t>SOLLEFTEÅ</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59371-2018</t>
        </is>
      </c>
      <c r="B254" s="1" t="n">
        <v>43404</v>
      </c>
      <c r="C254" s="1" t="n">
        <v>45268</v>
      </c>
      <c r="D254" t="inlineStr">
        <is>
          <t>VÄSTERNORRLANDS LÄN</t>
        </is>
      </c>
      <c r="E254" t="inlineStr">
        <is>
          <t>SOLLEFTEÅ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57954-2018</t>
        </is>
      </c>
      <c r="B255" s="1" t="n">
        <v>43405</v>
      </c>
      <c r="C255" s="1" t="n">
        <v>45268</v>
      </c>
      <c r="D255" t="inlineStr">
        <is>
          <t>VÄSTERNORRLANDS LÄN</t>
        </is>
      </c>
      <c r="E255" t="inlineStr">
        <is>
          <t>SOLLEFTEÅ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57747-2018</t>
        </is>
      </c>
      <c r="B256" s="1" t="n">
        <v>43405</v>
      </c>
      <c r="C256" s="1" t="n">
        <v>45268</v>
      </c>
      <c r="D256" t="inlineStr">
        <is>
          <t>VÄSTERNORRLANDS LÄN</t>
        </is>
      </c>
      <c r="E256" t="inlineStr">
        <is>
          <t>SOLLEFTEÅ</t>
        </is>
      </c>
      <c r="G256" t="n">
        <v>2.4</v>
      </c>
      <c r="H256" t="n">
        <v>0</v>
      </c>
      <c r="I256" t="n">
        <v>0</v>
      </c>
      <c r="J256" t="n">
        <v>0</v>
      </c>
      <c r="K256" t="n">
        <v>0</v>
      </c>
      <c r="L256" t="n">
        <v>0</v>
      </c>
      <c r="M256" t="n">
        <v>0</v>
      </c>
      <c r="N256" t="n">
        <v>0</v>
      </c>
      <c r="O256" t="n">
        <v>0</v>
      </c>
      <c r="P256" t="n">
        <v>0</v>
      </c>
      <c r="Q256" t="n">
        <v>0</v>
      </c>
      <c r="R256" s="2" t="inlineStr"/>
    </row>
    <row r="257" ht="15" customHeight="1">
      <c r="A257" t="inlineStr">
        <is>
          <t>A 57956-2018</t>
        </is>
      </c>
      <c r="B257" s="1" t="n">
        <v>43405</v>
      </c>
      <c r="C257" s="1" t="n">
        <v>45268</v>
      </c>
      <c r="D257" t="inlineStr">
        <is>
          <t>VÄSTERNORRLANDS LÄN</t>
        </is>
      </c>
      <c r="E257" t="inlineStr">
        <is>
          <t>SOLLEFTEÅ</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60057-2018</t>
        </is>
      </c>
      <c r="B258" s="1" t="n">
        <v>43412</v>
      </c>
      <c r="C258" s="1" t="n">
        <v>45268</v>
      </c>
      <c r="D258" t="inlineStr">
        <is>
          <t>VÄSTERNORRLANDS LÄN</t>
        </is>
      </c>
      <c r="E258" t="inlineStr">
        <is>
          <t>SOLLEFTEÅ</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60206-2018</t>
        </is>
      </c>
      <c r="B259" s="1" t="n">
        <v>43412</v>
      </c>
      <c r="C259" s="1" t="n">
        <v>45268</v>
      </c>
      <c r="D259" t="inlineStr">
        <is>
          <t>VÄSTERNORRLANDS LÄN</t>
        </is>
      </c>
      <c r="E259" t="inlineStr">
        <is>
          <t>SOLLEFTEÅ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62604-2018</t>
        </is>
      </c>
      <c r="B260" s="1" t="n">
        <v>43416</v>
      </c>
      <c r="C260" s="1" t="n">
        <v>45268</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62571-2018</t>
        </is>
      </c>
      <c r="B261" s="1" t="n">
        <v>43416</v>
      </c>
      <c r="C261" s="1" t="n">
        <v>45268</v>
      </c>
      <c r="D261" t="inlineStr">
        <is>
          <t>VÄSTERNORRLANDS LÄN</t>
        </is>
      </c>
      <c r="E261" t="inlineStr">
        <is>
          <t>SOLLEFTEÅ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59894-2018</t>
        </is>
      </c>
      <c r="B262" s="1" t="n">
        <v>43419</v>
      </c>
      <c r="C262" s="1" t="n">
        <v>45268</v>
      </c>
      <c r="D262" t="inlineStr">
        <is>
          <t>VÄSTERNORRLANDS LÄN</t>
        </is>
      </c>
      <c r="E262" t="inlineStr">
        <is>
          <t>SOLLEFTEÅ</t>
        </is>
      </c>
      <c r="F262" t="inlineStr">
        <is>
          <t>SCA</t>
        </is>
      </c>
      <c r="G262" t="n">
        <v>0.3</v>
      </c>
      <c r="H262" t="n">
        <v>0</v>
      </c>
      <c r="I262" t="n">
        <v>0</v>
      </c>
      <c r="J262" t="n">
        <v>0</v>
      </c>
      <c r="K262" t="n">
        <v>0</v>
      </c>
      <c r="L262" t="n">
        <v>0</v>
      </c>
      <c r="M262" t="n">
        <v>0</v>
      </c>
      <c r="N262" t="n">
        <v>0</v>
      </c>
      <c r="O262" t="n">
        <v>0</v>
      </c>
      <c r="P262" t="n">
        <v>0</v>
      </c>
      <c r="Q262" t="n">
        <v>0</v>
      </c>
      <c r="R262" s="2" t="inlineStr"/>
    </row>
    <row r="263" ht="15" customHeight="1">
      <c r="A263" t="inlineStr">
        <is>
          <t>A 59621-2018</t>
        </is>
      </c>
      <c r="B263" s="1" t="n">
        <v>43419</v>
      </c>
      <c r="C263" s="1" t="n">
        <v>45268</v>
      </c>
      <c r="D263" t="inlineStr">
        <is>
          <t>VÄSTERNORRLANDS LÄN</t>
        </is>
      </c>
      <c r="E263" t="inlineStr">
        <is>
          <t>SOLLEFTEÅ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59615-2018</t>
        </is>
      </c>
      <c r="B264" s="1" t="n">
        <v>43419</v>
      </c>
      <c r="C264" s="1" t="n">
        <v>45268</v>
      </c>
      <c r="D264" t="inlineStr">
        <is>
          <t>VÄSTERNORRLANDS LÄN</t>
        </is>
      </c>
      <c r="E264" t="inlineStr">
        <is>
          <t>SOLLEFTEÅ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60505-2018</t>
        </is>
      </c>
      <c r="B265" s="1" t="n">
        <v>43420</v>
      </c>
      <c r="C265" s="1" t="n">
        <v>45268</v>
      </c>
      <c r="D265" t="inlineStr">
        <is>
          <t>VÄSTERNORRLANDS LÄN</t>
        </is>
      </c>
      <c r="E265" t="inlineStr">
        <is>
          <t>SOLLEFTEÅ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60507-2018</t>
        </is>
      </c>
      <c r="B266" s="1" t="n">
        <v>43420</v>
      </c>
      <c r="C266" s="1" t="n">
        <v>45268</v>
      </c>
      <c r="D266" t="inlineStr">
        <is>
          <t>VÄSTERNORRLANDS LÄN</t>
        </is>
      </c>
      <c r="E266" t="inlineStr">
        <is>
          <t>SOLLEFTEÅ</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65627-2018</t>
        </is>
      </c>
      <c r="B267" s="1" t="n">
        <v>43425</v>
      </c>
      <c r="C267" s="1" t="n">
        <v>45268</v>
      </c>
      <c r="D267" t="inlineStr">
        <is>
          <t>VÄSTERNORRLANDS LÄN</t>
        </is>
      </c>
      <c r="E267" t="inlineStr">
        <is>
          <t>SOLLEFTEÅ</t>
        </is>
      </c>
      <c r="G267" t="n">
        <v>8.5</v>
      </c>
      <c r="H267" t="n">
        <v>0</v>
      </c>
      <c r="I267" t="n">
        <v>0</v>
      </c>
      <c r="J267" t="n">
        <v>0</v>
      </c>
      <c r="K267" t="n">
        <v>0</v>
      </c>
      <c r="L267" t="n">
        <v>0</v>
      </c>
      <c r="M267" t="n">
        <v>0</v>
      </c>
      <c r="N267" t="n">
        <v>0</v>
      </c>
      <c r="O267" t="n">
        <v>0</v>
      </c>
      <c r="P267" t="n">
        <v>0</v>
      </c>
      <c r="Q267" t="n">
        <v>0</v>
      </c>
      <c r="R267" s="2" t="inlineStr"/>
    </row>
    <row r="268" ht="15" customHeight="1">
      <c r="A268" t="inlineStr">
        <is>
          <t>A 66224-2018</t>
        </is>
      </c>
      <c r="B268" s="1" t="n">
        <v>43426</v>
      </c>
      <c r="C268" s="1" t="n">
        <v>45268</v>
      </c>
      <c r="D268" t="inlineStr">
        <is>
          <t>VÄSTERNORRLANDS LÄN</t>
        </is>
      </c>
      <c r="E268" t="inlineStr">
        <is>
          <t>SOLLEFTEÅ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63618-2018</t>
        </is>
      </c>
      <c r="B269" s="1" t="n">
        <v>43427</v>
      </c>
      <c r="C269" s="1" t="n">
        <v>45268</v>
      </c>
      <c r="D269" t="inlineStr">
        <is>
          <t>VÄSTERNORRLANDS LÄN</t>
        </is>
      </c>
      <c r="E269" t="inlineStr">
        <is>
          <t>SOLLEFTEÅ</t>
        </is>
      </c>
      <c r="F269" t="inlineStr">
        <is>
          <t>SCA</t>
        </is>
      </c>
      <c r="G269" t="n">
        <v>6</v>
      </c>
      <c r="H269" t="n">
        <v>0</v>
      </c>
      <c r="I269" t="n">
        <v>0</v>
      </c>
      <c r="J269" t="n">
        <v>0</v>
      </c>
      <c r="K269" t="n">
        <v>0</v>
      </c>
      <c r="L269" t="n">
        <v>0</v>
      </c>
      <c r="M269" t="n">
        <v>0</v>
      </c>
      <c r="N269" t="n">
        <v>0</v>
      </c>
      <c r="O269" t="n">
        <v>0</v>
      </c>
      <c r="P269" t="n">
        <v>0</v>
      </c>
      <c r="Q269" t="n">
        <v>0</v>
      </c>
      <c r="R269" s="2" t="inlineStr"/>
    </row>
    <row r="270" ht="15" customHeight="1">
      <c r="A270" t="inlineStr">
        <is>
          <t>A 63664-2018</t>
        </is>
      </c>
      <c r="B270" s="1" t="n">
        <v>43427</v>
      </c>
      <c r="C270" s="1" t="n">
        <v>45268</v>
      </c>
      <c r="D270" t="inlineStr">
        <is>
          <t>VÄSTERNORRLANDS LÄN</t>
        </is>
      </c>
      <c r="E270" t="inlineStr">
        <is>
          <t>SOLLEFTEÅ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63391-2018</t>
        </is>
      </c>
      <c r="B271" s="1" t="n">
        <v>43427</v>
      </c>
      <c r="C271" s="1" t="n">
        <v>45268</v>
      </c>
      <c r="D271" t="inlineStr">
        <is>
          <t>VÄSTERNORRLANDS LÄN</t>
        </is>
      </c>
      <c r="E271" t="inlineStr">
        <is>
          <t>SOLLEFTEÅ</t>
        </is>
      </c>
      <c r="G271" t="n">
        <v>9</v>
      </c>
      <c r="H271" t="n">
        <v>0</v>
      </c>
      <c r="I271" t="n">
        <v>0</v>
      </c>
      <c r="J271" t="n">
        <v>0</v>
      </c>
      <c r="K271" t="n">
        <v>0</v>
      </c>
      <c r="L271" t="n">
        <v>0</v>
      </c>
      <c r="M271" t="n">
        <v>0</v>
      </c>
      <c r="N271" t="n">
        <v>0</v>
      </c>
      <c r="O271" t="n">
        <v>0</v>
      </c>
      <c r="P271" t="n">
        <v>0</v>
      </c>
      <c r="Q271" t="n">
        <v>0</v>
      </c>
      <c r="R271" s="2" t="inlineStr"/>
    </row>
    <row r="272" ht="15" customHeight="1">
      <c r="A272" t="inlineStr">
        <is>
          <t>A 64084-2018</t>
        </is>
      </c>
      <c r="B272" s="1" t="n">
        <v>43430</v>
      </c>
      <c r="C272" s="1" t="n">
        <v>45268</v>
      </c>
      <c r="D272" t="inlineStr">
        <is>
          <t>VÄSTERNORRLANDS LÄN</t>
        </is>
      </c>
      <c r="E272" t="inlineStr">
        <is>
          <t>SOLLEFTEÅ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67309-2018</t>
        </is>
      </c>
      <c r="B273" s="1" t="n">
        <v>43432</v>
      </c>
      <c r="C273" s="1" t="n">
        <v>45268</v>
      </c>
      <c r="D273" t="inlineStr">
        <is>
          <t>VÄSTERNORRLANDS LÄN</t>
        </is>
      </c>
      <c r="E273" t="inlineStr">
        <is>
          <t>SOLLEFTEÅ</t>
        </is>
      </c>
      <c r="G273" t="n">
        <v>4.1</v>
      </c>
      <c r="H273" t="n">
        <v>0</v>
      </c>
      <c r="I273" t="n">
        <v>0</v>
      </c>
      <c r="J273" t="n">
        <v>0</v>
      </c>
      <c r="K273" t="n">
        <v>0</v>
      </c>
      <c r="L273" t="n">
        <v>0</v>
      </c>
      <c r="M273" t="n">
        <v>0</v>
      </c>
      <c r="N273" t="n">
        <v>0</v>
      </c>
      <c r="O273" t="n">
        <v>0</v>
      </c>
      <c r="P273" t="n">
        <v>0</v>
      </c>
      <c r="Q273" t="n">
        <v>0</v>
      </c>
      <c r="R273" s="2" t="inlineStr"/>
    </row>
    <row r="274" ht="15" customHeight="1">
      <c r="A274" t="inlineStr">
        <is>
          <t>A 67325-2018</t>
        </is>
      </c>
      <c r="B274" s="1" t="n">
        <v>43432</v>
      </c>
      <c r="C274" s="1" t="n">
        <v>45268</v>
      </c>
      <c r="D274" t="inlineStr">
        <is>
          <t>VÄSTERNORRLANDS LÄN</t>
        </is>
      </c>
      <c r="E274" t="inlineStr">
        <is>
          <t>SOLLEFTEÅ</t>
        </is>
      </c>
      <c r="G274" t="n">
        <v>1.9</v>
      </c>
      <c r="H274" t="n">
        <v>0</v>
      </c>
      <c r="I274" t="n">
        <v>0</v>
      </c>
      <c r="J274" t="n">
        <v>0</v>
      </c>
      <c r="K274" t="n">
        <v>0</v>
      </c>
      <c r="L274" t="n">
        <v>0</v>
      </c>
      <c r="M274" t="n">
        <v>0</v>
      </c>
      <c r="N274" t="n">
        <v>0</v>
      </c>
      <c r="O274" t="n">
        <v>0</v>
      </c>
      <c r="P274" t="n">
        <v>0</v>
      </c>
      <c r="Q274" t="n">
        <v>0</v>
      </c>
      <c r="R274" s="2" t="inlineStr"/>
    </row>
    <row r="275" ht="15" customHeight="1">
      <c r="A275" t="inlineStr">
        <is>
          <t>A 66193-2018</t>
        </is>
      </c>
      <c r="B275" s="1" t="n">
        <v>43434</v>
      </c>
      <c r="C275" s="1" t="n">
        <v>45268</v>
      </c>
      <c r="D275" t="inlineStr">
        <is>
          <t>VÄSTERNORRLANDS LÄN</t>
        </is>
      </c>
      <c r="E275" t="inlineStr">
        <is>
          <t>SOLLEFTEÅ</t>
        </is>
      </c>
      <c r="F275" t="inlineStr">
        <is>
          <t>SCA</t>
        </is>
      </c>
      <c r="G275" t="n">
        <v>9.5</v>
      </c>
      <c r="H275" t="n">
        <v>0</v>
      </c>
      <c r="I275" t="n">
        <v>0</v>
      </c>
      <c r="J275" t="n">
        <v>0</v>
      </c>
      <c r="K275" t="n">
        <v>0</v>
      </c>
      <c r="L275" t="n">
        <v>0</v>
      </c>
      <c r="M275" t="n">
        <v>0</v>
      </c>
      <c r="N275" t="n">
        <v>0</v>
      </c>
      <c r="O275" t="n">
        <v>0</v>
      </c>
      <c r="P275" t="n">
        <v>0</v>
      </c>
      <c r="Q275" t="n">
        <v>0</v>
      </c>
      <c r="R275" s="2" t="inlineStr"/>
    </row>
    <row r="276" ht="15" customHeight="1">
      <c r="A276" t="inlineStr">
        <is>
          <t>A 66449-2018</t>
        </is>
      </c>
      <c r="B276" s="1" t="n">
        <v>43437</v>
      </c>
      <c r="C276" s="1" t="n">
        <v>45268</v>
      </c>
      <c r="D276" t="inlineStr">
        <is>
          <t>VÄSTERNORRLANDS LÄN</t>
        </is>
      </c>
      <c r="E276" t="inlineStr">
        <is>
          <t>SOLLEFTEÅ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68205-2018</t>
        </is>
      </c>
      <c r="B277" s="1" t="n">
        <v>43437</v>
      </c>
      <c r="C277" s="1" t="n">
        <v>45268</v>
      </c>
      <c r="D277" t="inlineStr">
        <is>
          <t>VÄSTERNORRLANDS LÄN</t>
        </is>
      </c>
      <c r="E277" t="inlineStr">
        <is>
          <t>SOLLEFTEÅ</t>
        </is>
      </c>
      <c r="G277" t="n">
        <v>7</v>
      </c>
      <c r="H277" t="n">
        <v>0</v>
      </c>
      <c r="I277" t="n">
        <v>0</v>
      </c>
      <c r="J277" t="n">
        <v>0</v>
      </c>
      <c r="K277" t="n">
        <v>0</v>
      </c>
      <c r="L277" t="n">
        <v>0</v>
      </c>
      <c r="M277" t="n">
        <v>0</v>
      </c>
      <c r="N277" t="n">
        <v>0</v>
      </c>
      <c r="O277" t="n">
        <v>0</v>
      </c>
      <c r="P277" t="n">
        <v>0</v>
      </c>
      <c r="Q277" t="n">
        <v>0</v>
      </c>
      <c r="R277" s="2" t="inlineStr"/>
    </row>
    <row r="278" ht="15" customHeight="1">
      <c r="A278" t="inlineStr">
        <is>
          <t>A 68153-2018</t>
        </is>
      </c>
      <c r="B278" s="1" t="n">
        <v>43437</v>
      </c>
      <c r="C278" s="1" t="n">
        <v>45268</v>
      </c>
      <c r="D278" t="inlineStr">
        <is>
          <t>VÄSTERNORRLANDS LÄN</t>
        </is>
      </c>
      <c r="E278" t="inlineStr">
        <is>
          <t>SOLLEFTEÅ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66761-2018</t>
        </is>
      </c>
      <c r="B279" s="1" t="n">
        <v>43437</v>
      </c>
      <c r="C279" s="1" t="n">
        <v>45268</v>
      </c>
      <c r="D279" t="inlineStr">
        <is>
          <t>VÄSTERNORRLANDS LÄN</t>
        </is>
      </c>
      <c r="E279" t="inlineStr">
        <is>
          <t>SOLLEFTEÅ</t>
        </is>
      </c>
      <c r="F279" t="inlineStr">
        <is>
          <t>Holmen skog AB</t>
        </is>
      </c>
      <c r="G279" t="n">
        <v>10.3</v>
      </c>
      <c r="H279" t="n">
        <v>0</v>
      </c>
      <c r="I279" t="n">
        <v>0</v>
      </c>
      <c r="J279" t="n">
        <v>0</v>
      </c>
      <c r="K279" t="n">
        <v>0</v>
      </c>
      <c r="L279" t="n">
        <v>0</v>
      </c>
      <c r="M279" t="n">
        <v>0</v>
      </c>
      <c r="N279" t="n">
        <v>0</v>
      </c>
      <c r="O279" t="n">
        <v>0</v>
      </c>
      <c r="P279" t="n">
        <v>0</v>
      </c>
      <c r="Q279" t="n">
        <v>0</v>
      </c>
      <c r="R279" s="2" t="inlineStr"/>
    </row>
    <row r="280" ht="15" customHeight="1">
      <c r="A280" t="inlineStr">
        <is>
          <t>A 68195-2018</t>
        </is>
      </c>
      <c r="B280" s="1" t="n">
        <v>43437</v>
      </c>
      <c r="C280" s="1" t="n">
        <v>45268</v>
      </c>
      <c r="D280" t="inlineStr">
        <is>
          <t>VÄSTERNORRLANDS LÄN</t>
        </is>
      </c>
      <c r="E280" t="inlineStr">
        <is>
          <t>SOLLEFTEÅ</t>
        </is>
      </c>
      <c r="G280" t="n">
        <v>6.5</v>
      </c>
      <c r="H280" t="n">
        <v>0</v>
      </c>
      <c r="I280" t="n">
        <v>0</v>
      </c>
      <c r="J280" t="n">
        <v>0</v>
      </c>
      <c r="K280" t="n">
        <v>0</v>
      </c>
      <c r="L280" t="n">
        <v>0</v>
      </c>
      <c r="M280" t="n">
        <v>0</v>
      </c>
      <c r="N280" t="n">
        <v>0</v>
      </c>
      <c r="O280" t="n">
        <v>0</v>
      </c>
      <c r="P280" t="n">
        <v>0</v>
      </c>
      <c r="Q280" t="n">
        <v>0</v>
      </c>
      <c r="R280" s="2" t="inlineStr"/>
    </row>
    <row r="281" ht="15" customHeight="1">
      <c r="A281" t="inlineStr">
        <is>
          <t>A 67572-2018</t>
        </is>
      </c>
      <c r="B281" s="1" t="n">
        <v>43439</v>
      </c>
      <c r="C281" s="1" t="n">
        <v>45268</v>
      </c>
      <c r="D281" t="inlineStr">
        <is>
          <t>VÄSTERNORRLANDS LÄN</t>
        </is>
      </c>
      <c r="E281" t="inlineStr">
        <is>
          <t>SOLLEFTEÅ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68665-2018</t>
        </is>
      </c>
      <c r="B282" s="1" t="n">
        <v>43444</v>
      </c>
      <c r="C282" s="1" t="n">
        <v>45268</v>
      </c>
      <c r="D282" t="inlineStr">
        <is>
          <t>VÄSTERNORRLANDS LÄN</t>
        </is>
      </c>
      <c r="E282" t="inlineStr">
        <is>
          <t>SOLLEFTEÅ</t>
        </is>
      </c>
      <c r="G282" t="n">
        <v>3.3</v>
      </c>
      <c r="H282" t="n">
        <v>0</v>
      </c>
      <c r="I282" t="n">
        <v>0</v>
      </c>
      <c r="J282" t="n">
        <v>0</v>
      </c>
      <c r="K282" t="n">
        <v>0</v>
      </c>
      <c r="L282" t="n">
        <v>0</v>
      </c>
      <c r="M282" t="n">
        <v>0</v>
      </c>
      <c r="N282" t="n">
        <v>0</v>
      </c>
      <c r="O282" t="n">
        <v>0</v>
      </c>
      <c r="P282" t="n">
        <v>0</v>
      </c>
      <c r="Q282" t="n">
        <v>0</v>
      </c>
      <c r="R282" s="2" t="inlineStr"/>
    </row>
    <row r="283" ht="15" customHeight="1">
      <c r="A283" t="inlineStr">
        <is>
          <t>A 70365-2018</t>
        </is>
      </c>
      <c r="B283" s="1" t="n">
        <v>43446</v>
      </c>
      <c r="C283" s="1" t="n">
        <v>45268</v>
      </c>
      <c r="D283" t="inlineStr">
        <is>
          <t>VÄSTERNORRLANDS LÄN</t>
        </is>
      </c>
      <c r="E283" t="inlineStr">
        <is>
          <t>SOLLEFTEÅ</t>
        </is>
      </c>
      <c r="G283" t="n">
        <v>9</v>
      </c>
      <c r="H283" t="n">
        <v>0</v>
      </c>
      <c r="I283" t="n">
        <v>0</v>
      </c>
      <c r="J283" t="n">
        <v>0</v>
      </c>
      <c r="K283" t="n">
        <v>0</v>
      </c>
      <c r="L283" t="n">
        <v>0</v>
      </c>
      <c r="M283" t="n">
        <v>0</v>
      </c>
      <c r="N283" t="n">
        <v>0</v>
      </c>
      <c r="O283" t="n">
        <v>0</v>
      </c>
      <c r="P283" t="n">
        <v>0</v>
      </c>
      <c r="Q283" t="n">
        <v>0</v>
      </c>
      <c r="R283" s="2" t="inlineStr"/>
    </row>
    <row r="284" ht="15" customHeight="1">
      <c r="A284" t="inlineStr">
        <is>
          <t>A 70368-2018</t>
        </is>
      </c>
      <c r="B284" s="1" t="n">
        <v>43446</v>
      </c>
      <c r="C284" s="1" t="n">
        <v>45268</v>
      </c>
      <c r="D284" t="inlineStr">
        <is>
          <t>VÄSTERNORRLANDS LÄN</t>
        </is>
      </c>
      <c r="E284" t="inlineStr">
        <is>
          <t>SOLLEFTEÅ</t>
        </is>
      </c>
      <c r="G284" t="n">
        <v>1.7</v>
      </c>
      <c r="H284" t="n">
        <v>0</v>
      </c>
      <c r="I284" t="n">
        <v>0</v>
      </c>
      <c r="J284" t="n">
        <v>0</v>
      </c>
      <c r="K284" t="n">
        <v>0</v>
      </c>
      <c r="L284" t="n">
        <v>0</v>
      </c>
      <c r="M284" t="n">
        <v>0</v>
      </c>
      <c r="N284" t="n">
        <v>0</v>
      </c>
      <c r="O284" t="n">
        <v>0</v>
      </c>
      <c r="P284" t="n">
        <v>0</v>
      </c>
      <c r="Q284" t="n">
        <v>0</v>
      </c>
      <c r="R284" s="2" t="inlineStr"/>
    </row>
    <row r="285" ht="15" customHeight="1">
      <c r="A285" t="inlineStr">
        <is>
          <t>A 70581-2018</t>
        </is>
      </c>
      <c r="B285" s="1" t="n">
        <v>43447</v>
      </c>
      <c r="C285" s="1" t="n">
        <v>45268</v>
      </c>
      <c r="D285" t="inlineStr">
        <is>
          <t>VÄSTERNORRLANDS LÄN</t>
        </is>
      </c>
      <c r="E285" t="inlineStr">
        <is>
          <t>SOLLEFTEÅ</t>
        </is>
      </c>
      <c r="G285" t="n">
        <v>1</v>
      </c>
      <c r="H285" t="n">
        <v>0</v>
      </c>
      <c r="I285" t="n">
        <v>0</v>
      </c>
      <c r="J285" t="n">
        <v>0</v>
      </c>
      <c r="K285" t="n">
        <v>0</v>
      </c>
      <c r="L285" t="n">
        <v>0</v>
      </c>
      <c r="M285" t="n">
        <v>0</v>
      </c>
      <c r="N285" t="n">
        <v>0</v>
      </c>
      <c r="O285" t="n">
        <v>0</v>
      </c>
      <c r="P285" t="n">
        <v>0</v>
      </c>
      <c r="Q285" t="n">
        <v>0</v>
      </c>
      <c r="R285" s="2" t="inlineStr"/>
    </row>
    <row r="286" ht="15" customHeight="1">
      <c r="A286" t="inlineStr">
        <is>
          <t>A 69970-2018</t>
        </is>
      </c>
      <c r="B286" s="1" t="n">
        <v>43447</v>
      </c>
      <c r="C286" s="1" t="n">
        <v>45268</v>
      </c>
      <c r="D286" t="inlineStr">
        <is>
          <t>VÄSTERNORRLANDS LÄN</t>
        </is>
      </c>
      <c r="E286" t="inlineStr">
        <is>
          <t>SOLLEFTEÅ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70429-2018</t>
        </is>
      </c>
      <c r="B287" s="1" t="n">
        <v>43451</v>
      </c>
      <c r="C287" s="1" t="n">
        <v>45268</v>
      </c>
      <c r="D287" t="inlineStr">
        <is>
          <t>VÄSTERNORRLANDS LÄN</t>
        </is>
      </c>
      <c r="E287" t="inlineStr">
        <is>
          <t>SOLLEFTEÅ</t>
        </is>
      </c>
      <c r="G287" t="n">
        <v>4</v>
      </c>
      <c r="H287" t="n">
        <v>0</v>
      </c>
      <c r="I287" t="n">
        <v>0</v>
      </c>
      <c r="J287" t="n">
        <v>0</v>
      </c>
      <c r="K287" t="n">
        <v>0</v>
      </c>
      <c r="L287" t="n">
        <v>0</v>
      </c>
      <c r="M287" t="n">
        <v>0</v>
      </c>
      <c r="N287" t="n">
        <v>0</v>
      </c>
      <c r="O287" t="n">
        <v>0</v>
      </c>
      <c r="P287" t="n">
        <v>0</v>
      </c>
      <c r="Q287" t="n">
        <v>0</v>
      </c>
      <c r="R287" s="2" t="inlineStr"/>
    </row>
    <row r="288" ht="15" customHeight="1">
      <c r="A288" t="inlineStr">
        <is>
          <t>A 71366-2018</t>
        </is>
      </c>
      <c r="B288" s="1" t="n">
        <v>43453</v>
      </c>
      <c r="C288" s="1" t="n">
        <v>45268</v>
      </c>
      <c r="D288" t="inlineStr">
        <is>
          <t>VÄSTERNORRLANDS LÄN</t>
        </is>
      </c>
      <c r="E288" t="inlineStr">
        <is>
          <t>SOLLEFTEÅ</t>
        </is>
      </c>
      <c r="G288" t="n">
        <v>11.7</v>
      </c>
      <c r="H288" t="n">
        <v>0</v>
      </c>
      <c r="I288" t="n">
        <v>0</v>
      </c>
      <c r="J288" t="n">
        <v>0</v>
      </c>
      <c r="K288" t="n">
        <v>0</v>
      </c>
      <c r="L288" t="n">
        <v>0</v>
      </c>
      <c r="M288" t="n">
        <v>0</v>
      </c>
      <c r="N288" t="n">
        <v>0</v>
      </c>
      <c r="O288" t="n">
        <v>0</v>
      </c>
      <c r="P288" t="n">
        <v>0</v>
      </c>
      <c r="Q288" t="n">
        <v>0</v>
      </c>
      <c r="R288" s="2" t="inlineStr"/>
    </row>
    <row r="289" ht="15" customHeight="1">
      <c r="A289" t="inlineStr">
        <is>
          <t>A 71359-2018</t>
        </is>
      </c>
      <c r="B289" s="1" t="n">
        <v>43453</v>
      </c>
      <c r="C289" s="1" t="n">
        <v>45268</v>
      </c>
      <c r="D289" t="inlineStr">
        <is>
          <t>VÄSTERNORRLANDS LÄN</t>
        </is>
      </c>
      <c r="E289" t="inlineStr">
        <is>
          <t>SOLLEFTEÅ</t>
        </is>
      </c>
      <c r="G289" t="n">
        <v>13.6</v>
      </c>
      <c r="H289" t="n">
        <v>0</v>
      </c>
      <c r="I289" t="n">
        <v>0</v>
      </c>
      <c r="J289" t="n">
        <v>0</v>
      </c>
      <c r="K289" t="n">
        <v>0</v>
      </c>
      <c r="L289" t="n">
        <v>0</v>
      </c>
      <c r="M289" t="n">
        <v>0</v>
      </c>
      <c r="N289" t="n">
        <v>0</v>
      </c>
      <c r="O289" t="n">
        <v>0</v>
      </c>
      <c r="P289" t="n">
        <v>0</v>
      </c>
      <c r="Q289" t="n">
        <v>0</v>
      </c>
      <c r="R289" s="2" t="inlineStr"/>
    </row>
    <row r="290" ht="15" customHeight="1">
      <c r="A290" t="inlineStr">
        <is>
          <t>A 71384-2018</t>
        </is>
      </c>
      <c r="B290" s="1" t="n">
        <v>43453</v>
      </c>
      <c r="C290" s="1" t="n">
        <v>45268</v>
      </c>
      <c r="D290" t="inlineStr">
        <is>
          <t>VÄSTERNORRLANDS LÄN</t>
        </is>
      </c>
      <c r="E290" t="inlineStr">
        <is>
          <t>SOLLEFTEÅ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71419-2018</t>
        </is>
      </c>
      <c r="B291" s="1" t="n">
        <v>43453</v>
      </c>
      <c r="C291" s="1" t="n">
        <v>45268</v>
      </c>
      <c r="D291" t="inlineStr">
        <is>
          <t>VÄSTERNORRLANDS LÄN</t>
        </is>
      </c>
      <c r="E291" t="inlineStr">
        <is>
          <t>SOLLEFTEÅ</t>
        </is>
      </c>
      <c r="G291" t="n">
        <v>1.1</v>
      </c>
      <c r="H291" t="n">
        <v>0</v>
      </c>
      <c r="I291" t="n">
        <v>0</v>
      </c>
      <c r="J291" t="n">
        <v>0</v>
      </c>
      <c r="K291" t="n">
        <v>0</v>
      </c>
      <c r="L291" t="n">
        <v>0</v>
      </c>
      <c r="M291" t="n">
        <v>0</v>
      </c>
      <c r="N291" t="n">
        <v>0</v>
      </c>
      <c r="O291" t="n">
        <v>0</v>
      </c>
      <c r="P291" t="n">
        <v>0</v>
      </c>
      <c r="Q291" t="n">
        <v>0</v>
      </c>
      <c r="R291" s="2" t="inlineStr"/>
    </row>
    <row r="292" ht="15" customHeight="1">
      <c r="A292" t="inlineStr">
        <is>
          <t>A 71868-2018</t>
        </is>
      </c>
      <c r="B292" s="1" t="n">
        <v>43454</v>
      </c>
      <c r="C292" s="1" t="n">
        <v>45268</v>
      </c>
      <c r="D292" t="inlineStr">
        <is>
          <t>VÄSTERNORRLANDS LÄN</t>
        </is>
      </c>
      <c r="E292" t="inlineStr">
        <is>
          <t>SOLLEFTEÅ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71866-2018</t>
        </is>
      </c>
      <c r="B293" s="1" t="n">
        <v>43454</v>
      </c>
      <c r="C293" s="1" t="n">
        <v>45268</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72286-2018</t>
        </is>
      </c>
      <c r="B294" s="1" t="n">
        <v>43455</v>
      </c>
      <c r="C294" s="1" t="n">
        <v>45268</v>
      </c>
      <c r="D294" t="inlineStr">
        <is>
          <t>VÄSTERNORRLANDS LÄN</t>
        </is>
      </c>
      <c r="E294" t="inlineStr">
        <is>
          <t>SOLLEFTEÅ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72483-2018</t>
        </is>
      </c>
      <c r="B295" s="1" t="n">
        <v>43461</v>
      </c>
      <c r="C295" s="1" t="n">
        <v>45268</v>
      </c>
      <c r="D295" t="inlineStr">
        <is>
          <t>VÄSTERNORRLANDS LÄN</t>
        </is>
      </c>
      <c r="E295" t="inlineStr">
        <is>
          <t>SOLLEFTEÅ</t>
        </is>
      </c>
      <c r="F295" t="inlineStr">
        <is>
          <t>SCA</t>
        </is>
      </c>
      <c r="G295" t="n">
        <v>9</v>
      </c>
      <c r="H295" t="n">
        <v>0</v>
      </c>
      <c r="I295" t="n">
        <v>0</v>
      </c>
      <c r="J295" t="n">
        <v>0</v>
      </c>
      <c r="K295" t="n">
        <v>0</v>
      </c>
      <c r="L295" t="n">
        <v>0</v>
      </c>
      <c r="M295" t="n">
        <v>0</v>
      </c>
      <c r="N295" t="n">
        <v>0</v>
      </c>
      <c r="O295" t="n">
        <v>0</v>
      </c>
      <c r="P295" t="n">
        <v>0</v>
      </c>
      <c r="Q295" t="n">
        <v>0</v>
      </c>
      <c r="R295" s="2" t="inlineStr"/>
    </row>
    <row r="296" ht="15" customHeight="1">
      <c r="A296" t="inlineStr">
        <is>
          <t>A 2421-2019</t>
        </is>
      </c>
      <c r="B296" s="1" t="n">
        <v>43468</v>
      </c>
      <c r="C296" s="1" t="n">
        <v>45268</v>
      </c>
      <c r="D296" t="inlineStr">
        <is>
          <t>VÄSTERNORRLANDS LÄN</t>
        </is>
      </c>
      <c r="E296" t="inlineStr">
        <is>
          <t>SOLLEFTEÅ</t>
        </is>
      </c>
      <c r="G296" t="n">
        <v>6.7</v>
      </c>
      <c r="H296" t="n">
        <v>0</v>
      </c>
      <c r="I296" t="n">
        <v>0</v>
      </c>
      <c r="J296" t="n">
        <v>0</v>
      </c>
      <c r="K296" t="n">
        <v>0</v>
      </c>
      <c r="L296" t="n">
        <v>0</v>
      </c>
      <c r="M296" t="n">
        <v>0</v>
      </c>
      <c r="N296" t="n">
        <v>0</v>
      </c>
      <c r="O296" t="n">
        <v>0</v>
      </c>
      <c r="P296" t="n">
        <v>0</v>
      </c>
      <c r="Q296" t="n">
        <v>0</v>
      </c>
      <c r="R296" s="2" t="inlineStr"/>
    </row>
    <row r="297" ht="15" customHeight="1">
      <c r="A297" t="inlineStr">
        <is>
          <t>A 543-2019</t>
        </is>
      </c>
      <c r="B297" s="1" t="n">
        <v>43469</v>
      </c>
      <c r="C297" s="1" t="n">
        <v>45268</v>
      </c>
      <c r="D297" t="inlineStr">
        <is>
          <t>VÄSTERNORRLANDS LÄN</t>
        </is>
      </c>
      <c r="E297" t="inlineStr">
        <is>
          <t>SOLLEFTEÅ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552-2019</t>
        </is>
      </c>
      <c r="B298" s="1" t="n">
        <v>43469</v>
      </c>
      <c r="C298" s="1" t="n">
        <v>45268</v>
      </c>
      <c r="D298" t="inlineStr">
        <is>
          <t>VÄSTERNORRLANDS LÄN</t>
        </is>
      </c>
      <c r="E298" t="inlineStr">
        <is>
          <t>SOLLEFTEÅ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565-2019</t>
        </is>
      </c>
      <c r="B299" s="1" t="n">
        <v>43469</v>
      </c>
      <c r="C299" s="1" t="n">
        <v>45268</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3110-2019</t>
        </is>
      </c>
      <c r="B300" s="1" t="n">
        <v>43479</v>
      </c>
      <c r="C300" s="1" t="n">
        <v>45268</v>
      </c>
      <c r="D300" t="inlineStr">
        <is>
          <t>VÄSTERNORRLANDS LÄN</t>
        </is>
      </c>
      <c r="E300" t="inlineStr">
        <is>
          <t>SOLLEFTEÅ</t>
        </is>
      </c>
      <c r="G300" t="n">
        <v>3.5</v>
      </c>
      <c r="H300" t="n">
        <v>0</v>
      </c>
      <c r="I300" t="n">
        <v>0</v>
      </c>
      <c r="J300" t="n">
        <v>0</v>
      </c>
      <c r="K300" t="n">
        <v>0</v>
      </c>
      <c r="L300" t="n">
        <v>0</v>
      </c>
      <c r="M300" t="n">
        <v>0</v>
      </c>
      <c r="N300" t="n">
        <v>0</v>
      </c>
      <c r="O300" t="n">
        <v>0</v>
      </c>
      <c r="P300" t="n">
        <v>0</v>
      </c>
      <c r="Q300" t="n">
        <v>0</v>
      </c>
      <c r="R300" s="2" t="inlineStr"/>
    </row>
    <row r="301" ht="15" customHeight="1">
      <c r="A301" t="inlineStr">
        <is>
          <t>A 4336-2019</t>
        </is>
      </c>
      <c r="B301" s="1" t="n">
        <v>43479</v>
      </c>
      <c r="C301" s="1" t="n">
        <v>45268</v>
      </c>
      <c r="D301" t="inlineStr">
        <is>
          <t>VÄSTERNORRLANDS LÄN</t>
        </is>
      </c>
      <c r="E301" t="inlineStr">
        <is>
          <t>SOLLEFTEÅ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3162-2019</t>
        </is>
      </c>
      <c r="B302" s="1" t="n">
        <v>43480</v>
      </c>
      <c r="C302" s="1" t="n">
        <v>45268</v>
      </c>
      <c r="D302" t="inlineStr">
        <is>
          <t>VÄSTERNORRLANDS LÄN</t>
        </is>
      </c>
      <c r="E302" t="inlineStr">
        <is>
          <t>SOLLEFTEÅ</t>
        </is>
      </c>
      <c r="G302" t="n">
        <v>3.9</v>
      </c>
      <c r="H302" t="n">
        <v>0</v>
      </c>
      <c r="I302" t="n">
        <v>0</v>
      </c>
      <c r="J302" t="n">
        <v>0</v>
      </c>
      <c r="K302" t="n">
        <v>0</v>
      </c>
      <c r="L302" t="n">
        <v>0</v>
      </c>
      <c r="M302" t="n">
        <v>0</v>
      </c>
      <c r="N302" t="n">
        <v>0</v>
      </c>
      <c r="O302" t="n">
        <v>0</v>
      </c>
      <c r="P302" t="n">
        <v>0</v>
      </c>
      <c r="Q302" t="n">
        <v>0</v>
      </c>
      <c r="R302" s="2" t="inlineStr"/>
    </row>
    <row r="303" ht="15" customHeight="1">
      <c r="A303" t="inlineStr">
        <is>
          <t>A 3157-2019</t>
        </is>
      </c>
      <c r="B303" s="1" t="n">
        <v>43480</v>
      </c>
      <c r="C303" s="1" t="n">
        <v>45268</v>
      </c>
      <c r="D303" t="inlineStr">
        <is>
          <t>VÄSTERNORRLANDS LÄN</t>
        </is>
      </c>
      <c r="E303" t="inlineStr">
        <is>
          <t>SOLLEFTEÅ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5065-2019</t>
        </is>
      </c>
      <c r="B304" s="1" t="n">
        <v>43480</v>
      </c>
      <c r="C304" s="1" t="n">
        <v>45268</v>
      </c>
      <c r="D304" t="inlineStr">
        <is>
          <t>VÄSTERNORRLANDS LÄN</t>
        </is>
      </c>
      <c r="E304" t="inlineStr">
        <is>
          <t>SOLLEFTEÅ</t>
        </is>
      </c>
      <c r="G304" t="n">
        <v>3</v>
      </c>
      <c r="H304" t="n">
        <v>0</v>
      </c>
      <c r="I304" t="n">
        <v>0</v>
      </c>
      <c r="J304" t="n">
        <v>0</v>
      </c>
      <c r="K304" t="n">
        <v>0</v>
      </c>
      <c r="L304" t="n">
        <v>0</v>
      </c>
      <c r="M304" t="n">
        <v>0</v>
      </c>
      <c r="N304" t="n">
        <v>0</v>
      </c>
      <c r="O304" t="n">
        <v>0</v>
      </c>
      <c r="P304" t="n">
        <v>0</v>
      </c>
      <c r="Q304" t="n">
        <v>0</v>
      </c>
      <c r="R304" s="2" t="inlineStr"/>
    </row>
    <row r="305" ht="15" customHeight="1">
      <c r="A305" t="inlineStr">
        <is>
          <t>A 3781-2019</t>
        </is>
      </c>
      <c r="B305" s="1" t="n">
        <v>43481</v>
      </c>
      <c r="C305" s="1" t="n">
        <v>45268</v>
      </c>
      <c r="D305" t="inlineStr">
        <is>
          <t>VÄSTERNORRLANDS LÄN</t>
        </is>
      </c>
      <c r="E305" t="inlineStr">
        <is>
          <t>SOLLEFTEÅ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5193-2019</t>
        </is>
      </c>
      <c r="B306" s="1" t="n">
        <v>43481</v>
      </c>
      <c r="C306" s="1" t="n">
        <v>45268</v>
      </c>
      <c r="D306" t="inlineStr">
        <is>
          <t>VÄSTERNORRLANDS LÄN</t>
        </is>
      </c>
      <c r="E306" t="inlineStr">
        <is>
          <t>SOLLEFTEÅ</t>
        </is>
      </c>
      <c r="G306" t="n">
        <v>11.3</v>
      </c>
      <c r="H306" t="n">
        <v>0</v>
      </c>
      <c r="I306" t="n">
        <v>0</v>
      </c>
      <c r="J306" t="n">
        <v>0</v>
      </c>
      <c r="K306" t="n">
        <v>0</v>
      </c>
      <c r="L306" t="n">
        <v>0</v>
      </c>
      <c r="M306" t="n">
        <v>0</v>
      </c>
      <c r="N306" t="n">
        <v>0</v>
      </c>
      <c r="O306" t="n">
        <v>0</v>
      </c>
      <c r="P306" t="n">
        <v>0</v>
      </c>
      <c r="Q306" t="n">
        <v>0</v>
      </c>
      <c r="R306" s="2" t="inlineStr"/>
    </row>
    <row r="307" ht="15" customHeight="1">
      <c r="A307" t="inlineStr">
        <is>
          <t>A 3780-2019</t>
        </is>
      </c>
      <c r="B307" s="1" t="n">
        <v>43481</v>
      </c>
      <c r="C307" s="1" t="n">
        <v>45268</v>
      </c>
      <c r="D307" t="inlineStr">
        <is>
          <t>VÄSTERNORRLANDS LÄN</t>
        </is>
      </c>
      <c r="E307" t="inlineStr">
        <is>
          <t>SOLLEFTEÅ</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3952-2019</t>
        </is>
      </c>
      <c r="B308" s="1" t="n">
        <v>43482</v>
      </c>
      <c r="C308" s="1" t="n">
        <v>45268</v>
      </c>
      <c r="D308" t="inlineStr">
        <is>
          <t>VÄSTERNORRLANDS LÄN</t>
        </is>
      </c>
      <c r="E308" t="inlineStr">
        <is>
          <t>SOLLEFTEÅ</t>
        </is>
      </c>
      <c r="G308" t="n">
        <v>4</v>
      </c>
      <c r="H308" t="n">
        <v>0</v>
      </c>
      <c r="I308" t="n">
        <v>0</v>
      </c>
      <c r="J308" t="n">
        <v>0</v>
      </c>
      <c r="K308" t="n">
        <v>0</v>
      </c>
      <c r="L308" t="n">
        <v>0</v>
      </c>
      <c r="M308" t="n">
        <v>0</v>
      </c>
      <c r="N308" t="n">
        <v>0</v>
      </c>
      <c r="O308" t="n">
        <v>0</v>
      </c>
      <c r="P308" t="n">
        <v>0</v>
      </c>
      <c r="Q308" t="n">
        <v>0</v>
      </c>
      <c r="R308" s="2" t="inlineStr"/>
    </row>
    <row r="309" ht="15" customHeight="1">
      <c r="A309" t="inlineStr">
        <is>
          <t>A 5050-2019</t>
        </is>
      </c>
      <c r="B309" s="1" t="n">
        <v>43487</v>
      </c>
      <c r="C309" s="1" t="n">
        <v>45268</v>
      </c>
      <c r="D309" t="inlineStr">
        <is>
          <t>VÄSTERNORRLANDS LÄN</t>
        </is>
      </c>
      <c r="E309" t="inlineStr">
        <is>
          <t>SOLLEFTEÅ</t>
        </is>
      </c>
      <c r="F309" t="inlineStr">
        <is>
          <t>Kyrkan</t>
        </is>
      </c>
      <c r="G309" t="n">
        <v>17.3</v>
      </c>
      <c r="H309" t="n">
        <v>0</v>
      </c>
      <c r="I309" t="n">
        <v>0</v>
      </c>
      <c r="J309" t="n">
        <v>0</v>
      </c>
      <c r="K309" t="n">
        <v>0</v>
      </c>
      <c r="L309" t="n">
        <v>0</v>
      </c>
      <c r="M309" t="n">
        <v>0</v>
      </c>
      <c r="N309" t="n">
        <v>0</v>
      </c>
      <c r="O309" t="n">
        <v>0</v>
      </c>
      <c r="P309" t="n">
        <v>0</v>
      </c>
      <c r="Q309" t="n">
        <v>0</v>
      </c>
      <c r="R309" s="2" t="inlineStr"/>
    </row>
    <row r="310" ht="15" customHeight="1">
      <c r="A310" t="inlineStr">
        <is>
          <t>A 7159-2019</t>
        </is>
      </c>
      <c r="B310" s="1" t="n">
        <v>43489</v>
      </c>
      <c r="C310" s="1" t="n">
        <v>45268</v>
      </c>
      <c r="D310" t="inlineStr">
        <is>
          <t>VÄSTERNORRLANDS LÄN</t>
        </is>
      </c>
      <c r="E310" t="inlineStr">
        <is>
          <t>SOLLEFTEÅ</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5923-2019</t>
        </is>
      </c>
      <c r="B311" s="1" t="n">
        <v>43490</v>
      </c>
      <c r="C311" s="1" t="n">
        <v>45268</v>
      </c>
      <c r="D311" t="inlineStr">
        <is>
          <t>VÄSTERNORRLANDS LÄN</t>
        </is>
      </c>
      <c r="E311" t="inlineStr">
        <is>
          <t>SOLLEFTEÅ</t>
        </is>
      </c>
      <c r="G311" t="n">
        <v>6.8</v>
      </c>
      <c r="H311" t="n">
        <v>0</v>
      </c>
      <c r="I311" t="n">
        <v>0</v>
      </c>
      <c r="J311" t="n">
        <v>0</v>
      </c>
      <c r="K311" t="n">
        <v>0</v>
      </c>
      <c r="L311" t="n">
        <v>0</v>
      </c>
      <c r="M311" t="n">
        <v>0</v>
      </c>
      <c r="N311" t="n">
        <v>0</v>
      </c>
      <c r="O311" t="n">
        <v>0</v>
      </c>
      <c r="P311" t="n">
        <v>0</v>
      </c>
      <c r="Q311" t="n">
        <v>0</v>
      </c>
      <c r="R311" s="2" t="inlineStr"/>
    </row>
    <row r="312" ht="15" customHeight="1">
      <c r="A312" t="inlineStr">
        <is>
          <t>A 7792-2019</t>
        </is>
      </c>
      <c r="B312" s="1" t="n">
        <v>43494</v>
      </c>
      <c r="C312" s="1" t="n">
        <v>45268</v>
      </c>
      <c r="D312" t="inlineStr">
        <is>
          <t>VÄSTERNORRLANDS LÄN</t>
        </is>
      </c>
      <c r="E312" t="inlineStr">
        <is>
          <t>SOLLEFTEÅ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7878-2019</t>
        </is>
      </c>
      <c r="B313" s="1" t="n">
        <v>43500</v>
      </c>
      <c r="C313" s="1" t="n">
        <v>45268</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8020-2019</t>
        </is>
      </c>
      <c r="B314" s="1" t="n">
        <v>43501</v>
      </c>
      <c r="C314" s="1" t="n">
        <v>45268</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7970-2019</t>
        </is>
      </c>
      <c r="B315" s="1" t="n">
        <v>43501</v>
      </c>
      <c r="C315" s="1" t="n">
        <v>45268</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9051-2019</t>
        </is>
      </c>
      <c r="B316" s="1" t="n">
        <v>43504</v>
      </c>
      <c r="C316" s="1" t="n">
        <v>45268</v>
      </c>
      <c r="D316" t="inlineStr">
        <is>
          <t>VÄSTERNORRLANDS LÄN</t>
        </is>
      </c>
      <c r="E316" t="inlineStr">
        <is>
          <t>SOLLEFTEÅ</t>
        </is>
      </c>
      <c r="G316" t="n">
        <v>4.3</v>
      </c>
      <c r="H316" t="n">
        <v>0</v>
      </c>
      <c r="I316" t="n">
        <v>0</v>
      </c>
      <c r="J316" t="n">
        <v>0</v>
      </c>
      <c r="K316" t="n">
        <v>0</v>
      </c>
      <c r="L316" t="n">
        <v>0</v>
      </c>
      <c r="M316" t="n">
        <v>0</v>
      </c>
      <c r="N316" t="n">
        <v>0</v>
      </c>
      <c r="O316" t="n">
        <v>0</v>
      </c>
      <c r="P316" t="n">
        <v>0</v>
      </c>
      <c r="Q316" t="n">
        <v>0</v>
      </c>
      <c r="R316" s="2" t="inlineStr"/>
    </row>
    <row r="317" ht="15" customHeight="1">
      <c r="A317" t="inlineStr">
        <is>
          <t>A 9521-2019</t>
        </is>
      </c>
      <c r="B317" s="1" t="n">
        <v>43507</v>
      </c>
      <c r="C317" s="1" t="n">
        <v>45268</v>
      </c>
      <c r="D317" t="inlineStr">
        <is>
          <t>VÄSTERNORRLANDS LÄN</t>
        </is>
      </c>
      <c r="E317" t="inlineStr">
        <is>
          <t>SOLLEFTEÅ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9519-2019</t>
        </is>
      </c>
      <c r="B318" s="1" t="n">
        <v>43507</v>
      </c>
      <c r="C318" s="1" t="n">
        <v>45268</v>
      </c>
      <c r="D318" t="inlineStr">
        <is>
          <t>VÄSTERNORRLANDS LÄN</t>
        </is>
      </c>
      <c r="E318" t="inlineStr">
        <is>
          <t>SOLLEFTEÅ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9367-2019</t>
        </is>
      </c>
      <c r="B319" s="1" t="n">
        <v>43507</v>
      </c>
      <c r="C319" s="1" t="n">
        <v>45268</v>
      </c>
      <c r="D319" t="inlineStr">
        <is>
          <t>VÄSTERNORRLANDS LÄN</t>
        </is>
      </c>
      <c r="E319" t="inlineStr">
        <is>
          <t>SOLLEFTEÅ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9610-2019</t>
        </is>
      </c>
      <c r="B320" s="1" t="n">
        <v>43508</v>
      </c>
      <c r="C320" s="1" t="n">
        <v>45268</v>
      </c>
      <c r="D320" t="inlineStr">
        <is>
          <t>VÄSTERNORRLANDS LÄN</t>
        </is>
      </c>
      <c r="E320" t="inlineStr">
        <is>
          <t>SOLLEFTEÅ</t>
        </is>
      </c>
      <c r="G320" t="n">
        <v>7.7</v>
      </c>
      <c r="H320" t="n">
        <v>0</v>
      </c>
      <c r="I320" t="n">
        <v>0</v>
      </c>
      <c r="J320" t="n">
        <v>0</v>
      </c>
      <c r="K320" t="n">
        <v>0</v>
      </c>
      <c r="L320" t="n">
        <v>0</v>
      </c>
      <c r="M320" t="n">
        <v>0</v>
      </c>
      <c r="N320" t="n">
        <v>0</v>
      </c>
      <c r="O320" t="n">
        <v>0</v>
      </c>
      <c r="P320" t="n">
        <v>0</v>
      </c>
      <c r="Q320" t="n">
        <v>0</v>
      </c>
      <c r="R320" s="2" t="inlineStr"/>
    </row>
    <row r="321" ht="15" customHeight="1">
      <c r="A321" t="inlineStr">
        <is>
          <t>A 9727-2019</t>
        </is>
      </c>
      <c r="B321" s="1" t="n">
        <v>43508</v>
      </c>
      <c r="C321" s="1" t="n">
        <v>45268</v>
      </c>
      <c r="D321" t="inlineStr">
        <is>
          <t>VÄSTERNORRLANDS LÄN</t>
        </is>
      </c>
      <c r="E321" t="inlineStr">
        <is>
          <t>SOLLEFTEÅ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11285-2019</t>
        </is>
      </c>
      <c r="B322" s="1" t="n">
        <v>43516</v>
      </c>
      <c r="C322" s="1" t="n">
        <v>45268</v>
      </c>
      <c r="D322" t="inlineStr">
        <is>
          <t>VÄSTERNORRLANDS LÄN</t>
        </is>
      </c>
      <c r="E322" t="inlineStr">
        <is>
          <t>SOLLEFTEÅ</t>
        </is>
      </c>
      <c r="F322" t="inlineStr">
        <is>
          <t>SCA</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11283-2019</t>
        </is>
      </c>
      <c r="B323" s="1" t="n">
        <v>43516</v>
      </c>
      <c r="C323" s="1" t="n">
        <v>45268</v>
      </c>
      <c r="D323" t="inlineStr">
        <is>
          <t>VÄSTERNORRLANDS LÄN</t>
        </is>
      </c>
      <c r="E323" t="inlineStr">
        <is>
          <t>SOLLEFTEÅ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11177-2019</t>
        </is>
      </c>
      <c r="B324" s="1" t="n">
        <v>43516</v>
      </c>
      <c r="C324" s="1" t="n">
        <v>45268</v>
      </c>
      <c r="D324" t="inlineStr">
        <is>
          <t>VÄSTERNORRLANDS LÄN</t>
        </is>
      </c>
      <c r="E324" t="inlineStr">
        <is>
          <t>SOLLEFTEÅ</t>
        </is>
      </c>
      <c r="F324" t="inlineStr">
        <is>
          <t>Kyrkan</t>
        </is>
      </c>
      <c r="G324" t="n">
        <v>5.1</v>
      </c>
      <c r="H324" t="n">
        <v>0</v>
      </c>
      <c r="I324" t="n">
        <v>0</v>
      </c>
      <c r="J324" t="n">
        <v>0</v>
      </c>
      <c r="K324" t="n">
        <v>0</v>
      </c>
      <c r="L324" t="n">
        <v>0</v>
      </c>
      <c r="M324" t="n">
        <v>0</v>
      </c>
      <c r="N324" t="n">
        <v>0</v>
      </c>
      <c r="O324" t="n">
        <v>0</v>
      </c>
      <c r="P324" t="n">
        <v>0</v>
      </c>
      <c r="Q324" t="n">
        <v>0</v>
      </c>
      <c r="R324" s="2" t="inlineStr"/>
    </row>
    <row r="325" ht="15" customHeight="1">
      <c r="A325" t="inlineStr">
        <is>
          <t>A 11341-2019</t>
        </is>
      </c>
      <c r="B325" s="1" t="n">
        <v>43517</v>
      </c>
      <c r="C325" s="1" t="n">
        <v>45268</v>
      </c>
      <c r="D325" t="inlineStr">
        <is>
          <t>VÄSTERNORRLANDS LÄN</t>
        </is>
      </c>
      <c r="E325" t="inlineStr">
        <is>
          <t>SOLLEFTEÅ</t>
        </is>
      </c>
      <c r="G325" t="n">
        <v>7.2</v>
      </c>
      <c r="H325" t="n">
        <v>0</v>
      </c>
      <c r="I325" t="n">
        <v>0</v>
      </c>
      <c r="J325" t="n">
        <v>0</v>
      </c>
      <c r="K325" t="n">
        <v>0</v>
      </c>
      <c r="L325" t="n">
        <v>0</v>
      </c>
      <c r="M325" t="n">
        <v>0</v>
      </c>
      <c r="N325" t="n">
        <v>0</v>
      </c>
      <c r="O325" t="n">
        <v>0</v>
      </c>
      <c r="P325" t="n">
        <v>0</v>
      </c>
      <c r="Q325" t="n">
        <v>0</v>
      </c>
      <c r="R325" s="2" t="inlineStr"/>
    </row>
    <row r="326" ht="15" customHeight="1">
      <c r="A326" t="inlineStr">
        <is>
          <t>A 11766-2019</t>
        </is>
      </c>
      <c r="B326" s="1" t="n">
        <v>43520</v>
      </c>
      <c r="C326" s="1" t="n">
        <v>45268</v>
      </c>
      <c r="D326" t="inlineStr">
        <is>
          <t>VÄSTERNORRLANDS LÄN</t>
        </is>
      </c>
      <c r="E326" t="inlineStr">
        <is>
          <t>SOLLEFTEÅ</t>
        </is>
      </c>
      <c r="G326" t="n">
        <v>7.1</v>
      </c>
      <c r="H326" t="n">
        <v>0</v>
      </c>
      <c r="I326" t="n">
        <v>0</v>
      </c>
      <c r="J326" t="n">
        <v>0</v>
      </c>
      <c r="K326" t="n">
        <v>0</v>
      </c>
      <c r="L326" t="n">
        <v>0</v>
      </c>
      <c r="M326" t="n">
        <v>0</v>
      </c>
      <c r="N326" t="n">
        <v>0</v>
      </c>
      <c r="O326" t="n">
        <v>0</v>
      </c>
      <c r="P326" t="n">
        <v>0</v>
      </c>
      <c r="Q326" t="n">
        <v>0</v>
      </c>
      <c r="R326" s="2" t="inlineStr"/>
    </row>
    <row r="327" ht="15" customHeight="1">
      <c r="A327" t="inlineStr">
        <is>
          <t>A 11759-2019</t>
        </is>
      </c>
      <c r="B327" s="1" t="n">
        <v>43520</v>
      </c>
      <c r="C327" s="1" t="n">
        <v>45268</v>
      </c>
      <c r="D327" t="inlineStr">
        <is>
          <t>VÄSTERNORRLANDS LÄN</t>
        </is>
      </c>
      <c r="E327" t="inlineStr">
        <is>
          <t>SOLLEFTEÅ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12510-2019</t>
        </is>
      </c>
      <c r="B328" s="1" t="n">
        <v>43523</v>
      </c>
      <c r="C328" s="1" t="n">
        <v>45268</v>
      </c>
      <c r="D328" t="inlineStr">
        <is>
          <t>VÄSTERNORRLANDS LÄN</t>
        </is>
      </c>
      <c r="E328" t="inlineStr">
        <is>
          <t>SOLLEFTEÅ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12812-2019</t>
        </is>
      </c>
      <c r="B329" s="1" t="n">
        <v>43524</v>
      </c>
      <c r="C329" s="1" t="n">
        <v>45268</v>
      </c>
      <c r="D329" t="inlineStr">
        <is>
          <t>VÄSTERNORRLANDS LÄN</t>
        </is>
      </c>
      <c r="E329" t="inlineStr">
        <is>
          <t>SOLLEFTEÅ</t>
        </is>
      </c>
      <c r="G329" t="n">
        <v>6.4</v>
      </c>
      <c r="H329" t="n">
        <v>0</v>
      </c>
      <c r="I329" t="n">
        <v>0</v>
      </c>
      <c r="J329" t="n">
        <v>0</v>
      </c>
      <c r="K329" t="n">
        <v>0</v>
      </c>
      <c r="L329" t="n">
        <v>0</v>
      </c>
      <c r="M329" t="n">
        <v>0</v>
      </c>
      <c r="N329" t="n">
        <v>0</v>
      </c>
      <c r="O329" t="n">
        <v>0</v>
      </c>
      <c r="P329" t="n">
        <v>0</v>
      </c>
      <c r="Q329" t="n">
        <v>0</v>
      </c>
      <c r="R329" s="2" t="inlineStr"/>
    </row>
    <row r="330" ht="15" customHeight="1">
      <c r="A330" t="inlineStr">
        <is>
          <t>A 12987-2019</t>
        </is>
      </c>
      <c r="B330" s="1" t="n">
        <v>43525</v>
      </c>
      <c r="C330" s="1" t="n">
        <v>45268</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13653-2019</t>
        </is>
      </c>
      <c r="B331" s="1" t="n">
        <v>43530</v>
      </c>
      <c r="C331" s="1" t="n">
        <v>45268</v>
      </c>
      <c r="D331" t="inlineStr">
        <is>
          <t>VÄSTERNORRLANDS LÄN</t>
        </is>
      </c>
      <c r="E331" t="inlineStr">
        <is>
          <t>SOLLEFTEÅ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13711-2019</t>
        </is>
      </c>
      <c r="B332" s="1" t="n">
        <v>43530</v>
      </c>
      <c r="C332" s="1" t="n">
        <v>45268</v>
      </c>
      <c r="D332" t="inlineStr">
        <is>
          <t>VÄSTERNORRLANDS LÄN</t>
        </is>
      </c>
      <c r="E332" t="inlineStr">
        <is>
          <t>SOLLEFTEÅ</t>
        </is>
      </c>
      <c r="G332" t="n">
        <v>5.6</v>
      </c>
      <c r="H332" t="n">
        <v>0</v>
      </c>
      <c r="I332" t="n">
        <v>0</v>
      </c>
      <c r="J332" t="n">
        <v>0</v>
      </c>
      <c r="K332" t="n">
        <v>0</v>
      </c>
      <c r="L332" t="n">
        <v>0</v>
      </c>
      <c r="M332" t="n">
        <v>0</v>
      </c>
      <c r="N332" t="n">
        <v>0</v>
      </c>
      <c r="O332" t="n">
        <v>0</v>
      </c>
      <c r="P332" t="n">
        <v>0</v>
      </c>
      <c r="Q332" t="n">
        <v>0</v>
      </c>
      <c r="R332" s="2" t="inlineStr"/>
    </row>
    <row r="333" ht="15" customHeight="1">
      <c r="A333" t="inlineStr">
        <is>
          <t>A 13801-2019</t>
        </is>
      </c>
      <c r="B333" s="1" t="n">
        <v>43530</v>
      </c>
      <c r="C333" s="1" t="n">
        <v>45268</v>
      </c>
      <c r="D333" t="inlineStr">
        <is>
          <t>VÄSTERNORRLANDS LÄN</t>
        </is>
      </c>
      <c r="E333" t="inlineStr">
        <is>
          <t>SOLLEFTEÅ</t>
        </is>
      </c>
      <c r="G333" t="n">
        <v>1.8</v>
      </c>
      <c r="H333" t="n">
        <v>0</v>
      </c>
      <c r="I333" t="n">
        <v>0</v>
      </c>
      <c r="J333" t="n">
        <v>0</v>
      </c>
      <c r="K333" t="n">
        <v>0</v>
      </c>
      <c r="L333" t="n">
        <v>0</v>
      </c>
      <c r="M333" t="n">
        <v>0</v>
      </c>
      <c r="N333" t="n">
        <v>0</v>
      </c>
      <c r="O333" t="n">
        <v>0</v>
      </c>
      <c r="P333" t="n">
        <v>0</v>
      </c>
      <c r="Q333" t="n">
        <v>0</v>
      </c>
      <c r="R333" s="2" t="inlineStr"/>
    </row>
    <row r="334" ht="15" customHeight="1">
      <c r="A334" t="inlineStr">
        <is>
          <t>A 13648-2019</t>
        </is>
      </c>
      <c r="B334" s="1" t="n">
        <v>43530</v>
      </c>
      <c r="C334" s="1" t="n">
        <v>45268</v>
      </c>
      <c r="D334" t="inlineStr">
        <is>
          <t>VÄSTERNORRLANDS LÄN</t>
        </is>
      </c>
      <c r="E334" t="inlineStr">
        <is>
          <t>SOLLEFTEÅ</t>
        </is>
      </c>
      <c r="G334" t="n">
        <v>4.1</v>
      </c>
      <c r="H334" t="n">
        <v>0</v>
      </c>
      <c r="I334" t="n">
        <v>0</v>
      </c>
      <c r="J334" t="n">
        <v>0</v>
      </c>
      <c r="K334" t="n">
        <v>0</v>
      </c>
      <c r="L334" t="n">
        <v>0</v>
      </c>
      <c r="M334" t="n">
        <v>0</v>
      </c>
      <c r="N334" t="n">
        <v>0</v>
      </c>
      <c r="O334" t="n">
        <v>0</v>
      </c>
      <c r="P334" t="n">
        <v>0</v>
      </c>
      <c r="Q334" t="n">
        <v>0</v>
      </c>
      <c r="R334" s="2" t="inlineStr"/>
    </row>
    <row r="335" ht="15" customHeight="1">
      <c r="A335" t="inlineStr">
        <is>
          <t>A 13800-2019</t>
        </is>
      </c>
      <c r="B335" s="1" t="n">
        <v>43530</v>
      </c>
      <c r="C335" s="1" t="n">
        <v>45268</v>
      </c>
      <c r="D335" t="inlineStr">
        <is>
          <t>VÄSTERNORRLANDS LÄN</t>
        </is>
      </c>
      <c r="E335" t="inlineStr">
        <is>
          <t>SOLLEFTEÅ</t>
        </is>
      </c>
      <c r="G335" t="n">
        <v>7.3</v>
      </c>
      <c r="H335" t="n">
        <v>0</v>
      </c>
      <c r="I335" t="n">
        <v>0</v>
      </c>
      <c r="J335" t="n">
        <v>0</v>
      </c>
      <c r="K335" t="n">
        <v>0</v>
      </c>
      <c r="L335" t="n">
        <v>0</v>
      </c>
      <c r="M335" t="n">
        <v>0</v>
      </c>
      <c r="N335" t="n">
        <v>0</v>
      </c>
      <c r="O335" t="n">
        <v>0</v>
      </c>
      <c r="P335" t="n">
        <v>0</v>
      </c>
      <c r="Q335" t="n">
        <v>0</v>
      </c>
      <c r="R335" s="2" t="inlineStr"/>
    </row>
    <row r="336" ht="15" customHeight="1">
      <c r="A336" t="inlineStr">
        <is>
          <t>A 13914-2019</t>
        </is>
      </c>
      <c r="B336" s="1" t="n">
        <v>43531</v>
      </c>
      <c r="C336" s="1" t="n">
        <v>45268</v>
      </c>
      <c r="D336" t="inlineStr">
        <is>
          <t>VÄSTERNORRLANDS LÄN</t>
        </is>
      </c>
      <c r="E336" t="inlineStr">
        <is>
          <t>SOLLEFTEÅ</t>
        </is>
      </c>
      <c r="G336" t="n">
        <v>4.1</v>
      </c>
      <c r="H336" t="n">
        <v>0</v>
      </c>
      <c r="I336" t="n">
        <v>0</v>
      </c>
      <c r="J336" t="n">
        <v>0</v>
      </c>
      <c r="K336" t="n">
        <v>0</v>
      </c>
      <c r="L336" t="n">
        <v>0</v>
      </c>
      <c r="M336" t="n">
        <v>0</v>
      </c>
      <c r="N336" t="n">
        <v>0</v>
      </c>
      <c r="O336" t="n">
        <v>0</v>
      </c>
      <c r="P336" t="n">
        <v>0</v>
      </c>
      <c r="Q336" t="n">
        <v>0</v>
      </c>
      <c r="R336" s="2" t="inlineStr"/>
    </row>
    <row r="337" ht="15" customHeight="1">
      <c r="A337" t="inlineStr">
        <is>
          <t>A 13912-2019</t>
        </is>
      </c>
      <c r="B337" s="1" t="n">
        <v>43531</v>
      </c>
      <c r="C337" s="1" t="n">
        <v>45268</v>
      </c>
      <c r="D337" t="inlineStr">
        <is>
          <t>VÄSTERNORRLANDS LÄN</t>
        </is>
      </c>
      <c r="E337" t="inlineStr">
        <is>
          <t>SOLLEFTEÅ</t>
        </is>
      </c>
      <c r="G337" t="n">
        <v>6.1</v>
      </c>
      <c r="H337" t="n">
        <v>0</v>
      </c>
      <c r="I337" t="n">
        <v>0</v>
      </c>
      <c r="J337" t="n">
        <v>0</v>
      </c>
      <c r="K337" t="n">
        <v>0</v>
      </c>
      <c r="L337" t="n">
        <v>0</v>
      </c>
      <c r="M337" t="n">
        <v>0</v>
      </c>
      <c r="N337" t="n">
        <v>0</v>
      </c>
      <c r="O337" t="n">
        <v>0</v>
      </c>
      <c r="P337" t="n">
        <v>0</v>
      </c>
      <c r="Q337" t="n">
        <v>0</v>
      </c>
      <c r="R337" s="2" t="inlineStr"/>
    </row>
    <row r="338" ht="15" customHeight="1">
      <c r="A338" t="inlineStr">
        <is>
          <t>A 15272-2019</t>
        </is>
      </c>
      <c r="B338" s="1" t="n">
        <v>43539</v>
      </c>
      <c r="C338" s="1" t="n">
        <v>45268</v>
      </c>
      <c r="D338" t="inlineStr">
        <is>
          <t>VÄSTERNORRLANDS LÄN</t>
        </is>
      </c>
      <c r="E338" t="inlineStr">
        <is>
          <t>SOLLEFTEÅ</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15737-2019</t>
        </is>
      </c>
      <c r="B339" s="1" t="n">
        <v>43542</v>
      </c>
      <c r="C339" s="1" t="n">
        <v>45268</v>
      </c>
      <c r="D339" t="inlineStr">
        <is>
          <t>VÄSTERNORRLANDS LÄN</t>
        </is>
      </c>
      <c r="E339" t="inlineStr">
        <is>
          <t>SOLLEFTEÅ</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15897-2019</t>
        </is>
      </c>
      <c r="B340" s="1" t="n">
        <v>43543</v>
      </c>
      <c r="C340" s="1" t="n">
        <v>45268</v>
      </c>
      <c r="D340" t="inlineStr">
        <is>
          <t>VÄSTERNORRLANDS LÄN</t>
        </is>
      </c>
      <c r="E340" t="inlineStr">
        <is>
          <t>SOLLEFTEÅ</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16033-2019</t>
        </is>
      </c>
      <c r="B341" s="1" t="n">
        <v>43543</v>
      </c>
      <c r="C341" s="1" t="n">
        <v>45268</v>
      </c>
      <c r="D341" t="inlineStr">
        <is>
          <t>VÄSTERNORRLANDS LÄN</t>
        </is>
      </c>
      <c r="E341" t="inlineStr">
        <is>
          <t>SOLLEFTEÅ</t>
        </is>
      </c>
      <c r="G341" t="n">
        <v>6.3</v>
      </c>
      <c r="H341" t="n">
        <v>0</v>
      </c>
      <c r="I341" t="n">
        <v>0</v>
      </c>
      <c r="J341" t="n">
        <v>0</v>
      </c>
      <c r="K341" t="n">
        <v>0</v>
      </c>
      <c r="L341" t="n">
        <v>0</v>
      </c>
      <c r="M341" t="n">
        <v>0</v>
      </c>
      <c r="N341" t="n">
        <v>0</v>
      </c>
      <c r="O341" t="n">
        <v>0</v>
      </c>
      <c r="P341" t="n">
        <v>0</v>
      </c>
      <c r="Q341" t="n">
        <v>0</v>
      </c>
      <c r="R341" s="2" t="inlineStr"/>
    </row>
    <row r="342" ht="15" customHeight="1">
      <c r="A342" t="inlineStr">
        <is>
          <t>A 16565-2019</t>
        </is>
      </c>
      <c r="B342" s="1" t="n">
        <v>43546</v>
      </c>
      <c r="C342" s="1" t="n">
        <v>45268</v>
      </c>
      <c r="D342" t="inlineStr">
        <is>
          <t>VÄSTERNORRLANDS LÄN</t>
        </is>
      </c>
      <c r="E342" t="inlineStr">
        <is>
          <t>SOLLEFTEÅ</t>
        </is>
      </c>
      <c r="F342" t="inlineStr">
        <is>
          <t>SCA</t>
        </is>
      </c>
      <c r="G342" t="n">
        <v>13.6</v>
      </c>
      <c r="H342" t="n">
        <v>0</v>
      </c>
      <c r="I342" t="n">
        <v>0</v>
      </c>
      <c r="J342" t="n">
        <v>0</v>
      </c>
      <c r="K342" t="n">
        <v>0</v>
      </c>
      <c r="L342" t="n">
        <v>0</v>
      </c>
      <c r="M342" t="n">
        <v>0</v>
      </c>
      <c r="N342" t="n">
        <v>0</v>
      </c>
      <c r="O342" t="n">
        <v>0</v>
      </c>
      <c r="P342" t="n">
        <v>0</v>
      </c>
      <c r="Q342" t="n">
        <v>0</v>
      </c>
      <c r="R342" s="2" t="inlineStr"/>
    </row>
    <row r="343" ht="15" customHeight="1">
      <c r="A343" t="inlineStr">
        <is>
          <t>A 16552-2019</t>
        </is>
      </c>
      <c r="B343" s="1" t="n">
        <v>43546</v>
      </c>
      <c r="C343" s="1" t="n">
        <v>45268</v>
      </c>
      <c r="D343" t="inlineStr">
        <is>
          <t>VÄSTERNORRLANDS LÄN</t>
        </is>
      </c>
      <c r="E343" t="inlineStr">
        <is>
          <t>SOLLEFTEÅ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16840-2019</t>
        </is>
      </c>
      <c r="B344" s="1" t="n">
        <v>43549</v>
      </c>
      <c r="C344" s="1" t="n">
        <v>45268</v>
      </c>
      <c r="D344" t="inlineStr">
        <is>
          <t>VÄSTERNORRLANDS LÄN</t>
        </is>
      </c>
      <c r="E344" t="inlineStr">
        <is>
          <t>SOLLEFTEÅ</t>
        </is>
      </c>
      <c r="F344" t="inlineStr">
        <is>
          <t>SCA</t>
        </is>
      </c>
      <c r="G344" t="n">
        <v>31.7</v>
      </c>
      <c r="H344" t="n">
        <v>0</v>
      </c>
      <c r="I344" t="n">
        <v>0</v>
      </c>
      <c r="J344" t="n">
        <v>0</v>
      </c>
      <c r="K344" t="n">
        <v>0</v>
      </c>
      <c r="L344" t="n">
        <v>0</v>
      </c>
      <c r="M344" t="n">
        <v>0</v>
      </c>
      <c r="N344" t="n">
        <v>0</v>
      </c>
      <c r="O344" t="n">
        <v>0</v>
      </c>
      <c r="P344" t="n">
        <v>0</v>
      </c>
      <c r="Q344" t="n">
        <v>0</v>
      </c>
      <c r="R344" s="2" t="inlineStr"/>
    </row>
    <row r="345" ht="15" customHeight="1">
      <c r="A345" t="inlineStr">
        <is>
          <t>A 16833-2019</t>
        </is>
      </c>
      <c r="B345" s="1" t="n">
        <v>43549</v>
      </c>
      <c r="C345" s="1" t="n">
        <v>45268</v>
      </c>
      <c r="D345" t="inlineStr">
        <is>
          <t>VÄSTERNORRLANDS LÄN</t>
        </is>
      </c>
      <c r="E345" t="inlineStr">
        <is>
          <t>SOLLEFTEÅ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16832-2019</t>
        </is>
      </c>
      <c r="B346" s="1" t="n">
        <v>43549</v>
      </c>
      <c r="C346" s="1" t="n">
        <v>45268</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17670-2019</t>
        </is>
      </c>
      <c r="B347" s="1" t="n">
        <v>43552</v>
      </c>
      <c r="C347" s="1" t="n">
        <v>45268</v>
      </c>
      <c r="D347" t="inlineStr">
        <is>
          <t>VÄSTERNORRLANDS LÄN</t>
        </is>
      </c>
      <c r="E347" t="inlineStr">
        <is>
          <t>SOLLEFTEÅ</t>
        </is>
      </c>
      <c r="G347" t="n">
        <v>6.6</v>
      </c>
      <c r="H347" t="n">
        <v>0</v>
      </c>
      <c r="I347" t="n">
        <v>0</v>
      </c>
      <c r="J347" t="n">
        <v>0</v>
      </c>
      <c r="K347" t="n">
        <v>0</v>
      </c>
      <c r="L347" t="n">
        <v>0</v>
      </c>
      <c r="M347" t="n">
        <v>0</v>
      </c>
      <c r="N347" t="n">
        <v>0</v>
      </c>
      <c r="O347" t="n">
        <v>0</v>
      </c>
      <c r="P347" t="n">
        <v>0</v>
      </c>
      <c r="Q347" t="n">
        <v>0</v>
      </c>
      <c r="R347" s="2" t="inlineStr"/>
    </row>
    <row r="348" ht="15" customHeight="1">
      <c r="A348" t="inlineStr">
        <is>
          <t>A 18277-2019</t>
        </is>
      </c>
      <c r="B348" s="1" t="n">
        <v>43557</v>
      </c>
      <c r="C348" s="1" t="n">
        <v>45268</v>
      </c>
      <c r="D348" t="inlineStr">
        <is>
          <t>VÄSTERNORRLANDS LÄN</t>
        </is>
      </c>
      <c r="E348" t="inlineStr">
        <is>
          <t>SOLLEFTEÅ</t>
        </is>
      </c>
      <c r="G348" t="n">
        <v>6.2</v>
      </c>
      <c r="H348" t="n">
        <v>0</v>
      </c>
      <c r="I348" t="n">
        <v>0</v>
      </c>
      <c r="J348" t="n">
        <v>0</v>
      </c>
      <c r="K348" t="n">
        <v>0</v>
      </c>
      <c r="L348" t="n">
        <v>0</v>
      </c>
      <c r="M348" t="n">
        <v>0</v>
      </c>
      <c r="N348" t="n">
        <v>0</v>
      </c>
      <c r="O348" t="n">
        <v>0</v>
      </c>
      <c r="P348" t="n">
        <v>0</v>
      </c>
      <c r="Q348" t="n">
        <v>0</v>
      </c>
      <c r="R348" s="2" t="inlineStr"/>
    </row>
    <row r="349" ht="15" customHeight="1">
      <c r="A349" t="inlineStr">
        <is>
          <t>A 18578-2019</t>
        </is>
      </c>
      <c r="B349" s="1" t="n">
        <v>43558</v>
      </c>
      <c r="C349" s="1" t="n">
        <v>45268</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18452-2019</t>
        </is>
      </c>
      <c r="B350" s="1" t="n">
        <v>43559</v>
      </c>
      <c r="C350" s="1" t="n">
        <v>45268</v>
      </c>
      <c r="D350" t="inlineStr">
        <is>
          <t>VÄSTERNORRLANDS LÄN</t>
        </is>
      </c>
      <c r="E350" t="inlineStr">
        <is>
          <t>SOLLEFTEÅ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18925-2019</t>
        </is>
      </c>
      <c r="B351" s="1" t="n">
        <v>43563</v>
      </c>
      <c r="C351" s="1" t="n">
        <v>45268</v>
      </c>
      <c r="D351" t="inlineStr">
        <is>
          <t>VÄSTERNORRLANDS LÄN</t>
        </is>
      </c>
      <c r="E351" t="inlineStr">
        <is>
          <t>SOLLEFTEÅ</t>
        </is>
      </c>
      <c r="G351" t="n">
        <v>1.9</v>
      </c>
      <c r="H351" t="n">
        <v>0</v>
      </c>
      <c r="I351" t="n">
        <v>0</v>
      </c>
      <c r="J351" t="n">
        <v>0</v>
      </c>
      <c r="K351" t="n">
        <v>0</v>
      </c>
      <c r="L351" t="n">
        <v>0</v>
      </c>
      <c r="M351" t="n">
        <v>0</v>
      </c>
      <c r="N351" t="n">
        <v>0</v>
      </c>
      <c r="O351" t="n">
        <v>0</v>
      </c>
      <c r="P351" t="n">
        <v>0</v>
      </c>
      <c r="Q351" t="n">
        <v>0</v>
      </c>
      <c r="R351" s="2" t="inlineStr"/>
    </row>
    <row r="352" ht="15" customHeight="1">
      <c r="A352" t="inlineStr">
        <is>
          <t>A 19123-2019</t>
        </is>
      </c>
      <c r="B352" s="1" t="n">
        <v>43564</v>
      </c>
      <c r="C352" s="1" t="n">
        <v>45268</v>
      </c>
      <c r="D352" t="inlineStr">
        <is>
          <t>VÄSTERNORRLANDS LÄN</t>
        </is>
      </c>
      <c r="E352" t="inlineStr">
        <is>
          <t>SOLLEFTEÅ</t>
        </is>
      </c>
      <c r="G352" t="n">
        <v>9.4</v>
      </c>
      <c r="H352" t="n">
        <v>0</v>
      </c>
      <c r="I352" t="n">
        <v>0</v>
      </c>
      <c r="J352" t="n">
        <v>0</v>
      </c>
      <c r="K352" t="n">
        <v>0</v>
      </c>
      <c r="L352" t="n">
        <v>0</v>
      </c>
      <c r="M352" t="n">
        <v>0</v>
      </c>
      <c r="N352" t="n">
        <v>0</v>
      </c>
      <c r="O352" t="n">
        <v>0</v>
      </c>
      <c r="P352" t="n">
        <v>0</v>
      </c>
      <c r="Q352" t="n">
        <v>0</v>
      </c>
      <c r="R352" s="2" t="inlineStr"/>
    </row>
    <row r="353" ht="15" customHeight="1">
      <c r="A353" t="inlineStr">
        <is>
          <t>A 19219-2019</t>
        </is>
      </c>
      <c r="B353" s="1" t="n">
        <v>43564</v>
      </c>
      <c r="C353" s="1" t="n">
        <v>45268</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19553-2019</t>
        </is>
      </c>
      <c r="B354" s="1" t="n">
        <v>43565</v>
      </c>
      <c r="C354" s="1" t="n">
        <v>45268</v>
      </c>
      <c r="D354" t="inlineStr">
        <is>
          <t>VÄSTERNORRLANDS LÄN</t>
        </is>
      </c>
      <c r="E354" t="inlineStr">
        <is>
          <t>SOLLEFTEÅ</t>
        </is>
      </c>
      <c r="G354" t="n">
        <v>28.1</v>
      </c>
      <c r="H354" t="n">
        <v>0</v>
      </c>
      <c r="I354" t="n">
        <v>0</v>
      </c>
      <c r="J354" t="n">
        <v>0</v>
      </c>
      <c r="K354" t="n">
        <v>0</v>
      </c>
      <c r="L354" t="n">
        <v>0</v>
      </c>
      <c r="M354" t="n">
        <v>0</v>
      </c>
      <c r="N354" t="n">
        <v>0</v>
      </c>
      <c r="O354" t="n">
        <v>0</v>
      </c>
      <c r="P354" t="n">
        <v>0</v>
      </c>
      <c r="Q354" t="n">
        <v>0</v>
      </c>
      <c r="R354" s="2" t="inlineStr"/>
    </row>
    <row r="355" ht="15" customHeight="1">
      <c r="A355" t="inlineStr">
        <is>
          <t>A 19730-2019</t>
        </is>
      </c>
      <c r="B355" s="1" t="n">
        <v>43566</v>
      </c>
      <c r="C355" s="1" t="n">
        <v>45268</v>
      </c>
      <c r="D355" t="inlineStr">
        <is>
          <t>VÄSTERNORRLANDS LÄN</t>
        </is>
      </c>
      <c r="E355" t="inlineStr">
        <is>
          <t>SOLLEFTEÅ</t>
        </is>
      </c>
      <c r="G355" t="n">
        <v>2</v>
      </c>
      <c r="H355" t="n">
        <v>0</v>
      </c>
      <c r="I355" t="n">
        <v>0</v>
      </c>
      <c r="J355" t="n">
        <v>0</v>
      </c>
      <c r="K355" t="n">
        <v>0</v>
      </c>
      <c r="L355" t="n">
        <v>0</v>
      </c>
      <c r="M355" t="n">
        <v>0</v>
      </c>
      <c r="N355" t="n">
        <v>0</v>
      </c>
      <c r="O355" t="n">
        <v>0</v>
      </c>
      <c r="P355" t="n">
        <v>0</v>
      </c>
      <c r="Q355" t="n">
        <v>0</v>
      </c>
      <c r="R355" s="2" t="inlineStr"/>
    </row>
    <row r="356" ht="15" customHeight="1">
      <c r="A356" t="inlineStr">
        <is>
          <t>A 19595-2019</t>
        </is>
      </c>
      <c r="B356" s="1" t="n">
        <v>43566</v>
      </c>
      <c r="C356" s="1" t="n">
        <v>45268</v>
      </c>
      <c r="D356" t="inlineStr">
        <is>
          <t>VÄSTERNORRLANDS LÄN</t>
        </is>
      </c>
      <c r="E356" t="inlineStr">
        <is>
          <t>SOLLEFTEÅ</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19732-2019</t>
        </is>
      </c>
      <c r="B357" s="1" t="n">
        <v>43566</v>
      </c>
      <c r="C357" s="1" t="n">
        <v>45268</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19731-2019</t>
        </is>
      </c>
      <c r="B358" s="1" t="n">
        <v>43566</v>
      </c>
      <c r="C358" s="1" t="n">
        <v>45268</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20201-2019</t>
        </is>
      </c>
      <c r="B359" s="1" t="n">
        <v>43570</v>
      </c>
      <c r="C359" s="1" t="n">
        <v>45268</v>
      </c>
      <c r="D359" t="inlineStr">
        <is>
          <t>VÄSTERNORRLANDS LÄN</t>
        </is>
      </c>
      <c r="E359" t="inlineStr">
        <is>
          <t>SOLLEFTEÅ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20198-2019</t>
        </is>
      </c>
      <c r="B360" s="1" t="n">
        <v>43570</v>
      </c>
      <c r="C360" s="1" t="n">
        <v>45268</v>
      </c>
      <c r="D360" t="inlineStr">
        <is>
          <t>VÄSTERNORRLANDS LÄN</t>
        </is>
      </c>
      <c r="E360" t="inlineStr">
        <is>
          <t>SOLLEFTEÅ</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20200-2019</t>
        </is>
      </c>
      <c r="B361" s="1" t="n">
        <v>43570</v>
      </c>
      <c r="C361" s="1" t="n">
        <v>45268</v>
      </c>
      <c r="D361" t="inlineStr">
        <is>
          <t>VÄSTERNORRLANDS LÄN</t>
        </is>
      </c>
      <c r="E361" t="inlineStr">
        <is>
          <t>SOLLEFTEÅ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20444-2019</t>
        </is>
      </c>
      <c r="B362" s="1" t="n">
        <v>43571</v>
      </c>
      <c r="C362" s="1" t="n">
        <v>45268</v>
      </c>
      <c r="D362" t="inlineStr">
        <is>
          <t>VÄSTERNORRLANDS LÄN</t>
        </is>
      </c>
      <c r="E362" t="inlineStr">
        <is>
          <t>SOLLEFTEÅ</t>
        </is>
      </c>
      <c r="G362" t="n">
        <v>2.9</v>
      </c>
      <c r="H362" t="n">
        <v>0</v>
      </c>
      <c r="I362" t="n">
        <v>0</v>
      </c>
      <c r="J362" t="n">
        <v>0</v>
      </c>
      <c r="K362" t="n">
        <v>0</v>
      </c>
      <c r="L362" t="n">
        <v>0</v>
      </c>
      <c r="M362" t="n">
        <v>0</v>
      </c>
      <c r="N362" t="n">
        <v>0</v>
      </c>
      <c r="O362" t="n">
        <v>0</v>
      </c>
      <c r="P362" t="n">
        <v>0</v>
      </c>
      <c r="Q362" t="n">
        <v>0</v>
      </c>
      <c r="R362" s="2" t="inlineStr"/>
    </row>
    <row r="363" ht="15" customHeight="1">
      <c r="A363" t="inlineStr">
        <is>
          <t>A 20649-2019</t>
        </is>
      </c>
      <c r="B363" s="1" t="n">
        <v>43572</v>
      </c>
      <c r="C363" s="1" t="n">
        <v>45268</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20648-2019</t>
        </is>
      </c>
      <c r="B364" s="1" t="n">
        <v>43572</v>
      </c>
      <c r="C364" s="1" t="n">
        <v>45268</v>
      </c>
      <c r="D364" t="inlineStr">
        <is>
          <t>VÄSTERNORRLANDS LÄN</t>
        </is>
      </c>
      <c r="E364" t="inlineStr">
        <is>
          <t>SOLLEFTEÅ</t>
        </is>
      </c>
      <c r="G364" t="n">
        <v>3.9</v>
      </c>
      <c r="H364" t="n">
        <v>0</v>
      </c>
      <c r="I364" t="n">
        <v>0</v>
      </c>
      <c r="J364" t="n">
        <v>0</v>
      </c>
      <c r="K364" t="n">
        <v>0</v>
      </c>
      <c r="L364" t="n">
        <v>0</v>
      </c>
      <c r="M364" t="n">
        <v>0</v>
      </c>
      <c r="N364" t="n">
        <v>0</v>
      </c>
      <c r="O364" t="n">
        <v>0</v>
      </c>
      <c r="P364" t="n">
        <v>0</v>
      </c>
      <c r="Q364" t="n">
        <v>0</v>
      </c>
      <c r="R364" s="2" t="inlineStr"/>
    </row>
    <row r="365" ht="15" customHeight="1">
      <c r="A365" t="inlineStr">
        <is>
          <t>A 21119-2019</t>
        </is>
      </c>
      <c r="B365" s="1" t="n">
        <v>43578</v>
      </c>
      <c r="C365" s="1" t="n">
        <v>45268</v>
      </c>
      <c r="D365" t="inlineStr">
        <is>
          <t>VÄSTERNORRLANDS LÄN</t>
        </is>
      </c>
      <c r="E365" t="inlineStr">
        <is>
          <t>SOLLEFTEÅ</t>
        </is>
      </c>
      <c r="F365" t="inlineStr">
        <is>
          <t>SCA</t>
        </is>
      </c>
      <c r="G365" t="n">
        <v>57.7</v>
      </c>
      <c r="H365" t="n">
        <v>0</v>
      </c>
      <c r="I365" t="n">
        <v>0</v>
      </c>
      <c r="J365" t="n">
        <v>0</v>
      </c>
      <c r="K365" t="n">
        <v>0</v>
      </c>
      <c r="L365" t="n">
        <v>0</v>
      </c>
      <c r="M365" t="n">
        <v>0</v>
      </c>
      <c r="N365" t="n">
        <v>0</v>
      </c>
      <c r="O365" t="n">
        <v>0</v>
      </c>
      <c r="P365" t="n">
        <v>0</v>
      </c>
      <c r="Q365" t="n">
        <v>0</v>
      </c>
      <c r="R365" s="2" t="inlineStr"/>
    </row>
    <row r="366" ht="15" customHeight="1">
      <c r="A366" t="inlineStr">
        <is>
          <t>A 21526-2019</t>
        </is>
      </c>
      <c r="B366" s="1" t="n">
        <v>43580</v>
      </c>
      <c r="C366" s="1" t="n">
        <v>45268</v>
      </c>
      <c r="D366" t="inlineStr">
        <is>
          <t>VÄSTERNORRLANDS LÄN</t>
        </is>
      </c>
      <c r="E366" t="inlineStr">
        <is>
          <t>SOLLEFTEÅ</t>
        </is>
      </c>
      <c r="G366" t="n">
        <v>3.1</v>
      </c>
      <c r="H366" t="n">
        <v>0</v>
      </c>
      <c r="I366" t="n">
        <v>0</v>
      </c>
      <c r="J366" t="n">
        <v>0</v>
      </c>
      <c r="K366" t="n">
        <v>0</v>
      </c>
      <c r="L366" t="n">
        <v>0</v>
      </c>
      <c r="M366" t="n">
        <v>0</v>
      </c>
      <c r="N366" t="n">
        <v>0</v>
      </c>
      <c r="O366" t="n">
        <v>0</v>
      </c>
      <c r="P366" t="n">
        <v>0</v>
      </c>
      <c r="Q366" t="n">
        <v>0</v>
      </c>
      <c r="R366" s="2" t="inlineStr"/>
    </row>
    <row r="367" ht="15" customHeight="1">
      <c r="A367" t="inlineStr">
        <is>
          <t>A 21799-2019</t>
        </is>
      </c>
      <c r="B367" s="1" t="n">
        <v>43581</v>
      </c>
      <c r="C367" s="1" t="n">
        <v>45268</v>
      </c>
      <c r="D367" t="inlineStr">
        <is>
          <t>VÄSTERNORRLANDS LÄN</t>
        </is>
      </c>
      <c r="E367" t="inlineStr">
        <is>
          <t>SOLLEFTEÅ</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21788-2019</t>
        </is>
      </c>
      <c r="B368" s="1" t="n">
        <v>43581</v>
      </c>
      <c r="C368" s="1" t="n">
        <v>45268</v>
      </c>
      <c r="D368" t="inlineStr">
        <is>
          <t>VÄSTERNORRLANDS LÄN</t>
        </is>
      </c>
      <c r="E368" t="inlineStr">
        <is>
          <t>SOLLEFTEÅ</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22088-2019</t>
        </is>
      </c>
      <c r="B369" s="1" t="n">
        <v>43584</v>
      </c>
      <c r="C369" s="1" t="n">
        <v>45268</v>
      </c>
      <c r="D369" t="inlineStr">
        <is>
          <t>VÄSTERNORRLANDS LÄN</t>
        </is>
      </c>
      <c r="E369" t="inlineStr">
        <is>
          <t>SOLLEFTEÅ</t>
        </is>
      </c>
      <c r="F369" t="inlineStr">
        <is>
          <t>SCA</t>
        </is>
      </c>
      <c r="G369" t="n">
        <v>37.9</v>
      </c>
      <c r="H369" t="n">
        <v>0</v>
      </c>
      <c r="I369" t="n">
        <v>0</v>
      </c>
      <c r="J369" t="n">
        <v>0</v>
      </c>
      <c r="K369" t="n">
        <v>0</v>
      </c>
      <c r="L369" t="n">
        <v>0</v>
      </c>
      <c r="M369" t="n">
        <v>0</v>
      </c>
      <c r="N369" t="n">
        <v>0</v>
      </c>
      <c r="O369" t="n">
        <v>0</v>
      </c>
      <c r="P369" t="n">
        <v>0</v>
      </c>
      <c r="Q369" t="n">
        <v>0</v>
      </c>
      <c r="R369" s="2" t="inlineStr"/>
    </row>
    <row r="370" ht="15" customHeight="1">
      <c r="A370" t="inlineStr">
        <is>
          <t>A 22283-2019</t>
        </is>
      </c>
      <c r="B370" s="1" t="n">
        <v>43585</v>
      </c>
      <c r="C370" s="1" t="n">
        <v>45268</v>
      </c>
      <c r="D370" t="inlineStr">
        <is>
          <t>VÄSTERNORRLANDS LÄN</t>
        </is>
      </c>
      <c r="E370" t="inlineStr">
        <is>
          <t>SOLLEFTEÅ</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22587-2019</t>
        </is>
      </c>
      <c r="B371" s="1" t="n">
        <v>43587</v>
      </c>
      <c r="C371" s="1" t="n">
        <v>45268</v>
      </c>
      <c r="D371" t="inlineStr">
        <is>
          <t>VÄSTERNORRLANDS LÄN</t>
        </is>
      </c>
      <c r="E371" t="inlineStr">
        <is>
          <t>SOLLEFTEÅ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23241-2019</t>
        </is>
      </c>
      <c r="B372" s="1" t="n">
        <v>43591</v>
      </c>
      <c r="C372" s="1" t="n">
        <v>45268</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23314-2019</t>
        </is>
      </c>
      <c r="B373" s="1" t="n">
        <v>43591</v>
      </c>
      <c r="C373" s="1" t="n">
        <v>45268</v>
      </c>
      <c r="D373" t="inlineStr">
        <is>
          <t>VÄSTERNORRLANDS LÄN</t>
        </is>
      </c>
      <c r="E373" t="inlineStr">
        <is>
          <t>SOLLEFTEÅ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23323-2019</t>
        </is>
      </c>
      <c r="B374" s="1" t="n">
        <v>43591</v>
      </c>
      <c r="C374" s="1" t="n">
        <v>45268</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23246-2019</t>
        </is>
      </c>
      <c r="B375" s="1" t="n">
        <v>43591</v>
      </c>
      <c r="C375" s="1" t="n">
        <v>45268</v>
      </c>
      <c r="D375" t="inlineStr">
        <is>
          <t>VÄSTERNORRLANDS LÄN</t>
        </is>
      </c>
      <c r="E375" t="inlineStr">
        <is>
          <t>SOLLEFTEÅ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24157-2019</t>
        </is>
      </c>
      <c r="B376" s="1" t="n">
        <v>43598</v>
      </c>
      <c r="C376" s="1" t="n">
        <v>45268</v>
      </c>
      <c r="D376" t="inlineStr">
        <is>
          <t>VÄSTERNORRLANDS LÄN</t>
        </is>
      </c>
      <c r="E376" t="inlineStr">
        <is>
          <t>SOLLEFTEÅ</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24168-2019</t>
        </is>
      </c>
      <c r="B377" s="1" t="n">
        <v>43598</v>
      </c>
      <c r="C377" s="1" t="n">
        <v>45268</v>
      </c>
      <c r="D377" t="inlineStr">
        <is>
          <t>VÄSTERNORRLANDS LÄN</t>
        </is>
      </c>
      <c r="E377" t="inlineStr">
        <is>
          <t>SOLLEFTEÅ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25334-2019</t>
        </is>
      </c>
      <c r="B378" s="1" t="n">
        <v>43601</v>
      </c>
      <c r="C378" s="1" t="n">
        <v>45268</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25331-2019</t>
        </is>
      </c>
      <c r="B379" s="1" t="n">
        <v>43601</v>
      </c>
      <c r="C379" s="1" t="n">
        <v>45268</v>
      </c>
      <c r="D379" t="inlineStr">
        <is>
          <t>VÄSTERNORRLANDS LÄN</t>
        </is>
      </c>
      <c r="E379" t="inlineStr">
        <is>
          <t>SOLLEFTEÅ</t>
        </is>
      </c>
      <c r="G379" t="n">
        <v>7.2</v>
      </c>
      <c r="H379" t="n">
        <v>0</v>
      </c>
      <c r="I379" t="n">
        <v>0</v>
      </c>
      <c r="J379" t="n">
        <v>0</v>
      </c>
      <c r="K379" t="n">
        <v>0</v>
      </c>
      <c r="L379" t="n">
        <v>0</v>
      </c>
      <c r="M379" t="n">
        <v>0</v>
      </c>
      <c r="N379" t="n">
        <v>0</v>
      </c>
      <c r="O379" t="n">
        <v>0</v>
      </c>
      <c r="P379" t="n">
        <v>0</v>
      </c>
      <c r="Q379" t="n">
        <v>0</v>
      </c>
      <c r="R379" s="2" t="inlineStr"/>
    </row>
    <row r="380" ht="15" customHeight="1">
      <c r="A380" t="inlineStr">
        <is>
          <t>A 25260-2019</t>
        </is>
      </c>
      <c r="B380" s="1" t="n">
        <v>43601</v>
      </c>
      <c r="C380" s="1" t="n">
        <v>45268</v>
      </c>
      <c r="D380" t="inlineStr">
        <is>
          <t>VÄSTERNORRLANDS LÄN</t>
        </is>
      </c>
      <c r="E380" t="inlineStr">
        <is>
          <t>SOLLEFTEÅ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25328-2019</t>
        </is>
      </c>
      <c r="B381" s="1" t="n">
        <v>43601</v>
      </c>
      <c r="C381" s="1" t="n">
        <v>45268</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25014-2019</t>
        </is>
      </c>
      <c r="B382" s="1" t="n">
        <v>43602</v>
      </c>
      <c r="C382" s="1" t="n">
        <v>45268</v>
      </c>
      <c r="D382" t="inlineStr">
        <is>
          <t>VÄSTERNORRLANDS LÄN</t>
        </is>
      </c>
      <c r="E382" t="inlineStr">
        <is>
          <t>SOLLEFTEÅ</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26111-2019</t>
        </is>
      </c>
      <c r="B383" s="1" t="n">
        <v>43605</v>
      </c>
      <c r="C383" s="1" t="n">
        <v>45268</v>
      </c>
      <c r="D383" t="inlineStr">
        <is>
          <t>VÄSTERNORRLANDS LÄN</t>
        </is>
      </c>
      <c r="E383" t="inlineStr">
        <is>
          <t>SOLLEFTEÅ</t>
        </is>
      </c>
      <c r="G383" t="n">
        <v>3.5</v>
      </c>
      <c r="H383" t="n">
        <v>0</v>
      </c>
      <c r="I383" t="n">
        <v>0</v>
      </c>
      <c r="J383" t="n">
        <v>0</v>
      </c>
      <c r="K383" t="n">
        <v>0</v>
      </c>
      <c r="L383" t="n">
        <v>0</v>
      </c>
      <c r="M383" t="n">
        <v>0</v>
      </c>
      <c r="N383" t="n">
        <v>0</v>
      </c>
      <c r="O383" t="n">
        <v>0</v>
      </c>
      <c r="P383" t="n">
        <v>0</v>
      </c>
      <c r="Q383" t="n">
        <v>0</v>
      </c>
      <c r="R383" s="2" t="inlineStr"/>
    </row>
    <row r="384" ht="15" customHeight="1">
      <c r="A384" t="inlineStr">
        <is>
          <t>A 25714-2019</t>
        </is>
      </c>
      <c r="B384" s="1" t="n">
        <v>43607</v>
      </c>
      <c r="C384" s="1" t="n">
        <v>45268</v>
      </c>
      <c r="D384" t="inlineStr">
        <is>
          <t>VÄSTERNORRLANDS LÄN</t>
        </is>
      </c>
      <c r="E384" t="inlineStr">
        <is>
          <t>SOLLEFTEÅ</t>
        </is>
      </c>
      <c r="F384" t="inlineStr">
        <is>
          <t>SCA</t>
        </is>
      </c>
      <c r="G384" t="n">
        <v>28.3</v>
      </c>
      <c r="H384" t="n">
        <v>0</v>
      </c>
      <c r="I384" t="n">
        <v>0</v>
      </c>
      <c r="J384" t="n">
        <v>0</v>
      </c>
      <c r="K384" t="n">
        <v>0</v>
      </c>
      <c r="L384" t="n">
        <v>0</v>
      </c>
      <c r="M384" t="n">
        <v>0</v>
      </c>
      <c r="N384" t="n">
        <v>0</v>
      </c>
      <c r="O384" t="n">
        <v>0</v>
      </c>
      <c r="P384" t="n">
        <v>0</v>
      </c>
      <c r="Q384" t="n">
        <v>0</v>
      </c>
      <c r="R384" s="2" t="inlineStr"/>
    </row>
    <row r="385" ht="15" customHeight="1">
      <c r="A385" t="inlineStr">
        <is>
          <t>A 25979-2019</t>
        </is>
      </c>
      <c r="B385" s="1" t="n">
        <v>43608</v>
      </c>
      <c r="C385" s="1" t="n">
        <v>45268</v>
      </c>
      <c r="D385" t="inlineStr">
        <is>
          <t>VÄSTERNORRLANDS LÄN</t>
        </is>
      </c>
      <c r="E385" t="inlineStr">
        <is>
          <t>SOLLEFTEÅ</t>
        </is>
      </c>
      <c r="F385" t="inlineStr">
        <is>
          <t>SCA</t>
        </is>
      </c>
      <c r="G385" t="n">
        <v>26.1</v>
      </c>
      <c r="H385" t="n">
        <v>0</v>
      </c>
      <c r="I385" t="n">
        <v>0</v>
      </c>
      <c r="J385" t="n">
        <v>0</v>
      </c>
      <c r="K385" t="n">
        <v>0</v>
      </c>
      <c r="L385" t="n">
        <v>0</v>
      </c>
      <c r="M385" t="n">
        <v>0</v>
      </c>
      <c r="N385" t="n">
        <v>0</v>
      </c>
      <c r="O385" t="n">
        <v>0</v>
      </c>
      <c r="P385" t="n">
        <v>0</v>
      </c>
      <c r="Q385" t="n">
        <v>0</v>
      </c>
      <c r="R385" s="2" t="inlineStr"/>
    </row>
    <row r="386" ht="15" customHeight="1">
      <c r="A386" t="inlineStr">
        <is>
          <t>A 25982-2019</t>
        </is>
      </c>
      <c r="B386" s="1" t="n">
        <v>43608</v>
      </c>
      <c r="C386" s="1" t="n">
        <v>45268</v>
      </c>
      <c r="D386" t="inlineStr">
        <is>
          <t>VÄSTERNORRLANDS LÄN</t>
        </is>
      </c>
      <c r="E386" t="inlineStr">
        <is>
          <t>SOLLEFTEÅ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25997-2019</t>
        </is>
      </c>
      <c r="B387" s="1" t="n">
        <v>43608</v>
      </c>
      <c r="C387" s="1" t="n">
        <v>45268</v>
      </c>
      <c r="D387" t="inlineStr">
        <is>
          <t>VÄSTERNORRLANDS LÄN</t>
        </is>
      </c>
      <c r="E387" t="inlineStr">
        <is>
          <t>SOLLEFTEÅ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25959-2019</t>
        </is>
      </c>
      <c r="B388" s="1" t="n">
        <v>43608</v>
      </c>
      <c r="C388" s="1" t="n">
        <v>45268</v>
      </c>
      <c r="D388" t="inlineStr">
        <is>
          <t>VÄSTERNORRLANDS LÄN</t>
        </is>
      </c>
      <c r="E388" t="inlineStr">
        <is>
          <t>SOLLEFTEÅ</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26254-2019</t>
        </is>
      </c>
      <c r="B389" s="1" t="n">
        <v>43609</v>
      </c>
      <c r="C389" s="1" t="n">
        <v>45268</v>
      </c>
      <c r="D389" t="inlineStr">
        <is>
          <t>VÄSTERNORRLANDS LÄN</t>
        </is>
      </c>
      <c r="E389" t="inlineStr">
        <is>
          <t>SOLLEFTEÅ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26253-2019</t>
        </is>
      </c>
      <c r="B390" s="1" t="n">
        <v>43609</v>
      </c>
      <c r="C390" s="1" t="n">
        <v>45268</v>
      </c>
      <c r="D390" t="inlineStr">
        <is>
          <t>VÄSTERNORRLANDS LÄN</t>
        </is>
      </c>
      <c r="E390" t="inlineStr">
        <is>
          <t>SOLLEFTEÅ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26640-2019</t>
        </is>
      </c>
      <c r="B391" s="1" t="n">
        <v>43612</v>
      </c>
      <c r="C391" s="1" t="n">
        <v>45268</v>
      </c>
      <c r="D391" t="inlineStr">
        <is>
          <t>VÄSTERNORRLANDS LÄN</t>
        </is>
      </c>
      <c r="E391" t="inlineStr">
        <is>
          <t>SOLLEFTEÅ</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27597-2019</t>
        </is>
      </c>
      <c r="B392" s="1" t="n">
        <v>43612</v>
      </c>
      <c r="C392" s="1" t="n">
        <v>45268</v>
      </c>
      <c r="D392" t="inlineStr">
        <is>
          <t>VÄSTERNORRLANDS LÄN</t>
        </is>
      </c>
      <c r="E392" t="inlineStr">
        <is>
          <t>SOLLEFTEÅ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26945-2019</t>
        </is>
      </c>
      <c r="B393" s="1" t="n">
        <v>43613</v>
      </c>
      <c r="C393" s="1" t="n">
        <v>45268</v>
      </c>
      <c r="D393" t="inlineStr">
        <is>
          <t>VÄSTERNORRLANDS LÄN</t>
        </is>
      </c>
      <c r="E393" t="inlineStr">
        <is>
          <t>SOLLEFTEÅ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26957-2019</t>
        </is>
      </c>
      <c r="B394" s="1" t="n">
        <v>43613</v>
      </c>
      <c r="C394" s="1" t="n">
        <v>45268</v>
      </c>
      <c r="D394" t="inlineStr">
        <is>
          <t>VÄSTERNORRLANDS LÄN</t>
        </is>
      </c>
      <c r="E394" t="inlineStr">
        <is>
          <t>SOLLEFTEÅ</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27226-2019</t>
        </is>
      </c>
      <c r="B395" s="1" t="n">
        <v>43614</v>
      </c>
      <c r="C395" s="1" t="n">
        <v>45268</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27979-2019</t>
        </is>
      </c>
      <c r="B396" s="1" t="n">
        <v>43620</v>
      </c>
      <c r="C396" s="1" t="n">
        <v>45268</v>
      </c>
      <c r="D396" t="inlineStr">
        <is>
          <t>VÄSTERNORRLANDS LÄN</t>
        </is>
      </c>
      <c r="E396" t="inlineStr">
        <is>
          <t>SOLLEFTEÅ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28212-2019</t>
        </is>
      </c>
      <c r="B397" s="1" t="n">
        <v>43621</v>
      </c>
      <c r="C397" s="1" t="n">
        <v>45268</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28236-2019</t>
        </is>
      </c>
      <c r="B398" s="1" t="n">
        <v>43621</v>
      </c>
      <c r="C398" s="1" t="n">
        <v>45268</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30383-2019</t>
        </is>
      </c>
      <c r="B399" s="1" t="n">
        <v>43634</v>
      </c>
      <c r="C399" s="1" t="n">
        <v>45268</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30628-2019</t>
        </is>
      </c>
      <c r="B400" s="1" t="n">
        <v>43635</v>
      </c>
      <c r="C400" s="1" t="n">
        <v>45268</v>
      </c>
      <c r="D400" t="inlineStr">
        <is>
          <t>VÄSTERNORRLANDS LÄN</t>
        </is>
      </c>
      <c r="E400" t="inlineStr">
        <is>
          <t>SOLLEFTEÅ</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32202-2019</t>
        </is>
      </c>
      <c r="B401" s="1" t="n">
        <v>43643</v>
      </c>
      <c r="C401" s="1" t="n">
        <v>45268</v>
      </c>
      <c r="D401" t="inlineStr">
        <is>
          <t>VÄSTERNORRLANDS LÄN</t>
        </is>
      </c>
      <c r="E401" t="inlineStr">
        <is>
          <t>SOLLEFTEÅ</t>
        </is>
      </c>
      <c r="G401" t="n">
        <v>2.7</v>
      </c>
      <c r="H401" t="n">
        <v>0</v>
      </c>
      <c r="I401" t="n">
        <v>0</v>
      </c>
      <c r="J401" t="n">
        <v>0</v>
      </c>
      <c r="K401" t="n">
        <v>0</v>
      </c>
      <c r="L401" t="n">
        <v>0</v>
      </c>
      <c r="M401" t="n">
        <v>0</v>
      </c>
      <c r="N401" t="n">
        <v>0</v>
      </c>
      <c r="O401" t="n">
        <v>0</v>
      </c>
      <c r="P401" t="n">
        <v>0</v>
      </c>
      <c r="Q401" t="n">
        <v>0</v>
      </c>
      <c r="R401" s="2" t="inlineStr"/>
    </row>
    <row r="402" ht="15" customHeight="1">
      <c r="A402" t="inlineStr">
        <is>
          <t>A 32203-2019</t>
        </is>
      </c>
      <c r="B402" s="1" t="n">
        <v>43643</v>
      </c>
      <c r="C402" s="1" t="n">
        <v>45268</v>
      </c>
      <c r="D402" t="inlineStr">
        <is>
          <t>VÄSTERNORRLANDS LÄN</t>
        </is>
      </c>
      <c r="E402" t="inlineStr">
        <is>
          <t>SOLLEFTEÅ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32744-2019</t>
        </is>
      </c>
      <c r="B403" s="1" t="n">
        <v>43647</v>
      </c>
      <c r="C403" s="1" t="n">
        <v>45268</v>
      </c>
      <c r="D403" t="inlineStr">
        <is>
          <t>VÄSTERNORRLANDS LÄN</t>
        </is>
      </c>
      <c r="E403" t="inlineStr">
        <is>
          <t>SOLLEFTEÅ</t>
        </is>
      </c>
      <c r="F403" t="inlineStr">
        <is>
          <t>SCA</t>
        </is>
      </c>
      <c r="G403" t="n">
        <v>33.3</v>
      </c>
      <c r="H403" t="n">
        <v>0</v>
      </c>
      <c r="I403" t="n">
        <v>0</v>
      </c>
      <c r="J403" t="n">
        <v>0</v>
      </c>
      <c r="K403" t="n">
        <v>0</v>
      </c>
      <c r="L403" t="n">
        <v>0</v>
      </c>
      <c r="M403" t="n">
        <v>0</v>
      </c>
      <c r="N403" t="n">
        <v>0</v>
      </c>
      <c r="O403" t="n">
        <v>0</v>
      </c>
      <c r="P403" t="n">
        <v>0</v>
      </c>
      <c r="Q403" t="n">
        <v>0</v>
      </c>
      <c r="R403" s="2" t="inlineStr"/>
    </row>
    <row r="404" ht="15" customHeight="1">
      <c r="A404" t="inlineStr">
        <is>
          <t>A 33217-2019</t>
        </is>
      </c>
      <c r="B404" s="1" t="n">
        <v>43649</v>
      </c>
      <c r="C404" s="1" t="n">
        <v>45268</v>
      </c>
      <c r="D404" t="inlineStr">
        <is>
          <t>VÄSTERNORRLANDS LÄN</t>
        </is>
      </c>
      <c r="E404" t="inlineStr">
        <is>
          <t>SOLLEFTEÅ</t>
        </is>
      </c>
      <c r="G404" t="n">
        <v>29.3</v>
      </c>
      <c r="H404" t="n">
        <v>0</v>
      </c>
      <c r="I404" t="n">
        <v>0</v>
      </c>
      <c r="J404" t="n">
        <v>0</v>
      </c>
      <c r="K404" t="n">
        <v>0</v>
      </c>
      <c r="L404" t="n">
        <v>0</v>
      </c>
      <c r="M404" t="n">
        <v>0</v>
      </c>
      <c r="N404" t="n">
        <v>0</v>
      </c>
      <c r="O404" t="n">
        <v>0</v>
      </c>
      <c r="P404" t="n">
        <v>0</v>
      </c>
      <c r="Q404" t="n">
        <v>0</v>
      </c>
      <c r="R404" s="2" t="inlineStr"/>
    </row>
    <row r="405" ht="15" customHeight="1">
      <c r="A405" t="inlineStr">
        <is>
          <t>A 34886-2019</t>
        </is>
      </c>
      <c r="B405" s="1" t="n">
        <v>43650</v>
      </c>
      <c r="C405" s="1" t="n">
        <v>45268</v>
      </c>
      <c r="D405" t="inlineStr">
        <is>
          <t>VÄSTERNORRLANDS LÄN</t>
        </is>
      </c>
      <c r="E405" t="inlineStr">
        <is>
          <t>SOLLEFTEÅ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33833-2019</t>
        </is>
      </c>
      <c r="B406" s="1" t="n">
        <v>43651</v>
      </c>
      <c r="C406" s="1" t="n">
        <v>45268</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33826-2019</t>
        </is>
      </c>
      <c r="B407" s="1" t="n">
        <v>43651</v>
      </c>
      <c r="C407" s="1" t="n">
        <v>45268</v>
      </c>
      <c r="D407" t="inlineStr">
        <is>
          <t>VÄSTERNORRLANDS LÄN</t>
        </is>
      </c>
      <c r="E407" t="inlineStr">
        <is>
          <t>SOLLEFTEÅ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33852-2019</t>
        </is>
      </c>
      <c r="B408" s="1" t="n">
        <v>43651</v>
      </c>
      <c r="C408" s="1" t="n">
        <v>45268</v>
      </c>
      <c r="D408" t="inlineStr">
        <is>
          <t>VÄSTERNORRLANDS LÄN</t>
        </is>
      </c>
      <c r="E408" t="inlineStr">
        <is>
          <t>SOLLEFTEÅ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33914-2019</t>
        </is>
      </c>
      <c r="B409" s="1" t="n">
        <v>43654</v>
      </c>
      <c r="C409" s="1" t="n">
        <v>45268</v>
      </c>
      <c r="D409" t="inlineStr">
        <is>
          <t>VÄSTERNORRLANDS LÄN</t>
        </is>
      </c>
      <c r="E409" t="inlineStr">
        <is>
          <t>SOLLEFTEÅ</t>
        </is>
      </c>
      <c r="G409" t="n">
        <v>2.9</v>
      </c>
      <c r="H409" t="n">
        <v>0</v>
      </c>
      <c r="I409" t="n">
        <v>0</v>
      </c>
      <c r="J409" t="n">
        <v>0</v>
      </c>
      <c r="K409" t="n">
        <v>0</v>
      </c>
      <c r="L409" t="n">
        <v>0</v>
      </c>
      <c r="M409" t="n">
        <v>0</v>
      </c>
      <c r="N409" t="n">
        <v>0</v>
      </c>
      <c r="O409" t="n">
        <v>0</v>
      </c>
      <c r="P409" t="n">
        <v>0</v>
      </c>
      <c r="Q409" t="n">
        <v>0</v>
      </c>
      <c r="R409" s="2" t="inlineStr"/>
    </row>
    <row r="410" ht="15" customHeight="1">
      <c r="A410" t="inlineStr">
        <is>
          <t>A 34113-2019</t>
        </is>
      </c>
      <c r="B410" s="1" t="n">
        <v>43654</v>
      </c>
      <c r="C410" s="1" t="n">
        <v>45268</v>
      </c>
      <c r="D410" t="inlineStr">
        <is>
          <t>VÄSTERNORRLANDS LÄN</t>
        </is>
      </c>
      <c r="E410" t="inlineStr">
        <is>
          <t>SOLLEFTEÅ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34311-2019</t>
        </is>
      </c>
      <c r="B411" s="1" t="n">
        <v>43655</v>
      </c>
      <c r="C411" s="1" t="n">
        <v>45268</v>
      </c>
      <c r="D411" t="inlineStr">
        <is>
          <t>VÄSTERNORRLANDS LÄN</t>
        </is>
      </c>
      <c r="E411" t="inlineStr">
        <is>
          <t>SOLLEFTEÅ</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34229-2019</t>
        </is>
      </c>
      <c r="B412" s="1" t="n">
        <v>43655</v>
      </c>
      <c r="C412" s="1" t="n">
        <v>45268</v>
      </c>
      <c r="D412" t="inlineStr">
        <is>
          <t>VÄSTERNORRLANDS LÄN</t>
        </is>
      </c>
      <c r="E412" t="inlineStr">
        <is>
          <t>SOLLEFTEÅ</t>
        </is>
      </c>
      <c r="G412" t="n">
        <v>7.9</v>
      </c>
      <c r="H412" t="n">
        <v>0</v>
      </c>
      <c r="I412" t="n">
        <v>0</v>
      </c>
      <c r="J412" t="n">
        <v>0</v>
      </c>
      <c r="K412" t="n">
        <v>0</v>
      </c>
      <c r="L412" t="n">
        <v>0</v>
      </c>
      <c r="M412" t="n">
        <v>0</v>
      </c>
      <c r="N412" t="n">
        <v>0</v>
      </c>
      <c r="O412" t="n">
        <v>0</v>
      </c>
      <c r="P412" t="n">
        <v>0</v>
      </c>
      <c r="Q412" t="n">
        <v>0</v>
      </c>
      <c r="R412" s="2" t="inlineStr"/>
    </row>
    <row r="413" ht="15" customHeight="1">
      <c r="A413" t="inlineStr">
        <is>
          <t>A 34302-2019</t>
        </is>
      </c>
      <c r="B413" s="1" t="n">
        <v>43655</v>
      </c>
      <c r="C413" s="1" t="n">
        <v>45268</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34738-2019</t>
        </is>
      </c>
      <c r="B414" s="1" t="n">
        <v>43657</v>
      </c>
      <c r="C414" s="1" t="n">
        <v>45268</v>
      </c>
      <c r="D414" t="inlineStr">
        <is>
          <t>VÄSTERNORRLANDS LÄN</t>
        </is>
      </c>
      <c r="E414" t="inlineStr">
        <is>
          <t>SOLLEFTEÅ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34916-2019</t>
        </is>
      </c>
      <c r="B415" s="1" t="n">
        <v>43658</v>
      </c>
      <c r="C415" s="1" t="n">
        <v>45268</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35320-2019</t>
        </is>
      </c>
      <c r="B416" s="1" t="n">
        <v>43662</v>
      </c>
      <c r="C416" s="1" t="n">
        <v>45268</v>
      </c>
      <c r="D416" t="inlineStr">
        <is>
          <t>VÄSTERNORRLANDS LÄN</t>
        </is>
      </c>
      <c r="E416" t="inlineStr">
        <is>
          <t>SOLLEFTEÅ</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35970-2019</t>
        </is>
      </c>
      <c r="B417" s="1" t="n">
        <v>43665</v>
      </c>
      <c r="C417" s="1" t="n">
        <v>45268</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35969-2019</t>
        </is>
      </c>
      <c r="B418" s="1" t="n">
        <v>43665</v>
      </c>
      <c r="C418" s="1" t="n">
        <v>45268</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36137-2019</t>
        </is>
      </c>
      <c r="B419" s="1" t="n">
        <v>43668</v>
      </c>
      <c r="C419" s="1" t="n">
        <v>45268</v>
      </c>
      <c r="D419" t="inlineStr">
        <is>
          <t>VÄSTERNORRLANDS LÄN</t>
        </is>
      </c>
      <c r="E419" t="inlineStr">
        <is>
          <t>SOLLEFTEÅ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36486-2019</t>
        </is>
      </c>
      <c r="B420" s="1" t="n">
        <v>43668</v>
      </c>
      <c r="C420" s="1" t="n">
        <v>45268</v>
      </c>
      <c r="D420" t="inlineStr">
        <is>
          <t>VÄSTERNORRLANDS LÄN</t>
        </is>
      </c>
      <c r="E420" t="inlineStr">
        <is>
          <t>SOLLEFTEÅ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36293-2019</t>
        </is>
      </c>
      <c r="B421" s="1" t="n">
        <v>43669</v>
      </c>
      <c r="C421" s="1" t="n">
        <v>45268</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36711-2019</t>
        </is>
      </c>
      <c r="B422" s="1" t="n">
        <v>43671</v>
      </c>
      <c r="C422" s="1" t="n">
        <v>45268</v>
      </c>
      <c r="D422" t="inlineStr">
        <is>
          <t>VÄSTERNORRLANDS LÄN</t>
        </is>
      </c>
      <c r="E422" t="inlineStr">
        <is>
          <t>SOLLEFTEÅ</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37292-2019</t>
        </is>
      </c>
      <c r="B423" s="1" t="n">
        <v>43677</v>
      </c>
      <c r="C423" s="1" t="n">
        <v>45268</v>
      </c>
      <c r="D423" t="inlineStr">
        <is>
          <t>VÄSTERNORRLANDS LÄN</t>
        </is>
      </c>
      <c r="E423" t="inlineStr">
        <is>
          <t>SOLLEFTEÅ</t>
        </is>
      </c>
      <c r="G423" t="n">
        <v>7.8</v>
      </c>
      <c r="H423" t="n">
        <v>0</v>
      </c>
      <c r="I423" t="n">
        <v>0</v>
      </c>
      <c r="J423" t="n">
        <v>0</v>
      </c>
      <c r="K423" t="n">
        <v>0</v>
      </c>
      <c r="L423" t="n">
        <v>0</v>
      </c>
      <c r="M423" t="n">
        <v>0</v>
      </c>
      <c r="N423" t="n">
        <v>0</v>
      </c>
      <c r="O423" t="n">
        <v>0</v>
      </c>
      <c r="P423" t="n">
        <v>0</v>
      </c>
      <c r="Q423" t="n">
        <v>0</v>
      </c>
      <c r="R423" s="2" t="inlineStr"/>
    </row>
    <row r="424" ht="15" customHeight="1">
      <c r="A424" t="inlineStr">
        <is>
          <t>A 37291-2019</t>
        </is>
      </c>
      <c r="B424" s="1" t="n">
        <v>43677</v>
      </c>
      <c r="C424" s="1" t="n">
        <v>45268</v>
      </c>
      <c r="D424" t="inlineStr">
        <is>
          <t>VÄSTERNORRLANDS LÄN</t>
        </is>
      </c>
      <c r="E424" t="inlineStr">
        <is>
          <t>SOLLEFTEÅ</t>
        </is>
      </c>
      <c r="G424" t="n">
        <v>7.4</v>
      </c>
      <c r="H424" t="n">
        <v>0</v>
      </c>
      <c r="I424" t="n">
        <v>0</v>
      </c>
      <c r="J424" t="n">
        <v>0</v>
      </c>
      <c r="K424" t="n">
        <v>0</v>
      </c>
      <c r="L424" t="n">
        <v>0</v>
      </c>
      <c r="M424" t="n">
        <v>0</v>
      </c>
      <c r="N424" t="n">
        <v>0</v>
      </c>
      <c r="O424" t="n">
        <v>0</v>
      </c>
      <c r="P424" t="n">
        <v>0</v>
      </c>
      <c r="Q424" t="n">
        <v>0</v>
      </c>
      <c r="R424" s="2" t="inlineStr"/>
    </row>
    <row r="425" ht="15" customHeight="1">
      <c r="A425" t="inlineStr">
        <is>
          <t>A 37434-2019</t>
        </is>
      </c>
      <c r="B425" s="1" t="n">
        <v>43678</v>
      </c>
      <c r="C425" s="1" t="n">
        <v>45268</v>
      </c>
      <c r="D425" t="inlineStr">
        <is>
          <t>VÄSTERNORRLANDS LÄN</t>
        </is>
      </c>
      <c r="E425" t="inlineStr">
        <is>
          <t>SOLLEFTEÅ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37652-2019</t>
        </is>
      </c>
      <c r="B426" s="1" t="n">
        <v>43679</v>
      </c>
      <c r="C426" s="1" t="n">
        <v>45268</v>
      </c>
      <c r="D426" t="inlineStr">
        <is>
          <t>VÄSTERNORRLANDS LÄN</t>
        </is>
      </c>
      <c r="E426" t="inlineStr">
        <is>
          <t>SOLLEFTEÅ</t>
        </is>
      </c>
      <c r="G426" t="n">
        <v>3.6</v>
      </c>
      <c r="H426" t="n">
        <v>0</v>
      </c>
      <c r="I426" t="n">
        <v>0</v>
      </c>
      <c r="J426" t="n">
        <v>0</v>
      </c>
      <c r="K426" t="n">
        <v>0</v>
      </c>
      <c r="L426" t="n">
        <v>0</v>
      </c>
      <c r="M426" t="n">
        <v>0</v>
      </c>
      <c r="N426" t="n">
        <v>0</v>
      </c>
      <c r="O426" t="n">
        <v>0</v>
      </c>
      <c r="P426" t="n">
        <v>0</v>
      </c>
      <c r="Q426" t="n">
        <v>0</v>
      </c>
      <c r="R426" s="2" t="inlineStr"/>
    </row>
    <row r="427" ht="15" customHeight="1">
      <c r="A427" t="inlineStr">
        <is>
          <t>A 37670-2019</t>
        </is>
      </c>
      <c r="B427" s="1" t="n">
        <v>43679</v>
      </c>
      <c r="C427" s="1" t="n">
        <v>45268</v>
      </c>
      <c r="D427" t="inlineStr">
        <is>
          <t>VÄSTERNORRLANDS LÄN</t>
        </is>
      </c>
      <c r="E427" t="inlineStr">
        <is>
          <t>SOLLEFTEÅ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38081-2019</t>
        </is>
      </c>
      <c r="B428" s="1" t="n">
        <v>43682</v>
      </c>
      <c r="C428" s="1" t="n">
        <v>45268</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38074-2019</t>
        </is>
      </c>
      <c r="B429" s="1" t="n">
        <v>43682</v>
      </c>
      <c r="C429" s="1" t="n">
        <v>45268</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38080-2019</t>
        </is>
      </c>
      <c r="B430" s="1" t="n">
        <v>43682</v>
      </c>
      <c r="C430" s="1" t="n">
        <v>45268</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38083-2019</t>
        </is>
      </c>
      <c r="B431" s="1" t="n">
        <v>43682</v>
      </c>
      <c r="C431" s="1" t="n">
        <v>45268</v>
      </c>
      <c r="D431" t="inlineStr">
        <is>
          <t>VÄSTERNORRLANDS LÄN</t>
        </is>
      </c>
      <c r="E431" t="inlineStr">
        <is>
          <t>SOLLEFTEÅ</t>
        </is>
      </c>
      <c r="G431" t="n">
        <v>9.6</v>
      </c>
      <c r="H431" t="n">
        <v>0</v>
      </c>
      <c r="I431" t="n">
        <v>0</v>
      </c>
      <c r="J431" t="n">
        <v>0</v>
      </c>
      <c r="K431" t="n">
        <v>0</v>
      </c>
      <c r="L431" t="n">
        <v>0</v>
      </c>
      <c r="M431" t="n">
        <v>0</v>
      </c>
      <c r="N431" t="n">
        <v>0</v>
      </c>
      <c r="O431" t="n">
        <v>0</v>
      </c>
      <c r="P431" t="n">
        <v>0</v>
      </c>
      <c r="Q431" t="n">
        <v>0</v>
      </c>
      <c r="R431" s="2" t="inlineStr"/>
    </row>
    <row r="432" ht="15" customHeight="1">
      <c r="A432" t="inlineStr">
        <is>
          <t>A 38544-2019</t>
        </is>
      </c>
      <c r="B432" s="1" t="n">
        <v>43684</v>
      </c>
      <c r="C432" s="1" t="n">
        <v>45268</v>
      </c>
      <c r="D432" t="inlineStr">
        <is>
          <t>VÄSTERNORRLANDS LÄN</t>
        </is>
      </c>
      <c r="E432" t="inlineStr">
        <is>
          <t>SOLLEFTEÅ</t>
        </is>
      </c>
      <c r="G432" t="n">
        <v>6.6</v>
      </c>
      <c r="H432" t="n">
        <v>0</v>
      </c>
      <c r="I432" t="n">
        <v>0</v>
      </c>
      <c r="J432" t="n">
        <v>0</v>
      </c>
      <c r="K432" t="n">
        <v>0</v>
      </c>
      <c r="L432" t="n">
        <v>0</v>
      </c>
      <c r="M432" t="n">
        <v>0</v>
      </c>
      <c r="N432" t="n">
        <v>0</v>
      </c>
      <c r="O432" t="n">
        <v>0</v>
      </c>
      <c r="P432" t="n">
        <v>0</v>
      </c>
      <c r="Q432" t="n">
        <v>0</v>
      </c>
      <c r="R432" s="2" t="inlineStr"/>
    </row>
    <row r="433" ht="15" customHeight="1">
      <c r="A433" t="inlineStr">
        <is>
          <t>A 38252-2019</t>
        </is>
      </c>
      <c r="B433" s="1" t="n">
        <v>43684</v>
      </c>
      <c r="C433" s="1" t="n">
        <v>45268</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38566-2019</t>
        </is>
      </c>
      <c r="B434" s="1" t="n">
        <v>43685</v>
      </c>
      <c r="C434" s="1" t="n">
        <v>45268</v>
      </c>
      <c r="D434" t="inlineStr">
        <is>
          <t>VÄSTERNORRLANDS LÄN</t>
        </is>
      </c>
      <c r="E434" t="inlineStr">
        <is>
          <t>SOLLEFTEÅ</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38762-2019</t>
        </is>
      </c>
      <c r="B435" s="1" t="n">
        <v>43686</v>
      </c>
      <c r="C435" s="1" t="n">
        <v>45268</v>
      </c>
      <c r="D435" t="inlineStr">
        <is>
          <t>VÄSTERNORRLANDS LÄN</t>
        </is>
      </c>
      <c r="E435" t="inlineStr">
        <is>
          <t>SOLLEFTEÅ</t>
        </is>
      </c>
      <c r="G435" t="n">
        <v>7.7</v>
      </c>
      <c r="H435" t="n">
        <v>0</v>
      </c>
      <c r="I435" t="n">
        <v>0</v>
      </c>
      <c r="J435" t="n">
        <v>0</v>
      </c>
      <c r="K435" t="n">
        <v>0</v>
      </c>
      <c r="L435" t="n">
        <v>0</v>
      </c>
      <c r="M435" t="n">
        <v>0</v>
      </c>
      <c r="N435" t="n">
        <v>0</v>
      </c>
      <c r="O435" t="n">
        <v>0</v>
      </c>
      <c r="P435" t="n">
        <v>0</v>
      </c>
      <c r="Q435" t="n">
        <v>0</v>
      </c>
      <c r="R435" s="2" t="inlineStr"/>
    </row>
    <row r="436" ht="15" customHeight="1">
      <c r="A436" t="inlineStr">
        <is>
          <t>A 38763-2019</t>
        </is>
      </c>
      <c r="B436" s="1" t="n">
        <v>43686</v>
      </c>
      <c r="C436" s="1" t="n">
        <v>45268</v>
      </c>
      <c r="D436" t="inlineStr">
        <is>
          <t>VÄSTERNORRLANDS LÄN</t>
        </is>
      </c>
      <c r="E436" t="inlineStr">
        <is>
          <t>SOLLEFTEÅ</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39123-2019</t>
        </is>
      </c>
      <c r="B437" s="1" t="n">
        <v>43689</v>
      </c>
      <c r="C437" s="1" t="n">
        <v>45268</v>
      </c>
      <c r="D437" t="inlineStr">
        <is>
          <t>VÄSTERNORRLANDS LÄN</t>
        </is>
      </c>
      <c r="E437" t="inlineStr">
        <is>
          <t>SOLLEFTEÅ</t>
        </is>
      </c>
      <c r="G437" t="n">
        <v>10.9</v>
      </c>
      <c r="H437" t="n">
        <v>0</v>
      </c>
      <c r="I437" t="n">
        <v>0</v>
      </c>
      <c r="J437" t="n">
        <v>0</v>
      </c>
      <c r="K437" t="n">
        <v>0</v>
      </c>
      <c r="L437" t="n">
        <v>0</v>
      </c>
      <c r="M437" t="n">
        <v>0</v>
      </c>
      <c r="N437" t="n">
        <v>0</v>
      </c>
      <c r="O437" t="n">
        <v>0</v>
      </c>
      <c r="P437" t="n">
        <v>0</v>
      </c>
      <c r="Q437" t="n">
        <v>0</v>
      </c>
      <c r="R437" s="2" t="inlineStr"/>
    </row>
    <row r="438" ht="15" customHeight="1">
      <c r="A438" t="inlineStr">
        <is>
          <t>A 39768-2019</t>
        </is>
      </c>
      <c r="B438" s="1" t="n">
        <v>43689</v>
      </c>
      <c r="C438" s="1" t="n">
        <v>45268</v>
      </c>
      <c r="D438" t="inlineStr">
        <is>
          <t>VÄSTERNORRLANDS LÄN</t>
        </is>
      </c>
      <c r="E438" t="inlineStr">
        <is>
          <t>SOLLEFTEÅ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40764-2019</t>
        </is>
      </c>
      <c r="B439" s="1" t="n">
        <v>43692</v>
      </c>
      <c r="C439" s="1" t="n">
        <v>45268</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40769-2019</t>
        </is>
      </c>
      <c r="B440" s="1" t="n">
        <v>43692</v>
      </c>
      <c r="C440" s="1" t="n">
        <v>45268</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41069-2019</t>
        </is>
      </c>
      <c r="B441" s="1" t="n">
        <v>43693</v>
      </c>
      <c r="C441" s="1" t="n">
        <v>45268</v>
      </c>
      <c r="D441" t="inlineStr">
        <is>
          <t>VÄSTERNORRLANDS LÄN</t>
        </is>
      </c>
      <c r="E441" t="inlineStr">
        <is>
          <t>SOLLEFTEÅ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40512-2019</t>
        </is>
      </c>
      <c r="B442" s="1" t="n">
        <v>43696</v>
      </c>
      <c r="C442" s="1" t="n">
        <v>45268</v>
      </c>
      <c r="D442" t="inlineStr">
        <is>
          <t>VÄSTERNORRLANDS LÄN</t>
        </is>
      </c>
      <c r="E442" t="inlineStr">
        <is>
          <t>SOLLEFTEÅ</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40685-2019</t>
        </is>
      </c>
      <c r="B443" s="1" t="n">
        <v>43696</v>
      </c>
      <c r="C443" s="1" t="n">
        <v>45268</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40682-2019</t>
        </is>
      </c>
      <c r="B444" s="1" t="n">
        <v>43696</v>
      </c>
      <c r="C444" s="1" t="n">
        <v>45268</v>
      </c>
      <c r="D444" t="inlineStr">
        <is>
          <t>VÄSTERNORRLANDS LÄN</t>
        </is>
      </c>
      <c r="E444" t="inlineStr">
        <is>
          <t>SOLLEFTEÅ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40514-2019</t>
        </is>
      </c>
      <c r="B445" s="1" t="n">
        <v>43696</v>
      </c>
      <c r="C445" s="1" t="n">
        <v>45268</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40679-2019</t>
        </is>
      </c>
      <c r="B446" s="1" t="n">
        <v>43696</v>
      </c>
      <c r="C446" s="1" t="n">
        <v>45268</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41786-2019</t>
        </is>
      </c>
      <c r="B447" s="1" t="n">
        <v>43699</v>
      </c>
      <c r="C447" s="1" t="n">
        <v>45268</v>
      </c>
      <c r="D447" t="inlineStr">
        <is>
          <t>VÄSTERNORRLANDS LÄN</t>
        </is>
      </c>
      <c r="E447" t="inlineStr">
        <is>
          <t>SOLLEFTEÅ</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42417-2019</t>
        </is>
      </c>
      <c r="B448" s="1" t="n">
        <v>43703</v>
      </c>
      <c r="C448" s="1" t="n">
        <v>45268</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42791-2019</t>
        </is>
      </c>
      <c r="B449" s="1" t="n">
        <v>43704</v>
      </c>
      <c r="C449" s="1" t="n">
        <v>45268</v>
      </c>
      <c r="D449" t="inlineStr">
        <is>
          <t>VÄSTERNORRLANDS LÄN</t>
        </is>
      </c>
      <c r="E449" t="inlineStr">
        <is>
          <t>SOLLEFTEÅ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42792-2019</t>
        </is>
      </c>
      <c r="B450" s="1" t="n">
        <v>43704</v>
      </c>
      <c r="C450" s="1" t="n">
        <v>45268</v>
      </c>
      <c r="D450" t="inlineStr">
        <is>
          <t>VÄSTERNORRLANDS LÄN</t>
        </is>
      </c>
      <c r="E450" t="inlineStr">
        <is>
          <t>SOLLEFTEÅ</t>
        </is>
      </c>
      <c r="G450" t="n">
        <v>5.7</v>
      </c>
      <c r="H450" t="n">
        <v>0</v>
      </c>
      <c r="I450" t="n">
        <v>0</v>
      </c>
      <c r="J450" t="n">
        <v>0</v>
      </c>
      <c r="K450" t="n">
        <v>0</v>
      </c>
      <c r="L450" t="n">
        <v>0</v>
      </c>
      <c r="M450" t="n">
        <v>0</v>
      </c>
      <c r="N450" t="n">
        <v>0</v>
      </c>
      <c r="O450" t="n">
        <v>0</v>
      </c>
      <c r="P450" t="n">
        <v>0</v>
      </c>
      <c r="Q450" t="n">
        <v>0</v>
      </c>
      <c r="R450" s="2" t="inlineStr"/>
    </row>
    <row r="451" ht="15" customHeight="1">
      <c r="A451" t="inlineStr">
        <is>
          <t>A 43499-2019</t>
        </is>
      </c>
      <c r="B451" s="1" t="n">
        <v>43706</v>
      </c>
      <c r="C451" s="1" t="n">
        <v>45268</v>
      </c>
      <c r="D451" t="inlineStr">
        <is>
          <t>VÄSTERNORRLANDS LÄN</t>
        </is>
      </c>
      <c r="E451" t="inlineStr">
        <is>
          <t>SOLLEFTEÅ</t>
        </is>
      </c>
      <c r="G451" t="n">
        <v>19.3</v>
      </c>
      <c r="H451" t="n">
        <v>0</v>
      </c>
      <c r="I451" t="n">
        <v>0</v>
      </c>
      <c r="J451" t="n">
        <v>0</v>
      </c>
      <c r="K451" t="n">
        <v>0</v>
      </c>
      <c r="L451" t="n">
        <v>0</v>
      </c>
      <c r="M451" t="n">
        <v>0</v>
      </c>
      <c r="N451" t="n">
        <v>0</v>
      </c>
      <c r="O451" t="n">
        <v>0</v>
      </c>
      <c r="P451" t="n">
        <v>0</v>
      </c>
      <c r="Q451" t="n">
        <v>0</v>
      </c>
      <c r="R451" s="2" t="inlineStr"/>
    </row>
    <row r="452" ht="15" customHeight="1">
      <c r="A452" t="inlineStr">
        <is>
          <t>A 45032-2019</t>
        </is>
      </c>
      <c r="B452" s="1" t="n">
        <v>43707</v>
      </c>
      <c r="C452" s="1" t="n">
        <v>45268</v>
      </c>
      <c r="D452" t="inlineStr">
        <is>
          <t>VÄSTERNORRLANDS LÄN</t>
        </is>
      </c>
      <c r="E452" t="inlineStr">
        <is>
          <t>SOLLEFTEÅ</t>
        </is>
      </c>
      <c r="G452" t="n">
        <v>9.4</v>
      </c>
      <c r="H452" t="n">
        <v>0</v>
      </c>
      <c r="I452" t="n">
        <v>0</v>
      </c>
      <c r="J452" t="n">
        <v>0</v>
      </c>
      <c r="K452" t="n">
        <v>0</v>
      </c>
      <c r="L452" t="n">
        <v>0</v>
      </c>
      <c r="M452" t="n">
        <v>0</v>
      </c>
      <c r="N452" t="n">
        <v>0</v>
      </c>
      <c r="O452" t="n">
        <v>0</v>
      </c>
      <c r="P452" t="n">
        <v>0</v>
      </c>
      <c r="Q452" t="n">
        <v>0</v>
      </c>
      <c r="R452" s="2" t="inlineStr"/>
    </row>
    <row r="453" ht="15" customHeight="1">
      <c r="A453" t="inlineStr">
        <is>
          <t>A 44815-2019</t>
        </is>
      </c>
      <c r="B453" s="1" t="n">
        <v>43712</v>
      </c>
      <c r="C453" s="1" t="n">
        <v>45268</v>
      </c>
      <c r="D453" t="inlineStr">
        <is>
          <t>VÄSTERNORRLANDS LÄN</t>
        </is>
      </c>
      <c r="E453" t="inlineStr">
        <is>
          <t>SOLLEFTEÅ</t>
        </is>
      </c>
      <c r="G453" t="n">
        <v>3</v>
      </c>
      <c r="H453" t="n">
        <v>0</v>
      </c>
      <c r="I453" t="n">
        <v>0</v>
      </c>
      <c r="J453" t="n">
        <v>0</v>
      </c>
      <c r="K453" t="n">
        <v>0</v>
      </c>
      <c r="L453" t="n">
        <v>0</v>
      </c>
      <c r="M453" t="n">
        <v>0</v>
      </c>
      <c r="N453" t="n">
        <v>0</v>
      </c>
      <c r="O453" t="n">
        <v>0</v>
      </c>
      <c r="P453" t="n">
        <v>0</v>
      </c>
      <c r="Q453" t="n">
        <v>0</v>
      </c>
      <c r="R453" s="2" t="inlineStr"/>
    </row>
    <row r="454" ht="15" customHeight="1">
      <c r="A454" t="inlineStr">
        <is>
          <t>A 45941-2019</t>
        </is>
      </c>
      <c r="B454" s="1" t="n">
        <v>43712</v>
      </c>
      <c r="C454" s="1" t="n">
        <v>45268</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44888-2019</t>
        </is>
      </c>
      <c r="B455" s="1" t="n">
        <v>43712</v>
      </c>
      <c r="C455" s="1" t="n">
        <v>45268</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44960-2019</t>
        </is>
      </c>
      <c r="B456" s="1" t="n">
        <v>43713</v>
      </c>
      <c r="C456" s="1" t="n">
        <v>45268</v>
      </c>
      <c r="D456" t="inlineStr">
        <is>
          <t>VÄSTERNORRLANDS LÄN</t>
        </is>
      </c>
      <c r="E456" t="inlineStr">
        <is>
          <t>SOLLEFTEÅ</t>
        </is>
      </c>
      <c r="G456" t="n">
        <v>14.9</v>
      </c>
      <c r="H456" t="n">
        <v>0</v>
      </c>
      <c r="I456" t="n">
        <v>0</v>
      </c>
      <c r="J456" t="n">
        <v>0</v>
      </c>
      <c r="K456" t="n">
        <v>0</v>
      </c>
      <c r="L456" t="n">
        <v>0</v>
      </c>
      <c r="M456" t="n">
        <v>0</v>
      </c>
      <c r="N456" t="n">
        <v>0</v>
      </c>
      <c r="O456" t="n">
        <v>0</v>
      </c>
      <c r="P456" t="n">
        <v>0</v>
      </c>
      <c r="Q456" t="n">
        <v>0</v>
      </c>
      <c r="R456" s="2" t="inlineStr"/>
    </row>
    <row r="457" ht="15" customHeight="1">
      <c r="A457" t="inlineStr">
        <is>
          <t>A 45537-2019</t>
        </is>
      </c>
      <c r="B457" s="1" t="n">
        <v>43714</v>
      </c>
      <c r="C457" s="1" t="n">
        <v>45268</v>
      </c>
      <c r="D457" t="inlineStr">
        <is>
          <t>VÄSTERNORRLANDS LÄN</t>
        </is>
      </c>
      <c r="E457" t="inlineStr">
        <is>
          <t>SOLLEFTEÅ</t>
        </is>
      </c>
      <c r="F457" t="inlineStr">
        <is>
          <t>SCA</t>
        </is>
      </c>
      <c r="G457" t="n">
        <v>35.1</v>
      </c>
      <c r="H457" t="n">
        <v>0</v>
      </c>
      <c r="I457" t="n">
        <v>0</v>
      </c>
      <c r="J457" t="n">
        <v>0</v>
      </c>
      <c r="K457" t="n">
        <v>0</v>
      </c>
      <c r="L457" t="n">
        <v>0</v>
      </c>
      <c r="M457" t="n">
        <v>0</v>
      </c>
      <c r="N457" t="n">
        <v>0</v>
      </c>
      <c r="O457" t="n">
        <v>0</v>
      </c>
      <c r="P457" t="n">
        <v>0</v>
      </c>
      <c r="Q457" t="n">
        <v>0</v>
      </c>
      <c r="R457" s="2" t="inlineStr"/>
    </row>
    <row r="458" ht="15" customHeight="1">
      <c r="A458" t="inlineStr">
        <is>
          <t>A 46345-2019</t>
        </is>
      </c>
      <c r="B458" s="1" t="n">
        <v>43718</v>
      </c>
      <c r="C458" s="1" t="n">
        <v>45268</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46956-2019</t>
        </is>
      </c>
      <c r="B459" s="1" t="n">
        <v>43719</v>
      </c>
      <c r="C459" s="1" t="n">
        <v>45268</v>
      </c>
      <c r="D459" t="inlineStr">
        <is>
          <t>VÄSTERNORRLANDS LÄN</t>
        </is>
      </c>
      <c r="E459" t="inlineStr">
        <is>
          <t>SOLLEFTEÅ</t>
        </is>
      </c>
      <c r="G459" t="n">
        <v>18.1</v>
      </c>
      <c r="H459" t="n">
        <v>0</v>
      </c>
      <c r="I459" t="n">
        <v>0</v>
      </c>
      <c r="J459" t="n">
        <v>0</v>
      </c>
      <c r="K459" t="n">
        <v>0</v>
      </c>
      <c r="L459" t="n">
        <v>0</v>
      </c>
      <c r="M459" t="n">
        <v>0</v>
      </c>
      <c r="N459" t="n">
        <v>0</v>
      </c>
      <c r="O459" t="n">
        <v>0</v>
      </c>
      <c r="P459" t="n">
        <v>0</v>
      </c>
      <c r="Q459" t="n">
        <v>0</v>
      </c>
      <c r="R459" s="2" t="inlineStr"/>
    </row>
    <row r="460" ht="15" customHeight="1">
      <c r="A460" t="inlineStr">
        <is>
          <t>A 47366-2019</t>
        </is>
      </c>
      <c r="B460" s="1" t="n">
        <v>43721</v>
      </c>
      <c r="C460" s="1" t="n">
        <v>45268</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47764-2019</t>
        </is>
      </c>
      <c r="B461" s="1" t="n">
        <v>43724</v>
      </c>
      <c r="C461" s="1" t="n">
        <v>45268</v>
      </c>
      <c r="D461" t="inlineStr">
        <is>
          <t>VÄSTERNORRLANDS LÄN</t>
        </is>
      </c>
      <c r="E461" t="inlineStr">
        <is>
          <t>SOLLEFTEÅ</t>
        </is>
      </c>
      <c r="F461" t="inlineStr">
        <is>
          <t>Kyrkan</t>
        </is>
      </c>
      <c r="G461" t="n">
        <v>4.1</v>
      </c>
      <c r="H461" t="n">
        <v>0</v>
      </c>
      <c r="I461" t="n">
        <v>0</v>
      </c>
      <c r="J461" t="n">
        <v>0</v>
      </c>
      <c r="K461" t="n">
        <v>0</v>
      </c>
      <c r="L461" t="n">
        <v>0</v>
      </c>
      <c r="M461" t="n">
        <v>0</v>
      </c>
      <c r="N461" t="n">
        <v>0</v>
      </c>
      <c r="O461" t="n">
        <v>0</v>
      </c>
      <c r="P461" t="n">
        <v>0</v>
      </c>
      <c r="Q461" t="n">
        <v>0</v>
      </c>
      <c r="R461" s="2" t="inlineStr"/>
    </row>
    <row r="462" ht="15" customHeight="1">
      <c r="A462" t="inlineStr">
        <is>
          <t>A 47768-2019</t>
        </is>
      </c>
      <c r="B462" s="1" t="n">
        <v>43724</v>
      </c>
      <c r="C462" s="1" t="n">
        <v>45268</v>
      </c>
      <c r="D462" t="inlineStr">
        <is>
          <t>VÄSTERNORRLANDS LÄN</t>
        </is>
      </c>
      <c r="E462" t="inlineStr">
        <is>
          <t>SOLLEFTEÅ</t>
        </is>
      </c>
      <c r="F462" t="inlineStr">
        <is>
          <t>Kyrkan</t>
        </is>
      </c>
      <c r="G462" t="n">
        <v>12.1</v>
      </c>
      <c r="H462" t="n">
        <v>0</v>
      </c>
      <c r="I462" t="n">
        <v>0</v>
      </c>
      <c r="J462" t="n">
        <v>0</v>
      </c>
      <c r="K462" t="n">
        <v>0</v>
      </c>
      <c r="L462" t="n">
        <v>0</v>
      </c>
      <c r="M462" t="n">
        <v>0</v>
      </c>
      <c r="N462" t="n">
        <v>0</v>
      </c>
      <c r="O462" t="n">
        <v>0</v>
      </c>
      <c r="P462" t="n">
        <v>0</v>
      </c>
      <c r="Q462" t="n">
        <v>0</v>
      </c>
      <c r="R462" s="2" t="inlineStr"/>
    </row>
    <row r="463" ht="15" customHeight="1">
      <c r="A463" t="inlineStr">
        <is>
          <t>A 49381-2019</t>
        </is>
      </c>
      <c r="B463" s="1" t="n">
        <v>43731</v>
      </c>
      <c r="C463" s="1" t="n">
        <v>45268</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49380-2019</t>
        </is>
      </c>
      <c r="B464" s="1" t="n">
        <v>43731</v>
      </c>
      <c r="C464" s="1" t="n">
        <v>45268</v>
      </c>
      <c r="D464" t="inlineStr">
        <is>
          <t>VÄSTERNORRLANDS LÄN</t>
        </is>
      </c>
      <c r="E464" t="inlineStr">
        <is>
          <t>SOLLEFTEÅ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49674-2019</t>
        </is>
      </c>
      <c r="B465" s="1" t="n">
        <v>43732</v>
      </c>
      <c r="C465" s="1" t="n">
        <v>45268</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50283-2019</t>
        </is>
      </c>
      <c r="B466" s="1" t="n">
        <v>43734</v>
      </c>
      <c r="C466" s="1" t="n">
        <v>45268</v>
      </c>
      <c r="D466" t="inlineStr">
        <is>
          <t>VÄSTERNORRLANDS LÄN</t>
        </is>
      </c>
      <c r="E466" t="inlineStr">
        <is>
          <t>SOLLEFTEÅ</t>
        </is>
      </c>
      <c r="F466" t="inlineStr">
        <is>
          <t>SCA</t>
        </is>
      </c>
      <c r="G466" t="n">
        <v>10.6</v>
      </c>
      <c r="H466" t="n">
        <v>0</v>
      </c>
      <c r="I466" t="n">
        <v>0</v>
      </c>
      <c r="J466" t="n">
        <v>0</v>
      </c>
      <c r="K466" t="n">
        <v>0</v>
      </c>
      <c r="L466" t="n">
        <v>0</v>
      </c>
      <c r="M466" t="n">
        <v>0</v>
      </c>
      <c r="N466" t="n">
        <v>0</v>
      </c>
      <c r="O466" t="n">
        <v>0</v>
      </c>
      <c r="P466" t="n">
        <v>0</v>
      </c>
      <c r="Q466" t="n">
        <v>0</v>
      </c>
      <c r="R466" s="2" t="inlineStr"/>
    </row>
    <row r="467" ht="15" customHeight="1">
      <c r="A467" t="inlineStr">
        <is>
          <t>A 50513-2019</t>
        </is>
      </c>
      <c r="B467" s="1" t="n">
        <v>43735</v>
      </c>
      <c r="C467" s="1" t="n">
        <v>45268</v>
      </c>
      <c r="D467" t="inlineStr">
        <is>
          <t>VÄSTERNORRLANDS LÄN</t>
        </is>
      </c>
      <c r="E467" t="inlineStr">
        <is>
          <t>SOLLEFTEÅ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50668-2019</t>
        </is>
      </c>
      <c r="B468" s="1" t="n">
        <v>43737</v>
      </c>
      <c r="C468" s="1" t="n">
        <v>45268</v>
      </c>
      <c r="D468" t="inlineStr">
        <is>
          <t>VÄSTERNORRLANDS LÄN</t>
        </is>
      </c>
      <c r="E468" t="inlineStr">
        <is>
          <t>SOLLEFTEÅ</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51002-2019</t>
        </is>
      </c>
      <c r="B469" s="1" t="n">
        <v>43738</v>
      </c>
      <c r="C469" s="1" t="n">
        <v>45268</v>
      </c>
      <c r="D469" t="inlineStr">
        <is>
          <t>VÄSTERNORRLANDS LÄN</t>
        </is>
      </c>
      <c r="E469" t="inlineStr">
        <is>
          <t>SOLLEFTEÅ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50999-2019</t>
        </is>
      </c>
      <c r="B470" s="1" t="n">
        <v>43738</v>
      </c>
      <c r="C470" s="1" t="n">
        <v>45268</v>
      </c>
      <c r="D470" t="inlineStr">
        <is>
          <t>VÄSTERNORRLANDS LÄN</t>
        </is>
      </c>
      <c r="E470" t="inlineStr">
        <is>
          <t>SOLLEFTEÅ</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51675-2019</t>
        </is>
      </c>
      <c r="B471" s="1" t="n">
        <v>43740</v>
      </c>
      <c r="C471" s="1" t="n">
        <v>45268</v>
      </c>
      <c r="D471" t="inlineStr">
        <is>
          <t>VÄSTERNORRLANDS LÄN</t>
        </is>
      </c>
      <c r="E471" t="inlineStr">
        <is>
          <t>SOLLEFTEÅ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51671-2019</t>
        </is>
      </c>
      <c r="B472" s="1" t="n">
        <v>43740</v>
      </c>
      <c r="C472" s="1" t="n">
        <v>45268</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51682-2019</t>
        </is>
      </c>
      <c r="B473" s="1" t="n">
        <v>43740</v>
      </c>
      <c r="C473" s="1" t="n">
        <v>45268</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53079-2019</t>
        </is>
      </c>
      <c r="B474" s="1" t="n">
        <v>43740</v>
      </c>
      <c r="C474" s="1" t="n">
        <v>45268</v>
      </c>
      <c r="D474" t="inlineStr">
        <is>
          <t>VÄSTERNORRLANDS LÄN</t>
        </is>
      </c>
      <c r="E474" t="inlineStr">
        <is>
          <t>SOLLEFTEÅ</t>
        </is>
      </c>
      <c r="G474" t="n">
        <v>7.9</v>
      </c>
      <c r="H474" t="n">
        <v>0</v>
      </c>
      <c r="I474" t="n">
        <v>0</v>
      </c>
      <c r="J474" t="n">
        <v>0</v>
      </c>
      <c r="K474" t="n">
        <v>0</v>
      </c>
      <c r="L474" t="n">
        <v>0</v>
      </c>
      <c r="M474" t="n">
        <v>0</v>
      </c>
      <c r="N474" t="n">
        <v>0</v>
      </c>
      <c r="O474" t="n">
        <v>0</v>
      </c>
      <c r="P474" t="n">
        <v>0</v>
      </c>
      <c r="Q474" t="n">
        <v>0</v>
      </c>
      <c r="R474" s="2" t="inlineStr"/>
    </row>
    <row r="475" ht="15" customHeight="1">
      <c r="A475" t="inlineStr">
        <is>
          <t>A 51673-2019</t>
        </is>
      </c>
      <c r="B475" s="1" t="n">
        <v>43740</v>
      </c>
      <c r="C475" s="1" t="n">
        <v>45268</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53076-2019</t>
        </is>
      </c>
      <c r="B476" s="1" t="n">
        <v>43740</v>
      </c>
      <c r="C476" s="1" t="n">
        <v>45268</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53088-2019</t>
        </is>
      </c>
      <c r="B477" s="1" t="n">
        <v>43740</v>
      </c>
      <c r="C477" s="1" t="n">
        <v>45268</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51665-2019</t>
        </is>
      </c>
      <c r="B478" s="1" t="n">
        <v>43740</v>
      </c>
      <c r="C478" s="1" t="n">
        <v>45268</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51953-2019</t>
        </is>
      </c>
      <c r="B479" s="1" t="n">
        <v>43741</v>
      </c>
      <c r="C479" s="1" t="n">
        <v>45268</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53677-2019</t>
        </is>
      </c>
      <c r="B480" s="1" t="n">
        <v>43741</v>
      </c>
      <c r="C480" s="1" t="n">
        <v>45268</v>
      </c>
      <c r="D480" t="inlineStr">
        <is>
          <t>VÄSTERNORRLANDS LÄN</t>
        </is>
      </c>
      <c r="E480" t="inlineStr">
        <is>
          <t>SOLLEFTEÅ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51952-2019</t>
        </is>
      </c>
      <c r="B481" s="1" t="n">
        <v>43741</v>
      </c>
      <c r="C481" s="1" t="n">
        <v>45268</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52568-2019</t>
        </is>
      </c>
      <c r="B482" s="1" t="n">
        <v>43745</v>
      </c>
      <c r="C482" s="1" t="n">
        <v>45268</v>
      </c>
      <c r="D482" t="inlineStr">
        <is>
          <t>VÄSTERNORRLANDS LÄN</t>
        </is>
      </c>
      <c r="E482" t="inlineStr">
        <is>
          <t>SOLLEFTEÅ</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52569-2019</t>
        </is>
      </c>
      <c r="B483" s="1" t="n">
        <v>43745</v>
      </c>
      <c r="C483" s="1" t="n">
        <v>45268</v>
      </c>
      <c r="D483" t="inlineStr">
        <is>
          <t>VÄSTERNORRLANDS LÄN</t>
        </is>
      </c>
      <c r="E483" t="inlineStr">
        <is>
          <t>SOLLEFTEÅ</t>
        </is>
      </c>
      <c r="G483" t="n">
        <v>7.1</v>
      </c>
      <c r="H483" t="n">
        <v>0</v>
      </c>
      <c r="I483" t="n">
        <v>0</v>
      </c>
      <c r="J483" t="n">
        <v>0</v>
      </c>
      <c r="K483" t="n">
        <v>0</v>
      </c>
      <c r="L483" t="n">
        <v>0</v>
      </c>
      <c r="M483" t="n">
        <v>0</v>
      </c>
      <c r="N483" t="n">
        <v>0</v>
      </c>
      <c r="O483" t="n">
        <v>0</v>
      </c>
      <c r="P483" t="n">
        <v>0</v>
      </c>
      <c r="Q483" t="n">
        <v>0</v>
      </c>
      <c r="R483" s="2" t="inlineStr"/>
    </row>
    <row r="484" ht="15" customHeight="1">
      <c r="A484" t="inlineStr">
        <is>
          <t>A 52922-2019</t>
        </is>
      </c>
      <c r="B484" s="1" t="n">
        <v>43746</v>
      </c>
      <c r="C484" s="1" t="n">
        <v>45268</v>
      </c>
      <c r="D484" t="inlineStr">
        <is>
          <t>VÄSTERNORRLANDS LÄN</t>
        </is>
      </c>
      <c r="E484" t="inlineStr">
        <is>
          <t>SOLLEFTEÅ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53161-2019</t>
        </is>
      </c>
      <c r="B485" s="1" t="n">
        <v>43747</v>
      </c>
      <c r="C485" s="1" t="n">
        <v>45268</v>
      </c>
      <c r="D485" t="inlineStr">
        <is>
          <t>VÄSTERNORRLANDS LÄN</t>
        </is>
      </c>
      <c r="E485" t="inlineStr">
        <is>
          <t>SOLLEFTEÅ</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55623-2019</t>
        </is>
      </c>
      <c r="B486" s="1" t="n">
        <v>43755</v>
      </c>
      <c r="C486" s="1" t="n">
        <v>45268</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55925-2019</t>
        </is>
      </c>
      <c r="B487" s="1" t="n">
        <v>43755</v>
      </c>
      <c r="C487" s="1" t="n">
        <v>45268</v>
      </c>
      <c r="D487" t="inlineStr">
        <is>
          <t>VÄSTERNORRLANDS LÄN</t>
        </is>
      </c>
      <c r="E487" t="inlineStr">
        <is>
          <t>SOLLEFTEÅ</t>
        </is>
      </c>
      <c r="G487" t="n">
        <v>6.4</v>
      </c>
      <c r="H487" t="n">
        <v>0</v>
      </c>
      <c r="I487" t="n">
        <v>0</v>
      </c>
      <c r="J487" t="n">
        <v>0</v>
      </c>
      <c r="K487" t="n">
        <v>0</v>
      </c>
      <c r="L487" t="n">
        <v>0</v>
      </c>
      <c r="M487" t="n">
        <v>0</v>
      </c>
      <c r="N487" t="n">
        <v>0</v>
      </c>
      <c r="O487" t="n">
        <v>0</v>
      </c>
      <c r="P487" t="n">
        <v>0</v>
      </c>
      <c r="Q487" t="n">
        <v>0</v>
      </c>
      <c r="R487" s="2" t="inlineStr"/>
    </row>
    <row r="488" ht="15" customHeight="1">
      <c r="A488" t="inlineStr">
        <is>
          <t>A 55628-2019</t>
        </is>
      </c>
      <c r="B488" s="1" t="n">
        <v>43755</v>
      </c>
      <c r="C488" s="1" t="n">
        <v>45268</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55625-2019</t>
        </is>
      </c>
      <c r="B489" s="1" t="n">
        <v>43755</v>
      </c>
      <c r="C489" s="1" t="n">
        <v>45268</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57365-2019</t>
        </is>
      </c>
      <c r="B490" s="1" t="n">
        <v>43760</v>
      </c>
      <c r="C490" s="1" t="n">
        <v>45268</v>
      </c>
      <c r="D490" t="inlineStr">
        <is>
          <t>VÄSTERNORRLANDS LÄN</t>
        </is>
      </c>
      <c r="E490" t="inlineStr">
        <is>
          <t>SOLLEFTEÅ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57575-2019</t>
        </is>
      </c>
      <c r="B491" s="1" t="n">
        <v>43761</v>
      </c>
      <c r="C491" s="1" t="n">
        <v>45268</v>
      </c>
      <c r="D491" t="inlineStr">
        <is>
          <t>VÄSTERNORRLANDS LÄN</t>
        </is>
      </c>
      <c r="E491" t="inlineStr">
        <is>
          <t>SOLLEFTEÅ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56252-2019</t>
        </is>
      </c>
      <c r="B492" s="1" t="n">
        <v>43762</v>
      </c>
      <c r="C492" s="1" t="n">
        <v>45268</v>
      </c>
      <c r="D492" t="inlineStr">
        <is>
          <t>VÄSTERNORRLANDS LÄN</t>
        </is>
      </c>
      <c r="E492" t="inlineStr">
        <is>
          <t>SOLLEFTEÅ</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56493-2019</t>
        </is>
      </c>
      <c r="B493" s="1" t="n">
        <v>43762</v>
      </c>
      <c r="C493" s="1" t="n">
        <v>45268</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56492-2019</t>
        </is>
      </c>
      <c r="B494" s="1" t="n">
        <v>43762</v>
      </c>
      <c r="C494" s="1" t="n">
        <v>45268</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56803-2019</t>
        </is>
      </c>
      <c r="B495" s="1" t="n">
        <v>43763</v>
      </c>
      <c r="C495" s="1" t="n">
        <v>45268</v>
      </c>
      <c r="D495" t="inlineStr">
        <is>
          <t>VÄSTERNORRLANDS LÄN</t>
        </is>
      </c>
      <c r="E495" t="inlineStr">
        <is>
          <t>SOLLEFTEÅ</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56874-2019</t>
        </is>
      </c>
      <c r="B496" s="1" t="n">
        <v>43766</v>
      </c>
      <c r="C496" s="1" t="n">
        <v>45268</v>
      </c>
      <c r="D496" t="inlineStr">
        <is>
          <t>VÄSTERNORRLANDS LÄN</t>
        </is>
      </c>
      <c r="E496" t="inlineStr">
        <is>
          <t>SOLLEFTEÅ</t>
        </is>
      </c>
      <c r="G496" t="n">
        <v>6.1</v>
      </c>
      <c r="H496" t="n">
        <v>0</v>
      </c>
      <c r="I496" t="n">
        <v>0</v>
      </c>
      <c r="J496" t="n">
        <v>0</v>
      </c>
      <c r="K496" t="n">
        <v>0</v>
      </c>
      <c r="L496" t="n">
        <v>0</v>
      </c>
      <c r="M496" t="n">
        <v>0</v>
      </c>
      <c r="N496" t="n">
        <v>0</v>
      </c>
      <c r="O496" t="n">
        <v>0</v>
      </c>
      <c r="P496" t="n">
        <v>0</v>
      </c>
      <c r="Q496" t="n">
        <v>0</v>
      </c>
      <c r="R496" s="2" t="inlineStr"/>
    </row>
    <row r="497" ht="15" customHeight="1">
      <c r="A497" t="inlineStr">
        <is>
          <t>A 56985-2019</t>
        </is>
      </c>
      <c r="B497" s="1" t="n">
        <v>43766</v>
      </c>
      <c r="C497" s="1" t="n">
        <v>45268</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57041-2019</t>
        </is>
      </c>
      <c r="B498" s="1" t="n">
        <v>43766</v>
      </c>
      <c r="C498" s="1" t="n">
        <v>45268</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57188-2019</t>
        </is>
      </c>
      <c r="B499" s="1" t="n">
        <v>43766</v>
      </c>
      <c r="C499" s="1" t="n">
        <v>45268</v>
      </c>
      <c r="D499" t="inlineStr">
        <is>
          <t>VÄSTERNORRLANDS LÄN</t>
        </is>
      </c>
      <c r="E499" t="inlineStr">
        <is>
          <t>SOLLEFTEÅ</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57882-2019</t>
        </is>
      </c>
      <c r="B500" s="1" t="n">
        <v>43768</v>
      </c>
      <c r="C500" s="1" t="n">
        <v>45268</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57884-2019</t>
        </is>
      </c>
      <c r="B501" s="1" t="n">
        <v>43768</v>
      </c>
      <c r="C501" s="1" t="n">
        <v>45268</v>
      </c>
      <c r="D501" t="inlineStr">
        <is>
          <t>VÄSTERNORRLANDS LÄN</t>
        </is>
      </c>
      <c r="E501" t="inlineStr">
        <is>
          <t>SOLLEFTEÅ</t>
        </is>
      </c>
      <c r="F501" t="inlineStr">
        <is>
          <t>SCA</t>
        </is>
      </c>
      <c r="G501" t="n">
        <v>14.7</v>
      </c>
      <c r="H501" t="n">
        <v>0</v>
      </c>
      <c r="I501" t="n">
        <v>0</v>
      </c>
      <c r="J501" t="n">
        <v>0</v>
      </c>
      <c r="K501" t="n">
        <v>0</v>
      </c>
      <c r="L501" t="n">
        <v>0</v>
      </c>
      <c r="M501" t="n">
        <v>0</v>
      </c>
      <c r="N501" t="n">
        <v>0</v>
      </c>
      <c r="O501" t="n">
        <v>0</v>
      </c>
      <c r="P501" t="n">
        <v>0</v>
      </c>
      <c r="Q501" t="n">
        <v>0</v>
      </c>
      <c r="R501" s="2" t="inlineStr"/>
    </row>
    <row r="502" ht="15" customHeight="1">
      <c r="A502" t="inlineStr">
        <is>
          <t>A 57883-2019</t>
        </is>
      </c>
      <c r="B502" s="1" t="n">
        <v>43768</v>
      </c>
      <c r="C502" s="1" t="n">
        <v>45268</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58170-2019</t>
        </is>
      </c>
      <c r="B503" s="1" t="n">
        <v>43769</v>
      </c>
      <c r="C503" s="1" t="n">
        <v>45268</v>
      </c>
      <c r="D503" t="inlineStr">
        <is>
          <t>VÄSTERNORRLANDS LÄN</t>
        </is>
      </c>
      <c r="E503" t="inlineStr">
        <is>
          <t>SOLLEFTEÅ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58267-2019</t>
        </is>
      </c>
      <c r="B504" s="1" t="n">
        <v>43770</v>
      </c>
      <c r="C504" s="1" t="n">
        <v>45268</v>
      </c>
      <c r="D504" t="inlineStr">
        <is>
          <t>VÄSTERNORRLANDS LÄN</t>
        </is>
      </c>
      <c r="E504" t="inlineStr">
        <is>
          <t>SOLLEFTEÅ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59511-2019</t>
        </is>
      </c>
      <c r="B505" s="1" t="n">
        <v>43773</v>
      </c>
      <c r="C505" s="1" t="n">
        <v>45268</v>
      </c>
      <c r="D505" t="inlineStr">
        <is>
          <t>VÄSTERNORRLANDS LÄN</t>
        </is>
      </c>
      <c r="E505" t="inlineStr">
        <is>
          <t>SOLLEFTEÅ</t>
        </is>
      </c>
      <c r="F505" t="inlineStr">
        <is>
          <t>Holmen skog AB</t>
        </is>
      </c>
      <c r="G505" t="n">
        <v>4.8</v>
      </c>
      <c r="H505" t="n">
        <v>0</v>
      </c>
      <c r="I505" t="n">
        <v>0</v>
      </c>
      <c r="J505" t="n">
        <v>0</v>
      </c>
      <c r="K505" t="n">
        <v>0</v>
      </c>
      <c r="L505" t="n">
        <v>0</v>
      </c>
      <c r="M505" t="n">
        <v>0</v>
      </c>
      <c r="N505" t="n">
        <v>0</v>
      </c>
      <c r="O505" t="n">
        <v>0</v>
      </c>
      <c r="P505" t="n">
        <v>0</v>
      </c>
      <c r="Q505" t="n">
        <v>0</v>
      </c>
      <c r="R505" s="2" t="inlineStr"/>
    </row>
    <row r="506" ht="15" customHeight="1">
      <c r="A506" t="inlineStr">
        <is>
          <t>A 59460-2019</t>
        </is>
      </c>
      <c r="B506" s="1" t="n">
        <v>43776</v>
      </c>
      <c r="C506" s="1" t="n">
        <v>45268</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60491-2019</t>
        </is>
      </c>
      <c r="B507" s="1" t="n">
        <v>43780</v>
      </c>
      <c r="C507" s="1" t="n">
        <v>45268</v>
      </c>
      <c r="D507" t="inlineStr">
        <is>
          <t>VÄSTERNORRLANDS LÄN</t>
        </is>
      </c>
      <c r="E507" t="inlineStr">
        <is>
          <t>SOLLEFTEÅ</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61428-2019</t>
        </is>
      </c>
      <c r="B508" s="1" t="n">
        <v>43780</v>
      </c>
      <c r="C508" s="1" t="n">
        <v>45268</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60531-2019</t>
        </is>
      </c>
      <c r="B509" s="1" t="n">
        <v>43781</v>
      </c>
      <c r="C509" s="1" t="n">
        <v>45268</v>
      </c>
      <c r="D509" t="inlineStr">
        <is>
          <t>VÄSTERNORRLANDS LÄN</t>
        </is>
      </c>
      <c r="E509" t="inlineStr">
        <is>
          <t>SOLLEFTEÅ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60538-2019</t>
        </is>
      </c>
      <c r="B510" s="1" t="n">
        <v>43781</v>
      </c>
      <c r="C510" s="1" t="n">
        <v>45268</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60905-2019</t>
        </is>
      </c>
      <c r="B511" s="1" t="n">
        <v>43781</v>
      </c>
      <c r="C511" s="1" t="n">
        <v>45268</v>
      </c>
      <c r="D511" t="inlineStr">
        <is>
          <t>VÄSTERNORRLANDS LÄN</t>
        </is>
      </c>
      <c r="E511" t="inlineStr">
        <is>
          <t>SOLLEFTEÅ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61978-2019</t>
        </is>
      </c>
      <c r="B512" s="1" t="n">
        <v>43781</v>
      </c>
      <c r="C512" s="1" t="n">
        <v>45268</v>
      </c>
      <c r="D512" t="inlineStr">
        <is>
          <t>VÄSTERNORRLANDS LÄN</t>
        </is>
      </c>
      <c r="E512" t="inlineStr">
        <is>
          <t>SOLLEFTEÅ</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63450-2019</t>
        </is>
      </c>
      <c r="B513" s="1" t="n">
        <v>43788</v>
      </c>
      <c r="C513" s="1" t="n">
        <v>45268</v>
      </c>
      <c r="D513" t="inlineStr">
        <is>
          <t>VÄSTERNORRLANDS LÄN</t>
        </is>
      </c>
      <c r="E513" t="inlineStr">
        <is>
          <t>SOLLEFTEÅ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62500-2019</t>
        </is>
      </c>
      <c r="B514" s="1" t="n">
        <v>43788</v>
      </c>
      <c r="C514" s="1" t="n">
        <v>45268</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64197-2019</t>
        </is>
      </c>
      <c r="B515" s="1" t="n">
        <v>43791</v>
      </c>
      <c r="C515" s="1" t="n">
        <v>45268</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63552-2019</t>
        </is>
      </c>
      <c r="B516" s="1" t="n">
        <v>43794</v>
      </c>
      <c r="C516" s="1" t="n">
        <v>45268</v>
      </c>
      <c r="D516" t="inlineStr">
        <is>
          <t>VÄSTERNORRLANDS LÄN</t>
        </is>
      </c>
      <c r="E516" t="inlineStr">
        <is>
          <t>SOLLEFTEÅ</t>
        </is>
      </c>
      <c r="G516" t="n">
        <v>7.2</v>
      </c>
      <c r="H516" t="n">
        <v>0</v>
      </c>
      <c r="I516" t="n">
        <v>0</v>
      </c>
      <c r="J516" t="n">
        <v>0</v>
      </c>
      <c r="K516" t="n">
        <v>0</v>
      </c>
      <c r="L516" t="n">
        <v>0</v>
      </c>
      <c r="M516" t="n">
        <v>0</v>
      </c>
      <c r="N516" t="n">
        <v>0</v>
      </c>
      <c r="O516" t="n">
        <v>0</v>
      </c>
      <c r="P516" t="n">
        <v>0</v>
      </c>
      <c r="Q516" t="n">
        <v>0</v>
      </c>
      <c r="R516" s="2" t="inlineStr"/>
    </row>
    <row r="517" ht="15" customHeight="1">
      <c r="A517" t="inlineStr">
        <is>
          <t>A 63752-2019</t>
        </is>
      </c>
      <c r="B517" s="1" t="n">
        <v>43795</v>
      </c>
      <c r="C517" s="1" t="n">
        <v>45268</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65218-2019</t>
        </is>
      </c>
      <c r="B518" s="1" t="n">
        <v>43797</v>
      </c>
      <c r="C518" s="1" t="n">
        <v>45268</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65029-2019</t>
        </is>
      </c>
      <c r="B519" s="1" t="n">
        <v>43801</v>
      </c>
      <c r="C519" s="1" t="n">
        <v>45268</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65332-2019</t>
        </is>
      </c>
      <c r="B520" s="1" t="n">
        <v>43802</v>
      </c>
      <c r="C520" s="1" t="n">
        <v>45268</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66321-2019</t>
        </is>
      </c>
      <c r="B521" s="1" t="n">
        <v>43802</v>
      </c>
      <c r="C521" s="1" t="n">
        <v>45268</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65319-2019</t>
        </is>
      </c>
      <c r="B522" s="1" t="n">
        <v>43802</v>
      </c>
      <c r="C522" s="1" t="n">
        <v>45268</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65327-2019</t>
        </is>
      </c>
      <c r="B523" s="1" t="n">
        <v>43802</v>
      </c>
      <c r="C523" s="1" t="n">
        <v>45268</v>
      </c>
      <c r="D523" t="inlineStr">
        <is>
          <t>VÄSTERNORRLANDS LÄN</t>
        </is>
      </c>
      <c r="E523" t="inlineStr">
        <is>
          <t>SOLLEFTEÅ</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66391-2019</t>
        </is>
      </c>
      <c r="B524" s="1" t="n">
        <v>43808</v>
      </c>
      <c r="C524" s="1" t="n">
        <v>45268</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67805-2019</t>
        </is>
      </c>
      <c r="B525" s="1" t="n">
        <v>43815</v>
      </c>
      <c r="C525" s="1" t="n">
        <v>45268</v>
      </c>
      <c r="D525" t="inlineStr">
        <is>
          <t>VÄSTERNORRLANDS LÄN</t>
        </is>
      </c>
      <c r="E525" t="inlineStr">
        <is>
          <t>SOLLEFTEÅ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67815-2019</t>
        </is>
      </c>
      <c r="B526" s="1" t="n">
        <v>43815</v>
      </c>
      <c r="C526" s="1" t="n">
        <v>45268</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1627-2020</t>
        </is>
      </c>
      <c r="B527" s="1" t="n">
        <v>43829</v>
      </c>
      <c r="C527" s="1" t="n">
        <v>45268</v>
      </c>
      <c r="D527" t="inlineStr">
        <is>
          <t>VÄSTERNORRLANDS LÄN</t>
        </is>
      </c>
      <c r="E527" t="inlineStr">
        <is>
          <t>SOLLEFTEÅ</t>
        </is>
      </c>
      <c r="G527" t="n">
        <v>9</v>
      </c>
      <c r="H527" t="n">
        <v>0</v>
      </c>
      <c r="I527" t="n">
        <v>0</v>
      </c>
      <c r="J527" t="n">
        <v>0</v>
      </c>
      <c r="K527" t="n">
        <v>0</v>
      </c>
      <c r="L527" t="n">
        <v>0</v>
      </c>
      <c r="M527" t="n">
        <v>0</v>
      </c>
      <c r="N527" t="n">
        <v>0</v>
      </c>
      <c r="O527" t="n">
        <v>0</v>
      </c>
      <c r="P527" t="n">
        <v>0</v>
      </c>
      <c r="Q527" t="n">
        <v>0</v>
      </c>
      <c r="R527" s="2" t="inlineStr"/>
    </row>
    <row r="528" ht="15" customHeight="1">
      <c r="A528" t="inlineStr">
        <is>
          <t>A 127-2020</t>
        </is>
      </c>
      <c r="B528" s="1" t="n">
        <v>43832</v>
      </c>
      <c r="C528" s="1" t="n">
        <v>45268</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125-2020</t>
        </is>
      </c>
      <c r="B529" s="1" t="n">
        <v>43832</v>
      </c>
      <c r="C529" s="1" t="n">
        <v>45268</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126-2020</t>
        </is>
      </c>
      <c r="B530" s="1" t="n">
        <v>43832</v>
      </c>
      <c r="C530" s="1" t="n">
        <v>45268</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538-2020</t>
        </is>
      </c>
      <c r="B531" s="1" t="n">
        <v>43837</v>
      </c>
      <c r="C531" s="1" t="n">
        <v>45268</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1263-2020</t>
        </is>
      </c>
      <c r="B532" s="1" t="n">
        <v>43840</v>
      </c>
      <c r="C532" s="1" t="n">
        <v>45268</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1262-2020</t>
        </is>
      </c>
      <c r="B533" s="1" t="n">
        <v>43840</v>
      </c>
      <c r="C533" s="1" t="n">
        <v>45268</v>
      </c>
      <c r="D533" t="inlineStr">
        <is>
          <t>VÄSTERNORRLANDS LÄN</t>
        </is>
      </c>
      <c r="E533" t="inlineStr">
        <is>
          <t>SOLLEFTEÅ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1213-2020</t>
        </is>
      </c>
      <c r="B534" s="1" t="n">
        <v>43840</v>
      </c>
      <c r="C534" s="1" t="n">
        <v>45268</v>
      </c>
      <c r="D534" t="inlineStr">
        <is>
          <t>VÄSTERNORRLANDS LÄN</t>
        </is>
      </c>
      <c r="E534" t="inlineStr">
        <is>
          <t>SOLLEFTEÅ</t>
        </is>
      </c>
      <c r="F534" t="inlineStr">
        <is>
          <t>Kyrkan</t>
        </is>
      </c>
      <c r="G534" t="n">
        <v>13.9</v>
      </c>
      <c r="H534" t="n">
        <v>0</v>
      </c>
      <c r="I534" t="n">
        <v>0</v>
      </c>
      <c r="J534" t="n">
        <v>0</v>
      </c>
      <c r="K534" t="n">
        <v>0</v>
      </c>
      <c r="L534" t="n">
        <v>0</v>
      </c>
      <c r="M534" t="n">
        <v>0</v>
      </c>
      <c r="N534" t="n">
        <v>0</v>
      </c>
      <c r="O534" t="n">
        <v>0</v>
      </c>
      <c r="P534" t="n">
        <v>0</v>
      </c>
      <c r="Q534" t="n">
        <v>0</v>
      </c>
      <c r="R534" s="2" t="inlineStr"/>
    </row>
    <row r="535" ht="15" customHeight="1">
      <c r="A535" t="inlineStr">
        <is>
          <t>A 1568-2020</t>
        </is>
      </c>
      <c r="B535" s="1" t="n">
        <v>43844</v>
      </c>
      <c r="C535" s="1" t="n">
        <v>45268</v>
      </c>
      <c r="D535" t="inlineStr">
        <is>
          <t>VÄSTERNORRLANDS LÄN</t>
        </is>
      </c>
      <c r="E535" t="inlineStr">
        <is>
          <t>SOLLEFTEÅ</t>
        </is>
      </c>
      <c r="G535" t="n">
        <v>3.4</v>
      </c>
      <c r="H535" t="n">
        <v>0</v>
      </c>
      <c r="I535" t="n">
        <v>0</v>
      </c>
      <c r="J535" t="n">
        <v>0</v>
      </c>
      <c r="K535" t="n">
        <v>0</v>
      </c>
      <c r="L535" t="n">
        <v>0</v>
      </c>
      <c r="M535" t="n">
        <v>0</v>
      </c>
      <c r="N535" t="n">
        <v>0</v>
      </c>
      <c r="O535" t="n">
        <v>0</v>
      </c>
      <c r="P535" t="n">
        <v>0</v>
      </c>
      <c r="Q535" t="n">
        <v>0</v>
      </c>
      <c r="R535" s="2" t="inlineStr"/>
    </row>
    <row r="536" ht="15" customHeight="1">
      <c r="A536" t="inlineStr">
        <is>
          <t>A 2897-2020</t>
        </is>
      </c>
      <c r="B536" s="1" t="n">
        <v>43850</v>
      </c>
      <c r="C536" s="1" t="n">
        <v>45268</v>
      </c>
      <c r="D536" t="inlineStr">
        <is>
          <t>VÄSTERNORRLANDS LÄN</t>
        </is>
      </c>
      <c r="E536" t="inlineStr">
        <is>
          <t>SOLLEFTEÅ</t>
        </is>
      </c>
      <c r="G536" t="n">
        <v>7.6</v>
      </c>
      <c r="H536" t="n">
        <v>0</v>
      </c>
      <c r="I536" t="n">
        <v>0</v>
      </c>
      <c r="J536" t="n">
        <v>0</v>
      </c>
      <c r="K536" t="n">
        <v>0</v>
      </c>
      <c r="L536" t="n">
        <v>0</v>
      </c>
      <c r="M536" t="n">
        <v>0</v>
      </c>
      <c r="N536" t="n">
        <v>0</v>
      </c>
      <c r="O536" t="n">
        <v>0</v>
      </c>
      <c r="P536" t="n">
        <v>0</v>
      </c>
      <c r="Q536" t="n">
        <v>0</v>
      </c>
      <c r="R536" s="2" t="inlineStr"/>
    </row>
    <row r="537" ht="15" customHeight="1">
      <c r="A537" t="inlineStr">
        <is>
          <t>A 3230-2020</t>
        </is>
      </c>
      <c r="B537" s="1" t="n">
        <v>43851</v>
      </c>
      <c r="C537" s="1" t="n">
        <v>45268</v>
      </c>
      <c r="D537" t="inlineStr">
        <is>
          <t>VÄSTERNORRLANDS LÄN</t>
        </is>
      </c>
      <c r="E537" t="inlineStr">
        <is>
          <t>SOLLEFTEÅ</t>
        </is>
      </c>
      <c r="F537" t="inlineStr">
        <is>
          <t>Övriga statliga verk och myndigheter</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4363-2020</t>
        </is>
      </c>
      <c r="B538" s="1" t="n">
        <v>43857</v>
      </c>
      <c r="C538" s="1" t="n">
        <v>45268</v>
      </c>
      <c r="D538" t="inlineStr">
        <is>
          <t>VÄSTERNORRLANDS LÄN</t>
        </is>
      </c>
      <c r="E538" t="inlineStr">
        <is>
          <t>SOLLEFTEÅ</t>
        </is>
      </c>
      <c r="G538" t="n">
        <v>6.4</v>
      </c>
      <c r="H538" t="n">
        <v>0</v>
      </c>
      <c r="I538" t="n">
        <v>0</v>
      </c>
      <c r="J538" t="n">
        <v>0</v>
      </c>
      <c r="K538" t="n">
        <v>0</v>
      </c>
      <c r="L538" t="n">
        <v>0</v>
      </c>
      <c r="M538" t="n">
        <v>0</v>
      </c>
      <c r="N538" t="n">
        <v>0</v>
      </c>
      <c r="O538" t="n">
        <v>0</v>
      </c>
      <c r="P538" t="n">
        <v>0</v>
      </c>
      <c r="Q538" t="n">
        <v>0</v>
      </c>
      <c r="R538" s="2" t="inlineStr"/>
    </row>
    <row r="539" ht="15" customHeight="1">
      <c r="A539" t="inlineStr">
        <is>
          <t>A 5248-2020</t>
        </is>
      </c>
      <c r="B539" s="1" t="n">
        <v>43857</v>
      </c>
      <c r="C539" s="1" t="n">
        <v>45268</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5635-2020</t>
        </is>
      </c>
      <c r="B540" s="1" t="n">
        <v>43860</v>
      </c>
      <c r="C540" s="1" t="n">
        <v>45268</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5662-2020</t>
        </is>
      </c>
      <c r="B541" s="1" t="n">
        <v>43861</v>
      </c>
      <c r="C541" s="1" t="n">
        <v>45268</v>
      </c>
      <c r="D541" t="inlineStr">
        <is>
          <t>VÄSTERNORRLANDS LÄN</t>
        </is>
      </c>
      <c r="E541" t="inlineStr">
        <is>
          <t>SOLLEFTEÅ</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5714-2020</t>
        </is>
      </c>
      <c r="B542" s="1" t="n">
        <v>43861</v>
      </c>
      <c r="C542" s="1" t="n">
        <v>45268</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5908-2020</t>
        </is>
      </c>
      <c r="B543" s="1" t="n">
        <v>43861</v>
      </c>
      <c r="C543" s="1" t="n">
        <v>45268</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8363-2020</t>
        </is>
      </c>
      <c r="B544" s="1" t="n">
        <v>43875</v>
      </c>
      <c r="C544" s="1" t="n">
        <v>45268</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8935-2020</t>
        </is>
      </c>
      <c r="B545" s="1" t="n">
        <v>43878</v>
      </c>
      <c r="C545" s="1" t="n">
        <v>45268</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10631-2020</t>
        </is>
      </c>
      <c r="B546" s="1" t="n">
        <v>43887</v>
      </c>
      <c r="C546" s="1" t="n">
        <v>45268</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10846-2020</t>
        </is>
      </c>
      <c r="B547" s="1" t="n">
        <v>43888</v>
      </c>
      <c r="C547" s="1" t="n">
        <v>45268</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11685-2020</t>
        </is>
      </c>
      <c r="B548" s="1" t="n">
        <v>43893</v>
      </c>
      <c r="C548" s="1" t="n">
        <v>45268</v>
      </c>
      <c r="D548" t="inlineStr">
        <is>
          <t>VÄSTERNORRLANDS LÄN</t>
        </is>
      </c>
      <c r="E548" t="inlineStr">
        <is>
          <t>SOLLEFTEÅ</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12819-2020</t>
        </is>
      </c>
      <c r="B549" s="1" t="n">
        <v>43893</v>
      </c>
      <c r="C549" s="1" t="n">
        <v>45268</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12526-2020</t>
        </is>
      </c>
      <c r="B550" s="1" t="n">
        <v>43896</v>
      </c>
      <c r="C550" s="1" t="n">
        <v>45268</v>
      </c>
      <c r="D550" t="inlineStr">
        <is>
          <t>VÄSTERNORRLANDS LÄN</t>
        </is>
      </c>
      <c r="E550" t="inlineStr">
        <is>
          <t>SOLLEFTEÅ</t>
        </is>
      </c>
      <c r="F550" t="inlineStr">
        <is>
          <t>SCA</t>
        </is>
      </c>
      <c r="G550" t="n">
        <v>14.7</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45268</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45268</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45268</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45268</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45268</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45268</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45268</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45268</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45268</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45268</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45268</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45268</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45268</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45268</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45268</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45268</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45268</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45268</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45268</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45268</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45268</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45268</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45268</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45268</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45268</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45268</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45268</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45268</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45268</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45268</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45268</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45268</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27177-2020</t>
        </is>
      </c>
      <c r="B583" s="1" t="n">
        <v>43991</v>
      </c>
      <c r="C583" s="1" t="n">
        <v>45268</v>
      </c>
      <c r="D583" t="inlineStr">
        <is>
          <t>VÄSTERNORRLANDS LÄN</t>
        </is>
      </c>
      <c r="E583" t="inlineStr">
        <is>
          <t>SOLLEFTEÅ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27209-2020</t>
        </is>
      </c>
      <c r="B584" s="1" t="n">
        <v>43991</v>
      </c>
      <c r="C584" s="1" t="n">
        <v>45268</v>
      </c>
      <c r="D584" t="inlineStr">
        <is>
          <t>VÄSTERNORRLANDS LÄN</t>
        </is>
      </c>
      <c r="E584" t="inlineStr">
        <is>
          <t>SOLLEFTEÅ</t>
        </is>
      </c>
      <c r="F584" t="inlineStr">
        <is>
          <t>SCA</t>
        </is>
      </c>
      <c r="G584" t="n">
        <v>15.7</v>
      </c>
      <c r="H584" t="n">
        <v>0</v>
      </c>
      <c r="I584" t="n">
        <v>0</v>
      </c>
      <c r="J584" t="n">
        <v>0</v>
      </c>
      <c r="K584" t="n">
        <v>0</v>
      </c>
      <c r="L584" t="n">
        <v>0</v>
      </c>
      <c r="M584" t="n">
        <v>0</v>
      </c>
      <c r="N584" t="n">
        <v>0</v>
      </c>
      <c r="O584" t="n">
        <v>0</v>
      </c>
      <c r="P584" t="n">
        <v>0</v>
      </c>
      <c r="Q584" t="n">
        <v>0</v>
      </c>
      <c r="R584" s="2" t="inlineStr"/>
    </row>
    <row r="585" ht="15" customHeight="1">
      <c r="A585" t="inlineStr">
        <is>
          <t>A 28489-2020</t>
        </is>
      </c>
      <c r="B585" s="1" t="n">
        <v>43998</v>
      </c>
      <c r="C585" s="1" t="n">
        <v>45268</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28486-2020</t>
        </is>
      </c>
      <c r="B586" s="1" t="n">
        <v>43999</v>
      </c>
      <c r="C586" s="1" t="n">
        <v>45268</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29648-2020</t>
        </is>
      </c>
      <c r="B587" s="1" t="n">
        <v>44004</v>
      </c>
      <c r="C587" s="1" t="n">
        <v>45268</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29503-2020</t>
        </is>
      </c>
      <c r="B588" s="1" t="n">
        <v>44005</v>
      </c>
      <c r="C588" s="1" t="n">
        <v>45268</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29825-2020</t>
        </is>
      </c>
      <c r="B589" s="1" t="n">
        <v>44005</v>
      </c>
      <c r="C589" s="1" t="n">
        <v>45268</v>
      </c>
      <c r="D589" t="inlineStr">
        <is>
          <t>VÄSTERNORRLANDS LÄN</t>
        </is>
      </c>
      <c r="E589" t="inlineStr">
        <is>
          <t>SOLLEFTEÅ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29801-2020</t>
        </is>
      </c>
      <c r="B590" s="1" t="n">
        <v>44005</v>
      </c>
      <c r="C590" s="1" t="n">
        <v>45268</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30492-2020</t>
        </is>
      </c>
      <c r="B591" s="1" t="n">
        <v>44007</v>
      </c>
      <c r="C591" s="1" t="n">
        <v>45268</v>
      </c>
      <c r="D591" t="inlineStr">
        <is>
          <t>VÄSTERNORRLANDS LÄN</t>
        </is>
      </c>
      <c r="E591" t="inlineStr">
        <is>
          <t>SOLLEFTEÅ</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30484-2020</t>
        </is>
      </c>
      <c r="B592" s="1" t="n">
        <v>44007</v>
      </c>
      <c r="C592" s="1" t="n">
        <v>45268</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30753-2020</t>
        </is>
      </c>
      <c r="B593" s="1" t="n">
        <v>44008</v>
      </c>
      <c r="C593" s="1" t="n">
        <v>45268</v>
      </c>
      <c r="D593" t="inlineStr">
        <is>
          <t>VÄSTERNORRLANDS LÄN</t>
        </is>
      </c>
      <c r="E593" t="inlineStr">
        <is>
          <t>SOLLEFTEÅ</t>
        </is>
      </c>
      <c r="F593" t="inlineStr">
        <is>
          <t>SCA</t>
        </is>
      </c>
      <c r="G593" t="n">
        <v>10.7</v>
      </c>
      <c r="H593" t="n">
        <v>0</v>
      </c>
      <c r="I593" t="n">
        <v>0</v>
      </c>
      <c r="J593" t="n">
        <v>0</v>
      </c>
      <c r="K593" t="n">
        <v>0</v>
      </c>
      <c r="L593" t="n">
        <v>0</v>
      </c>
      <c r="M593" t="n">
        <v>0</v>
      </c>
      <c r="N593" t="n">
        <v>0</v>
      </c>
      <c r="O593" t="n">
        <v>0</v>
      </c>
      <c r="P593" t="n">
        <v>0</v>
      </c>
      <c r="Q593" t="n">
        <v>0</v>
      </c>
      <c r="R593" s="2" t="inlineStr"/>
    </row>
    <row r="594" ht="15" customHeight="1">
      <c r="A594" t="inlineStr">
        <is>
          <t>A 30747-2020</t>
        </is>
      </c>
      <c r="B594" s="1" t="n">
        <v>44008</v>
      </c>
      <c r="C594" s="1" t="n">
        <v>45268</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30802-2020</t>
        </is>
      </c>
      <c r="B595" s="1" t="n">
        <v>44011</v>
      </c>
      <c r="C595" s="1" t="n">
        <v>45268</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31313-2020</t>
        </is>
      </c>
      <c r="B596" s="1" t="n">
        <v>44012</v>
      </c>
      <c r="C596" s="1" t="n">
        <v>45268</v>
      </c>
      <c r="D596" t="inlineStr">
        <is>
          <t>VÄSTERNORRLANDS LÄN</t>
        </is>
      </c>
      <c r="E596" t="inlineStr">
        <is>
          <t>SOLLEFTEÅ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32013-2020</t>
        </is>
      </c>
      <c r="B597" s="1" t="n">
        <v>44015</v>
      </c>
      <c r="C597" s="1" t="n">
        <v>45268</v>
      </c>
      <c r="D597" t="inlineStr">
        <is>
          <t>VÄSTERNORRLANDS LÄN</t>
        </is>
      </c>
      <c r="E597" t="inlineStr">
        <is>
          <t>SOLLEFTEÅ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32325-2020</t>
        </is>
      </c>
      <c r="B598" s="1" t="n">
        <v>44016</v>
      </c>
      <c r="C598" s="1" t="n">
        <v>45268</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32461-2020</t>
        </is>
      </c>
      <c r="B599" s="1" t="n">
        <v>44015</v>
      </c>
      <c r="C599" s="1" t="n">
        <v>45268</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32318-2020</t>
        </is>
      </c>
      <c r="B600" s="1" t="n">
        <v>44015</v>
      </c>
      <c r="C600" s="1" t="n">
        <v>45268</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32919-2020</t>
        </is>
      </c>
      <c r="B601" s="1" t="n">
        <v>44018</v>
      </c>
      <c r="C601" s="1" t="n">
        <v>45268</v>
      </c>
      <c r="D601" t="inlineStr">
        <is>
          <t>VÄSTERNORRLANDS LÄN</t>
        </is>
      </c>
      <c r="E601" t="inlineStr">
        <is>
          <t>SOLLEFTEÅ</t>
        </is>
      </c>
      <c r="G601" t="n">
        <v>5.5</v>
      </c>
      <c r="H601" t="n">
        <v>0</v>
      </c>
      <c r="I601" t="n">
        <v>0</v>
      </c>
      <c r="J601" t="n">
        <v>0</v>
      </c>
      <c r="K601" t="n">
        <v>0</v>
      </c>
      <c r="L601" t="n">
        <v>0</v>
      </c>
      <c r="M601" t="n">
        <v>0</v>
      </c>
      <c r="N601" t="n">
        <v>0</v>
      </c>
      <c r="O601" t="n">
        <v>0</v>
      </c>
      <c r="P601" t="n">
        <v>0</v>
      </c>
      <c r="Q601" t="n">
        <v>0</v>
      </c>
      <c r="R601" s="2" t="inlineStr"/>
    </row>
    <row r="602" ht="15" customHeight="1">
      <c r="A602" t="inlineStr">
        <is>
          <t>A 32929-2020</t>
        </is>
      </c>
      <c r="B602" s="1" t="n">
        <v>44018</v>
      </c>
      <c r="C602" s="1" t="n">
        <v>45268</v>
      </c>
      <c r="D602" t="inlineStr">
        <is>
          <t>VÄSTERNORRLANDS LÄN</t>
        </is>
      </c>
      <c r="E602" t="inlineStr">
        <is>
          <t>SOLLEFTEÅ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32924-2020</t>
        </is>
      </c>
      <c r="B603" s="1" t="n">
        <v>44018</v>
      </c>
      <c r="C603" s="1" t="n">
        <v>45268</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32742-2020</t>
        </is>
      </c>
      <c r="B604" s="1" t="n">
        <v>44019</v>
      </c>
      <c r="C604" s="1" t="n">
        <v>45268</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33013-2020</t>
        </is>
      </c>
      <c r="B605" s="1" t="n">
        <v>44020</v>
      </c>
      <c r="C605" s="1" t="n">
        <v>45268</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33009-2020</t>
        </is>
      </c>
      <c r="B606" s="1" t="n">
        <v>44020</v>
      </c>
      <c r="C606" s="1" t="n">
        <v>45268</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33014-2020</t>
        </is>
      </c>
      <c r="B607" s="1" t="n">
        <v>44021</v>
      </c>
      <c r="C607" s="1" t="n">
        <v>45268</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33010-2020</t>
        </is>
      </c>
      <c r="B608" s="1" t="n">
        <v>44020</v>
      </c>
      <c r="C608" s="1" t="n">
        <v>45268</v>
      </c>
      <c r="D608" t="inlineStr">
        <is>
          <t>VÄSTERNORRLANDS LÄN</t>
        </is>
      </c>
      <c r="E608" t="inlineStr">
        <is>
          <t>SOLLEFTEÅ</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33200-2020</t>
        </is>
      </c>
      <c r="B609" s="1" t="n">
        <v>44021</v>
      </c>
      <c r="C609" s="1" t="n">
        <v>45268</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33209-2020</t>
        </is>
      </c>
      <c r="B610" s="1" t="n">
        <v>44021</v>
      </c>
      <c r="C610" s="1" t="n">
        <v>45268</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45268</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45268</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33208-2020</t>
        </is>
      </c>
      <c r="B613" s="1" t="n">
        <v>44021</v>
      </c>
      <c r="C613" s="1" t="n">
        <v>45268</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33440-2020</t>
        </is>
      </c>
      <c r="B614" s="1" t="n">
        <v>44022</v>
      </c>
      <c r="C614" s="1" t="n">
        <v>45268</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33458-2020</t>
        </is>
      </c>
      <c r="B615" s="1" t="n">
        <v>44022</v>
      </c>
      <c r="C615" s="1" t="n">
        <v>45268</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33445-2020</t>
        </is>
      </c>
      <c r="B616" s="1" t="n">
        <v>44022</v>
      </c>
      <c r="C616" s="1" t="n">
        <v>45268</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33492-2020</t>
        </is>
      </c>
      <c r="B617" s="1" t="n">
        <v>44024</v>
      </c>
      <c r="C617" s="1" t="n">
        <v>45268</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33640-2020</t>
        </is>
      </c>
      <c r="B618" s="1" t="n">
        <v>44025</v>
      </c>
      <c r="C618" s="1" t="n">
        <v>45268</v>
      </c>
      <c r="D618" t="inlineStr">
        <is>
          <t>VÄSTERNORRLANDS LÄN</t>
        </is>
      </c>
      <c r="E618" t="inlineStr">
        <is>
          <t>SOLLEFTEÅ</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33641-2020</t>
        </is>
      </c>
      <c r="B619" s="1" t="n">
        <v>44025</v>
      </c>
      <c r="C619" s="1" t="n">
        <v>45268</v>
      </c>
      <c r="D619" t="inlineStr">
        <is>
          <t>VÄSTERNORRLANDS LÄN</t>
        </is>
      </c>
      <c r="E619" t="inlineStr">
        <is>
          <t>SOLLEFTEÅ</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33628-2020</t>
        </is>
      </c>
      <c r="B620" s="1" t="n">
        <v>44025</v>
      </c>
      <c r="C620" s="1" t="n">
        <v>45268</v>
      </c>
      <c r="D620" t="inlineStr">
        <is>
          <t>VÄSTERNORRLANDS LÄN</t>
        </is>
      </c>
      <c r="E620" t="inlineStr">
        <is>
          <t>SOLLEFTEÅ</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33784-2020</t>
        </is>
      </c>
      <c r="B621" s="1" t="n">
        <v>44026</v>
      </c>
      <c r="C621" s="1" t="n">
        <v>45268</v>
      </c>
      <c r="D621" t="inlineStr">
        <is>
          <t>VÄSTERNORRLANDS LÄN</t>
        </is>
      </c>
      <c r="E621" t="inlineStr">
        <is>
          <t>SOLLEFTEÅ</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33782-2020</t>
        </is>
      </c>
      <c r="B622" s="1" t="n">
        <v>44026</v>
      </c>
      <c r="C622" s="1" t="n">
        <v>45268</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33950-2020</t>
        </is>
      </c>
      <c r="B623" s="1" t="n">
        <v>44027</v>
      </c>
      <c r="C623" s="1" t="n">
        <v>45268</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34120-2020</t>
        </is>
      </c>
      <c r="B624" s="1" t="n">
        <v>44029</v>
      </c>
      <c r="C624" s="1" t="n">
        <v>45268</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34474-2020</t>
        </is>
      </c>
      <c r="B625" s="1" t="n">
        <v>44032</v>
      </c>
      <c r="C625" s="1" t="n">
        <v>45268</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34585-2020</t>
        </is>
      </c>
      <c r="B626" s="1" t="n">
        <v>44033</v>
      </c>
      <c r="C626" s="1" t="n">
        <v>45268</v>
      </c>
      <c r="D626" t="inlineStr">
        <is>
          <t>VÄSTERNORRLANDS LÄN</t>
        </is>
      </c>
      <c r="E626" t="inlineStr">
        <is>
          <t>SOLLEFTEÅ</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34669-2020</t>
        </is>
      </c>
      <c r="B627" s="1" t="n">
        <v>44034</v>
      </c>
      <c r="C627" s="1" t="n">
        <v>45268</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34800-2020</t>
        </is>
      </c>
      <c r="B628" s="1" t="n">
        <v>44035</v>
      </c>
      <c r="C628" s="1" t="n">
        <v>45268</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34921-2020</t>
        </is>
      </c>
      <c r="B629" s="1" t="n">
        <v>44036</v>
      </c>
      <c r="C629" s="1" t="n">
        <v>45268</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34923-2020</t>
        </is>
      </c>
      <c r="B630" s="1" t="n">
        <v>44037</v>
      </c>
      <c r="C630" s="1" t="n">
        <v>45268</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34922-2020</t>
        </is>
      </c>
      <c r="B631" s="1" t="n">
        <v>44036</v>
      </c>
      <c r="C631" s="1" t="n">
        <v>45268</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35220-2020</t>
        </is>
      </c>
      <c r="B632" s="1" t="n">
        <v>44041</v>
      </c>
      <c r="C632" s="1" t="n">
        <v>45268</v>
      </c>
      <c r="D632" t="inlineStr">
        <is>
          <t>VÄSTERNORRLANDS LÄN</t>
        </is>
      </c>
      <c r="E632" t="inlineStr">
        <is>
          <t>SOLLEFTEÅ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45268</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45268</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45268</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45268</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45268</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45268</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45268</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45268</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45268</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45268</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45268</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45268</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45268</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45268</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45268</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45268</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45268</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45268</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45268</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45268</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45268</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45268</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45268</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45268</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45268</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45268</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45268</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45268</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45268</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45268</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45268</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45268</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45268</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45268</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45268</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45268</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45268</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45268</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45268</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45268</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45268</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45268</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45268</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45268</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45268</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45268</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45268</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45268</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45268</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45268</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45268</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45268</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45268</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45268</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45268</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45268</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45268</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45268</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45268</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45268</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45268</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45268</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45268</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45268</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45268</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45268</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45268</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45268</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45268</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45268</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45268</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45268</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45268</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45268</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45268</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45268</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45268</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45268</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45268</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45268</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45268</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45268</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45268</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45268</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45268</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45268</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45268</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45268</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45268</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45268</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45268</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45268</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45268</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45268</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45268</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45268</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45268</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45268</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45268</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45268</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45268</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45268</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45268</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45268</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45268</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45268</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45268</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45268</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45268</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45268</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45268</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45268</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45268</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45268</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45268</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45268</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45268</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45268</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45268</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45268</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45268</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45268</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45268</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45268</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45268</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45268</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45268</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45268</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45268</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45268</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45268</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45268</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45268</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9626-2021</t>
        </is>
      </c>
      <c r="B766" s="1" t="n">
        <v>44251</v>
      </c>
      <c r="C766" s="1" t="n">
        <v>45268</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11270-2021</t>
        </is>
      </c>
      <c r="B767" s="1" t="n">
        <v>44263</v>
      </c>
      <c r="C767" s="1" t="n">
        <v>45268</v>
      </c>
      <c r="D767" t="inlineStr">
        <is>
          <t>VÄSTERNORRLANDS LÄN</t>
        </is>
      </c>
      <c r="E767" t="inlineStr">
        <is>
          <t>SOLLEFTEÅ</t>
        </is>
      </c>
      <c r="F767" t="inlineStr">
        <is>
          <t>Kommuner</t>
        </is>
      </c>
      <c r="G767" t="n">
        <v>10.9</v>
      </c>
      <c r="H767" t="n">
        <v>0</v>
      </c>
      <c r="I767" t="n">
        <v>0</v>
      </c>
      <c r="J767" t="n">
        <v>0</v>
      </c>
      <c r="K767" t="n">
        <v>0</v>
      </c>
      <c r="L767" t="n">
        <v>0</v>
      </c>
      <c r="M767" t="n">
        <v>0</v>
      </c>
      <c r="N767" t="n">
        <v>0</v>
      </c>
      <c r="O767" t="n">
        <v>0</v>
      </c>
      <c r="P767" t="n">
        <v>0</v>
      </c>
      <c r="Q767" t="n">
        <v>0</v>
      </c>
      <c r="R767" s="2" t="inlineStr"/>
    </row>
    <row r="768" ht="15" customHeight="1">
      <c r="A768" t="inlineStr">
        <is>
          <t>A 11710-2021</t>
        </is>
      </c>
      <c r="B768" s="1" t="n">
        <v>44264</v>
      </c>
      <c r="C768" s="1" t="n">
        <v>45268</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12278-2021</t>
        </is>
      </c>
      <c r="B769" s="1" t="n">
        <v>44266</v>
      </c>
      <c r="C769" s="1" t="n">
        <v>45268</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12277-2021</t>
        </is>
      </c>
      <c r="B770" s="1" t="n">
        <v>44266</v>
      </c>
      <c r="C770" s="1" t="n">
        <v>45268</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12279-2021</t>
        </is>
      </c>
      <c r="B771" s="1" t="n">
        <v>44266</v>
      </c>
      <c r="C771" s="1" t="n">
        <v>45268</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14733-2021</t>
        </is>
      </c>
      <c r="B772" s="1" t="n">
        <v>44280</v>
      </c>
      <c r="C772" s="1" t="n">
        <v>45268</v>
      </c>
      <c r="D772" t="inlineStr">
        <is>
          <t>VÄSTERNORRLANDS LÄN</t>
        </is>
      </c>
      <c r="E772" t="inlineStr">
        <is>
          <t>SOLLEFTEÅ</t>
        </is>
      </c>
      <c r="G772" t="n">
        <v>5.3</v>
      </c>
      <c r="H772" t="n">
        <v>0</v>
      </c>
      <c r="I772" t="n">
        <v>0</v>
      </c>
      <c r="J772" t="n">
        <v>0</v>
      </c>
      <c r="K772" t="n">
        <v>0</v>
      </c>
      <c r="L772" t="n">
        <v>0</v>
      </c>
      <c r="M772" t="n">
        <v>0</v>
      </c>
      <c r="N772" t="n">
        <v>0</v>
      </c>
      <c r="O772" t="n">
        <v>0</v>
      </c>
      <c r="P772" t="n">
        <v>0</v>
      </c>
      <c r="Q772" t="n">
        <v>0</v>
      </c>
      <c r="R772" s="2" t="inlineStr"/>
    </row>
    <row r="773" ht="15" customHeight="1">
      <c r="A773" t="inlineStr">
        <is>
          <t>A 15101-2021</t>
        </is>
      </c>
      <c r="B773" s="1" t="n">
        <v>44281</v>
      </c>
      <c r="C773" s="1" t="n">
        <v>45268</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15098-2021</t>
        </is>
      </c>
      <c r="B774" s="1" t="n">
        <v>44281</v>
      </c>
      <c r="C774" s="1" t="n">
        <v>45268</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15461-2021</t>
        </is>
      </c>
      <c r="B775" s="1" t="n">
        <v>44285</v>
      </c>
      <c r="C775" s="1" t="n">
        <v>45268</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15894-2021</t>
        </is>
      </c>
      <c r="B776" s="1" t="n">
        <v>44286</v>
      </c>
      <c r="C776" s="1" t="n">
        <v>45268</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16700-2021</t>
        </is>
      </c>
      <c r="B777" s="1" t="n">
        <v>44293</v>
      </c>
      <c r="C777" s="1" t="n">
        <v>45268</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16799-2021</t>
        </is>
      </c>
      <c r="B778" s="1" t="n">
        <v>44293</v>
      </c>
      <c r="C778" s="1" t="n">
        <v>45268</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16905-2021</t>
        </is>
      </c>
      <c r="B779" s="1" t="n">
        <v>44294</v>
      </c>
      <c r="C779" s="1" t="n">
        <v>45268</v>
      </c>
      <c r="D779" t="inlineStr">
        <is>
          <t>VÄSTERNORRLANDS LÄN</t>
        </is>
      </c>
      <c r="E779" t="inlineStr">
        <is>
          <t>SOLLEFTEÅ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17604-2021</t>
        </is>
      </c>
      <c r="B780" s="1" t="n">
        <v>44299</v>
      </c>
      <c r="C780" s="1" t="n">
        <v>45268</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18459-2021</t>
        </is>
      </c>
      <c r="B781" s="1" t="n">
        <v>44306</v>
      </c>
      <c r="C781" s="1" t="n">
        <v>45268</v>
      </c>
      <c r="D781" t="inlineStr">
        <is>
          <t>VÄSTERNORRLANDS LÄN</t>
        </is>
      </c>
      <c r="E781" t="inlineStr">
        <is>
          <t>SOLLEFTEÅ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18668-2021</t>
        </is>
      </c>
      <c r="B782" s="1" t="n">
        <v>44306</v>
      </c>
      <c r="C782" s="1" t="n">
        <v>45268</v>
      </c>
      <c r="D782" t="inlineStr">
        <is>
          <t>VÄSTERNORRLANDS LÄN</t>
        </is>
      </c>
      <c r="E782" t="inlineStr">
        <is>
          <t>SOLLEFTEÅ</t>
        </is>
      </c>
      <c r="G782" t="n">
        <v>12.7</v>
      </c>
      <c r="H782" t="n">
        <v>0</v>
      </c>
      <c r="I782" t="n">
        <v>0</v>
      </c>
      <c r="J782" t="n">
        <v>0</v>
      </c>
      <c r="K782" t="n">
        <v>0</v>
      </c>
      <c r="L782" t="n">
        <v>0</v>
      </c>
      <c r="M782" t="n">
        <v>0</v>
      </c>
      <c r="N782" t="n">
        <v>0</v>
      </c>
      <c r="O782" t="n">
        <v>0</v>
      </c>
      <c r="P782" t="n">
        <v>0</v>
      </c>
      <c r="Q782" t="n">
        <v>0</v>
      </c>
      <c r="R782" s="2" t="inlineStr"/>
    </row>
    <row r="783" ht="15" customHeight="1">
      <c r="A783" t="inlineStr">
        <is>
          <t>A 18741-2021</t>
        </is>
      </c>
      <c r="B783" s="1" t="n">
        <v>44306</v>
      </c>
      <c r="C783" s="1" t="n">
        <v>45268</v>
      </c>
      <c r="D783" t="inlineStr">
        <is>
          <t>VÄSTERNORRLANDS LÄN</t>
        </is>
      </c>
      <c r="E783" t="inlineStr">
        <is>
          <t>SOLLEFTEÅ</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18662-2021</t>
        </is>
      </c>
      <c r="B784" s="1" t="n">
        <v>44306</v>
      </c>
      <c r="C784" s="1" t="n">
        <v>45268</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18766-2021</t>
        </is>
      </c>
      <c r="B785" s="1" t="n">
        <v>44307</v>
      </c>
      <c r="C785" s="1" t="n">
        <v>45268</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18761-2021</t>
        </is>
      </c>
      <c r="B786" s="1" t="n">
        <v>44307</v>
      </c>
      <c r="C786" s="1" t="n">
        <v>45268</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18873-2021</t>
        </is>
      </c>
      <c r="B787" s="1" t="n">
        <v>44308</v>
      </c>
      <c r="C787" s="1" t="n">
        <v>45268</v>
      </c>
      <c r="D787" t="inlineStr">
        <is>
          <t>VÄSTERNORRLANDS LÄN</t>
        </is>
      </c>
      <c r="E787" t="inlineStr">
        <is>
          <t>SOLLEFTEÅ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18878-2021</t>
        </is>
      </c>
      <c r="B788" s="1" t="n">
        <v>44307</v>
      </c>
      <c r="C788" s="1" t="n">
        <v>45268</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18867-2021</t>
        </is>
      </c>
      <c r="B789" s="1" t="n">
        <v>44307</v>
      </c>
      <c r="C789" s="1" t="n">
        <v>45268</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18882-2021</t>
        </is>
      </c>
      <c r="B790" s="1" t="n">
        <v>44308</v>
      </c>
      <c r="C790" s="1" t="n">
        <v>45268</v>
      </c>
      <c r="D790" t="inlineStr">
        <is>
          <t>VÄSTERNORRLANDS LÄN</t>
        </is>
      </c>
      <c r="E790" t="inlineStr">
        <is>
          <t>SOLLEFTEÅ</t>
        </is>
      </c>
      <c r="F790" t="inlineStr">
        <is>
          <t>SCA</t>
        </is>
      </c>
      <c r="G790" t="n">
        <v>6.1</v>
      </c>
      <c r="H790" t="n">
        <v>0</v>
      </c>
      <c r="I790" t="n">
        <v>0</v>
      </c>
      <c r="J790" t="n">
        <v>0</v>
      </c>
      <c r="K790" t="n">
        <v>0</v>
      </c>
      <c r="L790" t="n">
        <v>0</v>
      </c>
      <c r="M790" t="n">
        <v>0</v>
      </c>
      <c r="N790" t="n">
        <v>0</v>
      </c>
      <c r="O790" t="n">
        <v>0</v>
      </c>
      <c r="P790" t="n">
        <v>0</v>
      </c>
      <c r="Q790" t="n">
        <v>0</v>
      </c>
      <c r="R790" s="2" t="inlineStr"/>
    </row>
    <row r="791" ht="15" customHeight="1">
      <c r="A791" t="inlineStr">
        <is>
          <t>A 18875-2021</t>
        </is>
      </c>
      <c r="B791" s="1" t="n">
        <v>44307</v>
      </c>
      <c r="C791" s="1" t="n">
        <v>45268</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18866-2021</t>
        </is>
      </c>
      <c r="B792" s="1" t="n">
        <v>44308</v>
      </c>
      <c r="C792" s="1" t="n">
        <v>45268</v>
      </c>
      <c r="D792" t="inlineStr">
        <is>
          <t>VÄSTERNORRLANDS LÄN</t>
        </is>
      </c>
      <c r="E792" t="inlineStr">
        <is>
          <t>SOLLEFTEÅ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18874-2021</t>
        </is>
      </c>
      <c r="B793" s="1" t="n">
        <v>44308</v>
      </c>
      <c r="C793" s="1" t="n">
        <v>45268</v>
      </c>
      <c r="D793" t="inlineStr">
        <is>
          <t>VÄSTERNORRLANDS LÄN</t>
        </is>
      </c>
      <c r="E793" t="inlineStr">
        <is>
          <t>SOLLEFTEÅ</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18879-2021</t>
        </is>
      </c>
      <c r="B794" s="1" t="n">
        <v>44307</v>
      </c>
      <c r="C794" s="1" t="n">
        <v>45268</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18868-2021</t>
        </is>
      </c>
      <c r="B795" s="1" t="n">
        <v>44307</v>
      </c>
      <c r="C795" s="1" t="n">
        <v>45268</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18877-2021</t>
        </is>
      </c>
      <c r="B796" s="1" t="n">
        <v>44308</v>
      </c>
      <c r="C796" s="1" t="n">
        <v>45268</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18889-2021</t>
        </is>
      </c>
      <c r="B797" s="1" t="n">
        <v>44308</v>
      </c>
      <c r="C797" s="1" t="n">
        <v>45268</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19200-2021</t>
        </is>
      </c>
      <c r="B798" s="1" t="n">
        <v>44309</v>
      </c>
      <c r="C798" s="1" t="n">
        <v>45268</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19510-2021</t>
        </is>
      </c>
      <c r="B799" s="1" t="n">
        <v>44308</v>
      </c>
      <c r="C799" s="1" t="n">
        <v>45268</v>
      </c>
      <c r="D799" t="inlineStr">
        <is>
          <t>VÄSTERNORRLANDS LÄN</t>
        </is>
      </c>
      <c r="E799" t="inlineStr">
        <is>
          <t>SOLLEFTEÅ</t>
        </is>
      </c>
      <c r="F799" t="inlineStr">
        <is>
          <t>Kyrkan</t>
        </is>
      </c>
      <c r="G799" t="n">
        <v>19.6</v>
      </c>
      <c r="H799" t="n">
        <v>0</v>
      </c>
      <c r="I799" t="n">
        <v>0</v>
      </c>
      <c r="J799" t="n">
        <v>0</v>
      </c>
      <c r="K799" t="n">
        <v>0</v>
      </c>
      <c r="L799" t="n">
        <v>0</v>
      </c>
      <c r="M799" t="n">
        <v>0</v>
      </c>
      <c r="N799" t="n">
        <v>0</v>
      </c>
      <c r="O799" t="n">
        <v>0</v>
      </c>
      <c r="P799" t="n">
        <v>0</v>
      </c>
      <c r="Q799" t="n">
        <v>0</v>
      </c>
      <c r="R799" s="2" t="inlineStr"/>
    </row>
    <row r="800" ht="15" customHeight="1">
      <c r="A800" t="inlineStr">
        <is>
          <t>A 19220-2021</t>
        </is>
      </c>
      <c r="B800" s="1" t="n">
        <v>44309</v>
      </c>
      <c r="C800" s="1" t="n">
        <v>45268</v>
      </c>
      <c r="D800" t="inlineStr">
        <is>
          <t>VÄSTERNORRLANDS LÄN</t>
        </is>
      </c>
      <c r="E800" t="inlineStr">
        <is>
          <t>SOLLEFTEÅ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19433-2021</t>
        </is>
      </c>
      <c r="B801" s="1" t="n">
        <v>44310</v>
      </c>
      <c r="C801" s="1" t="n">
        <v>45268</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19412-2021</t>
        </is>
      </c>
      <c r="B802" s="1" t="n">
        <v>44310</v>
      </c>
      <c r="C802" s="1" t="n">
        <v>45268</v>
      </c>
      <c r="D802" t="inlineStr">
        <is>
          <t>VÄSTERNORRLANDS LÄN</t>
        </is>
      </c>
      <c r="E802" t="inlineStr">
        <is>
          <t>SOLLEFTEÅ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19435-2021</t>
        </is>
      </c>
      <c r="B803" s="1" t="n">
        <v>44310</v>
      </c>
      <c r="C803" s="1" t="n">
        <v>45268</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19516-2021</t>
        </is>
      </c>
      <c r="B804" s="1" t="n">
        <v>44309</v>
      </c>
      <c r="C804" s="1" t="n">
        <v>45268</v>
      </c>
      <c r="D804" t="inlineStr">
        <is>
          <t>VÄSTERNORRLANDS LÄN</t>
        </is>
      </c>
      <c r="E804" t="inlineStr">
        <is>
          <t>SOLLEFTEÅ</t>
        </is>
      </c>
      <c r="G804" t="n">
        <v>15.6</v>
      </c>
      <c r="H804" t="n">
        <v>0</v>
      </c>
      <c r="I804" t="n">
        <v>0</v>
      </c>
      <c r="J804" t="n">
        <v>0</v>
      </c>
      <c r="K804" t="n">
        <v>0</v>
      </c>
      <c r="L804" t="n">
        <v>0</v>
      </c>
      <c r="M804" t="n">
        <v>0</v>
      </c>
      <c r="N804" t="n">
        <v>0</v>
      </c>
      <c r="O804" t="n">
        <v>0</v>
      </c>
      <c r="P804" t="n">
        <v>0</v>
      </c>
      <c r="Q804" t="n">
        <v>0</v>
      </c>
      <c r="R804" s="2" t="inlineStr"/>
    </row>
    <row r="805" ht="15" customHeight="1">
      <c r="A805" t="inlineStr">
        <is>
          <t>A 19830-2021</t>
        </is>
      </c>
      <c r="B805" s="1" t="n">
        <v>44312</v>
      </c>
      <c r="C805" s="1" t="n">
        <v>45268</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19637-2021</t>
        </is>
      </c>
      <c r="B806" s="1" t="n">
        <v>44312</v>
      </c>
      <c r="C806" s="1" t="n">
        <v>45268</v>
      </c>
      <c r="D806" t="inlineStr">
        <is>
          <t>VÄSTERNORRLANDS LÄN</t>
        </is>
      </c>
      <c r="E806" t="inlineStr">
        <is>
          <t>SOLLEFTEÅ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21341-2021</t>
        </is>
      </c>
      <c r="B807" s="1" t="n">
        <v>44321</v>
      </c>
      <c r="C807" s="1" t="n">
        <v>45268</v>
      </c>
      <c r="D807" t="inlineStr">
        <is>
          <t>VÄSTERNORRLANDS LÄN</t>
        </is>
      </c>
      <c r="E807" t="inlineStr">
        <is>
          <t>SOLLEFTEÅ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21360-2021</t>
        </is>
      </c>
      <c r="B808" s="1" t="n">
        <v>44320</v>
      </c>
      <c r="C808" s="1" t="n">
        <v>45268</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45268</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45268</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45268</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45268</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45268</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45268</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45268</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45268</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45268</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45268</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22862-2021</t>
        </is>
      </c>
      <c r="B819" s="1" t="n">
        <v>44326</v>
      </c>
      <c r="C819" s="1" t="n">
        <v>45268</v>
      </c>
      <c r="D819" t="inlineStr">
        <is>
          <t>VÄSTERNORRLANDS LÄN</t>
        </is>
      </c>
      <c r="E819" t="inlineStr">
        <is>
          <t>SOLLEFTEÅ</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22934-2021</t>
        </is>
      </c>
      <c r="B820" s="1" t="n">
        <v>44328</v>
      </c>
      <c r="C820" s="1" t="n">
        <v>45268</v>
      </c>
      <c r="D820" t="inlineStr">
        <is>
          <t>VÄSTERNORRLANDS LÄN</t>
        </is>
      </c>
      <c r="E820" t="inlineStr">
        <is>
          <t>SOLLEFTEÅ</t>
        </is>
      </c>
      <c r="G820" t="n">
        <v>10</v>
      </c>
      <c r="H820" t="n">
        <v>0</v>
      </c>
      <c r="I820" t="n">
        <v>0</v>
      </c>
      <c r="J820" t="n">
        <v>0</v>
      </c>
      <c r="K820" t="n">
        <v>0</v>
      </c>
      <c r="L820" t="n">
        <v>0</v>
      </c>
      <c r="M820" t="n">
        <v>0</v>
      </c>
      <c r="N820" t="n">
        <v>0</v>
      </c>
      <c r="O820" t="n">
        <v>0</v>
      </c>
      <c r="P820" t="n">
        <v>0</v>
      </c>
      <c r="Q820" t="n">
        <v>0</v>
      </c>
      <c r="R820" s="2" t="inlineStr"/>
    </row>
    <row r="821" ht="15" customHeight="1">
      <c r="A821" t="inlineStr">
        <is>
          <t>A 23033-2021</t>
        </is>
      </c>
      <c r="B821" s="1" t="n">
        <v>44329</v>
      </c>
      <c r="C821" s="1" t="n">
        <v>45268</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23032-2021</t>
        </is>
      </c>
      <c r="B822" s="1" t="n">
        <v>44329</v>
      </c>
      <c r="C822" s="1" t="n">
        <v>45268</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23034-2021</t>
        </is>
      </c>
      <c r="B823" s="1" t="n">
        <v>44329</v>
      </c>
      <c r="C823" s="1" t="n">
        <v>45268</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23030-2021</t>
        </is>
      </c>
      <c r="B824" s="1" t="n">
        <v>44329</v>
      </c>
      <c r="C824" s="1" t="n">
        <v>45268</v>
      </c>
      <c r="D824" t="inlineStr">
        <is>
          <t>VÄSTERNORRLANDS LÄN</t>
        </is>
      </c>
      <c r="E824" t="inlineStr">
        <is>
          <t>SOLLEFTEÅ</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23069-2021</t>
        </is>
      </c>
      <c r="B825" s="1" t="n">
        <v>44330</v>
      </c>
      <c r="C825" s="1" t="n">
        <v>45268</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23394-2021</t>
        </is>
      </c>
      <c r="B826" s="1" t="n">
        <v>44333</v>
      </c>
      <c r="C826" s="1" t="n">
        <v>45268</v>
      </c>
      <c r="D826" t="inlineStr">
        <is>
          <t>VÄSTERNORRLANDS LÄN</t>
        </is>
      </c>
      <c r="E826" t="inlineStr">
        <is>
          <t>SOLLEFTEÅ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23639-2021</t>
        </is>
      </c>
      <c r="B827" s="1" t="n">
        <v>44334</v>
      </c>
      <c r="C827" s="1" t="n">
        <v>45268</v>
      </c>
      <c r="D827" t="inlineStr">
        <is>
          <t>VÄSTERNORRLANDS LÄN</t>
        </is>
      </c>
      <c r="E827" t="inlineStr">
        <is>
          <t>SOLLEFTEÅ</t>
        </is>
      </c>
      <c r="F827" t="inlineStr">
        <is>
          <t>Kyrkan</t>
        </is>
      </c>
      <c r="G827" t="n">
        <v>5.4</v>
      </c>
      <c r="H827" t="n">
        <v>0</v>
      </c>
      <c r="I827" t="n">
        <v>0</v>
      </c>
      <c r="J827" t="n">
        <v>0</v>
      </c>
      <c r="K827" t="n">
        <v>0</v>
      </c>
      <c r="L827" t="n">
        <v>0</v>
      </c>
      <c r="M827" t="n">
        <v>0</v>
      </c>
      <c r="N827" t="n">
        <v>0</v>
      </c>
      <c r="O827" t="n">
        <v>0</v>
      </c>
      <c r="P827" t="n">
        <v>0</v>
      </c>
      <c r="Q827" t="n">
        <v>0</v>
      </c>
      <c r="R827" s="2" t="inlineStr"/>
    </row>
    <row r="828" ht="15" customHeight="1">
      <c r="A828" t="inlineStr">
        <is>
          <t>A 23689-2021</t>
        </is>
      </c>
      <c r="B828" s="1" t="n">
        <v>44334</v>
      </c>
      <c r="C828" s="1" t="n">
        <v>45268</v>
      </c>
      <c r="D828" t="inlineStr">
        <is>
          <t>VÄSTERNORRLANDS LÄN</t>
        </is>
      </c>
      <c r="E828" t="inlineStr">
        <is>
          <t>SOLLEFTEÅ</t>
        </is>
      </c>
      <c r="G828" t="n">
        <v>14.9</v>
      </c>
      <c r="H828" t="n">
        <v>0</v>
      </c>
      <c r="I828" t="n">
        <v>0</v>
      </c>
      <c r="J828" t="n">
        <v>0</v>
      </c>
      <c r="K828" t="n">
        <v>0</v>
      </c>
      <c r="L828" t="n">
        <v>0</v>
      </c>
      <c r="M828" t="n">
        <v>0</v>
      </c>
      <c r="N828" t="n">
        <v>0</v>
      </c>
      <c r="O828" t="n">
        <v>0</v>
      </c>
      <c r="P828" t="n">
        <v>0</v>
      </c>
      <c r="Q828" t="n">
        <v>0</v>
      </c>
      <c r="R828" s="2" t="inlineStr"/>
    </row>
    <row r="829" ht="15" customHeight="1">
      <c r="A829" t="inlineStr">
        <is>
          <t>A 23770-2021</t>
        </is>
      </c>
      <c r="B829" s="1" t="n">
        <v>44335</v>
      </c>
      <c r="C829" s="1" t="n">
        <v>45268</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23753-2021</t>
        </is>
      </c>
      <c r="B830" s="1" t="n">
        <v>44334</v>
      </c>
      <c r="C830" s="1" t="n">
        <v>45268</v>
      </c>
      <c r="D830" t="inlineStr">
        <is>
          <t>VÄSTERNORRLANDS LÄN</t>
        </is>
      </c>
      <c r="E830" t="inlineStr">
        <is>
          <t>SOLLEFTEÅ</t>
        </is>
      </c>
      <c r="G830" t="n">
        <v>14.8</v>
      </c>
      <c r="H830" t="n">
        <v>0</v>
      </c>
      <c r="I830" t="n">
        <v>0</v>
      </c>
      <c r="J830" t="n">
        <v>0</v>
      </c>
      <c r="K830" t="n">
        <v>0</v>
      </c>
      <c r="L830" t="n">
        <v>0</v>
      </c>
      <c r="M830" t="n">
        <v>0</v>
      </c>
      <c r="N830" t="n">
        <v>0</v>
      </c>
      <c r="O830" t="n">
        <v>0</v>
      </c>
      <c r="P830" t="n">
        <v>0</v>
      </c>
      <c r="Q830" t="n">
        <v>0</v>
      </c>
      <c r="R830" s="2" t="inlineStr"/>
    </row>
    <row r="831" ht="15" customHeight="1">
      <c r="A831" t="inlineStr">
        <is>
          <t>A 23814-2021</t>
        </is>
      </c>
      <c r="B831" s="1" t="n">
        <v>44335</v>
      </c>
      <c r="C831" s="1" t="n">
        <v>45268</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24243-2021</t>
        </is>
      </c>
      <c r="B832" s="1" t="n">
        <v>44336</v>
      </c>
      <c r="C832" s="1" t="n">
        <v>45268</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24244-2021</t>
        </is>
      </c>
      <c r="B833" s="1" t="n">
        <v>44337</v>
      </c>
      <c r="C833" s="1" t="n">
        <v>45268</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24720-2021</t>
        </is>
      </c>
      <c r="B834" s="1" t="n">
        <v>44340</v>
      </c>
      <c r="C834" s="1" t="n">
        <v>45268</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24731-2021</t>
        </is>
      </c>
      <c r="B835" s="1" t="n">
        <v>44340</v>
      </c>
      <c r="C835" s="1" t="n">
        <v>45268</v>
      </c>
      <c r="D835" t="inlineStr">
        <is>
          <t>VÄSTERNORRLANDS LÄN</t>
        </is>
      </c>
      <c r="E835" t="inlineStr">
        <is>
          <t>SOLLEFTEÅ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25183-2021</t>
        </is>
      </c>
      <c r="B836" s="1" t="n">
        <v>44341</v>
      </c>
      <c r="C836" s="1" t="n">
        <v>45268</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25156-2021</t>
        </is>
      </c>
      <c r="B837" s="1" t="n">
        <v>44341</v>
      </c>
      <c r="C837" s="1" t="n">
        <v>45268</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25152-2021</t>
        </is>
      </c>
      <c r="B838" s="1" t="n">
        <v>44341</v>
      </c>
      <c r="C838" s="1" t="n">
        <v>45268</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25329-2021</t>
        </is>
      </c>
      <c r="B839" s="1" t="n">
        <v>44342</v>
      </c>
      <c r="C839" s="1" t="n">
        <v>45268</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25345-2021</t>
        </is>
      </c>
      <c r="B840" s="1" t="n">
        <v>44342</v>
      </c>
      <c r="C840" s="1" t="n">
        <v>45268</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25522-2021</t>
        </is>
      </c>
      <c r="B841" s="1" t="n">
        <v>44342</v>
      </c>
      <c r="C841" s="1" t="n">
        <v>45268</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25999-2021</t>
        </is>
      </c>
      <c r="B842" s="1" t="n">
        <v>44344</v>
      </c>
      <c r="C842" s="1" t="n">
        <v>45268</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25877-2021</t>
        </is>
      </c>
      <c r="B843" s="1" t="n">
        <v>44344</v>
      </c>
      <c r="C843" s="1" t="n">
        <v>45268</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25989-2021</t>
        </is>
      </c>
      <c r="B844" s="1" t="n">
        <v>44344</v>
      </c>
      <c r="C844" s="1" t="n">
        <v>45268</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26406-2021</t>
        </is>
      </c>
      <c r="B845" s="1" t="n">
        <v>44347</v>
      </c>
      <c r="C845" s="1" t="n">
        <v>45268</v>
      </c>
      <c r="D845" t="inlineStr">
        <is>
          <t>VÄSTERNORRLANDS LÄN</t>
        </is>
      </c>
      <c r="E845" t="inlineStr">
        <is>
          <t>SOLLEFTEÅ</t>
        </is>
      </c>
      <c r="F845" t="inlineStr">
        <is>
          <t>SCA</t>
        </is>
      </c>
      <c r="G845" t="n">
        <v>12.2</v>
      </c>
      <c r="H845" t="n">
        <v>0</v>
      </c>
      <c r="I845" t="n">
        <v>0</v>
      </c>
      <c r="J845" t="n">
        <v>0</v>
      </c>
      <c r="K845" t="n">
        <v>0</v>
      </c>
      <c r="L845" t="n">
        <v>0</v>
      </c>
      <c r="M845" t="n">
        <v>0</v>
      </c>
      <c r="N845" t="n">
        <v>0</v>
      </c>
      <c r="O845" t="n">
        <v>0</v>
      </c>
      <c r="P845" t="n">
        <v>0</v>
      </c>
      <c r="Q845" t="n">
        <v>0</v>
      </c>
      <c r="R845" s="2" t="inlineStr"/>
    </row>
    <row r="846" ht="15" customHeight="1">
      <c r="A846" t="inlineStr">
        <is>
          <t>A 26401-2021</t>
        </is>
      </c>
      <c r="B846" s="1" t="n">
        <v>44348</v>
      </c>
      <c r="C846" s="1" t="n">
        <v>45268</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26498-2021</t>
        </is>
      </c>
      <c r="B847" s="1" t="n">
        <v>44348</v>
      </c>
      <c r="C847" s="1" t="n">
        <v>45268</v>
      </c>
      <c r="D847" t="inlineStr">
        <is>
          <t>VÄSTERNORRLANDS LÄN</t>
        </is>
      </c>
      <c r="E847" t="inlineStr">
        <is>
          <t>SOLLEFTEÅ</t>
        </is>
      </c>
      <c r="G847" t="n">
        <v>7.8</v>
      </c>
      <c r="H847" t="n">
        <v>0</v>
      </c>
      <c r="I847" t="n">
        <v>0</v>
      </c>
      <c r="J847" t="n">
        <v>0</v>
      </c>
      <c r="K847" t="n">
        <v>0</v>
      </c>
      <c r="L847" t="n">
        <v>0</v>
      </c>
      <c r="M847" t="n">
        <v>0</v>
      </c>
      <c r="N847" t="n">
        <v>0</v>
      </c>
      <c r="O847" t="n">
        <v>0</v>
      </c>
      <c r="P847" t="n">
        <v>0</v>
      </c>
      <c r="Q847" t="n">
        <v>0</v>
      </c>
      <c r="R847" s="2" t="inlineStr"/>
    </row>
    <row r="848" ht="15" customHeight="1">
      <c r="A848" t="inlineStr">
        <is>
          <t>A 26559-2021</t>
        </is>
      </c>
      <c r="B848" s="1" t="n">
        <v>44348</v>
      </c>
      <c r="C848" s="1" t="n">
        <v>45268</v>
      </c>
      <c r="D848" t="inlineStr">
        <is>
          <t>VÄSTERNORRLANDS LÄN</t>
        </is>
      </c>
      <c r="E848" t="inlineStr">
        <is>
          <t>SOLLEFTEÅ</t>
        </is>
      </c>
      <c r="G848" t="n">
        <v>9</v>
      </c>
      <c r="H848" t="n">
        <v>0</v>
      </c>
      <c r="I848" t="n">
        <v>0</v>
      </c>
      <c r="J848" t="n">
        <v>0</v>
      </c>
      <c r="K848" t="n">
        <v>0</v>
      </c>
      <c r="L848" t="n">
        <v>0</v>
      </c>
      <c r="M848" t="n">
        <v>0</v>
      </c>
      <c r="N848" t="n">
        <v>0</v>
      </c>
      <c r="O848" t="n">
        <v>0</v>
      </c>
      <c r="P848" t="n">
        <v>0</v>
      </c>
      <c r="Q848" t="n">
        <v>0</v>
      </c>
      <c r="R848" s="2" t="inlineStr"/>
    </row>
    <row r="849" ht="15" customHeight="1">
      <c r="A849" t="inlineStr">
        <is>
          <t>A 26669-2021</t>
        </is>
      </c>
      <c r="B849" s="1" t="n">
        <v>44349</v>
      </c>
      <c r="C849" s="1" t="n">
        <v>45268</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27809-2021</t>
        </is>
      </c>
      <c r="B850" s="1" t="n">
        <v>44354</v>
      </c>
      <c r="C850" s="1" t="n">
        <v>45268</v>
      </c>
      <c r="D850" t="inlineStr">
        <is>
          <t>VÄSTERNORRLANDS LÄN</t>
        </is>
      </c>
      <c r="E850" t="inlineStr">
        <is>
          <t>SOLLEFTEÅ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27972-2021</t>
        </is>
      </c>
      <c r="B851" s="1" t="n">
        <v>44355</v>
      </c>
      <c r="C851" s="1" t="n">
        <v>45268</v>
      </c>
      <c r="D851" t="inlineStr">
        <is>
          <t>VÄSTERNORRLANDS LÄN</t>
        </is>
      </c>
      <c r="E851" t="inlineStr">
        <is>
          <t>SOLLEFTEÅ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28288-2021</t>
        </is>
      </c>
      <c r="B852" s="1" t="n">
        <v>44355</v>
      </c>
      <c r="C852" s="1" t="n">
        <v>45268</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28615-2021</t>
        </is>
      </c>
      <c r="B853" s="1" t="n">
        <v>44357</v>
      </c>
      <c r="C853" s="1" t="n">
        <v>45268</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28939-2021</t>
        </is>
      </c>
      <c r="B854" s="1" t="n">
        <v>44358</v>
      </c>
      <c r="C854" s="1" t="n">
        <v>45268</v>
      </c>
      <c r="D854" t="inlineStr">
        <is>
          <t>VÄSTERNORRLANDS LÄN</t>
        </is>
      </c>
      <c r="E854" t="inlineStr">
        <is>
          <t>SOLLEFTEÅ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29623-2021</t>
        </is>
      </c>
      <c r="B855" s="1" t="n">
        <v>44361</v>
      </c>
      <c r="C855" s="1" t="n">
        <v>45268</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29602-2021</t>
        </is>
      </c>
      <c r="B856" s="1" t="n">
        <v>44362</v>
      </c>
      <c r="C856" s="1" t="n">
        <v>45268</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29829-2021</t>
        </is>
      </c>
      <c r="B857" s="1" t="n">
        <v>44362</v>
      </c>
      <c r="C857" s="1" t="n">
        <v>45268</v>
      </c>
      <c r="D857" t="inlineStr">
        <is>
          <t>VÄSTERNORRLANDS LÄN</t>
        </is>
      </c>
      <c r="E857" t="inlineStr">
        <is>
          <t>SOLLEFTEÅ</t>
        </is>
      </c>
      <c r="G857" t="n">
        <v>4</v>
      </c>
      <c r="H857" t="n">
        <v>0</v>
      </c>
      <c r="I857" t="n">
        <v>0</v>
      </c>
      <c r="J857" t="n">
        <v>0</v>
      </c>
      <c r="K857" t="n">
        <v>0</v>
      </c>
      <c r="L857" t="n">
        <v>0</v>
      </c>
      <c r="M857" t="n">
        <v>0</v>
      </c>
      <c r="N857" t="n">
        <v>0</v>
      </c>
      <c r="O857" t="n">
        <v>0</v>
      </c>
      <c r="P857" t="n">
        <v>0</v>
      </c>
      <c r="Q857" t="n">
        <v>0</v>
      </c>
      <c r="R857" s="2" t="inlineStr"/>
    </row>
    <row r="858" ht="15" customHeight="1">
      <c r="A858" t="inlineStr">
        <is>
          <t>A 30692-2021</t>
        </is>
      </c>
      <c r="B858" s="1" t="n">
        <v>44365</v>
      </c>
      <c r="C858" s="1" t="n">
        <v>45268</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31354-2021</t>
        </is>
      </c>
      <c r="B859" s="1" t="n">
        <v>44369</v>
      </c>
      <c r="C859" s="1" t="n">
        <v>45268</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31600-2021</t>
        </is>
      </c>
      <c r="B860" s="1" t="n">
        <v>44369</v>
      </c>
      <c r="C860" s="1" t="n">
        <v>45268</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31737-2021</t>
        </is>
      </c>
      <c r="B861" s="1" t="n">
        <v>44370</v>
      </c>
      <c r="C861" s="1" t="n">
        <v>45268</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32091-2021</t>
        </is>
      </c>
      <c r="B862" s="1" t="n">
        <v>44370</v>
      </c>
      <c r="C862" s="1" t="n">
        <v>45268</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33207-2021</t>
        </is>
      </c>
      <c r="B863" s="1" t="n">
        <v>44376</v>
      </c>
      <c r="C863" s="1" t="n">
        <v>45268</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33214-2021</t>
        </is>
      </c>
      <c r="B864" s="1" t="n">
        <v>44377</v>
      </c>
      <c r="C864" s="1" t="n">
        <v>45268</v>
      </c>
      <c r="D864" t="inlineStr">
        <is>
          <t>VÄSTERNORRLANDS LÄN</t>
        </is>
      </c>
      <c r="E864" t="inlineStr">
        <is>
          <t>SOLLEFTEÅ</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33895-2021</t>
        </is>
      </c>
      <c r="B865" s="1" t="n">
        <v>44378</v>
      </c>
      <c r="C865" s="1" t="n">
        <v>45268</v>
      </c>
      <c r="D865" t="inlineStr">
        <is>
          <t>VÄSTERNORRLANDS LÄN</t>
        </is>
      </c>
      <c r="E865" t="inlineStr">
        <is>
          <t>SOLLEFTEÅ</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34396-2021</t>
        </is>
      </c>
      <c r="B866" s="1" t="n">
        <v>44379</v>
      </c>
      <c r="C866" s="1" t="n">
        <v>45268</v>
      </c>
      <c r="D866" t="inlineStr">
        <is>
          <t>VÄSTERNORRLANDS LÄN</t>
        </is>
      </c>
      <c r="E866" t="inlineStr">
        <is>
          <t>SOLLEFTEÅ</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34395-2021</t>
        </is>
      </c>
      <c r="B867" s="1" t="n">
        <v>44379</v>
      </c>
      <c r="C867" s="1" t="n">
        <v>45268</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45268</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34475-2021</t>
        </is>
      </c>
      <c r="B869" s="1" t="n">
        <v>44381</v>
      </c>
      <c r="C869" s="1" t="n">
        <v>45268</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34473-2021</t>
        </is>
      </c>
      <c r="B870" s="1" t="n">
        <v>44382</v>
      </c>
      <c r="C870" s="1" t="n">
        <v>45268</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35071-2021</t>
        </is>
      </c>
      <c r="B871" s="1" t="n">
        <v>44383</v>
      </c>
      <c r="C871" s="1" t="n">
        <v>45268</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45268</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45268</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45268</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45268</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45268</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45268</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45268</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45268</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45268</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37043-2021</t>
        </is>
      </c>
      <c r="B881" s="1" t="n">
        <v>44393</v>
      </c>
      <c r="C881" s="1" t="n">
        <v>45268</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37041-2021</t>
        </is>
      </c>
      <c r="B882" s="1" t="n">
        <v>44394</v>
      </c>
      <c r="C882" s="1" t="n">
        <v>45268</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37042-2021</t>
        </is>
      </c>
      <c r="B883" s="1" t="n">
        <v>44394</v>
      </c>
      <c r="C883" s="1" t="n">
        <v>45268</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37369-2021</t>
        </is>
      </c>
      <c r="B884" s="1" t="n">
        <v>44397</v>
      </c>
      <c r="C884" s="1" t="n">
        <v>45268</v>
      </c>
      <c r="D884" t="inlineStr">
        <is>
          <t>VÄSTERNORRLANDS LÄN</t>
        </is>
      </c>
      <c r="E884" t="inlineStr">
        <is>
          <t>SOLLEFTEÅ</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37639-2021</t>
        </is>
      </c>
      <c r="B885" s="1" t="n">
        <v>44400</v>
      </c>
      <c r="C885" s="1" t="n">
        <v>45268</v>
      </c>
      <c r="D885" t="inlineStr">
        <is>
          <t>VÄSTERNORRLANDS LÄN</t>
        </is>
      </c>
      <c r="E885" t="inlineStr">
        <is>
          <t>SOLLEFTEÅ</t>
        </is>
      </c>
      <c r="G885" t="n">
        <v>10.7</v>
      </c>
      <c r="H885" t="n">
        <v>0</v>
      </c>
      <c r="I885" t="n">
        <v>0</v>
      </c>
      <c r="J885" t="n">
        <v>0</v>
      </c>
      <c r="K885" t="n">
        <v>0</v>
      </c>
      <c r="L885" t="n">
        <v>0</v>
      </c>
      <c r="M885" t="n">
        <v>0</v>
      </c>
      <c r="N885" t="n">
        <v>0</v>
      </c>
      <c r="O885" t="n">
        <v>0</v>
      </c>
      <c r="P885" t="n">
        <v>0</v>
      </c>
      <c r="Q885" t="n">
        <v>0</v>
      </c>
      <c r="R885" s="2" t="inlineStr"/>
    </row>
    <row r="886" ht="15" customHeight="1">
      <c r="A886" t="inlineStr">
        <is>
          <t>A 37648-2021</t>
        </is>
      </c>
      <c r="B886" s="1" t="n">
        <v>44400</v>
      </c>
      <c r="C886" s="1" t="n">
        <v>45268</v>
      </c>
      <c r="D886" t="inlineStr">
        <is>
          <t>VÄSTERNORRLANDS LÄN</t>
        </is>
      </c>
      <c r="E886" t="inlineStr">
        <is>
          <t>SOLLEFTEÅ</t>
        </is>
      </c>
      <c r="G886" t="n">
        <v>33.6</v>
      </c>
      <c r="H886" t="n">
        <v>0</v>
      </c>
      <c r="I886" t="n">
        <v>0</v>
      </c>
      <c r="J886" t="n">
        <v>0</v>
      </c>
      <c r="K886" t="n">
        <v>0</v>
      </c>
      <c r="L886" t="n">
        <v>0</v>
      </c>
      <c r="M886" t="n">
        <v>0</v>
      </c>
      <c r="N886" t="n">
        <v>0</v>
      </c>
      <c r="O886" t="n">
        <v>0</v>
      </c>
      <c r="P886" t="n">
        <v>0</v>
      </c>
      <c r="Q886" t="n">
        <v>0</v>
      </c>
      <c r="R886" s="2" t="inlineStr"/>
    </row>
    <row r="887" ht="15" customHeight="1">
      <c r="A887" t="inlineStr">
        <is>
          <t>A 37634-2021</t>
        </is>
      </c>
      <c r="B887" s="1" t="n">
        <v>44400</v>
      </c>
      <c r="C887" s="1" t="n">
        <v>45268</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38283-2021</t>
        </is>
      </c>
      <c r="B888" s="1" t="n">
        <v>44405</v>
      </c>
      <c r="C888" s="1" t="n">
        <v>45268</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39334-2021</t>
        </is>
      </c>
      <c r="B889" s="1" t="n">
        <v>44414</v>
      </c>
      <c r="C889" s="1" t="n">
        <v>45268</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39594-2021</t>
        </is>
      </c>
      <c r="B890" s="1" t="n">
        <v>44413</v>
      </c>
      <c r="C890" s="1" t="n">
        <v>45268</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39230-2021</t>
        </is>
      </c>
      <c r="B891" s="1" t="n">
        <v>44413</v>
      </c>
      <c r="C891" s="1" t="n">
        <v>45268</v>
      </c>
      <c r="D891" t="inlineStr">
        <is>
          <t>VÄSTERNORRLANDS LÄN</t>
        </is>
      </c>
      <c r="E891" t="inlineStr">
        <is>
          <t>SOLLEFTEÅ</t>
        </is>
      </c>
      <c r="G891" t="n">
        <v>13.6</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44415</v>
      </c>
      <c r="C892" s="1" t="n">
        <v>45268</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40539-2021</t>
        </is>
      </c>
      <c r="B893" s="1" t="n">
        <v>44420</v>
      </c>
      <c r="C893" s="1" t="n">
        <v>45268</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41334-2021</t>
        </is>
      </c>
      <c r="B894" s="1" t="n">
        <v>44424</v>
      </c>
      <c r="C894" s="1" t="n">
        <v>45268</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42219-2021</t>
        </is>
      </c>
      <c r="B895" s="1" t="n">
        <v>44426</v>
      </c>
      <c r="C895" s="1" t="n">
        <v>45268</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42231-2021</t>
        </is>
      </c>
      <c r="B896" s="1" t="n">
        <v>44426</v>
      </c>
      <c r="C896" s="1" t="n">
        <v>45268</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42228-2021</t>
        </is>
      </c>
      <c r="B897" s="1" t="n">
        <v>44426</v>
      </c>
      <c r="C897" s="1" t="n">
        <v>45268</v>
      </c>
      <c r="D897" t="inlineStr">
        <is>
          <t>VÄSTERNORRLANDS LÄN</t>
        </is>
      </c>
      <c r="E897" t="inlineStr">
        <is>
          <t>SOLLEFTEÅ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42229-2021</t>
        </is>
      </c>
      <c r="B898" s="1" t="n">
        <v>44427</v>
      </c>
      <c r="C898" s="1" t="n">
        <v>45268</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42531-2021</t>
        </is>
      </c>
      <c r="B899" s="1" t="n">
        <v>44428</v>
      </c>
      <c r="C899" s="1" t="n">
        <v>45268</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45213-2021</t>
        </is>
      </c>
      <c r="B900" s="1" t="n">
        <v>44431</v>
      </c>
      <c r="C900" s="1" t="n">
        <v>45268</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43220-2021</t>
        </is>
      </c>
      <c r="B901" s="1" t="n">
        <v>44432</v>
      </c>
      <c r="C901" s="1" t="n">
        <v>45268</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43525-2021</t>
        </is>
      </c>
      <c r="B902" s="1" t="n">
        <v>44433</v>
      </c>
      <c r="C902" s="1" t="n">
        <v>45268</v>
      </c>
      <c r="D902" t="inlineStr">
        <is>
          <t>VÄSTERNORRLANDS LÄN</t>
        </is>
      </c>
      <c r="E902" t="inlineStr">
        <is>
          <t>SOLLEFTEÅ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44592-2021</t>
        </is>
      </c>
      <c r="B903" s="1" t="n">
        <v>44435</v>
      </c>
      <c r="C903" s="1" t="n">
        <v>45268</v>
      </c>
      <c r="D903" t="inlineStr">
        <is>
          <t>VÄSTERNORRLANDS LÄN</t>
        </is>
      </c>
      <c r="E903" t="inlineStr">
        <is>
          <t>SOLLEFTEÅ</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44587-2021</t>
        </is>
      </c>
      <c r="B904" s="1" t="n">
        <v>44435</v>
      </c>
      <c r="C904" s="1" t="n">
        <v>45268</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45187-2021</t>
        </is>
      </c>
      <c r="B905" s="1" t="n">
        <v>44439</v>
      </c>
      <c r="C905" s="1" t="n">
        <v>45268</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45105-2021</t>
        </is>
      </c>
      <c r="B906" s="1" t="n">
        <v>44439</v>
      </c>
      <c r="C906" s="1" t="n">
        <v>45268</v>
      </c>
      <c r="D906" t="inlineStr">
        <is>
          <t>VÄSTERNORRLANDS LÄN</t>
        </is>
      </c>
      <c r="E906" t="inlineStr">
        <is>
          <t>SOLLEFTEÅ</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46049-2021</t>
        </is>
      </c>
      <c r="B907" s="1" t="n">
        <v>44442</v>
      </c>
      <c r="C907" s="1" t="n">
        <v>45268</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46058-2021</t>
        </is>
      </c>
      <c r="B908" s="1" t="n">
        <v>44442</v>
      </c>
      <c r="C908" s="1" t="n">
        <v>45268</v>
      </c>
      <c r="D908" t="inlineStr">
        <is>
          <t>VÄSTERNORRLANDS LÄN</t>
        </is>
      </c>
      <c r="E908" t="inlineStr">
        <is>
          <t>SOLLEFTEÅ</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47643-2021</t>
        </is>
      </c>
      <c r="B909" s="1" t="n">
        <v>44448</v>
      </c>
      <c r="C909" s="1" t="n">
        <v>45268</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47675-2021</t>
        </is>
      </c>
      <c r="B910" s="1" t="n">
        <v>44448</v>
      </c>
      <c r="C910" s="1" t="n">
        <v>45268</v>
      </c>
      <c r="D910" t="inlineStr">
        <is>
          <t>VÄSTERNORRLANDS LÄN</t>
        </is>
      </c>
      <c r="E910" t="inlineStr">
        <is>
          <t>SOLLEFTEÅ</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47626-2021</t>
        </is>
      </c>
      <c r="B911" s="1" t="n">
        <v>44448</v>
      </c>
      <c r="C911" s="1" t="n">
        <v>45268</v>
      </c>
      <c r="D911" t="inlineStr">
        <is>
          <t>VÄSTERNORRLANDS LÄN</t>
        </is>
      </c>
      <c r="E911" t="inlineStr">
        <is>
          <t>SOLLEFTEÅ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47696-2021</t>
        </is>
      </c>
      <c r="B912" s="1" t="n">
        <v>44448</v>
      </c>
      <c r="C912" s="1" t="n">
        <v>45268</v>
      </c>
      <c r="D912" t="inlineStr">
        <is>
          <t>VÄSTERNORRLANDS LÄN</t>
        </is>
      </c>
      <c r="E912" t="inlineStr">
        <is>
          <t>SOLLEFTEÅ</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47681-2021</t>
        </is>
      </c>
      <c r="B913" s="1" t="n">
        <v>44448</v>
      </c>
      <c r="C913" s="1" t="n">
        <v>45268</v>
      </c>
      <c r="D913" t="inlineStr">
        <is>
          <t>VÄSTERNORRLANDS LÄN</t>
        </is>
      </c>
      <c r="E913" t="inlineStr">
        <is>
          <t>SOLLEFTEÅ</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48555-2021</t>
        </is>
      </c>
      <c r="B914" s="1" t="n">
        <v>44452</v>
      </c>
      <c r="C914" s="1" t="n">
        <v>45268</v>
      </c>
      <c r="D914" t="inlineStr">
        <is>
          <t>VÄSTERNORRLANDS LÄN</t>
        </is>
      </c>
      <c r="E914" t="inlineStr">
        <is>
          <t>SOLLEFTEÅ</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48578-2021</t>
        </is>
      </c>
      <c r="B915" s="1" t="n">
        <v>44452</v>
      </c>
      <c r="C915" s="1" t="n">
        <v>45268</v>
      </c>
      <c r="D915" t="inlineStr">
        <is>
          <t>VÄSTERNORRLANDS LÄN</t>
        </is>
      </c>
      <c r="E915" t="inlineStr">
        <is>
          <t>SOLLEFTEÅ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49160-2021</t>
        </is>
      </c>
      <c r="B916" s="1" t="n">
        <v>44454</v>
      </c>
      <c r="C916" s="1" t="n">
        <v>45268</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49492-2021</t>
        </is>
      </c>
      <c r="B917" s="1" t="n">
        <v>44455</v>
      </c>
      <c r="C917" s="1" t="n">
        <v>45268</v>
      </c>
      <c r="D917" t="inlineStr">
        <is>
          <t>VÄSTERNORRLANDS LÄN</t>
        </is>
      </c>
      <c r="E917" t="inlineStr">
        <is>
          <t>SOLLEFTEÅ</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49518-2021</t>
        </is>
      </c>
      <c r="B918" s="1" t="n">
        <v>44455</v>
      </c>
      <c r="C918" s="1" t="n">
        <v>45268</v>
      </c>
      <c r="D918" t="inlineStr">
        <is>
          <t>VÄSTERNORRLANDS LÄN</t>
        </is>
      </c>
      <c r="E918" t="inlineStr">
        <is>
          <t>SOLLEFTEÅ</t>
        </is>
      </c>
      <c r="G918" t="n">
        <v>12.9</v>
      </c>
      <c r="H918" t="n">
        <v>0</v>
      </c>
      <c r="I918" t="n">
        <v>0</v>
      </c>
      <c r="J918" t="n">
        <v>0</v>
      </c>
      <c r="K918" t="n">
        <v>0</v>
      </c>
      <c r="L918" t="n">
        <v>0</v>
      </c>
      <c r="M918" t="n">
        <v>0</v>
      </c>
      <c r="N918" t="n">
        <v>0</v>
      </c>
      <c r="O918" t="n">
        <v>0</v>
      </c>
      <c r="P918" t="n">
        <v>0</v>
      </c>
      <c r="Q918" t="n">
        <v>0</v>
      </c>
      <c r="R918" s="2" t="inlineStr"/>
    </row>
    <row r="919" ht="15" customHeight="1">
      <c r="A919" t="inlineStr">
        <is>
          <t>A 49711-2021</t>
        </is>
      </c>
      <c r="B919" s="1" t="n">
        <v>44455</v>
      </c>
      <c r="C919" s="1" t="n">
        <v>45268</v>
      </c>
      <c r="D919" t="inlineStr">
        <is>
          <t>VÄSTERNORRLANDS LÄN</t>
        </is>
      </c>
      <c r="E919" t="inlineStr">
        <is>
          <t>SOLLEFTEÅ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50360-2021</t>
        </is>
      </c>
      <c r="B920" s="1" t="n">
        <v>44459</v>
      </c>
      <c r="C920" s="1" t="n">
        <v>45268</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51104-2021</t>
        </is>
      </c>
      <c r="B921" s="1" t="n">
        <v>44459</v>
      </c>
      <c r="C921" s="1" t="n">
        <v>45268</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51020-2021</t>
        </is>
      </c>
      <c r="B922" s="1" t="n">
        <v>44460</v>
      </c>
      <c r="C922" s="1" t="n">
        <v>45268</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44461</v>
      </c>
      <c r="C923" s="1" t="n">
        <v>45268</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51440-2021</t>
        </is>
      </c>
      <c r="B924" s="1" t="n">
        <v>44461</v>
      </c>
      <c r="C924" s="1" t="n">
        <v>45268</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51443-2021</t>
        </is>
      </c>
      <c r="B925" s="1" t="n">
        <v>44461</v>
      </c>
      <c r="C925" s="1" t="n">
        <v>45268</v>
      </c>
      <c r="D925" t="inlineStr">
        <is>
          <t>VÄSTERNORRLANDS LÄN</t>
        </is>
      </c>
      <c r="E925" t="inlineStr">
        <is>
          <t>SOLLEFTEÅ</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51442-2021</t>
        </is>
      </c>
      <c r="B926" s="1" t="n">
        <v>44462</v>
      </c>
      <c r="C926" s="1" t="n">
        <v>45268</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51491-2021</t>
        </is>
      </c>
      <c r="B927" s="1" t="n">
        <v>44462</v>
      </c>
      <c r="C927" s="1" t="n">
        <v>45268</v>
      </c>
      <c r="D927" t="inlineStr">
        <is>
          <t>VÄSTERNORRLANDS LÄN</t>
        </is>
      </c>
      <c r="E927" t="inlineStr">
        <is>
          <t>SOLLEFTEÅ</t>
        </is>
      </c>
      <c r="F927" t="inlineStr">
        <is>
          <t>Kyrkan</t>
        </is>
      </c>
      <c r="G927" t="n">
        <v>18</v>
      </c>
      <c r="H927" t="n">
        <v>0</v>
      </c>
      <c r="I927" t="n">
        <v>0</v>
      </c>
      <c r="J927" t="n">
        <v>0</v>
      </c>
      <c r="K927" t="n">
        <v>0</v>
      </c>
      <c r="L927" t="n">
        <v>0</v>
      </c>
      <c r="M927" t="n">
        <v>0</v>
      </c>
      <c r="N927" t="n">
        <v>0</v>
      </c>
      <c r="O927" t="n">
        <v>0</v>
      </c>
      <c r="P927" t="n">
        <v>0</v>
      </c>
      <c r="Q927" t="n">
        <v>0</v>
      </c>
      <c r="R927" s="2" t="inlineStr"/>
    </row>
    <row r="928" ht="15" customHeight="1">
      <c r="A928" t="inlineStr">
        <is>
          <t>A 51847-2021</t>
        </is>
      </c>
      <c r="B928" s="1" t="n">
        <v>44462</v>
      </c>
      <c r="C928" s="1" t="n">
        <v>45268</v>
      </c>
      <c r="D928" t="inlineStr">
        <is>
          <t>VÄSTERNORRLANDS LÄN</t>
        </is>
      </c>
      <c r="E928" t="inlineStr">
        <is>
          <t>SOLLEFTEÅ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51952-2021</t>
        </is>
      </c>
      <c r="B929" s="1" t="n">
        <v>44463</v>
      </c>
      <c r="C929" s="1" t="n">
        <v>45268</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52447-2021</t>
        </is>
      </c>
      <c r="B930" s="1" t="n">
        <v>44466</v>
      </c>
      <c r="C930" s="1" t="n">
        <v>45268</v>
      </c>
      <c r="D930" t="inlineStr">
        <is>
          <t>VÄSTERNORRLANDS LÄN</t>
        </is>
      </c>
      <c r="E930" t="inlineStr">
        <is>
          <t>SOLLEFTEÅ</t>
        </is>
      </c>
      <c r="F930" t="inlineStr">
        <is>
          <t>Holmen skog AB</t>
        </is>
      </c>
      <c r="G930" t="n">
        <v>8.9</v>
      </c>
      <c r="H930" t="n">
        <v>0</v>
      </c>
      <c r="I930" t="n">
        <v>0</v>
      </c>
      <c r="J930" t="n">
        <v>0</v>
      </c>
      <c r="K930" t="n">
        <v>0</v>
      </c>
      <c r="L930" t="n">
        <v>0</v>
      </c>
      <c r="M930" t="n">
        <v>0</v>
      </c>
      <c r="N930" t="n">
        <v>0</v>
      </c>
      <c r="O930" t="n">
        <v>0</v>
      </c>
      <c r="P930" t="n">
        <v>0</v>
      </c>
      <c r="Q930" t="n">
        <v>0</v>
      </c>
      <c r="R930" s="2" t="inlineStr"/>
    </row>
    <row r="931" ht="15" customHeight="1">
      <c r="A931" t="inlineStr">
        <is>
          <t>A 53289-2021</t>
        </is>
      </c>
      <c r="B931" s="1" t="n">
        <v>44467</v>
      </c>
      <c r="C931" s="1" t="n">
        <v>45268</v>
      </c>
      <c r="D931" t="inlineStr">
        <is>
          <t>VÄSTERNORRLANDS LÄN</t>
        </is>
      </c>
      <c r="E931" t="inlineStr">
        <is>
          <t>SOLLEFTEÅ</t>
        </is>
      </c>
      <c r="G931" t="n">
        <v>6.5</v>
      </c>
      <c r="H931" t="n">
        <v>0</v>
      </c>
      <c r="I931" t="n">
        <v>0</v>
      </c>
      <c r="J931" t="n">
        <v>0</v>
      </c>
      <c r="K931" t="n">
        <v>0</v>
      </c>
      <c r="L931" t="n">
        <v>0</v>
      </c>
      <c r="M931" t="n">
        <v>0</v>
      </c>
      <c r="N931" t="n">
        <v>0</v>
      </c>
      <c r="O931" t="n">
        <v>0</v>
      </c>
      <c r="P931" t="n">
        <v>0</v>
      </c>
      <c r="Q931" t="n">
        <v>0</v>
      </c>
      <c r="R931" s="2" t="inlineStr"/>
    </row>
    <row r="932" ht="15" customHeight="1">
      <c r="A932" t="inlineStr">
        <is>
          <t>A 53278-2021</t>
        </is>
      </c>
      <c r="B932" s="1" t="n">
        <v>44467</v>
      </c>
      <c r="C932" s="1" t="n">
        <v>45268</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53524-2021</t>
        </is>
      </c>
      <c r="B933" s="1" t="n">
        <v>44468</v>
      </c>
      <c r="C933" s="1" t="n">
        <v>45268</v>
      </c>
      <c r="D933" t="inlineStr">
        <is>
          <t>VÄSTERNORRLANDS LÄN</t>
        </is>
      </c>
      <c r="E933" t="inlineStr">
        <is>
          <t>SOLLEFTEÅ</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53955-2021</t>
        </is>
      </c>
      <c r="B934" s="1" t="n">
        <v>44469</v>
      </c>
      <c r="C934" s="1" t="n">
        <v>45268</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54146-2021</t>
        </is>
      </c>
      <c r="B935" s="1" t="n">
        <v>44469</v>
      </c>
      <c r="C935" s="1" t="n">
        <v>45268</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54728-2021</t>
        </is>
      </c>
      <c r="B936" s="1" t="n">
        <v>44473</v>
      </c>
      <c r="C936" s="1" t="n">
        <v>45268</v>
      </c>
      <c r="D936" t="inlineStr">
        <is>
          <t>VÄSTERNORRLANDS LÄN</t>
        </is>
      </c>
      <c r="E936" t="inlineStr">
        <is>
          <t>SOLLEFTEÅ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55016-2021</t>
        </is>
      </c>
      <c r="B937" s="1" t="n">
        <v>44474</v>
      </c>
      <c r="C937" s="1" t="n">
        <v>45268</v>
      </c>
      <c r="D937" t="inlineStr">
        <is>
          <t>VÄSTERNORRLANDS LÄN</t>
        </is>
      </c>
      <c r="E937" t="inlineStr">
        <is>
          <t>SOLLEFTEÅ</t>
        </is>
      </c>
      <c r="F937" t="inlineStr">
        <is>
          <t>Övriga Aktiebolag</t>
        </is>
      </c>
      <c r="G937" t="n">
        <v>12.7</v>
      </c>
      <c r="H937" t="n">
        <v>0</v>
      </c>
      <c r="I937" t="n">
        <v>0</v>
      </c>
      <c r="J937" t="n">
        <v>0</v>
      </c>
      <c r="K937" t="n">
        <v>0</v>
      </c>
      <c r="L937" t="n">
        <v>0</v>
      </c>
      <c r="M937" t="n">
        <v>0</v>
      </c>
      <c r="N937" t="n">
        <v>0</v>
      </c>
      <c r="O937" t="n">
        <v>0</v>
      </c>
      <c r="P937" t="n">
        <v>0</v>
      </c>
      <c r="Q937" t="n">
        <v>0</v>
      </c>
      <c r="R937" s="2" t="inlineStr"/>
    </row>
    <row r="938" ht="15" customHeight="1">
      <c r="A938" t="inlineStr">
        <is>
          <t>A 55018-2021</t>
        </is>
      </c>
      <c r="B938" s="1" t="n">
        <v>44474</v>
      </c>
      <c r="C938" s="1" t="n">
        <v>45268</v>
      </c>
      <c r="D938" t="inlineStr">
        <is>
          <t>VÄSTERNORRLANDS LÄN</t>
        </is>
      </c>
      <c r="E938" t="inlineStr">
        <is>
          <t>SOLLEFTEÅ</t>
        </is>
      </c>
      <c r="F938" t="inlineStr">
        <is>
          <t>Övriga Aktiebolag</t>
        </is>
      </c>
      <c r="G938" t="n">
        <v>11.2</v>
      </c>
      <c r="H938" t="n">
        <v>0</v>
      </c>
      <c r="I938" t="n">
        <v>0</v>
      </c>
      <c r="J938" t="n">
        <v>0</v>
      </c>
      <c r="K938" t="n">
        <v>0</v>
      </c>
      <c r="L938" t="n">
        <v>0</v>
      </c>
      <c r="M938" t="n">
        <v>0</v>
      </c>
      <c r="N938" t="n">
        <v>0</v>
      </c>
      <c r="O938" t="n">
        <v>0</v>
      </c>
      <c r="P938" t="n">
        <v>0</v>
      </c>
      <c r="Q938" t="n">
        <v>0</v>
      </c>
      <c r="R938" s="2" t="inlineStr"/>
    </row>
    <row r="939" ht="15" customHeight="1">
      <c r="A939" t="inlineStr">
        <is>
          <t>A 55610-2021</t>
        </is>
      </c>
      <c r="B939" s="1" t="n">
        <v>44476</v>
      </c>
      <c r="C939" s="1" t="n">
        <v>45268</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55643-2021</t>
        </is>
      </c>
      <c r="B940" s="1" t="n">
        <v>44475</v>
      </c>
      <c r="C940" s="1" t="n">
        <v>45268</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55904-2021</t>
        </is>
      </c>
      <c r="B941" s="1" t="n">
        <v>44476</v>
      </c>
      <c r="C941" s="1" t="n">
        <v>45268</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56211-2021</t>
        </is>
      </c>
      <c r="B942" s="1" t="n">
        <v>44478</v>
      </c>
      <c r="C942" s="1" t="n">
        <v>45268</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56918-2021</t>
        </is>
      </c>
      <c r="B943" s="1" t="n">
        <v>44482</v>
      </c>
      <c r="C943" s="1" t="n">
        <v>45268</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57007-2021</t>
        </is>
      </c>
      <c r="B944" s="1" t="n">
        <v>44482</v>
      </c>
      <c r="C944" s="1" t="n">
        <v>45268</v>
      </c>
      <c r="D944" t="inlineStr">
        <is>
          <t>VÄSTERNORRLANDS LÄN</t>
        </is>
      </c>
      <c r="E944" t="inlineStr">
        <is>
          <t>SOLLEFTEÅ</t>
        </is>
      </c>
      <c r="G944" t="n">
        <v>7.4</v>
      </c>
      <c r="H944" t="n">
        <v>0</v>
      </c>
      <c r="I944" t="n">
        <v>0</v>
      </c>
      <c r="J944" t="n">
        <v>0</v>
      </c>
      <c r="K944" t="n">
        <v>0</v>
      </c>
      <c r="L944" t="n">
        <v>0</v>
      </c>
      <c r="M944" t="n">
        <v>0</v>
      </c>
      <c r="N944" t="n">
        <v>0</v>
      </c>
      <c r="O944" t="n">
        <v>0</v>
      </c>
      <c r="P944" t="n">
        <v>0</v>
      </c>
      <c r="Q944" t="n">
        <v>0</v>
      </c>
      <c r="R944" s="2" t="inlineStr"/>
    </row>
    <row r="945" ht="15" customHeight="1">
      <c r="A945" t="inlineStr">
        <is>
          <t>A 57550-2021</t>
        </is>
      </c>
      <c r="B945" s="1" t="n">
        <v>44484</v>
      </c>
      <c r="C945" s="1" t="n">
        <v>45268</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57552-2021</t>
        </is>
      </c>
      <c r="B946" s="1" t="n">
        <v>44483</v>
      </c>
      <c r="C946" s="1" t="n">
        <v>45268</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57856-2021</t>
        </is>
      </c>
      <c r="B947" s="1" t="n">
        <v>44485</v>
      </c>
      <c r="C947" s="1" t="n">
        <v>45268</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57911-2021</t>
        </is>
      </c>
      <c r="B948" s="1" t="n">
        <v>44486</v>
      </c>
      <c r="C948" s="1" t="n">
        <v>45268</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58268-2021</t>
        </is>
      </c>
      <c r="B949" s="1" t="n">
        <v>44487</v>
      </c>
      <c r="C949" s="1" t="n">
        <v>45268</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58276-2021</t>
        </is>
      </c>
      <c r="B950" s="1" t="n">
        <v>44488</v>
      </c>
      <c r="C950" s="1" t="n">
        <v>45268</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58179-2021</t>
        </is>
      </c>
      <c r="B951" s="1" t="n">
        <v>44487</v>
      </c>
      <c r="C951" s="1" t="n">
        <v>45268</v>
      </c>
      <c r="D951" t="inlineStr">
        <is>
          <t>VÄSTERNORRLANDS LÄN</t>
        </is>
      </c>
      <c r="E951" t="inlineStr">
        <is>
          <t>SOLLEFTEÅ</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58478-2021</t>
        </is>
      </c>
      <c r="B952" s="1" t="n">
        <v>44488</v>
      </c>
      <c r="C952" s="1" t="n">
        <v>45268</v>
      </c>
      <c r="D952" t="inlineStr">
        <is>
          <t>VÄSTERNORRLANDS LÄN</t>
        </is>
      </c>
      <c r="E952" t="inlineStr">
        <is>
          <t>SOLLEFTEÅ</t>
        </is>
      </c>
      <c r="G952" t="n">
        <v>9.5</v>
      </c>
      <c r="H952" t="n">
        <v>0</v>
      </c>
      <c r="I952" t="n">
        <v>0</v>
      </c>
      <c r="J952" t="n">
        <v>0</v>
      </c>
      <c r="K952" t="n">
        <v>0</v>
      </c>
      <c r="L952" t="n">
        <v>0</v>
      </c>
      <c r="M952" t="n">
        <v>0</v>
      </c>
      <c r="N952" t="n">
        <v>0</v>
      </c>
      <c r="O952" t="n">
        <v>0</v>
      </c>
      <c r="P952" t="n">
        <v>0</v>
      </c>
      <c r="Q952" t="n">
        <v>0</v>
      </c>
      <c r="R952" s="2" t="inlineStr"/>
    </row>
    <row r="953" ht="15" customHeight="1">
      <c r="A953" t="inlineStr">
        <is>
          <t>A 58486-2021</t>
        </is>
      </c>
      <c r="B953" s="1" t="n">
        <v>44488</v>
      </c>
      <c r="C953" s="1" t="n">
        <v>45268</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58572-2021</t>
        </is>
      </c>
      <c r="B954" s="1" t="n">
        <v>44488</v>
      </c>
      <c r="C954" s="1" t="n">
        <v>45268</v>
      </c>
      <c r="D954" t="inlineStr">
        <is>
          <t>VÄSTERNORRLANDS LÄN</t>
        </is>
      </c>
      <c r="E954" t="inlineStr">
        <is>
          <t>SOLLEFTEÅ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45268</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45268</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45268</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45268</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45268</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45268</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45268</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45268</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45268</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45268</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45268</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45268</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45268</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45268</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45268</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45268</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45268</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45268</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45268</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45268</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45268</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45268</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45268</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45268</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45268</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45268</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45268</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45268</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45268</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45268</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45268</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45268</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45268</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45268</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45268</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45268</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45268</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45268</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45268</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45268</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45268</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45268</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45268</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45268</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45268</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45268</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45268</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45268</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45268</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45268</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45268</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45268</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45268</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45268</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45268</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45268</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45268</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45268</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45268</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45268</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45268</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45268</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45268</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45268</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45268</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45268</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45268</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45268</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45268</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45268</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45268</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45268</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45268</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45268</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45268</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45268</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45268</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45268</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45268</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45268</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45268</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45268</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45268</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45268</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45268</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45268</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45268</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45268</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45268</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45268</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45268</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45268</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45268</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45268</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45268</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45268</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45268</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45268</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45268</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45268</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45268</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45268</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45268</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45268</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45268</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45268</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45268</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45268</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45268</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45268</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45268</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45268</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45268</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45268</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45268</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45268</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45268</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45268</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45268</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45268</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45268</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45268</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45268</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45268</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45268</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45268</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45268</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45268</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45268</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45268</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45268</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45268</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45268</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45268</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45268</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45268</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45268</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45268</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45268</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45268</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45268</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45268</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45268</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45268</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45268</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45268</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45268</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45268</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45268</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45268</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45268</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45268</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45268</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45268</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45268</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45268</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45268</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45268</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45268</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45268</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45268</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45268</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45268</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45268</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45268</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45268</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45268</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45268</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45268</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45268</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45268</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45268</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45268</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45268</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45268</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45268</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45268</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45268</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45268</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45268</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45268</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45268</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45268</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45268</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45268</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45268</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45268</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45268</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45268</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45268</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45268</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45268</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45268</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45268</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45268</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45268</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45268</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45268</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45268</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45268</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45268</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45268</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45268</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45268</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45268</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45268</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45268</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45268</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45268</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45268</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45268</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45268</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45268</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45268</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45268</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45268</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45268</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45268</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45268</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45268</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45268</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45268</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45268</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45268</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45268</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45268</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45268</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45268</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45268</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45268</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45268</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45268</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45268</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45268</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45268</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45268</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45268</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45268</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45268</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45268</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45268</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45268</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45268</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45268</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45268</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45268</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45268</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45268</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45268</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45268</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45268</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45268</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45268</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45268</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45268</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45268</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45268</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45268</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45268</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45268</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45268</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45268</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45268</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45268</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45268</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45268</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45268</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45268</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45268</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45268</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45268</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45268</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45268</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45268</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45268</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45268</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45268</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45268</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45268</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45268</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45268</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45268</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45268</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45268</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45268</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45268</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45268</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45268</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45268</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45268</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45268</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45268</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45268</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45268</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45268</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45268</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45268</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45268</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45268</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45268</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45268</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45268</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45268</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45268</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45268</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45268</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45268</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45268</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45268</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45268</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45268</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45268</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45268</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45268</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45268</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45268</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45268</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45268</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45268</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45268</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45268</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45268</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45268</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45268</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45268</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45268</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45268</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45268</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45268</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45268</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45268</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45268</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45268</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45268</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45268</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45268</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45268</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45268</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45268</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45268</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45268</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45268</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45268</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45268</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45268</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45268</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45268</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45268</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45268</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45268</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45268</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45268</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45268</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45268</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45268</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45268</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45268</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45268</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45268</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45268</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45268</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45268</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45268</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45268</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45268</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45268</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45268</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45268</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45268</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45268</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45268</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45268</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45268</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45268</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45268</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45268</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45268</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45268</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45268</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45268</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45268</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45268</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45268</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45268</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45268</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45268</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45268</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45268</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45268</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45268</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45268</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45268</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45268</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45268</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45268</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45268</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45268</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45268</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45268</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45268</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45268</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45268</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45268</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45268</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45268</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45268</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45268</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45268</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45268</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45268</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45268</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45268</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45268</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45268</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45268</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45268</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45268</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45268</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45268</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45268</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45268</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45268</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45268</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45268</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45268</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45268</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45268</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45268</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45268</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45268</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45268</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45268</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45268</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45268</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45268</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45268</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45268</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45268</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45268</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45268</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45268</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45268</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45268</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45268</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45268</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45268</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45268</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45268</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45268</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45268</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45268</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45268</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45268</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45268</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45268</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45268</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45268</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45268</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45268</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45268</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45268</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45268</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45268</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45268</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45268</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45268</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45268</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45268</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45268</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45268</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45268</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45268</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45268</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45268</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45268</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45268</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45268</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45268</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45268</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45268</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45268</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45268</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45268</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45268</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45268</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45268</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45268</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45268</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45268</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45268</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45268</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45268</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45268</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45268</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45268</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45268</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45268</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45268</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45268</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45268</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45268</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45268</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45268</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45268</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45268</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45268</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45268</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45268</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45268</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45268</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45268</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45268</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45268</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45268</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45268</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45268</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45268</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45268</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45268</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45268</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45268</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45268</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45268</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45268</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45268</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45268</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45268</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45268</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45268</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45268</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45268</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45268</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45268</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45268</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45268</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45268</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45268</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45268</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45268</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45268</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45268</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45268</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45268</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45268</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45268</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45268</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45268</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45268</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45268</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45268</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45268</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45268</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45268</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45268</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45268</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45268</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45268</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45268</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45268</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45268</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45268</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45268</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45268</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45268</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45268</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45268</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45268</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45268</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45268</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45268</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45268</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45268</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45268</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45268</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45268</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45268</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45268</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45268</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45268</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45268</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45268</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45268</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45268</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45268</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45268</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45268</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45268</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45268</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45268</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45268</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45268</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45268</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45268</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45268</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45268</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45268</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45268</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45268</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45268</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45268</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45268</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45268</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45268</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45268</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45268</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45268</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45268</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45268</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45268</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45268</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45268</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45268</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45268</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45268</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45268</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45268</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45268</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45268</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45268</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45268</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45268</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45268</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45268</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45268</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45268</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45268</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45268</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45268</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45268</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45268</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45268</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45268</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45268</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45268</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45268</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45268</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45268</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45268</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45268</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45268</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45268</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45268</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45268</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45268</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45268</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45268</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45268</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45268</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45268</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45268</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45268</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45268</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45268</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45268</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45268</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45268</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45268</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45268</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45268</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45268</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45268</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45268</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45268</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45268</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45268</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45268</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45268</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45268</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45268</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45268</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45268</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45268</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45268</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45268</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45268</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45268</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45268</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45268</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45268</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45268</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45268</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45268</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45268</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45268</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45268</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45268</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45268</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45268</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45268</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45268</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45268</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45268</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45268</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45268</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45268</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45268</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45268</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45268</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45268</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45268</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45268</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45268</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45268</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45268</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45268</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45268</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45268</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45268</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45268</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45268</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45268</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45268</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45268</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45268</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45268</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45268</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45268</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45268</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45268</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45268</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45268</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45268</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45268</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45268</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45268</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45268</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45268</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45268</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45268</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45268</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45268</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45268</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45268</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45268</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45268</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45268</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45268</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45268</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45268</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45268</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45268</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45268</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45268</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45268</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45268</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45268</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45268</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45268</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45268</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45268</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45268</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45268</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45268</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45268</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45268</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45268</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45268</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45268</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45268</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45268</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45268</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45268</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45268</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45268</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45268</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45268</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45268</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45268</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45268</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45268</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45268</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45268</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45268</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45268</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45268</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45268</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45268</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45268</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45268</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45268</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45268</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45268</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45268</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45268</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45268</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45268</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45268</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45268</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45268</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45268</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45268</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45268</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45268</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45268</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45268</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45268</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45268</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45268</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45268</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45268</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45268</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45268</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45268</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45268</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45268</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45268</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45268</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45268</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45268</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45268</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45268</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45268</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45268</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45268</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45268</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45268</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45268</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45268</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45268</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45268</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45268</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45268</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45268</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45268</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45268</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45268</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45268</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45268</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45268</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45268</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45268</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45268</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45268</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45268</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45268</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45268</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45268</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45268</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45268</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45268</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45268</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45268</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45268</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45268</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45268</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45268</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45268</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45268</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45268</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45268</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45268</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45268</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45268</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45268</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45268</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45268</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45268</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45268</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45268</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45268</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45268</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45268</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45268</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45268</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45268</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45268</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45268</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45268</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45268</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45268</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45268</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45268</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45268</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45268</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45268</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45268</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45268</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45268</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45268</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45268</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45268</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45268</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45268</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45268</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45268</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45268</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45268</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45268</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45268</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45268</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45268</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45268</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45268</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45268</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45268</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45268</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45268</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45268</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45268</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45268</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45268</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45268</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45268</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45268</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45268</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45268</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45268</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45268</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45268</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45268</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45268</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45268</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45268</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45268</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45268</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45268</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45268</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45268</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45268</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45268</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45268</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45268</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45268</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45268</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45268</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45268</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45268</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45268</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45268</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45268</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45268</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45268</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45268</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45268</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45268</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45268</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45268</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45268</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45268</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45268</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45268</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45268</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45268</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45268</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45268</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45268</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45268</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45268</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45268</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45268</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45268</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45268</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45268</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45268</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45268</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45268</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45268</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45268</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45268</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45268</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45268</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45268</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45268</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45268</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45268</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45268</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45268</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45268</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45268</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45268</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45268</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45268</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45268</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45268</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45268</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45268</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45268</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45268</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45268</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45268</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45268</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45268</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45268</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45268</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45268</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45268</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45268</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45268</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45268</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45268</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45268</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45268</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45268</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45268</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45268</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45268</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45268</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45268</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45268</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45268</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45268</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45268</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45268</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45268</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45268</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45268</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45268</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45268</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45268</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45268</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45268</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45268</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45268</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45268</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45268</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45268</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45268</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45268</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45268</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45268</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45268</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45268</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45268</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45268</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45268</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45268</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45268</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45268</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45268</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45268</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45268</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45268</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45268</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45268</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45268</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45268</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45268</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45268</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45268</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45268</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45268</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45268</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45268</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45268</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45268</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45268</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45268</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45268</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45268</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45268</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45268</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45268</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45268</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45268</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45268</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45268</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45268</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45268</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45268</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45268</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45268</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45268</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45268</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45268</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45268</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45268</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45268</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45268</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45268</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45268</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45268</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45268</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45268</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45268</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45268</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45268</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45268</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45268</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45268</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45268</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45268</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45268</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45268</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45268</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45268</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45268</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45268</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45268</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45268</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45268</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45268</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45268</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45268</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45268</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45268</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45268</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45268</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45268</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45268</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45268</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45268</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45268</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45268</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45268</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45268</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45268</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45268</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45268</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45268</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45268</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45268</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45268</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45268</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45268</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45268</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45268</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45268</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45268</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45268</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45268</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45268</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45268</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45268</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45268</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45268</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45268</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45268</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45268</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45268</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45268</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45268</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45268</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45268</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45268</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45268</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45268</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45268</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45268</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45268</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45268</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45268</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45268</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45268</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45268</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45268</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45268</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45268</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45268</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45268</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45268</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45268</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45268</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45268</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45268</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45268</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45268</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45268</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45268</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45268</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45268</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45268</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45268</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45268</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45268</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45268</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45268</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45268</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45268</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45268</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45268</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45268</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45268</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45268</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45268</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45268</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45268</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45268</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45268</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45268</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45268</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45268</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45268</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45268</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45268</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45268</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45268</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45268</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45268</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45268</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45268</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45268</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45268</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45268</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45268</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45268</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45268</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45268</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45268</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45268</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45268</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45268</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45268</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45268</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45268</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45268</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45268</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45268</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45268</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45268</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45268</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45268</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45268</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45268</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45268</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45268</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45268</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45268</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45268</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45268</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45268</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45268</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45268</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45268</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45268</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45268</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45268</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45268</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45268</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45268</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45268</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45268</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45268</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45268</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45268</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45268</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45268</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45268</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45268</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45268</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45268</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45268</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45268</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45268</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45268</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45268</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45268</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45268</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45268</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45268</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45268</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45268</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45268</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45268</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45268</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45268</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45268</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45268</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45268</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45268</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45268</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45268</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45268</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45268</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45268</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45268</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45268</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45268</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45268</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45268</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45268</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45268</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45268</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45268</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45268</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45268</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45268</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45268</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45268</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45268</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45268</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45268</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45268</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45268</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45268</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45268</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45268</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45268</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45268</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45268</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45268</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45268</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45268</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45268</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45268</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45268</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45268</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45268</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45268</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45268</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45268</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45268</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45268</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45268</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45268</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45268</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45268</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45268</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45268</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45268</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45268</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45268</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45268</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45268</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45268</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45268</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45268</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45268</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45268</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45268</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45268</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45268</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45268</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45268</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45268</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45268</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45268</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45268</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45268</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45268</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45268</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45268</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45268</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45268</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45268</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45268</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45268</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45268</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45268</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45268</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45268</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45268</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45268</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45268</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45268</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45268</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45268</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45268</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45268</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45268</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45268</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45268</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45268</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45268</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45268</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45268</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45268</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45268</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45268</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45268</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45268</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45268</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45268</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45268</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45268</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45268</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45268</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45268</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45268</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45268</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45268</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45268</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45268</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45268</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45268</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45268</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45268</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45268</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45268</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45268</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45268</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45268</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45268</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45268</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45268</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45268</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45268</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45268</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45268</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45268</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45268</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45268</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45268</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45268</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55005-2023</t>
        </is>
      </c>
      <c r="B2348" s="1" t="n">
        <v>45236</v>
      </c>
      <c r="C2348" s="1" t="n">
        <v>45268</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45268</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56416-2023</t>
        </is>
      </c>
      <c r="B2350" s="1" t="n">
        <v>45237</v>
      </c>
      <c r="C2350" s="1" t="n">
        <v>45268</v>
      </c>
      <c r="D2350" t="inlineStr">
        <is>
          <t>VÄSTERNORRLANDS LÄN</t>
        </is>
      </c>
      <c r="E2350" t="inlineStr">
        <is>
          <t>SOLLEFTEÅ</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56431-2023</t>
        </is>
      </c>
      <c r="B2351" s="1" t="n">
        <v>45237</v>
      </c>
      <c r="C2351" s="1" t="n">
        <v>45268</v>
      </c>
      <c r="D2351" t="inlineStr">
        <is>
          <t>VÄSTERNORRLANDS LÄN</t>
        </is>
      </c>
      <c r="E2351" t="inlineStr">
        <is>
          <t>SOLLEFTEÅ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55338-2023</t>
        </is>
      </c>
      <c r="B2352" s="1" t="n">
        <v>45238</v>
      </c>
      <c r="C2352" s="1" t="n">
        <v>45268</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45268</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45268</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55653-2023</t>
        </is>
      </c>
      <c r="B2355" s="1" t="n">
        <v>45239</v>
      </c>
      <c r="C2355" s="1" t="n">
        <v>45268</v>
      </c>
      <c r="D2355" t="inlineStr">
        <is>
          <t>VÄSTERNORRLANDS LÄN</t>
        </is>
      </c>
      <c r="E2355" t="inlineStr">
        <is>
          <t>SOLLEFTEÅ</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55622-2023</t>
        </is>
      </c>
      <c r="B2356" s="1" t="n">
        <v>45238</v>
      </c>
      <c r="C2356" s="1" t="n">
        <v>45268</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55638-2023</t>
        </is>
      </c>
      <c r="B2357" s="1" t="n">
        <v>45238</v>
      </c>
      <c r="C2357" s="1" t="n">
        <v>45268</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55650-2023</t>
        </is>
      </c>
      <c r="B2358" s="1" t="n">
        <v>45239</v>
      </c>
      <c r="C2358" s="1" t="n">
        <v>45268</v>
      </c>
      <c r="D2358" t="inlineStr">
        <is>
          <t>VÄSTERNORRLANDS LÄN</t>
        </is>
      </c>
      <c r="E2358" t="inlineStr">
        <is>
          <t>SOLLEFTEÅ</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55654-2023</t>
        </is>
      </c>
      <c r="B2359" s="1" t="n">
        <v>45239</v>
      </c>
      <c r="C2359" s="1" t="n">
        <v>45268</v>
      </c>
      <c r="D2359" t="inlineStr">
        <is>
          <t>VÄSTERNORRLANDS LÄN</t>
        </is>
      </c>
      <c r="E2359" t="inlineStr">
        <is>
          <t>SOLLEFTEÅ</t>
        </is>
      </c>
      <c r="F2359" t="inlineStr">
        <is>
          <t>SCA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55652-2023</t>
        </is>
      </c>
      <c r="B2360" s="1" t="n">
        <v>45238</v>
      </c>
      <c r="C2360" s="1" t="n">
        <v>45268</v>
      </c>
      <c r="D2360" t="inlineStr">
        <is>
          <t>VÄSTERNORRLANDS LÄN</t>
        </is>
      </c>
      <c r="E2360" t="inlineStr">
        <is>
          <t>SOLLEFTEÅ</t>
        </is>
      </c>
      <c r="F2360" t="inlineStr">
        <is>
          <t>SCA</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55651-2023</t>
        </is>
      </c>
      <c r="B2361" s="1" t="n">
        <v>45238</v>
      </c>
      <c r="C2361" s="1" t="n">
        <v>45268</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45268</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45268</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55912-2023</t>
        </is>
      </c>
      <c r="B2364" s="1" t="n">
        <v>45239</v>
      </c>
      <c r="C2364" s="1" t="n">
        <v>45268</v>
      </c>
      <c r="D2364" t="inlineStr">
        <is>
          <t>VÄSTERNORRLANDS LÄN</t>
        </is>
      </c>
      <c r="E2364" t="inlineStr">
        <is>
          <t>SOLLEFTEÅ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55929-2023</t>
        </is>
      </c>
      <c r="B2365" s="1" t="n">
        <v>45239</v>
      </c>
      <c r="C2365" s="1" t="n">
        <v>45268</v>
      </c>
      <c r="D2365" t="inlineStr">
        <is>
          <t>VÄSTERNORRLANDS LÄN</t>
        </is>
      </c>
      <c r="E2365" t="inlineStr">
        <is>
          <t>SOLLEFTEÅ</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55910-2023</t>
        </is>
      </c>
      <c r="B2366" s="1" t="n">
        <v>45239</v>
      </c>
      <c r="C2366" s="1" t="n">
        <v>45268</v>
      </c>
      <c r="D2366" t="inlineStr">
        <is>
          <t>VÄSTERNORRLANDS LÄN</t>
        </is>
      </c>
      <c r="E2366" t="inlineStr">
        <is>
          <t>SOLLEFTEÅ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57010-2023</t>
        </is>
      </c>
      <c r="B2367" s="1" t="n">
        <v>45239</v>
      </c>
      <c r="C2367" s="1" t="n">
        <v>45268</v>
      </c>
      <c r="D2367" t="inlineStr">
        <is>
          <t>VÄSTERNORRLANDS LÄN</t>
        </is>
      </c>
      <c r="E2367" t="inlineStr">
        <is>
          <t>SOLLEFTEÅ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56134-2023</t>
        </is>
      </c>
      <c r="B2368" s="1" t="n">
        <v>45240</v>
      </c>
      <c r="C2368" s="1" t="n">
        <v>45268</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56244-2023</t>
        </is>
      </c>
      <c r="B2369" s="1" t="n">
        <v>45240</v>
      </c>
      <c r="C2369" s="1" t="n">
        <v>45268</v>
      </c>
      <c r="D2369" t="inlineStr">
        <is>
          <t>VÄSTERNORRLANDS LÄN</t>
        </is>
      </c>
      <c r="E2369" t="inlineStr">
        <is>
          <t>SOLLEFTEÅ</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56256-2023</t>
        </is>
      </c>
      <c r="B2370" s="1" t="n">
        <v>45240</v>
      </c>
      <c r="C2370" s="1" t="n">
        <v>45268</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56260-2023</t>
        </is>
      </c>
      <c r="B2371" s="1" t="n">
        <v>45240</v>
      </c>
      <c r="C2371" s="1" t="n">
        <v>45268</v>
      </c>
      <c r="D2371" t="inlineStr">
        <is>
          <t>VÄSTERNORRLANDS LÄN</t>
        </is>
      </c>
      <c r="E2371" t="inlineStr">
        <is>
          <t>SOLLEFTEÅ</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56139-2023</t>
        </is>
      </c>
      <c r="B2372" s="1" t="n">
        <v>45240</v>
      </c>
      <c r="C2372" s="1" t="n">
        <v>45268</v>
      </c>
      <c r="D2372" t="inlineStr">
        <is>
          <t>VÄSTERNORRLANDS LÄN</t>
        </is>
      </c>
      <c r="E2372" t="inlineStr">
        <is>
          <t>SOLLEFTEÅ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56201-2023</t>
        </is>
      </c>
      <c r="B2373" s="1" t="n">
        <v>45240</v>
      </c>
      <c r="C2373" s="1" t="n">
        <v>45268</v>
      </c>
      <c r="D2373" t="inlineStr">
        <is>
          <t>VÄSTERNORRLANDS LÄN</t>
        </is>
      </c>
      <c r="E2373" t="inlineStr">
        <is>
          <t>SOLLEFTEÅ</t>
        </is>
      </c>
      <c r="G2373" t="n">
        <v>43.3</v>
      </c>
      <c r="H2373" t="n">
        <v>0</v>
      </c>
      <c r="I2373" t="n">
        <v>0</v>
      </c>
      <c r="J2373" t="n">
        <v>0</v>
      </c>
      <c r="K2373" t="n">
        <v>0</v>
      </c>
      <c r="L2373" t="n">
        <v>0</v>
      </c>
      <c r="M2373" t="n">
        <v>0</v>
      </c>
      <c r="N2373" t="n">
        <v>0</v>
      </c>
      <c r="O2373" t="n">
        <v>0</v>
      </c>
      <c r="P2373" t="n">
        <v>0</v>
      </c>
      <c r="Q2373" t="n">
        <v>0</v>
      </c>
      <c r="R2373" s="2" t="inlineStr"/>
    </row>
    <row r="2374" ht="15" customHeight="1">
      <c r="A2374" t="inlineStr">
        <is>
          <t>A 56234-2023</t>
        </is>
      </c>
      <c r="B2374" s="1" t="n">
        <v>45240</v>
      </c>
      <c r="C2374" s="1" t="n">
        <v>45268</v>
      </c>
      <c r="D2374" t="inlineStr">
        <is>
          <t>VÄSTERNORRLANDS LÄN</t>
        </is>
      </c>
      <c r="E2374" t="inlineStr">
        <is>
          <t>SOLLEFTEÅ</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56262-2023</t>
        </is>
      </c>
      <c r="B2375" s="1" t="n">
        <v>45240</v>
      </c>
      <c r="C2375" s="1" t="n">
        <v>45268</v>
      </c>
      <c r="D2375" t="inlineStr">
        <is>
          <t>VÄSTERNORRLANDS LÄN</t>
        </is>
      </c>
      <c r="E2375" t="inlineStr">
        <is>
          <t>SOLLEFTEÅ</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56249-2023</t>
        </is>
      </c>
      <c r="B2376" s="1" t="n">
        <v>45240</v>
      </c>
      <c r="C2376" s="1" t="n">
        <v>45268</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56261-2023</t>
        </is>
      </c>
      <c r="B2377" s="1" t="n">
        <v>45240</v>
      </c>
      <c r="C2377" s="1" t="n">
        <v>45268</v>
      </c>
      <c r="D2377" t="inlineStr">
        <is>
          <t>VÄSTERNORRLANDS LÄN</t>
        </is>
      </c>
      <c r="E2377" t="inlineStr">
        <is>
          <t>SOLLEFTEÅ</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45268</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45268</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57518-2023</t>
        </is>
      </c>
      <c r="B2380" s="1" t="n">
        <v>45242</v>
      </c>
      <c r="C2380" s="1" t="n">
        <v>45268</v>
      </c>
      <c r="D2380" t="inlineStr">
        <is>
          <t>VÄSTERNORRLANDS LÄN</t>
        </is>
      </c>
      <c r="E2380" t="inlineStr">
        <is>
          <t>SOLLEFTEÅ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56311-2023</t>
        </is>
      </c>
      <c r="B2381" s="1" t="n">
        <v>45242</v>
      </c>
      <c r="C2381" s="1" t="n">
        <v>45268</v>
      </c>
      <c r="D2381" t="inlineStr">
        <is>
          <t>VÄSTERNORRLANDS LÄN</t>
        </is>
      </c>
      <c r="E2381" t="inlineStr">
        <is>
          <t>SOLLEFTEÅ</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56684-2023</t>
        </is>
      </c>
      <c r="B2382" s="1" t="n">
        <v>45244</v>
      </c>
      <c r="C2382" s="1" t="n">
        <v>45268</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56685-2023</t>
        </is>
      </c>
      <c r="B2383" s="1" t="n">
        <v>45244</v>
      </c>
      <c r="C2383" s="1" t="n">
        <v>45268</v>
      </c>
      <c r="D2383" t="inlineStr">
        <is>
          <t>VÄSTERNORRLANDS LÄN</t>
        </is>
      </c>
      <c r="E2383" t="inlineStr">
        <is>
          <t>SOLLEFTEÅ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56697-2023</t>
        </is>
      </c>
      <c r="B2384" s="1" t="n">
        <v>45243</v>
      </c>
      <c r="C2384" s="1" t="n">
        <v>45268</v>
      </c>
      <c r="D2384" t="inlineStr">
        <is>
          <t>VÄSTERNORRLANDS LÄN</t>
        </is>
      </c>
      <c r="E2384" t="inlineStr">
        <is>
          <t>SOLLEFTEÅ</t>
        </is>
      </c>
      <c r="F2384" t="inlineStr">
        <is>
          <t>SCA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57080-2023</t>
        </is>
      </c>
      <c r="B2385" s="1" t="n">
        <v>45244</v>
      </c>
      <c r="C2385" s="1" t="n">
        <v>45268</v>
      </c>
      <c r="D2385" t="inlineStr">
        <is>
          <t>VÄSTERNORRLANDS LÄN</t>
        </is>
      </c>
      <c r="E2385" t="inlineStr">
        <is>
          <t>SOLLEFTEÅ</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57066-2023</t>
        </is>
      </c>
      <c r="B2386" s="1" t="n">
        <v>45245</v>
      </c>
      <c r="C2386" s="1" t="n">
        <v>45268</v>
      </c>
      <c r="D2386" t="inlineStr">
        <is>
          <t>VÄSTERNORRLANDS LÄN</t>
        </is>
      </c>
      <c r="E2386" t="inlineStr">
        <is>
          <t>SOLLEFTEÅ</t>
        </is>
      </c>
      <c r="F2386" t="inlineStr">
        <is>
          <t>SCA</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57837-2023</t>
        </is>
      </c>
      <c r="B2387" s="1" t="n">
        <v>45244</v>
      </c>
      <c r="C2387" s="1" t="n">
        <v>45268</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57395-2023</t>
        </is>
      </c>
      <c r="B2388" s="1" t="n">
        <v>45246</v>
      </c>
      <c r="C2388" s="1" t="n">
        <v>45268</v>
      </c>
      <c r="D2388" t="inlineStr">
        <is>
          <t>VÄSTERNORRLANDS LÄN</t>
        </is>
      </c>
      <c r="E2388" t="inlineStr">
        <is>
          <t>SOLLEFTEÅ</t>
        </is>
      </c>
      <c r="F2388" t="inlineStr">
        <is>
          <t>SCA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57411-2023</t>
        </is>
      </c>
      <c r="B2389" s="1" t="n">
        <v>45245</v>
      </c>
      <c r="C2389" s="1" t="n">
        <v>45268</v>
      </c>
      <c r="D2389" t="inlineStr">
        <is>
          <t>VÄSTERNORRLANDS LÄN</t>
        </is>
      </c>
      <c r="E2389" t="inlineStr">
        <is>
          <t>SOLLEFTEÅ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45268</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57384-2023</t>
        </is>
      </c>
      <c r="B2391" s="1" t="n">
        <v>45245</v>
      </c>
      <c r="C2391" s="1" t="n">
        <v>45268</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58298-2023</t>
        </is>
      </c>
      <c r="B2392" s="1" t="n">
        <v>45245</v>
      </c>
      <c r="C2392" s="1" t="n">
        <v>45268</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57655-2023</t>
        </is>
      </c>
      <c r="B2393" s="1" t="n">
        <v>45246</v>
      </c>
      <c r="C2393" s="1" t="n">
        <v>45268</v>
      </c>
      <c r="D2393" t="inlineStr">
        <is>
          <t>VÄSTERNORRLANDS LÄN</t>
        </is>
      </c>
      <c r="E2393" t="inlineStr">
        <is>
          <t>SOLLEFTEÅ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58085-2023</t>
        </is>
      </c>
      <c r="B2394" s="1" t="n">
        <v>45247</v>
      </c>
      <c r="C2394" s="1" t="n">
        <v>45268</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58155-2023</t>
        </is>
      </c>
      <c r="B2395" s="1" t="n">
        <v>45250</v>
      </c>
      <c r="C2395" s="1" t="n">
        <v>45268</v>
      </c>
      <c r="D2395" t="inlineStr">
        <is>
          <t>VÄSTERNORRLANDS LÄN</t>
        </is>
      </c>
      <c r="E2395" t="inlineStr">
        <is>
          <t>SOLLEFTEÅ</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58923-2023</t>
        </is>
      </c>
      <c r="B2396" s="1" t="n">
        <v>45250</v>
      </c>
      <c r="C2396" s="1" t="n">
        <v>45268</v>
      </c>
      <c r="D2396" t="inlineStr">
        <is>
          <t>VÄSTERNORRLANDS LÄN</t>
        </is>
      </c>
      <c r="E2396" t="inlineStr">
        <is>
          <t>SOLLEFTEÅ</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58938-2023</t>
        </is>
      </c>
      <c r="B2397" s="1" t="n">
        <v>45250</v>
      </c>
      <c r="C2397" s="1" t="n">
        <v>45268</v>
      </c>
      <c r="D2397" t="inlineStr">
        <is>
          <t>VÄSTERNORRLANDS LÄN</t>
        </is>
      </c>
      <c r="E2397" t="inlineStr">
        <is>
          <t>SOLLEFTEÅ</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58427-2023</t>
        </is>
      </c>
      <c r="B2398" s="1" t="n">
        <v>45250</v>
      </c>
      <c r="C2398" s="1" t="n">
        <v>45268</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58891-2023</t>
        </is>
      </c>
      <c r="B2399" s="1" t="n">
        <v>45250</v>
      </c>
      <c r="C2399" s="1" t="n">
        <v>45268</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58933-2023</t>
        </is>
      </c>
      <c r="B2400" s="1" t="n">
        <v>45250</v>
      </c>
      <c r="C2400" s="1" t="n">
        <v>45268</v>
      </c>
      <c r="D2400" t="inlineStr">
        <is>
          <t>VÄSTERNORRLANDS LÄN</t>
        </is>
      </c>
      <c r="E2400" t="inlineStr">
        <is>
          <t>SOLLEFTEÅ</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59098-2023</t>
        </is>
      </c>
      <c r="B2401" s="1" t="n">
        <v>45253</v>
      </c>
      <c r="C2401" s="1" t="n">
        <v>45268</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59339-2023</t>
        </is>
      </c>
      <c r="B2402" s="1" t="n">
        <v>45253</v>
      </c>
      <c r="C2402" s="1" t="n">
        <v>45268</v>
      </c>
      <c r="D2402" t="inlineStr">
        <is>
          <t>VÄSTERNORRLANDS LÄN</t>
        </is>
      </c>
      <c r="E2402" t="inlineStr">
        <is>
          <t>SOLLEFTEÅ</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45268</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59461-2023</t>
        </is>
      </c>
      <c r="B2404" s="1" t="n">
        <v>45253</v>
      </c>
      <c r="C2404" s="1" t="n">
        <v>45268</v>
      </c>
      <c r="D2404" t="inlineStr">
        <is>
          <t>VÄSTERNORRLANDS LÄN</t>
        </is>
      </c>
      <c r="E2404" t="inlineStr">
        <is>
          <t>SOLLEFTEÅ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59579-2023</t>
        </is>
      </c>
      <c r="B2405" s="1" t="n">
        <v>45253</v>
      </c>
      <c r="C2405" s="1" t="n">
        <v>45268</v>
      </c>
      <c r="D2405" t="inlineStr">
        <is>
          <t>VÄSTERNORRLANDS LÄN</t>
        </is>
      </c>
      <c r="E2405" t="inlineStr">
        <is>
          <t>SOLLEFTEÅ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60039-2023</t>
        </is>
      </c>
      <c r="B2406" s="1" t="n">
        <v>45254</v>
      </c>
      <c r="C2406" s="1" t="n">
        <v>45268</v>
      </c>
      <c r="D2406" t="inlineStr">
        <is>
          <t>VÄSTERNORRLANDS LÄN</t>
        </is>
      </c>
      <c r="E2406" t="inlineStr">
        <is>
          <t>SOLLEFTEÅ</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59662-2023</t>
        </is>
      </c>
      <c r="B2407" s="1" t="n">
        <v>45255</v>
      </c>
      <c r="C2407" s="1" t="n">
        <v>45268</v>
      </c>
      <c r="D2407" t="inlineStr">
        <is>
          <t>VÄSTERNORRLANDS LÄN</t>
        </is>
      </c>
      <c r="E2407" t="inlineStr">
        <is>
          <t>SOLLEFTEÅ</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59501-2023</t>
        </is>
      </c>
      <c r="B2408" s="1" t="n">
        <v>45254</v>
      </c>
      <c r="C2408" s="1" t="n">
        <v>45268</v>
      </c>
      <c r="D2408" t="inlineStr">
        <is>
          <t>VÄSTERNORRLANDS LÄN</t>
        </is>
      </c>
      <c r="E2408" t="inlineStr">
        <is>
          <t>SOLLEFTEÅ</t>
        </is>
      </c>
      <c r="F2408" t="inlineStr">
        <is>
          <t>Holmen skog AB</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59583-2023</t>
        </is>
      </c>
      <c r="B2409" s="1" t="n">
        <v>45254</v>
      </c>
      <c r="C2409" s="1" t="n">
        <v>45268</v>
      </c>
      <c r="D2409" t="inlineStr">
        <is>
          <t>VÄSTERNORRLANDS LÄN</t>
        </is>
      </c>
      <c r="E2409" t="inlineStr">
        <is>
          <t>SOLLEFTEÅ</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59657-2023</t>
        </is>
      </c>
      <c r="B2410" s="1" t="n">
        <v>45255</v>
      </c>
      <c r="C2410" s="1" t="n">
        <v>45268</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59593-2023</t>
        </is>
      </c>
      <c r="B2411" s="1" t="n">
        <v>45254</v>
      </c>
      <c r="C2411" s="1" t="n">
        <v>45268</v>
      </c>
      <c r="D2411" t="inlineStr">
        <is>
          <t>VÄSTERNORRLANDS LÄN</t>
        </is>
      </c>
      <c r="E2411" t="inlineStr">
        <is>
          <t>SOLLEFTEÅ</t>
        </is>
      </c>
      <c r="F2411" t="inlineStr">
        <is>
          <t>Holmen skog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45268</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59794-2023</t>
        </is>
      </c>
      <c r="B2413" s="1" t="n">
        <v>45257</v>
      </c>
      <c r="C2413" s="1" t="n">
        <v>45268</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60099-2023</t>
        </is>
      </c>
      <c r="B2414" s="1" t="n">
        <v>45257</v>
      </c>
      <c r="C2414" s="1" t="n">
        <v>45268</v>
      </c>
      <c r="D2414" t="inlineStr">
        <is>
          <t>VÄSTERNORRLANDS LÄN</t>
        </is>
      </c>
      <c r="E2414" t="inlineStr">
        <is>
          <t>SOLLEFTEÅ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60480-2023</t>
        </is>
      </c>
      <c r="B2415" s="1" t="n">
        <v>45258</v>
      </c>
      <c r="C2415" s="1" t="n">
        <v>45268</v>
      </c>
      <c r="D2415" t="inlineStr">
        <is>
          <t>VÄSTERNORRLANDS LÄN</t>
        </is>
      </c>
      <c r="E2415" t="inlineStr">
        <is>
          <t>SOLLEFTEÅ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45268</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60328-2023</t>
        </is>
      </c>
      <c r="B2417" s="1" t="n">
        <v>45258</v>
      </c>
      <c r="C2417" s="1" t="n">
        <v>45268</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60462-2023</t>
        </is>
      </c>
      <c r="B2418" s="1" t="n">
        <v>45258</v>
      </c>
      <c r="C2418" s="1" t="n">
        <v>45268</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61028-2023</t>
        </is>
      </c>
      <c r="B2419" s="1" t="n">
        <v>45259</v>
      </c>
      <c r="C2419" s="1" t="n">
        <v>45268</v>
      </c>
      <c r="D2419" t="inlineStr">
        <is>
          <t>VÄSTERNORRLANDS LÄN</t>
        </is>
      </c>
      <c r="E2419" t="inlineStr">
        <is>
          <t>SOLLEFTEÅ</t>
        </is>
      </c>
      <c r="G2419" t="n">
        <v>10.6</v>
      </c>
      <c r="H2419" t="n">
        <v>0</v>
      </c>
      <c r="I2419" t="n">
        <v>0</v>
      </c>
      <c r="J2419" t="n">
        <v>0</v>
      </c>
      <c r="K2419" t="n">
        <v>0</v>
      </c>
      <c r="L2419" t="n">
        <v>0</v>
      </c>
      <c r="M2419" t="n">
        <v>0</v>
      </c>
      <c r="N2419" t="n">
        <v>0</v>
      </c>
      <c r="O2419" t="n">
        <v>0</v>
      </c>
      <c r="P2419" t="n">
        <v>0</v>
      </c>
      <c r="Q2419" t="n">
        <v>0</v>
      </c>
      <c r="R2419" s="2" t="inlineStr"/>
    </row>
    <row r="2420" ht="15" customHeight="1">
      <c r="A2420" t="inlineStr">
        <is>
          <t>A 60883-2023</t>
        </is>
      </c>
      <c r="B2420" s="1" t="n">
        <v>45259</v>
      </c>
      <c r="C2420" s="1" t="n">
        <v>45268</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61034-2023</t>
        </is>
      </c>
      <c r="B2421" s="1" t="n">
        <v>45259</v>
      </c>
      <c r="C2421" s="1" t="n">
        <v>45268</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60861-2023</t>
        </is>
      </c>
      <c r="B2422" s="1" t="n">
        <v>45260</v>
      </c>
      <c r="C2422" s="1" t="n">
        <v>45268</v>
      </c>
      <c r="D2422" t="inlineStr">
        <is>
          <t>VÄSTERNORRLANDS LÄN</t>
        </is>
      </c>
      <c r="E2422" t="inlineStr">
        <is>
          <t>SOLLEFTEÅ</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45268</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61081-2023</t>
        </is>
      </c>
      <c r="B2424" s="1" t="n">
        <v>45261</v>
      </c>
      <c r="C2424" s="1" t="n">
        <v>45268</v>
      </c>
      <c r="D2424" t="inlineStr">
        <is>
          <t>VÄSTERNORRLANDS LÄN</t>
        </is>
      </c>
      <c r="E2424" t="inlineStr">
        <is>
          <t>SOLLEFTEÅ</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45268</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45268</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61462-2023</t>
        </is>
      </c>
      <c r="B2427" s="1" t="n">
        <v>45264</v>
      </c>
      <c r="C2427" s="1" t="n">
        <v>45268</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61470-2023</t>
        </is>
      </c>
      <c r="B2428" s="1" t="n">
        <v>45264</v>
      </c>
      <c r="C2428" s="1" t="n">
        <v>45268</v>
      </c>
      <c r="D2428" t="inlineStr">
        <is>
          <t>VÄSTERNORRLANDS LÄN</t>
        </is>
      </c>
      <c r="E2428" t="inlineStr">
        <is>
          <t>SOLLEFTEÅ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61805-2023</t>
        </is>
      </c>
      <c r="B2429" s="1" t="n">
        <v>45264</v>
      </c>
      <c r="C2429" s="1" t="n">
        <v>45268</v>
      </c>
      <c r="D2429" t="inlineStr">
        <is>
          <t>VÄSTERNORRLANDS LÄN</t>
        </is>
      </c>
      <c r="E2429" t="inlineStr">
        <is>
          <t>SOLLEFTEÅ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61469-2023</t>
        </is>
      </c>
      <c r="B2430" s="1" t="n">
        <v>45264</v>
      </c>
      <c r="C2430" s="1" t="n">
        <v>45268</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61473-2023</t>
        </is>
      </c>
      <c r="B2431" s="1" t="n">
        <v>45264</v>
      </c>
      <c r="C2431" s="1" t="n">
        <v>45268</v>
      </c>
      <c r="D2431" t="inlineStr">
        <is>
          <t>VÄSTERNORRLANDS LÄN</t>
        </is>
      </c>
      <c r="E2431" t="inlineStr">
        <is>
          <t>SOLLEFTEÅ</t>
        </is>
      </c>
      <c r="G2431" t="n">
        <v>18.8</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45268</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45268</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61784-2023</t>
        </is>
      </c>
      <c r="B2434" s="1" t="n">
        <v>45265</v>
      </c>
      <c r="C2434" s="1" t="n">
        <v>45268</v>
      </c>
      <c r="D2434" t="inlineStr">
        <is>
          <t>VÄSTERNORRLANDS LÄN</t>
        </is>
      </c>
      <c r="E2434" t="inlineStr">
        <is>
          <t>SOLLEFTEÅ</t>
        </is>
      </c>
      <c r="F2434" t="inlineStr">
        <is>
          <t>SCA</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62099-2023</t>
        </is>
      </c>
      <c r="B2435" s="1" t="n">
        <v>45266</v>
      </c>
      <c r="C2435" s="1" t="n">
        <v>45268</v>
      </c>
      <c r="D2435" t="inlineStr">
        <is>
          <t>VÄSTERNORRLANDS LÄN</t>
        </is>
      </c>
      <c r="E2435" t="inlineStr">
        <is>
          <t>SOLLEFTEÅ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62115-2023</t>
        </is>
      </c>
      <c r="B2436" s="1" t="n">
        <v>45266</v>
      </c>
      <c r="C2436" s="1" t="n">
        <v>45268</v>
      </c>
      <c r="D2436" t="inlineStr">
        <is>
          <t>VÄSTERNORRLANDS LÄN</t>
        </is>
      </c>
      <c r="E2436" t="inlineStr">
        <is>
          <t>SOLLEFTEÅ</t>
        </is>
      </c>
      <c r="F2436" t="inlineStr">
        <is>
          <t>SCA</t>
        </is>
      </c>
      <c r="G2436" t="n">
        <v>43.1</v>
      </c>
      <c r="H2436" t="n">
        <v>0</v>
      </c>
      <c r="I2436" t="n">
        <v>0</v>
      </c>
      <c r="J2436" t="n">
        <v>0</v>
      </c>
      <c r="K2436" t="n">
        <v>0</v>
      </c>
      <c r="L2436" t="n">
        <v>0</v>
      </c>
      <c r="M2436" t="n">
        <v>0</v>
      </c>
      <c r="N2436" t="n">
        <v>0</v>
      </c>
      <c r="O2436" t="n">
        <v>0</v>
      </c>
      <c r="P2436" t="n">
        <v>0</v>
      </c>
      <c r="Q2436" t="n">
        <v>0</v>
      </c>
      <c r="R2436" s="2" t="inlineStr"/>
    </row>
    <row r="2437" ht="15" customHeight="1">
      <c r="A2437" t="inlineStr">
        <is>
          <t>A 62093-2023</t>
        </is>
      </c>
      <c r="B2437" s="1" t="n">
        <v>45266</v>
      </c>
      <c r="C2437" s="1" t="n">
        <v>45268</v>
      </c>
      <c r="D2437" t="inlineStr">
        <is>
          <t>VÄSTERNORRLANDS LÄN</t>
        </is>
      </c>
      <c r="E2437" t="inlineStr">
        <is>
          <t>SOLLEFTEÅ</t>
        </is>
      </c>
      <c r="G2437" t="n">
        <v>18.1</v>
      </c>
      <c r="H2437" t="n">
        <v>0</v>
      </c>
      <c r="I2437" t="n">
        <v>0</v>
      </c>
      <c r="J2437" t="n">
        <v>0</v>
      </c>
      <c r="K2437" t="n">
        <v>0</v>
      </c>
      <c r="L2437" t="n">
        <v>0</v>
      </c>
      <c r="M2437" t="n">
        <v>0</v>
      </c>
      <c r="N2437" t="n">
        <v>0</v>
      </c>
      <c r="O2437" t="n">
        <v>0</v>
      </c>
      <c r="P2437" t="n">
        <v>0</v>
      </c>
      <c r="Q2437" t="n">
        <v>0</v>
      </c>
      <c r="R2437" s="2" t="inlineStr"/>
    </row>
    <row r="2438" ht="15" customHeight="1">
      <c r="A2438" t="inlineStr">
        <is>
          <t>A 62097-2023</t>
        </is>
      </c>
      <c r="B2438" s="1" t="n">
        <v>45266</v>
      </c>
      <c r="C2438" s="1" t="n">
        <v>45268</v>
      </c>
      <c r="D2438" t="inlineStr">
        <is>
          <t>VÄSTERNORRLANDS LÄN</t>
        </is>
      </c>
      <c r="E2438" t="inlineStr">
        <is>
          <t>SOLLEFTEÅ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62096-2023</t>
        </is>
      </c>
      <c r="B2439" s="1" t="n">
        <v>45266</v>
      </c>
      <c r="C2439" s="1" t="n">
        <v>45268</v>
      </c>
      <c r="D2439" t="inlineStr">
        <is>
          <t>VÄSTERNORRLANDS LÄN</t>
        </is>
      </c>
      <c r="E2439" t="inlineStr">
        <is>
          <t>SOLLEFTEÅ</t>
        </is>
      </c>
      <c r="F2439" t="inlineStr">
        <is>
          <t>Kyrkan</t>
        </is>
      </c>
      <c r="G2439" t="n">
        <v>8.9</v>
      </c>
      <c r="H2439" t="n">
        <v>0</v>
      </c>
      <c r="I2439" t="n">
        <v>0</v>
      </c>
      <c r="J2439" t="n">
        <v>0</v>
      </c>
      <c r="K2439" t="n">
        <v>0</v>
      </c>
      <c r="L2439" t="n">
        <v>0</v>
      </c>
      <c r="M2439" t="n">
        <v>0</v>
      </c>
      <c r="N2439" t="n">
        <v>0</v>
      </c>
      <c r="O2439" t="n">
        <v>0</v>
      </c>
      <c r="P2439" t="n">
        <v>0</v>
      </c>
      <c r="Q2439" t="n">
        <v>0</v>
      </c>
      <c r="R2439" s="2" t="inlineStr"/>
    </row>
    <row r="2440" ht="15" customHeight="1">
      <c r="A2440" t="inlineStr">
        <is>
          <t>A 62100-2023</t>
        </is>
      </c>
      <c r="B2440" s="1" t="n">
        <v>45266</v>
      </c>
      <c r="C2440" s="1" t="n">
        <v>45268</v>
      </c>
      <c r="D2440" t="inlineStr">
        <is>
          <t>VÄSTERNORRLANDS LÄN</t>
        </is>
      </c>
      <c r="E2440" t="inlineStr">
        <is>
          <t>SOLLEFTEÅ</t>
        </is>
      </c>
      <c r="G2440" t="n">
        <v>16.6</v>
      </c>
      <c r="H2440" t="n">
        <v>0</v>
      </c>
      <c r="I2440" t="n">
        <v>0</v>
      </c>
      <c r="J2440" t="n">
        <v>0</v>
      </c>
      <c r="K2440" t="n">
        <v>0</v>
      </c>
      <c r="L2440" t="n">
        <v>0</v>
      </c>
      <c r="M2440" t="n">
        <v>0</v>
      </c>
      <c r="N2440" t="n">
        <v>0</v>
      </c>
      <c r="O2440" t="n">
        <v>0</v>
      </c>
      <c r="P2440" t="n">
        <v>0</v>
      </c>
      <c r="Q2440" t="n">
        <v>0</v>
      </c>
      <c r="R2440" s="2" t="inlineStr"/>
    </row>
    <row r="2441" ht="15" customHeight="1">
      <c r="A2441" t="inlineStr">
        <is>
          <t>A 62098-2023</t>
        </is>
      </c>
      <c r="B2441" s="1" t="n">
        <v>45266</v>
      </c>
      <c r="C2441" s="1" t="n">
        <v>45268</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62364-2023</t>
        </is>
      </c>
      <c r="B2442" s="1" t="n">
        <v>45267</v>
      </c>
      <c r="C2442" s="1" t="n">
        <v>45268</v>
      </c>
      <c r="D2442" t="inlineStr">
        <is>
          <t>VÄSTERNORRLANDS LÄN</t>
        </is>
      </c>
      <c r="E2442" t="inlineStr">
        <is>
          <t>SOLLEFTEÅ</t>
        </is>
      </c>
      <c r="F2442" t="inlineStr">
        <is>
          <t>SCA</t>
        </is>
      </c>
      <c r="G2442" t="n">
        <v>22.1</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45268</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c r="A2444" t="inlineStr">
        <is>
          <t>A 62343-2023</t>
        </is>
      </c>
      <c r="B2444" s="1" t="n">
        <v>45267</v>
      </c>
      <c r="C2444" s="1" t="n">
        <v>45268</v>
      </c>
      <c r="D2444" t="inlineStr">
        <is>
          <t>VÄSTERNORRLANDS LÄN</t>
        </is>
      </c>
      <c r="E2444" t="inlineStr">
        <is>
          <t>SOLLEFTEÅ</t>
        </is>
      </c>
      <c r="G2444" t="n">
        <v>2.9</v>
      </c>
      <c r="H2444" t="n">
        <v>0</v>
      </c>
      <c r="I2444" t="n">
        <v>0</v>
      </c>
      <c r="J2444" t="n">
        <v>0</v>
      </c>
      <c r="K2444" t="n">
        <v>0</v>
      </c>
      <c r="L2444" t="n">
        <v>0</v>
      </c>
      <c r="M2444" t="n">
        <v>0</v>
      </c>
      <c r="N2444" t="n">
        <v>0</v>
      </c>
      <c r="O2444" t="n">
        <v>0</v>
      </c>
      <c r="P2444" t="n">
        <v>0</v>
      </c>
      <c r="Q2444" t="n">
        <v>0</v>
      </c>
      <c r="R24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2023-12-08T09:55:19Z</dcterms:created>
  <dcterms:modified xmlns:dcterms="http://purl.org/dc/terms/" xmlns:xsi="http://www.w3.org/2001/XMLSchema-instance" xsi:type="dcterms:W3CDTF">2023-12-08T09:55:20Z</dcterms:modified>
</cp:coreProperties>
</file>