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45802</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45802</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45802</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45802</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45802</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45802</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45802</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45802</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45802</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45802</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45802</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45802</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45802</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45802</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45802</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45802</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45802</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45802</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17679-2020</t>
        </is>
      </c>
      <c r="B33" s="1" t="n">
        <v>43923</v>
      </c>
      <c r="C33" s="1" t="n">
        <v>45802</v>
      </c>
      <c r="D33" t="inlineStr">
        <is>
          <t>VÄSTERNORRLANDS LÄN</t>
        </is>
      </c>
      <c r="E33" t="inlineStr">
        <is>
          <t>SOLLEFTEÅ</t>
        </is>
      </c>
      <c r="G33" t="n">
        <v>8.9</v>
      </c>
      <c r="H33" t="n">
        <v>2</v>
      </c>
      <c r="I33" t="n">
        <v>2</v>
      </c>
      <c r="J33" t="n">
        <v>10</v>
      </c>
      <c r="K33" t="n">
        <v>3</v>
      </c>
      <c r="L33" t="n">
        <v>0</v>
      </c>
      <c r="M33" t="n">
        <v>0</v>
      </c>
      <c r="N33" t="n">
        <v>0</v>
      </c>
      <c r="O33" t="n">
        <v>13</v>
      </c>
      <c r="P33" t="n">
        <v>3</v>
      </c>
      <c r="Q33" t="n">
        <v>15</v>
      </c>
      <c r="R33" s="2" t="inlineStr">
        <is>
          <t>Knärot
Rynkskinn
Ulltickeporing
Gammelgransskål
Garnlav
Granticka
Harticka
Lunglav
Rosenticka
Tretåig hackspett
Ullticka
Violettgrå tagellav
Vitgrynig nållav
Skinnlav
Stuplav</t>
        </is>
      </c>
      <c r="S33">
        <f>HYPERLINK("https://klasma.github.io/Logging_2283/artfynd/A 17679-2020 artfynd.xlsx", "A 17679-2020")</f>
        <v/>
      </c>
      <c r="T33">
        <f>HYPERLINK("https://klasma.github.io/Logging_2283/kartor/A 17679-2020 karta.png", "A 17679-2020")</f>
        <v/>
      </c>
      <c r="U33">
        <f>HYPERLINK("https://klasma.github.io/Logging_2283/knärot/A 17679-2020 karta knärot.png", "A 17679-2020")</f>
        <v/>
      </c>
      <c r="V33">
        <f>HYPERLINK("https://klasma.github.io/Logging_2283/klagomål/A 17679-2020 FSC-klagomål.docx", "A 17679-2020")</f>
        <v/>
      </c>
      <c r="W33">
        <f>HYPERLINK("https://klasma.github.io/Logging_2283/klagomålsmail/A 17679-2020 FSC-klagomål mail.docx", "A 17679-2020")</f>
        <v/>
      </c>
      <c r="X33">
        <f>HYPERLINK("https://klasma.github.io/Logging_2283/tillsyn/A 17679-2020 tillsynsbegäran.docx", "A 17679-2020")</f>
        <v/>
      </c>
      <c r="Y33">
        <f>HYPERLINK("https://klasma.github.io/Logging_2283/tillsynsmail/A 17679-2020 tillsynsbegäran mail.docx", "A 17679-2020")</f>
        <v/>
      </c>
      <c r="Z33">
        <f>HYPERLINK("https://klasma.github.io/Logging_2283/fåglar/A 17679-2020 prioriterade fågelarter.docx", "A 17679-2020")</f>
        <v/>
      </c>
    </row>
    <row r="34" ht="15" customHeight="1">
      <c r="A34" t="inlineStr">
        <is>
          <t>A 34269-2022</t>
        </is>
      </c>
      <c r="B34" s="1" t="n">
        <v>44791</v>
      </c>
      <c r="C34" s="1" t="n">
        <v>45802</v>
      </c>
      <c r="D34" t="inlineStr">
        <is>
          <t>VÄSTERNORRLANDS LÄN</t>
        </is>
      </c>
      <c r="E34" t="inlineStr">
        <is>
          <t>SOLLEFTEÅ</t>
        </is>
      </c>
      <c r="F34" t="inlineStr">
        <is>
          <t>SCA</t>
        </is>
      </c>
      <c r="G34" t="n">
        <v>5.9</v>
      </c>
      <c r="H34" t="n">
        <v>3</v>
      </c>
      <c r="I34" t="n">
        <v>2</v>
      </c>
      <c r="J34" t="n">
        <v>11</v>
      </c>
      <c r="K34" t="n">
        <v>2</v>
      </c>
      <c r="L34" t="n">
        <v>0</v>
      </c>
      <c r="M34" t="n">
        <v>0</v>
      </c>
      <c r="N34" t="n">
        <v>0</v>
      </c>
      <c r="O34" t="n">
        <v>13</v>
      </c>
      <c r="P34" t="n">
        <v>2</v>
      </c>
      <c r="Q34" t="n">
        <v>15</v>
      </c>
      <c r="R34" s="2" t="inlineStr">
        <is>
          <t>Knärot
Smalfotad taggsvamp
Gammelgransskål
Garnlav
Granticka
Gränsticka
Kolflarnlav
Rosenticka
Tallticka
Talltita
Tretåig hackspett
Vaddporing
Vedskivlav
Norrlandslav
Vedticka</t>
        </is>
      </c>
      <c r="S34">
        <f>HYPERLINK("https://klasma.github.io/Logging_2283/artfynd/A 34269-2022 artfynd.xlsx", "A 34269-2022")</f>
        <v/>
      </c>
      <c r="T34">
        <f>HYPERLINK("https://klasma.github.io/Logging_2283/kartor/A 34269-2022 karta.png", "A 34269-2022")</f>
        <v/>
      </c>
      <c r="U34">
        <f>HYPERLINK("https://klasma.github.io/Logging_2283/knärot/A 34269-2022 karta knärot.png", "A 34269-2022")</f>
        <v/>
      </c>
      <c r="V34">
        <f>HYPERLINK("https://klasma.github.io/Logging_2283/klagomål/A 34269-2022 FSC-klagomål.docx", "A 34269-2022")</f>
        <v/>
      </c>
      <c r="W34">
        <f>HYPERLINK("https://klasma.github.io/Logging_2283/klagomålsmail/A 34269-2022 FSC-klagomål mail.docx", "A 34269-2022")</f>
        <v/>
      </c>
      <c r="X34">
        <f>HYPERLINK("https://klasma.github.io/Logging_2283/tillsyn/A 34269-2022 tillsynsbegäran.docx", "A 34269-2022")</f>
        <v/>
      </c>
      <c r="Y34">
        <f>HYPERLINK("https://klasma.github.io/Logging_2283/tillsynsmail/A 34269-2022 tillsynsbegäran mail.docx", "A 34269-2022")</f>
        <v/>
      </c>
      <c r="Z34">
        <f>HYPERLINK("https://klasma.github.io/Logging_2283/fåglar/A 34269-2022 prioriterade fågelarter.docx", "A 34269-2022")</f>
        <v/>
      </c>
    </row>
    <row r="35" ht="15" customHeight="1">
      <c r="A35" t="inlineStr">
        <is>
          <t>A 14501-2023</t>
        </is>
      </c>
      <c r="B35" s="1" t="n">
        <v>45012</v>
      </c>
      <c r="C35" s="1" t="n">
        <v>45802</v>
      </c>
      <c r="D35" t="inlineStr">
        <is>
          <t>VÄSTERNORRLANDS LÄN</t>
        </is>
      </c>
      <c r="E35" t="inlineStr">
        <is>
          <t>SOLLEFTEÅ</t>
        </is>
      </c>
      <c r="F35" t="inlineStr">
        <is>
          <t>Kyrkan</t>
        </is>
      </c>
      <c r="G35" t="n">
        <v>43.2</v>
      </c>
      <c r="H35" t="n">
        <v>6</v>
      </c>
      <c r="I35" t="n">
        <v>4</v>
      </c>
      <c r="J35" t="n">
        <v>8</v>
      </c>
      <c r="K35" t="n">
        <v>1</v>
      </c>
      <c r="L35" t="n">
        <v>0</v>
      </c>
      <c r="M35" t="n">
        <v>0</v>
      </c>
      <c r="N35" t="n">
        <v>0</v>
      </c>
      <c r="O35" t="n">
        <v>9</v>
      </c>
      <c r="P35" t="n">
        <v>1</v>
      </c>
      <c r="Q35" t="n">
        <v>15</v>
      </c>
      <c r="R35" s="2" t="inlineStr">
        <is>
          <t>Knärot
Gammelgransskål
Garnlav
Kolflarnlav
Mörk kolflarnlav
Rosenticka
Tretåig hackspett
Ullticka
Vedskivlav
Mörk husmossa
Plattlummer
Spindelblomster
Vedticka
Vanlig padda
Fläcknycklar</t>
        </is>
      </c>
      <c r="S35">
        <f>HYPERLINK("https://klasma.github.io/Logging_2283/artfynd/A 14501-2023 artfynd.xlsx", "A 14501-2023")</f>
        <v/>
      </c>
      <c r="T35">
        <f>HYPERLINK("https://klasma.github.io/Logging_2283/kartor/A 14501-2023 karta.png", "A 14501-2023")</f>
        <v/>
      </c>
      <c r="U35">
        <f>HYPERLINK("https://klasma.github.io/Logging_2283/knärot/A 14501-2023 karta knärot.png", "A 14501-2023")</f>
        <v/>
      </c>
      <c r="V35">
        <f>HYPERLINK("https://klasma.github.io/Logging_2283/klagomål/A 14501-2023 FSC-klagomål.docx", "A 14501-2023")</f>
        <v/>
      </c>
      <c r="W35">
        <f>HYPERLINK("https://klasma.github.io/Logging_2283/klagomålsmail/A 14501-2023 FSC-klagomål mail.docx", "A 14501-2023")</f>
        <v/>
      </c>
      <c r="X35">
        <f>HYPERLINK("https://klasma.github.io/Logging_2283/tillsyn/A 14501-2023 tillsynsbegäran.docx", "A 14501-2023")</f>
        <v/>
      </c>
      <c r="Y35">
        <f>HYPERLINK("https://klasma.github.io/Logging_2283/tillsynsmail/A 14501-2023 tillsynsbegäran mail.docx", "A 14501-2023")</f>
        <v/>
      </c>
      <c r="Z35">
        <f>HYPERLINK("https://klasma.github.io/Logging_2283/fåglar/A 14501-2023 prioriterade fågelarter.docx", "A 14501-2023")</f>
        <v/>
      </c>
    </row>
    <row r="36" ht="15" customHeight="1">
      <c r="A36" t="inlineStr">
        <is>
          <t>A 41505-2024</t>
        </is>
      </c>
      <c r="B36" s="1" t="n">
        <v>45560</v>
      </c>
      <c r="C36" s="1" t="n">
        <v>45802</v>
      </c>
      <c r="D36" t="inlineStr">
        <is>
          <t>VÄSTERNORRLANDS LÄN</t>
        </is>
      </c>
      <c r="E36" t="inlineStr">
        <is>
          <t>SOLLEFTEÅ</t>
        </is>
      </c>
      <c r="F36" t="inlineStr">
        <is>
          <t>SCA</t>
        </is>
      </c>
      <c r="G36" t="n">
        <v>13.2</v>
      </c>
      <c r="H36" t="n">
        <v>5</v>
      </c>
      <c r="I36" t="n">
        <v>1</v>
      </c>
      <c r="J36" t="n">
        <v>9</v>
      </c>
      <c r="K36" t="n">
        <v>4</v>
      </c>
      <c r="L36" t="n">
        <v>0</v>
      </c>
      <c r="M36" t="n">
        <v>0</v>
      </c>
      <c r="N36" t="n">
        <v>0</v>
      </c>
      <c r="O36" t="n">
        <v>13</v>
      </c>
      <c r="P36" t="n">
        <v>4</v>
      </c>
      <c r="Q36" t="n">
        <v>15</v>
      </c>
      <c r="R36" s="2" t="inlineStr">
        <is>
          <t>Blackticka
Knärot
Rynkskinn
Ulltickeporing
Gammelgransskål
Garnlav
Järpe
Lunglav
Rosenticka
Tallticka
Talltita
Tretåig hackspett
Ullticka
Dropptaggsvamp
Tjäder</t>
        </is>
      </c>
      <c r="S36">
        <f>HYPERLINK("https://klasma.github.io/Logging_2283/artfynd/A 41505-2024 artfynd.xlsx", "A 41505-2024")</f>
        <v/>
      </c>
      <c r="T36">
        <f>HYPERLINK("https://klasma.github.io/Logging_2283/kartor/A 41505-2024 karta.png", "A 41505-2024")</f>
        <v/>
      </c>
      <c r="U36">
        <f>HYPERLINK("https://klasma.github.io/Logging_2283/knärot/A 41505-2024 karta knärot.png", "A 41505-2024")</f>
        <v/>
      </c>
      <c r="V36">
        <f>HYPERLINK("https://klasma.github.io/Logging_2283/klagomål/A 41505-2024 FSC-klagomål.docx", "A 41505-2024")</f>
        <v/>
      </c>
      <c r="W36">
        <f>HYPERLINK("https://klasma.github.io/Logging_2283/klagomålsmail/A 41505-2024 FSC-klagomål mail.docx", "A 41505-2024")</f>
        <v/>
      </c>
      <c r="X36">
        <f>HYPERLINK("https://klasma.github.io/Logging_2283/tillsyn/A 41505-2024 tillsynsbegäran.docx", "A 41505-2024")</f>
        <v/>
      </c>
      <c r="Y36">
        <f>HYPERLINK("https://klasma.github.io/Logging_2283/tillsynsmail/A 41505-2024 tillsynsbegäran mail.docx", "A 41505-2024")</f>
        <v/>
      </c>
      <c r="Z36">
        <f>HYPERLINK("https://klasma.github.io/Logging_2283/fåglar/A 41505-2024 prioriterade fågelarter.docx", "A 41505-2024")</f>
        <v/>
      </c>
    </row>
    <row r="37" ht="15" customHeight="1">
      <c r="A37" t="inlineStr">
        <is>
          <t>A 20841-2019</t>
        </is>
      </c>
      <c r="B37" s="1" t="n">
        <v>43576</v>
      </c>
      <c r="C37" s="1" t="n">
        <v>45802</v>
      </c>
      <c r="D37" t="inlineStr">
        <is>
          <t>VÄSTERNORRLANDS LÄN</t>
        </is>
      </c>
      <c r="E37" t="inlineStr">
        <is>
          <t>SOLLEFTEÅ</t>
        </is>
      </c>
      <c r="G37" t="n">
        <v>13.6</v>
      </c>
      <c r="H37" t="n">
        <v>2</v>
      </c>
      <c r="I37" t="n">
        <v>3</v>
      </c>
      <c r="J37" t="n">
        <v>7</v>
      </c>
      <c r="K37" t="n">
        <v>4</v>
      </c>
      <c r="L37" t="n">
        <v>0</v>
      </c>
      <c r="M37" t="n">
        <v>0</v>
      </c>
      <c r="N37" t="n">
        <v>0</v>
      </c>
      <c r="O37" t="n">
        <v>11</v>
      </c>
      <c r="P37" t="n">
        <v>4</v>
      </c>
      <c r="Q37" t="n">
        <v>14</v>
      </c>
      <c r="R37" s="2" t="inlineStr">
        <is>
          <t>Fläckporing
Gräddporing
Lappticka
Rynkskinn
Garnlav
Kolflarnlav
Lunglav
Rosenticka
Spillkråka
Tretåig hackspett
Ullticka
Skinnlav
Stor aspticka
Vedticka</t>
        </is>
      </c>
      <c r="S37">
        <f>HYPERLINK("https://klasma.github.io/Logging_2283/artfynd/A 20841-2019 artfynd.xlsx", "A 20841-2019")</f>
        <v/>
      </c>
      <c r="T37">
        <f>HYPERLINK("https://klasma.github.io/Logging_2283/kartor/A 20841-2019 karta.png", "A 20841-2019")</f>
        <v/>
      </c>
      <c r="V37">
        <f>HYPERLINK("https://klasma.github.io/Logging_2283/klagomål/A 20841-2019 FSC-klagomål.docx", "A 20841-2019")</f>
        <v/>
      </c>
      <c r="W37">
        <f>HYPERLINK("https://klasma.github.io/Logging_2283/klagomålsmail/A 20841-2019 FSC-klagomål mail.docx", "A 20841-2019")</f>
        <v/>
      </c>
      <c r="X37">
        <f>HYPERLINK("https://klasma.github.io/Logging_2283/tillsyn/A 20841-2019 tillsynsbegäran.docx", "A 20841-2019")</f>
        <v/>
      </c>
      <c r="Y37">
        <f>HYPERLINK("https://klasma.github.io/Logging_2283/tillsynsmail/A 20841-2019 tillsynsbegäran mail.docx", "A 20841-2019")</f>
        <v/>
      </c>
      <c r="Z37">
        <f>HYPERLINK("https://klasma.github.io/Logging_2283/fåglar/A 20841-2019 prioriterade fågelarter.docx", "A 20841-2019")</f>
        <v/>
      </c>
    </row>
    <row r="38" ht="15" customHeight="1">
      <c r="A38" t="inlineStr">
        <is>
          <t>A 64116-2019</t>
        </is>
      </c>
      <c r="B38" s="1" t="n">
        <v>43796</v>
      </c>
      <c r="C38" s="1" t="n">
        <v>45802</v>
      </c>
      <c r="D38" t="inlineStr">
        <is>
          <t>VÄSTERNORRLANDS LÄN</t>
        </is>
      </c>
      <c r="E38" t="inlineStr">
        <is>
          <t>SOLLEFTEÅ</t>
        </is>
      </c>
      <c r="G38" t="n">
        <v>32.4</v>
      </c>
      <c r="H38" t="n">
        <v>2</v>
      </c>
      <c r="I38" t="n">
        <v>3</v>
      </c>
      <c r="J38" t="n">
        <v>7</v>
      </c>
      <c r="K38" t="n">
        <v>3</v>
      </c>
      <c r="L38" t="n">
        <v>0</v>
      </c>
      <c r="M38" t="n">
        <v>0</v>
      </c>
      <c r="N38" t="n">
        <v>0</v>
      </c>
      <c r="O38" t="n">
        <v>10</v>
      </c>
      <c r="P38" t="n">
        <v>3</v>
      </c>
      <c r="Q38" t="n">
        <v>14</v>
      </c>
      <c r="R38" s="2" t="inlineStr">
        <is>
          <t>Knärot
Lappticka
Rynkskinn
Doftskinn
Garnlav
Granticka
Gränsticka
Lunglav
Rosenticka
Ullticka
Korallblylav
Stuplav
Vedticka
Revlummer</t>
        </is>
      </c>
      <c r="S38">
        <f>HYPERLINK("https://klasma.github.io/Logging_2283/artfynd/A 64116-2019 artfynd.xlsx", "A 64116-2019")</f>
        <v/>
      </c>
      <c r="T38">
        <f>HYPERLINK("https://klasma.github.io/Logging_2283/kartor/A 64116-2019 karta.png", "A 64116-2019")</f>
        <v/>
      </c>
      <c r="U38">
        <f>HYPERLINK("https://klasma.github.io/Logging_2283/knärot/A 64116-2019 karta knärot.png", "A 64116-2019")</f>
        <v/>
      </c>
      <c r="V38">
        <f>HYPERLINK("https://klasma.github.io/Logging_2283/klagomål/A 64116-2019 FSC-klagomål.docx", "A 64116-2019")</f>
        <v/>
      </c>
      <c r="W38">
        <f>HYPERLINK("https://klasma.github.io/Logging_2283/klagomålsmail/A 64116-2019 FSC-klagomål mail.docx", "A 64116-2019")</f>
        <v/>
      </c>
      <c r="X38">
        <f>HYPERLINK("https://klasma.github.io/Logging_2283/tillsyn/A 64116-2019 tillsynsbegäran.docx", "A 64116-2019")</f>
        <v/>
      </c>
      <c r="Y38">
        <f>HYPERLINK("https://klasma.github.io/Logging_2283/tillsynsmail/A 64116-2019 tillsynsbegäran mail.docx", "A 64116-2019")</f>
        <v/>
      </c>
    </row>
    <row r="39" ht="15" customHeight="1">
      <c r="A39" t="inlineStr">
        <is>
          <t>A 21686-2023</t>
        </is>
      </c>
      <c r="B39" s="1" t="n">
        <v>45063</v>
      </c>
      <c r="C39" s="1" t="n">
        <v>45802</v>
      </c>
      <c r="D39" t="inlineStr">
        <is>
          <t>VÄSTERNORRLANDS LÄN</t>
        </is>
      </c>
      <c r="E39" t="inlineStr">
        <is>
          <t>SOLLEFTEÅ</t>
        </is>
      </c>
      <c r="F39" t="inlineStr">
        <is>
          <t>SCA</t>
        </is>
      </c>
      <c r="G39" t="n">
        <v>12.6</v>
      </c>
      <c r="H39" t="n">
        <v>3</v>
      </c>
      <c r="I39" t="n">
        <v>3</v>
      </c>
      <c r="J39" t="n">
        <v>9</v>
      </c>
      <c r="K39" t="n">
        <v>2</v>
      </c>
      <c r="L39" t="n">
        <v>0</v>
      </c>
      <c r="M39" t="n">
        <v>0</v>
      </c>
      <c r="N39" t="n">
        <v>0</v>
      </c>
      <c r="O39" t="n">
        <v>11</v>
      </c>
      <c r="P39" t="n">
        <v>2</v>
      </c>
      <c r="Q39" t="n">
        <v>14</v>
      </c>
      <c r="R39" s="2" t="inlineStr">
        <is>
          <t>Knärot
Lappticka
Blå taggsvamp
Garnlav
Järpe
Kolflarnlav
Mörk kolflarnlav
Orange taggsvamp
Svart taggsvamp
Tretåig hackspett
Ullticka
Dropptaggsvamp
Skuggblåslav
Vedticka</t>
        </is>
      </c>
      <c r="S39">
        <f>HYPERLINK("https://klasma.github.io/Logging_2283/artfynd/A 21686-2023 artfynd.xlsx", "A 21686-2023")</f>
        <v/>
      </c>
      <c r="T39">
        <f>HYPERLINK("https://klasma.github.io/Logging_2283/kartor/A 21686-2023 karta.png", "A 21686-2023")</f>
        <v/>
      </c>
      <c r="U39">
        <f>HYPERLINK("https://klasma.github.io/Logging_2283/knärot/A 21686-2023 karta knärot.png", "A 21686-2023")</f>
        <v/>
      </c>
      <c r="V39">
        <f>HYPERLINK("https://klasma.github.io/Logging_2283/klagomål/A 21686-2023 FSC-klagomål.docx", "A 21686-2023")</f>
        <v/>
      </c>
      <c r="W39">
        <f>HYPERLINK("https://klasma.github.io/Logging_2283/klagomålsmail/A 21686-2023 FSC-klagomål mail.docx", "A 21686-2023")</f>
        <v/>
      </c>
      <c r="X39">
        <f>HYPERLINK("https://klasma.github.io/Logging_2283/tillsyn/A 21686-2023 tillsynsbegäran.docx", "A 21686-2023")</f>
        <v/>
      </c>
      <c r="Y39">
        <f>HYPERLINK("https://klasma.github.io/Logging_2283/tillsynsmail/A 21686-2023 tillsynsbegäran mail.docx", "A 21686-2023")</f>
        <v/>
      </c>
      <c r="Z39">
        <f>HYPERLINK("https://klasma.github.io/Logging_2283/fåglar/A 21686-2023 prioriterade fågelarter.docx", "A 21686-2023")</f>
        <v/>
      </c>
    </row>
    <row r="40" ht="15" customHeight="1">
      <c r="A40" t="inlineStr">
        <is>
          <t>A 10626-2024</t>
        </is>
      </c>
      <c r="B40" s="1" t="n">
        <v>45367</v>
      </c>
      <c r="C40" s="1" t="n">
        <v>45802</v>
      </c>
      <c r="D40" t="inlineStr">
        <is>
          <t>VÄSTERNORRLANDS LÄN</t>
        </is>
      </c>
      <c r="E40" t="inlineStr">
        <is>
          <t>SOLLEFTEÅ</t>
        </is>
      </c>
      <c r="G40" t="n">
        <v>7.4</v>
      </c>
      <c r="H40" t="n">
        <v>6</v>
      </c>
      <c r="I40" t="n">
        <v>2</v>
      </c>
      <c r="J40" t="n">
        <v>6</v>
      </c>
      <c r="K40" t="n">
        <v>4</v>
      </c>
      <c r="L40" t="n">
        <v>0</v>
      </c>
      <c r="M40" t="n">
        <v>0</v>
      </c>
      <c r="N40" t="n">
        <v>0</v>
      </c>
      <c r="O40" t="n">
        <v>10</v>
      </c>
      <c r="P40" t="n">
        <v>4</v>
      </c>
      <c r="Q40" t="n">
        <v>14</v>
      </c>
      <c r="R40" s="2" t="inlineStr">
        <is>
          <t>Blackticka
Knärot
Lappticka
Rynkskinn
Garnlav
Hornvaxskinn
Rosenticka
Spillkråka
Tretåig hackspett
Ullticka
Plattlummer
Vedticka
Tjäder
Revlummer</t>
        </is>
      </c>
      <c r="S40">
        <f>HYPERLINK("https://klasma.github.io/Logging_2283/artfynd/A 10626-2024 artfynd.xlsx", "A 10626-2024")</f>
        <v/>
      </c>
      <c r="T40">
        <f>HYPERLINK("https://klasma.github.io/Logging_2283/kartor/A 10626-2024 karta.png", "A 10626-2024")</f>
        <v/>
      </c>
      <c r="U40">
        <f>HYPERLINK("https://klasma.github.io/Logging_2283/knärot/A 10626-2024 karta knärot.png", "A 10626-2024")</f>
        <v/>
      </c>
      <c r="V40">
        <f>HYPERLINK("https://klasma.github.io/Logging_2283/klagomål/A 10626-2024 FSC-klagomål.docx", "A 10626-2024")</f>
        <v/>
      </c>
      <c r="W40">
        <f>HYPERLINK("https://klasma.github.io/Logging_2283/klagomålsmail/A 10626-2024 FSC-klagomål mail.docx", "A 10626-2024")</f>
        <v/>
      </c>
      <c r="X40">
        <f>HYPERLINK("https://klasma.github.io/Logging_2283/tillsyn/A 10626-2024 tillsynsbegäran.docx", "A 10626-2024")</f>
        <v/>
      </c>
      <c r="Y40">
        <f>HYPERLINK("https://klasma.github.io/Logging_2283/tillsynsmail/A 10626-2024 tillsynsbegäran mail.docx", "A 10626-2024")</f>
        <v/>
      </c>
      <c r="Z40">
        <f>HYPERLINK("https://klasma.github.io/Logging_2283/fåglar/A 10626-2024 prioriterade fågelarter.docx", "A 10626-2024")</f>
        <v/>
      </c>
    </row>
    <row r="41" ht="15" customHeight="1">
      <c r="A41" t="inlineStr">
        <is>
          <t>A 31661-2024</t>
        </is>
      </c>
      <c r="B41" s="1" t="n">
        <v>45507</v>
      </c>
      <c r="C41" s="1" t="n">
        <v>45802</v>
      </c>
      <c r="D41" t="inlineStr">
        <is>
          <t>VÄSTERNORRLANDS LÄN</t>
        </is>
      </c>
      <c r="E41" t="inlineStr">
        <is>
          <t>SOLLEFTEÅ</t>
        </is>
      </c>
      <c r="G41" t="n">
        <v>5.8</v>
      </c>
      <c r="H41" t="n">
        <v>4</v>
      </c>
      <c r="I41" t="n">
        <v>1</v>
      </c>
      <c r="J41" t="n">
        <v>9</v>
      </c>
      <c r="K41" t="n">
        <v>2</v>
      </c>
      <c r="L41" t="n">
        <v>1</v>
      </c>
      <c r="M41" t="n">
        <v>0</v>
      </c>
      <c r="N41" t="n">
        <v>0</v>
      </c>
      <c r="O41" t="n">
        <v>12</v>
      </c>
      <c r="P41" t="n">
        <v>3</v>
      </c>
      <c r="Q41" t="n">
        <v>14</v>
      </c>
      <c r="R41" s="2" t="inlineStr">
        <is>
          <t>Djupsvart brunbagge
Knärot
Rynkskinn
Granticka
Gränsticka
Harticka
Leptoporus mollis
Lunglav
Rosenticka
Talltita
Tretåig hackspett
Ullticka
Vågbandad barkbock
Revlummer</t>
        </is>
      </c>
      <c r="S41">
        <f>HYPERLINK("https://klasma.github.io/Logging_2283/artfynd/A 31661-2024 artfynd.xlsx", "A 31661-2024")</f>
        <v/>
      </c>
      <c r="T41">
        <f>HYPERLINK("https://klasma.github.io/Logging_2283/kartor/A 31661-2024 karta.png", "A 31661-2024")</f>
        <v/>
      </c>
      <c r="U41">
        <f>HYPERLINK("https://klasma.github.io/Logging_2283/knärot/A 31661-2024 karta knärot.png", "A 31661-2024")</f>
        <v/>
      </c>
      <c r="V41">
        <f>HYPERLINK("https://klasma.github.io/Logging_2283/klagomål/A 31661-2024 FSC-klagomål.docx", "A 31661-2024")</f>
        <v/>
      </c>
      <c r="W41">
        <f>HYPERLINK("https://klasma.github.io/Logging_2283/klagomålsmail/A 31661-2024 FSC-klagomål mail.docx", "A 31661-2024")</f>
        <v/>
      </c>
      <c r="X41">
        <f>HYPERLINK("https://klasma.github.io/Logging_2283/tillsyn/A 31661-2024 tillsynsbegäran.docx", "A 31661-2024")</f>
        <v/>
      </c>
      <c r="Y41">
        <f>HYPERLINK("https://klasma.github.io/Logging_2283/tillsynsmail/A 31661-2024 tillsynsbegäran mail.docx", "A 31661-2024")</f>
        <v/>
      </c>
      <c r="Z41">
        <f>HYPERLINK("https://klasma.github.io/Logging_2283/fåglar/A 31661-2024 prioriterade fågelarter.docx", "A 31661-2024")</f>
        <v/>
      </c>
    </row>
    <row r="42" ht="15" customHeight="1">
      <c r="A42" t="inlineStr">
        <is>
          <t>A 32459-2024</t>
        </is>
      </c>
      <c r="B42" s="1" t="n">
        <v>45512</v>
      </c>
      <c r="C42" s="1" t="n">
        <v>45802</v>
      </c>
      <c r="D42" t="inlineStr">
        <is>
          <t>VÄSTERNORRLANDS LÄN</t>
        </is>
      </c>
      <c r="E42" t="inlineStr">
        <is>
          <t>SOLLEFTEÅ</t>
        </is>
      </c>
      <c r="F42" t="inlineStr">
        <is>
          <t>SCA</t>
        </is>
      </c>
      <c r="G42" t="n">
        <v>12.6</v>
      </c>
      <c r="H42" t="n">
        <v>4</v>
      </c>
      <c r="I42" t="n">
        <v>2</v>
      </c>
      <c r="J42" t="n">
        <v>8</v>
      </c>
      <c r="K42" t="n">
        <v>3</v>
      </c>
      <c r="L42" t="n">
        <v>0</v>
      </c>
      <c r="M42" t="n">
        <v>0</v>
      </c>
      <c r="N42" t="n">
        <v>0</v>
      </c>
      <c r="O42" t="n">
        <v>11</v>
      </c>
      <c r="P42" t="n">
        <v>3</v>
      </c>
      <c r="Q42" t="n">
        <v>14</v>
      </c>
      <c r="R42" s="2" t="inlineStr">
        <is>
          <t>Blackticka
Knärot
Rynkskinn
Garnlav
Gränsticka
Lunglav
Spillkråka
Tallticka
Tretåig hackspett
Ullticka
Vitgrynig nållav
Stuplav
Vedticka
Tjäder</t>
        </is>
      </c>
      <c r="S42">
        <f>HYPERLINK("https://klasma.github.io/Logging_2283/artfynd/A 32459-2024 artfynd.xlsx", "A 32459-2024")</f>
        <v/>
      </c>
      <c r="T42">
        <f>HYPERLINK("https://klasma.github.io/Logging_2283/kartor/A 32459-2024 karta.png", "A 32459-2024")</f>
        <v/>
      </c>
      <c r="U42">
        <f>HYPERLINK("https://klasma.github.io/Logging_2283/knärot/A 32459-2024 karta knärot.png", "A 32459-2024")</f>
        <v/>
      </c>
      <c r="V42">
        <f>HYPERLINK("https://klasma.github.io/Logging_2283/klagomål/A 32459-2024 FSC-klagomål.docx", "A 32459-2024")</f>
        <v/>
      </c>
      <c r="W42">
        <f>HYPERLINK("https://klasma.github.io/Logging_2283/klagomålsmail/A 32459-2024 FSC-klagomål mail.docx", "A 32459-2024")</f>
        <v/>
      </c>
      <c r="X42">
        <f>HYPERLINK("https://klasma.github.io/Logging_2283/tillsyn/A 32459-2024 tillsynsbegäran.docx", "A 32459-2024")</f>
        <v/>
      </c>
      <c r="Y42">
        <f>HYPERLINK("https://klasma.github.io/Logging_2283/tillsynsmail/A 32459-2024 tillsynsbegäran mail.docx", "A 32459-2024")</f>
        <v/>
      </c>
      <c r="Z42">
        <f>HYPERLINK("https://klasma.github.io/Logging_2283/fåglar/A 32459-2024 prioriterade fågelarter.docx", "A 32459-2024")</f>
        <v/>
      </c>
    </row>
    <row r="43" ht="15" customHeight="1">
      <c r="A43" t="inlineStr">
        <is>
          <t>A 40262-2024</t>
        </is>
      </c>
      <c r="B43" s="1" t="n">
        <v>45554</v>
      </c>
      <c r="C43" s="1" t="n">
        <v>45802</v>
      </c>
      <c r="D43" t="inlineStr">
        <is>
          <t>VÄSTERNORRLANDS LÄN</t>
        </is>
      </c>
      <c r="E43" t="inlineStr">
        <is>
          <t>SOLLEFTEÅ</t>
        </is>
      </c>
      <c r="F43" t="inlineStr">
        <is>
          <t>SCA</t>
        </is>
      </c>
      <c r="G43" t="n">
        <v>17.9</v>
      </c>
      <c r="H43" t="n">
        <v>4</v>
      </c>
      <c r="I43" t="n">
        <v>2</v>
      </c>
      <c r="J43" t="n">
        <v>11</v>
      </c>
      <c r="K43" t="n">
        <v>1</v>
      </c>
      <c r="L43" t="n">
        <v>0</v>
      </c>
      <c r="M43" t="n">
        <v>0</v>
      </c>
      <c r="N43" t="n">
        <v>0</v>
      </c>
      <c r="O43" t="n">
        <v>12</v>
      </c>
      <c r="P43" t="n">
        <v>1</v>
      </c>
      <c r="Q43" t="n">
        <v>14</v>
      </c>
      <c r="R43" s="2" t="inlineStr">
        <is>
          <t>Knärot
Garnlav
Järpe
Kolflarnlav
Leptoporus mollis
Motaggsvamp
Rosenticka
Spillkråka
Stjärntagging
Tallticka
Tretåig hackspett
Ullticka
Bollvitmossa
Vedticka</t>
        </is>
      </c>
      <c r="S43">
        <f>HYPERLINK("https://klasma.github.io/Logging_2283/artfynd/A 40262-2024 artfynd.xlsx", "A 40262-2024")</f>
        <v/>
      </c>
      <c r="T43">
        <f>HYPERLINK("https://klasma.github.io/Logging_2283/kartor/A 40262-2024 karta.png", "A 40262-2024")</f>
        <v/>
      </c>
      <c r="U43">
        <f>HYPERLINK("https://klasma.github.io/Logging_2283/knärot/A 40262-2024 karta knärot.png", "A 40262-2024")</f>
        <v/>
      </c>
      <c r="V43">
        <f>HYPERLINK("https://klasma.github.io/Logging_2283/klagomål/A 40262-2024 FSC-klagomål.docx", "A 40262-2024")</f>
        <v/>
      </c>
      <c r="W43">
        <f>HYPERLINK("https://klasma.github.io/Logging_2283/klagomålsmail/A 40262-2024 FSC-klagomål mail.docx", "A 40262-2024")</f>
        <v/>
      </c>
      <c r="X43">
        <f>HYPERLINK("https://klasma.github.io/Logging_2283/tillsyn/A 40262-2024 tillsynsbegäran.docx", "A 40262-2024")</f>
        <v/>
      </c>
      <c r="Y43">
        <f>HYPERLINK("https://klasma.github.io/Logging_2283/tillsynsmail/A 40262-2024 tillsynsbegäran mail.docx", "A 40262-2024")</f>
        <v/>
      </c>
      <c r="Z43">
        <f>HYPERLINK("https://klasma.github.io/Logging_2283/fåglar/A 40262-2024 prioriterade fågelarter.docx", "A 40262-2024")</f>
        <v/>
      </c>
    </row>
    <row r="44" ht="15" customHeight="1">
      <c r="A44" t="inlineStr">
        <is>
          <t>A 44297-2024</t>
        </is>
      </c>
      <c r="B44" s="1" t="n">
        <v>45573</v>
      </c>
      <c r="C44" s="1" t="n">
        <v>45802</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45802</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45802</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45802</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45802</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45802</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45802</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45802</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45802</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45802</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45802</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45802</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45802</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45802</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45802</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45802</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45802</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45802</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45802</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45802</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45802</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45802</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45802</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45802</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45802</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45802</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45802</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45802</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45802</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45802</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45802</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45802</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45802</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45802</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45802</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45802</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45802</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45802</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45802</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45802</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45802</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45802</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45802</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45802</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45802</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45802</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45802</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45802</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45802</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45802</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45802</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45802</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45802</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45802</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45802</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45802</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45802</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45802</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45802</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45802</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45802</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45802</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45802</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45802</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45802</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45802</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45802</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45802</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45802</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45802</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45802</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45802</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45802</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45802</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45802</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45802</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45802</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45802</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45802</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45802</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45802</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45802</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45802</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45802</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45802</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45802</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45802</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45802</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45802</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45802</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45802</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45802</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45802</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45802</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45802</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45802</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45802</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45802</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45802</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45802</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45802</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45802</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45802</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45802</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45802</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45802</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24359-2025</t>
        </is>
      </c>
      <c r="B150" s="1" t="n">
        <v>45797</v>
      </c>
      <c r="C150" s="1" t="n">
        <v>45802</v>
      </c>
      <c r="D150" t="inlineStr">
        <is>
          <t>VÄSTERNORRLANDS LÄN</t>
        </is>
      </c>
      <c r="E150" t="inlineStr">
        <is>
          <t>SOLLEFTEÅ</t>
        </is>
      </c>
      <c r="F150" t="inlineStr">
        <is>
          <t>SCA</t>
        </is>
      </c>
      <c r="G150" t="n">
        <v>4.9</v>
      </c>
      <c r="H150" t="n">
        <v>2</v>
      </c>
      <c r="I150" t="n">
        <v>0</v>
      </c>
      <c r="J150" t="n">
        <v>6</v>
      </c>
      <c r="K150" t="n">
        <v>0</v>
      </c>
      <c r="L150" t="n">
        <v>0</v>
      </c>
      <c r="M150" t="n">
        <v>0</v>
      </c>
      <c r="N150" t="n">
        <v>0</v>
      </c>
      <c r="O150" t="n">
        <v>6</v>
      </c>
      <c r="P150" t="n">
        <v>0</v>
      </c>
      <c r="Q150" t="n">
        <v>7</v>
      </c>
      <c r="R150" s="2" t="inlineStr">
        <is>
          <t>Dvärgbägarlav
Garnlav
Järpe
Rosenticka
Ullticka
Vedskivlav
Tjäder</t>
        </is>
      </c>
      <c r="S150">
        <f>HYPERLINK("https://klasma.github.io/Logging_222283/artfynd/A 24359-2025 artfynd.xlsx", "A 24359-2025")</f>
        <v/>
      </c>
      <c r="T150">
        <f>HYPERLINK("https://klasma.github.io/Logging_222283/kartor/A 24359-2025 karta.png", "A 24359-2025")</f>
        <v/>
      </c>
      <c r="V150">
        <f>HYPERLINK("https://klasma.github.io/Logging_222283/klagomål/A 24359-2025 FSC-klagomål.docx", "A 24359-2025")</f>
        <v/>
      </c>
      <c r="W150">
        <f>HYPERLINK("https://klasma.github.io/Logging_222283/klagomålsmail/A 24359-2025 FSC-klagomål mail.docx", "A 24359-2025")</f>
        <v/>
      </c>
      <c r="X150">
        <f>HYPERLINK("https://klasma.github.io/Logging_222283/tillsyn/A 24359-2025 tillsynsbegäran.docx", "A 24359-2025")</f>
        <v/>
      </c>
      <c r="Y150">
        <f>HYPERLINK("https://klasma.github.io/Logging_222283/tillsynsmail/A 24359-2025 tillsynsbegäran mail.docx", "A 24359-2025")</f>
        <v/>
      </c>
      <c r="Z150">
        <f>HYPERLINK("https://klasma.github.io/Logging_222283/fåglar/A 24359-2025 prioriterade fågelarter.docx", "A 24359-2025")</f>
        <v/>
      </c>
    </row>
    <row r="151" ht="15" customHeight="1">
      <c r="A151" t="inlineStr">
        <is>
          <t>A 26633-2019</t>
        </is>
      </c>
      <c r="B151" s="1" t="n">
        <v>43612</v>
      </c>
      <c r="C151" s="1" t="n">
        <v>45802</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45802</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45802</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45802</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45802</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45802</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45802</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45802</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45802</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45802</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45802</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45802</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45802</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45802</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45802</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45802</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45802</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45802</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45802</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45802</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45802</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45802</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45802</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45802</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45802</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45802</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45802</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45802</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45802</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45802</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45802</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45802</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45802</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45802</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45802</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45802</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45802</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45802</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45802</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45802</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45802</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45802</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45802</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45802</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45802</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45802</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45802</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45802</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45802</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45802</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45802</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45802</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45802</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45802</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45802</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45802</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45802</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45802</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45802</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45802</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45802</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45802</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45802</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45802</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45802</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45802</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45802</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45802</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45802</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45802</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45802</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45802</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45802</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45802</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45802</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45802</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45802</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45802</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45802</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45802</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45802</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45802</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45802</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45802</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45802</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45802</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45802</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45802</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45802</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45802</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45802</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45802</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45802</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45802</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45802</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45802</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45802</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45802</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45802</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45802</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45802</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45802</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45802</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45802</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45802</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45802</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45802</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45802</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45802</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45802</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45802</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45802</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45802</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45802</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45802</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45802</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45802</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45802</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45802</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45802</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45802</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45802</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45802</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45802</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45802</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45802</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45802</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45802</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45802</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45802</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45802</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45802</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45802</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45802</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45802</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45802</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45802</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45802</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45802</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45802</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45802</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45802</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45802</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45802</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45802</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45802</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45802</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45802</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45802</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45802</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45802</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45802</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45802</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45802</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45802</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45802</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45802</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45802</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45802</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45802</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45802</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45802</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45802</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45802</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45802</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45802</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45802</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45802</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45802</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45802</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45802</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45802</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45802</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45802</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45802</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45802</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45802</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45802</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45802</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45802</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45802</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45802</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45802</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45802</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45802</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45802</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45802</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45802</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45802</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45802</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45802</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45802</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45802</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45802</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45802</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45802</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45802</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45802</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45802</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45802</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45802</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45802</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45802</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45802</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45802</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45802</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45802</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45802</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45802</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45802</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45802</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45802</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45802</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45802</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45802</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45802</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45802</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45802</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45802</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45802</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45802</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45802</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45802</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45802</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45802</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45802</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45802</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45802</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45802</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45802</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45802</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45802</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45802</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45802</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45802</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45802</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45802</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45802</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45802</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45802</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45802</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45802</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45802</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45802</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22220-2025</t>
        </is>
      </c>
      <c r="B395" s="1" t="n">
        <v>45785</v>
      </c>
      <c r="C395" s="1" t="n">
        <v>45802</v>
      </c>
      <c r="D395" t="inlineStr">
        <is>
          <t>VÄSTERNORRLANDS LÄN</t>
        </is>
      </c>
      <c r="E395" t="inlineStr">
        <is>
          <t>SOLLEFTEÅ</t>
        </is>
      </c>
      <c r="F395" t="inlineStr">
        <is>
          <t>SCA</t>
        </is>
      </c>
      <c r="G395" t="n">
        <v>4.6</v>
      </c>
      <c r="H395" t="n">
        <v>0</v>
      </c>
      <c r="I395" t="n">
        <v>1</v>
      </c>
      <c r="J395" t="n">
        <v>1</v>
      </c>
      <c r="K395" t="n">
        <v>0</v>
      </c>
      <c r="L395" t="n">
        <v>0</v>
      </c>
      <c r="M395" t="n">
        <v>0</v>
      </c>
      <c r="N395" t="n">
        <v>0</v>
      </c>
      <c r="O395" t="n">
        <v>1</v>
      </c>
      <c r="P395" t="n">
        <v>0</v>
      </c>
      <c r="Q395" t="n">
        <v>2</v>
      </c>
      <c r="R395" s="2" t="inlineStr">
        <is>
          <t>Lunglav
Stor aspticka</t>
        </is>
      </c>
      <c r="S395">
        <f>HYPERLINK("https://klasma.github.io/Logging_222283/artfynd/A 22220-2025 artfynd.xlsx", "A 22220-2025")</f>
        <v/>
      </c>
      <c r="T395">
        <f>HYPERLINK("https://klasma.github.io/Logging_222283/kartor/A 22220-2025 karta.png", "A 22220-2025")</f>
        <v/>
      </c>
      <c r="V395">
        <f>HYPERLINK("https://klasma.github.io/Logging_222283/klagomål/A 22220-2025 FSC-klagomål.docx", "A 22220-2025")</f>
        <v/>
      </c>
      <c r="W395">
        <f>HYPERLINK("https://klasma.github.io/Logging_222283/klagomålsmail/A 22220-2025 FSC-klagomål mail.docx", "A 22220-2025")</f>
        <v/>
      </c>
      <c r="X395">
        <f>HYPERLINK("https://klasma.github.io/Logging_222283/tillsyn/A 22220-2025 tillsynsbegäran.docx", "A 22220-2025")</f>
        <v/>
      </c>
      <c r="Y395">
        <f>HYPERLINK("https://klasma.github.io/Logging_222283/tillsynsmail/A 22220-2025 tillsynsbegäran mail.docx", "A 22220-2025")</f>
        <v/>
      </c>
    </row>
    <row r="396" ht="15" customHeight="1">
      <c r="A396" t="inlineStr">
        <is>
          <t>A 22518-2025</t>
        </is>
      </c>
      <c r="B396" s="1" t="n">
        <v>45786</v>
      </c>
      <c r="C396" s="1" t="n">
        <v>45802</v>
      </c>
      <c r="D396" t="inlineStr">
        <is>
          <t>VÄSTERNORRLANDS LÄN</t>
        </is>
      </c>
      <c r="E396" t="inlineStr">
        <is>
          <t>SOLLEFTEÅ</t>
        </is>
      </c>
      <c r="F396" t="inlineStr">
        <is>
          <t>SCA</t>
        </is>
      </c>
      <c r="G396" t="n">
        <v>4</v>
      </c>
      <c r="H396" t="n">
        <v>0</v>
      </c>
      <c r="I396" t="n">
        <v>0</v>
      </c>
      <c r="J396" t="n">
        <v>2</v>
      </c>
      <c r="K396" t="n">
        <v>0</v>
      </c>
      <c r="L396" t="n">
        <v>0</v>
      </c>
      <c r="M396" t="n">
        <v>0</v>
      </c>
      <c r="N396" t="n">
        <v>0</v>
      </c>
      <c r="O396" t="n">
        <v>2</v>
      </c>
      <c r="P396" t="n">
        <v>0</v>
      </c>
      <c r="Q396" t="n">
        <v>2</v>
      </c>
      <c r="R396" s="2" t="inlineStr">
        <is>
          <t>Garnlav
Ullticka</t>
        </is>
      </c>
      <c r="S396">
        <f>HYPERLINK("https://klasma.github.io/Logging_222283/artfynd/A 22518-2025 artfynd.xlsx", "A 22518-2025")</f>
        <v/>
      </c>
      <c r="T396">
        <f>HYPERLINK("https://klasma.github.io/Logging_222283/kartor/A 22518-2025 karta.png", "A 22518-2025")</f>
        <v/>
      </c>
      <c r="V396">
        <f>HYPERLINK("https://klasma.github.io/Logging_222283/klagomål/A 22518-2025 FSC-klagomål.docx", "A 22518-2025")</f>
        <v/>
      </c>
      <c r="W396">
        <f>HYPERLINK("https://klasma.github.io/Logging_222283/klagomålsmail/A 22518-2025 FSC-klagomål mail.docx", "A 22518-2025")</f>
        <v/>
      </c>
      <c r="X396">
        <f>HYPERLINK("https://klasma.github.io/Logging_222283/tillsyn/A 22518-2025 tillsynsbegäran.docx", "A 22518-2025")</f>
        <v/>
      </c>
      <c r="Y396">
        <f>HYPERLINK("https://klasma.github.io/Logging_222283/tillsynsmail/A 22518-2025 tillsynsbegäran mail.docx", "A 22518-2025")</f>
        <v/>
      </c>
    </row>
    <row r="397" ht="15" customHeight="1">
      <c r="A397" t="inlineStr">
        <is>
          <t>A 22808-2025</t>
        </is>
      </c>
      <c r="B397" s="1" t="n">
        <v>45789</v>
      </c>
      <c r="C397" s="1" t="n">
        <v>45802</v>
      </c>
      <c r="D397" t="inlineStr">
        <is>
          <t>VÄSTERNORRLANDS LÄN</t>
        </is>
      </c>
      <c r="E397" t="inlineStr">
        <is>
          <t>SOLLEFTEÅ</t>
        </is>
      </c>
      <c r="G397" t="n">
        <v>0.7</v>
      </c>
      <c r="H397" t="n">
        <v>0</v>
      </c>
      <c r="I397" t="n">
        <v>1</v>
      </c>
      <c r="J397" t="n">
        <v>1</v>
      </c>
      <c r="K397" t="n">
        <v>0</v>
      </c>
      <c r="L397" t="n">
        <v>0</v>
      </c>
      <c r="M397" t="n">
        <v>0</v>
      </c>
      <c r="N397" t="n">
        <v>0</v>
      </c>
      <c r="O397" t="n">
        <v>1</v>
      </c>
      <c r="P397" t="n">
        <v>0</v>
      </c>
      <c r="Q397" t="n">
        <v>2</v>
      </c>
      <c r="R397" s="2" t="inlineStr">
        <is>
          <t>Lunglav
Bårdlav</t>
        </is>
      </c>
      <c r="S397">
        <f>HYPERLINK("https://klasma.github.io/Logging_222283/artfynd/A 22808-2025 artfynd.xlsx", "A 22808-2025")</f>
        <v/>
      </c>
      <c r="T397">
        <f>HYPERLINK("https://klasma.github.io/Logging_222283/kartor/A 22808-2025 karta.png", "A 22808-2025")</f>
        <v/>
      </c>
      <c r="V397">
        <f>HYPERLINK("https://klasma.github.io/Logging_222283/klagomål/A 22808-2025 FSC-klagomål.docx", "A 22808-2025")</f>
        <v/>
      </c>
      <c r="W397">
        <f>HYPERLINK("https://klasma.github.io/Logging_222283/klagomålsmail/A 22808-2025 FSC-klagomål mail.docx", "A 22808-2025")</f>
        <v/>
      </c>
      <c r="X397">
        <f>HYPERLINK("https://klasma.github.io/Logging_222283/tillsyn/A 22808-2025 tillsynsbegäran.docx", "A 22808-2025")</f>
        <v/>
      </c>
      <c r="Y397">
        <f>HYPERLINK("https://klasma.github.io/Logging_222283/tillsynsmail/A 22808-2025 tillsynsbegäran mail.docx", "A 22808-2025")</f>
        <v/>
      </c>
    </row>
    <row r="398" ht="15" customHeight="1">
      <c r="A398" t="inlineStr">
        <is>
          <t>A 24551-2025</t>
        </is>
      </c>
      <c r="B398" s="1" t="n">
        <v>45798</v>
      </c>
      <c r="C398" s="1" t="n">
        <v>45802</v>
      </c>
      <c r="D398" t="inlineStr">
        <is>
          <t>VÄSTERNORRLANDS LÄN</t>
        </is>
      </c>
      <c r="E398" t="inlineStr">
        <is>
          <t>SOLLEFTEÅ</t>
        </is>
      </c>
      <c r="F398" t="inlineStr">
        <is>
          <t>SCA</t>
        </is>
      </c>
      <c r="G398" t="n">
        <v>2.2</v>
      </c>
      <c r="H398" t="n">
        <v>0</v>
      </c>
      <c r="I398" t="n">
        <v>0</v>
      </c>
      <c r="J398" t="n">
        <v>2</v>
      </c>
      <c r="K398" t="n">
        <v>0</v>
      </c>
      <c r="L398" t="n">
        <v>0</v>
      </c>
      <c r="M398" t="n">
        <v>0</v>
      </c>
      <c r="N398" t="n">
        <v>0</v>
      </c>
      <c r="O398" t="n">
        <v>2</v>
      </c>
      <c r="P398" t="n">
        <v>0</v>
      </c>
      <c r="Q398" t="n">
        <v>2</v>
      </c>
      <c r="R398" s="2" t="inlineStr">
        <is>
          <t>Dvärgbägarlav
Vedskivlav</t>
        </is>
      </c>
      <c r="S398">
        <f>HYPERLINK("https://klasma.github.io/Logging_222283/artfynd/A 24551-2025 artfynd.xlsx", "A 24551-2025")</f>
        <v/>
      </c>
      <c r="T398">
        <f>HYPERLINK("https://klasma.github.io/Logging_222283/kartor/A 24551-2025 karta.png", "A 24551-2025")</f>
        <v/>
      </c>
      <c r="V398">
        <f>HYPERLINK("https://klasma.github.io/Logging_222283/klagomål/A 24551-2025 FSC-klagomål.docx", "A 24551-2025")</f>
        <v/>
      </c>
      <c r="W398">
        <f>HYPERLINK("https://klasma.github.io/Logging_222283/klagomålsmail/A 24551-2025 FSC-klagomål mail.docx", "A 24551-2025")</f>
        <v/>
      </c>
      <c r="X398">
        <f>HYPERLINK("https://klasma.github.io/Logging_222283/tillsyn/A 24551-2025 tillsynsbegäran.docx", "A 24551-2025")</f>
        <v/>
      </c>
      <c r="Y398">
        <f>HYPERLINK("https://klasma.github.io/Logging_222283/tillsynsmail/A 24551-2025 tillsynsbegäran mail.docx", "A 24551-2025")</f>
        <v/>
      </c>
    </row>
    <row r="399" ht="15" customHeight="1">
      <c r="A399" t="inlineStr">
        <is>
          <t>A 26253-2019</t>
        </is>
      </c>
      <c r="B399" s="1" t="n">
        <v>43609</v>
      </c>
      <c r="C399" s="1" t="n">
        <v>45802</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45802</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45802</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45802</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45802</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45802</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45802</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45802</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45802</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45802</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45802</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45802</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45802</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45802</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45802</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45802</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45802</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45802</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45802</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45802</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45802</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45802</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45802</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45802</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45802</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45802</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45802</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45802</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45802</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45802</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45802</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45802</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45802</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45802</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45802</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45802</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45802</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45802</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45802</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45802</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45802</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45802</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45802</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45802</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45802</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45802</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45802</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45802</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45802</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45802</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45802</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45802</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45802</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45802</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45802</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45802</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45802</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45802</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45802</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45802</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45802</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45802</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45802</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45802</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45802</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45802</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45802</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45802</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45802</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45802</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45802</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45802</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45802</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45802</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45802</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45802</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45802</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45802</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45802</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45802</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45802</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45802</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45802</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45802</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45802</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45802</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45802</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45802</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45802</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45802</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45802</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45802</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45802</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45802</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45802</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45802</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45802</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45802</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45802</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45802</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45802</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45802</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45802</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45802</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45802</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45802</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45802</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45802</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45802</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45802</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45802</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45802</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45802</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45802</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45802</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45802</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45802</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45802</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45802</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45802</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45802</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45802</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45802</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45802</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45802</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21962-2025</t>
        </is>
      </c>
      <c r="B524" s="1" t="n">
        <v>45784</v>
      </c>
      <c r="C524" s="1" t="n">
        <v>45802</v>
      </c>
      <c r="D524" t="inlineStr">
        <is>
          <t>VÄSTERNORRLANDS LÄN</t>
        </is>
      </c>
      <c r="E524" t="inlineStr">
        <is>
          <t>SOLLEFTEÅ</t>
        </is>
      </c>
      <c r="F524" t="inlineStr">
        <is>
          <t>SCA</t>
        </is>
      </c>
      <c r="G524" t="n">
        <v>22.5</v>
      </c>
      <c r="H524" t="n">
        <v>1</v>
      </c>
      <c r="I524" t="n">
        <v>0</v>
      </c>
      <c r="J524" t="n">
        <v>1</v>
      </c>
      <c r="K524" t="n">
        <v>0</v>
      </c>
      <c r="L524" t="n">
        <v>0</v>
      </c>
      <c r="M524" t="n">
        <v>0</v>
      </c>
      <c r="N524" t="n">
        <v>0</v>
      </c>
      <c r="O524" t="n">
        <v>1</v>
      </c>
      <c r="P524" t="n">
        <v>0</v>
      </c>
      <c r="Q524" t="n">
        <v>1</v>
      </c>
      <c r="R524" s="2" t="inlineStr">
        <is>
          <t>Järpe</t>
        </is>
      </c>
      <c r="S524">
        <f>HYPERLINK("https://klasma.github.io/Logging_222283/artfynd/A 21962-2025 artfynd.xlsx", "A 21962-2025")</f>
        <v/>
      </c>
      <c r="T524">
        <f>HYPERLINK("https://klasma.github.io/Logging_222283/kartor/A 21962-2025 karta.png", "A 21962-2025")</f>
        <v/>
      </c>
      <c r="V524">
        <f>HYPERLINK("https://klasma.github.io/Logging_222283/klagomål/A 21962-2025 FSC-klagomål.docx", "A 21962-2025")</f>
        <v/>
      </c>
      <c r="W524">
        <f>HYPERLINK("https://klasma.github.io/Logging_222283/klagomålsmail/A 21962-2025 FSC-klagomål mail.docx", "A 21962-2025")</f>
        <v/>
      </c>
      <c r="X524">
        <f>HYPERLINK("https://klasma.github.io/Logging_222283/tillsyn/A 21962-2025 tillsynsbegäran.docx", "A 21962-2025")</f>
        <v/>
      </c>
      <c r="Y524">
        <f>HYPERLINK("https://klasma.github.io/Logging_222283/tillsynsmail/A 21962-2025 tillsynsbegäran mail.docx", "A 21962-2025")</f>
        <v/>
      </c>
      <c r="Z524">
        <f>HYPERLINK("https://klasma.github.io/Logging_222283/fåglar/A 21962-2025 prioriterade fågelarter.docx", "A 21962-2025")</f>
        <v/>
      </c>
    </row>
    <row r="525" ht="15" customHeight="1">
      <c r="A525" t="inlineStr">
        <is>
          <t>A 22214-2025</t>
        </is>
      </c>
      <c r="B525" s="1" t="n">
        <v>45785</v>
      </c>
      <c r="C525" s="1" t="n">
        <v>45802</v>
      </c>
      <c r="D525" t="inlineStr">
        <is>
          <t>VÄSTERNORRLANDS LÄN</t>
        </is>
      </c>
      <c r="E525" t="inlineStr">
        <is>
          <t>SOLLEFTEÅ</t>
        </is>
      </c>
      <c r="F525" t="inlineStr">
        <is>
          <t>SCA</t>
        </is>
      </c>
      <c r="G525" t="n">
        <v>4.6</v>
      </c>
      <c r="H525" t="n">
        <v>0</v>
      </c>
      <c r="I525" t="n">
        <v>0</v>
      </c>
      <c r="J525" t="n">
        <v>1</v>
      </c>
      <c r="K525" t="n">
        <v>0</v>
      </c>
      <c r="L525" t="n">
        <v>0</v>
      </c>
      <c r="M525" t="n">
        <v>0</v>
      </c>
      <c r="N525" t="n">
        <v>0</v>
      </c>
      <c r="O525" t="n">
        <v>1</v>
      </c>
      <c r="P525" t="n">
        <v>0</v>
      </c>
      <c r="Q525" t="n">
        <v>1</v>
      </c>
      <c r="R525" s="2" t="inlineStr">
        <is>
          <t>Reliktbock</t>
        </is>
      </c>
      <c r="S525">
        <f>HYPERLINK("https://klasma.github.io/Logging_222283/artfynd/A 22214-2025 artfynd.xlsx", "A 22214-2025")</f>
        <v/>
      </c>
      <c r="T525">
        <f>HYPERLINK("https://klasma.github.io/Logging_222283/kartor/A 22214-2025 karta.png", "A 22214-2025")</f>
        <v/>
      </c>
      <c r="V525">
        <f>HYPERLINK("https://klasma.github.io/Logging_222283/klagomål/A 22214-2025 FSC-klagomål.docx", "A 22214-2025")</f>
        <v/>
      </c>
      <c r="W525">
        <f>HYPERLINK("https://klasma.github.io/Logging_222283/klagomålsmail/A 22214-2025 FSC-klagomål mail.docx", "A 22214-2025")</f>
        <v/>
      </c>
      <c r="X525">
        <f>HYPERLINK("https://klasma.github.io/Logging_222283/tillsyn/A 22214-2025 tillsynsbegäran.docx", "A 22214-2025")</f>
        <v/>
      </c>
      <c r="Y525">
        <f>HYPERLINK("https://klasma.github.io/Logging_222283/tillsynsmail/A 22214-2025 tillsynsbegäran mail.docx", "A 22214-2025")</f>
        <v/>
      </c>
    </row>
    <row r="526" ht="15" customHeight="1">
      <c r="A526" t="inlineStr">
        <is>
          <t>A 22428-2025</t>
        </is>
      </c>
      <c r="B526" s="1" t="n">
        <v>45786</v>
      </c>
      <c r="C526" s="1" t="n">
        <v>45802</v>
      </c>
      <c r="D526" t="inlineStr">
        <is>
          <t>VÄSTERNORRLANDS LÄN</t>
        </is>
      </c>
      <c r="E526" t="inlineStr">
        <is>
          <t>SOLLEFTEÅ</t>
        </is>
      </c>
      <c r="G526" t="n">
        <v>11.6</v>
      </c>
      <c r="H526" t="n">
        <v>1</v>
      </c>
      <c r="I526" t="n">
        <v>0</v>
      </c>
      <c r="J526" t="n">
        <v>1</v>
      </c>
      <c r="K526" t="n">
        <v>0</v>
      </c>
      <c r="L526" t="n">
        <v>0</v>
      </c>
      <c r="M526" t="n">
        <v>0</v>
      </c>
      <c r="N526" t="n">
        <v>0</v>
      </c>
      <c r="O526" t="n">
        <v>1</v>
      </c>
      <c r="P526" t="n">
        <v>0</v>
      </c>
      <c r="Q526" t="n">
        <v>1</v>
      </c>
      <c r="R526" s="2" t="inlineStr">
        <is>
          <t>Tretåig hackspett</t>
        </is>
      </c>
      <c r="S526">
        <f>HYPERLINK("https://klasma.github.io/Logging_222283/artfynd/A 22428-2025 artfynd.xlsx", "A 22428-2025")</f>
        <v/>
      </c>
      <c r="T526">
        <f>HYPERLINK("https://klasma.github.io/Logging_222283/kartor/A 22428-2025 karta.png", "A 22428-2025")</f>
        <v/>
      </c>
      <c r="V526">
        <f>HYPERLINK("https://klasma.github.io/Logging_222283/klagomål/A 22428-2025 FSC-klagomål.docx", "A 22428-2025")</f>
        <v/>
      </c>
      <c r="W526">
        <f>HYPERLINK("https://klasma.github.io/Logging_222283/klagomålsmail/A 22428-2025 FSC-klagomål mail.docx", "A 22428-2025")</f>
        <v/>
      </c>
      <c r="X526">
        <f>HYPERLINK("https://klasma.github.io/Logging_222283/tillsyn/A 22428-2025 tillsynsbegäran.docx", "A 22428-2025")</f>
        <v/>
      </c>
      <c r="Y526">
        <f>HYPERLINK("https://klasma.github.io/Logging_222283/tillsynsmail/A 22428-2025 tillsynsbegäran mail.docx", "A 22428-2025")</f>
        <v/>
      </c>
      <c r="Z526">
        <f>HYPERLINK("https://klasma.github.io/Logging_222283/fåglar/A 22428-2025 prioriterade fågelarter.docx", "A 22428-2025")</f>
        <v/>
      </c>
    </row>
    <row r="527" ht="15" customHeight="1">
      <c r="A527" t="inlineStr">
        <is>
          <t>A 22345-2025</t>
        </is>
      </c>
      <c r="B527" s="1" t="n">
        <v>45786</v>
      </c>
      <c r="C527" s="1" t="n">
        <v>45802</v>
      </c>
      <c r="D527" t="inlineStr">
        <is>
          <t>VÄSTERNORRLANDS LÄN</t>
        </is>
      </c>
      <c r="E527" t="inlineStr">
        <is>
          <t>SOLLEFTEÅ</t>
        </is>
      </c>
      <c r="F527" t="inlineStr">
        <is>
          <t>SCA</t>
        </is>
      </c>
      <c r="G527" t="n">
        <v>7.2</v>
      </c>
      <c r="H527" t="n">
        <v>0</v>
      </c>
      <c r="I527" t="n">
        <v>0</v>
      </c>
      <c r="J527" t="n">
        <v>1</v>
      </c>
      <c r="K527" t="n">
        <v>0</v>
      </c>
      <c r="L527" t="n">
        <v>0</v>
      </c>
      <c r="M527" t="n">
        <v>0</v>
      </c>
      <c r="N527" t="n">
        <v>0</v>
      </c>
      <c r="O527" t="n">
        <v>1</v>
      </c>
      <c r="P527" t="n">
        <v>0</v>
      </c>
      <c r="Q527" t="n">
        <v>1</v>
      </c>
      <c r="R527" s="2" t="inlineStr">
        <is>
          <t>Gammelgransskål</t>
        </is>
      </c>
      <c r="S527">
        <f>HYPERLINK("https://klasma.github.io/Logging_222283/artfynd/A 22345-2025 artfynd.xlsx", "A 22345-2025")</f>
        <v/>
      </c>
      <c r="T527">
        <f>HYPERLINK("https://klasma.github.io/Logging_222283/kartor/A 22345-2025 karta.png", "A 22345-2025")</f>
        <v/>
      </c>
      <c r="V527">
        <f>HYPERLINK("https://klasma.github.io/Logging_222283/klagomål/A 22345-2025 FSC-klagomål.docx", "A 22345-2025")</f>
        <v/>
      </c>
      <c r="W527">
        <f>HYPERLINK("https://klasma.github.io/Logging_222283/klagomålsmail/A 22345-2025 FSC-klagomål mail.docx", "A 22345-2025")</f>
        <v/>
      </c>
      <c r="X527">
        <f>HYPERLINK("https://klasma.github.io/Logging_222283/tillsyn/A 22345-2025 tillsynsbegäran.docx", "A 22345-2025")</f>
        <v/>
      </c>
      <c r="Y527">
        <f>HYPERLINK("https://klasma.github.io/Logging_222283/tillsynsmail/A 22345-2025 tillsynsbegäran mail.docx", "A 22345-2025")</f>
        <v/>
      </c>
    </row>
    <row r="528" ht="15" customHeight="1">
      <c r="A528" t="inlineStr">
        <is>
          <t>A 22768-2025</t>
        </is>
      </c>
      <c r="B528" s="1" t="n">
        <v>45789</v>
      </c>
      <c r="C528" s="1" t="n">
        <v>45802</v>
      </c>
      <c r="D528" t="inlineStr">
        <is>
          <t>VÄSTERNORRLANDS LÄN</t>
        </is>
      </c>
      <c r="E528" t="inlineStr">
        <is>
          <t>SOLLEFTEÅ</t>
        </is>
      </c>
      <c r="G528" t="n">
        <v>1.9</v>
      </c>
      <c r="H528" t="n">
        <v>0</v>
      </c>
      <c r="I528" t="n">
        <v>0</v>
      </c>
      <c r="J528" t="n">
        <v>1</v>
      </c>
      <c r="K528" t="n">
        <v>0</v>
      </c>
      <c r="L528" t="n">
        <v>0</v>
      </c>
      <c r="M528" t="n">
        <v>0</v>
      </c>
      <c r="N528" t="n">
        <v>0</v>
      </c>
      <c r="O528" t="n">
        <v>1</v>
      </c>
      <c r="P528" t="n">
        <v>0</v>
      </c>
      <c r="Q528" t="n">
        <v>1</v>
      </c>
      <c r="R528" s="2" t="inlineStr">
        <is>
          <t>Granticka</t>
        </is>
      </c>
      <c r="S528">
        <f>HYPERLINK("https://klasma.github.io/Logging_222283/artfynd/A 22768-2025 artfynd.xlsx", "A 22768-2025")</f>
        <v/>
      </c>
      <c r="T528">
        <f>HYPERLINK("https://klasma.github.io/Logging_222283/kartor/A 22768-2025 karta.png", "A 22768-2025")</f>
        <v/>
      </c>
      <c r="V528">
        <f>HYPERLINK("https://klasma.github.io/Logging_222283/klagomål/A 22768-2025 FSC-klagomål.docx", "A 22768-2025")</f>
        <v/>
      </c>
      <c r="W528">
        <f>HYPERLINK("https://klasma.github.io/Logging_222283/klagomålsmail/A 22768-2025 FSC-klagomål mail.docx", "A 22768-2025")</f>
        <v/>
      </c>
      <c r="X528">
        <f>HYPERLINK("https://klasma.github.io/Logging_222283/tillsyn/A 22768-2025 tillsynsbegäran.docx", "A 22768-2025")</f>
        <v/>
      </c>
      <c r="Y528">
        <f>HYPERLINK("https://klasma.github.io/Logging_222283/tillsynsmail/A 22768-2025 tillsynsbegäran mail.docx", "A 22768-2025")</f>
        <v/>
      </c>
    </row>
    <row r="529" ht="15" customHeight="1">
      <c r="A529" t="inlineStr">
        <is>
          <t>A 22776-2025</t>
        </is>
      </c>
      <c r="B529" s="1" t="n">
        <v>45789</v>
      </c>
      <c r="C529" s="1" t="n">
        <v>45802</v>
      </c>
      <c r="D529" t="inlineStr">
        <is>
          <t>VÄSTERNORRLANDS LÄN</t>
        </is>
      </c>
      <c r="E529" t="inlineStr">
        <is>
          <t>SOLLEFTEÅ</t>
        </is>
      </c>
      <c r="F529" t="inlineStr">
        <is>
          <t>SCA</t>
        </is>
      </c>
      <c r="G529" t="n">
        <v>5.2</v>
      </c>
      <c r="H529" t="n">
        <v>1</v>
      </c>
      <c r="I529" t="n">
        <v>0</v>
      </c>
      <c r="J529" t="n">
        <v>0</v>
      </c>
      <c r="K529" t="n">
        <v>1</v>
      </c>
      <c r="L529" t="n">
        <v>0</v>
      </c>
      <c r="M529" t="n">
        <v>0</v>
      </c>
      <c r="N529" t="n">
        <v>0</v>
      </c>
      <c r="O529" t="n">
        <v>1</v>
      </c>
      <c r="P529" t="n">
        <v>1</v>
      </c>
      <c r="Q529" t="n">
        <v>1</v>
      </c>
      <c r="R529" s="2" t="inlineStr">
        <is>
          <t>Doftticka</t>
        </is>
      </c>
      <c r="S529">
        <f>HYPERLINK("https://klasma.github.io/Logging_222283/artfynd/A 22776-2025 artfynd.xlsx", "A 22776-2025")</f>
        <v/>
      </c>
      <c r="T529">
        <f>HYPERLINK("https://klasma.github.io/Logging_222283/kartor/A 22776-2025 karta.png", "A 22776-2025")</f>
        <v/>
      </c>
      <c r="V529">
        <f>HYPERLINK("https://klasma.github.io/Logging_222283/klagomål/A 22776-2025 FSC-klagomål.docx", "A 22776-2025")</f>
        <v/>
      </c>
      <c r="W529">
        <f>HYPERLINK("https://klasma.github.io/Logging_222283/klagomålsmail/A 22776-2025 FSC-klagomål mail.docx", "A 22776-2025")</f>
        <v/>
      </c>
      <c r="X529">
        <f>HYPERLINK("https://klasma.github.io/Logging_222283/tillsyn/A 22776-2025 tillsynsbegäran.docx", "A 22776-2025")</f>
        <v/>
      </c>
      <c r="Y529">
        <f>HYPERLINK("https://klasma.github.io/Logging_222283/tillsynsmail/A 22776-2025 tillsynsbegäran mail.docx", "A 22776-2025")</f>
        <v/>
      </c>
    </row>
    <row r="530" ht="15" customHeight="1">
      <c r="A530" t="inlineStr">
        <is>
          <t>A 23169-2025</t>
        </is>
      </c>
      <c r="B530" s="1" t="n">
        <v>45791</v>
      </c>
      <c r="C530" s="1" t="n">
        <v>45802</v>
      </c>
      <c r="D530" t="inlineStr">
        <is>
          <t>VÄSTERNORRLANDS LÄN</t>
        </is>
      </c>
      <c r="E530" t="inlineStr">
        <is>
          <t>SOLLEFTEÅ</t>
        </is>
      </c>
      <c r="F530" t="inlineStr">
        <is>
          <t>SCA</t>
        </is>
      </c>
      <c r="G530" t="n">
        <v>1.8</v>
      </c>
      <c r="H530" t="n">
        <v>1</v>
      </c>
      <c r="I530" t="n">
        <v>0</v>
      </c>
      <c r="J530" t="n">
        <v>1</v>
      </c>
      <c r="K530" t="n">
        <v>0</v>
      </c>
      <c r="L530" t="n">
        <v>0</v>
      </c>
      <c r="M530" t="n">
        <v>0</v>
      </c>
      <c r="N530" t="n">
        <v>0</v>
      </c>
      <c r="O530" t="n">
        <v>1</v>
      </c>
      <c r="P530" t="n">
        <v>0</v>
      </c>
      <c r="Q530" t="n">
        <v>1</v>
      </c>
      <c r="R530" s="2" t="inlineStr">
        <is>
          <t>Järpe</t>
        </is>
      </c>
      <c r="S530">
        <f>HYPERLINK("https://klasma.github.io/Logging_222283/artfynd/A 23169-2025 artfynd.xlsx", "A 23169-2025")</f>
        <v/>
      </c>
      <c r="T530">
        <f>HYPERLINK("https://klasma.github.io/Logging_222283/kartor/A 23169-2025 karta.png", "A 23169-2025")</f>
        <v/>
      </c>
      <c r="V530">
        <f>HYPERLINK("https://klasma.github.io/Logging_222283/klagomål/A 23169-2025 FSC-klagomål.docx", "A 23169-2025")</f>
        <v/>
      </c>
      <c r="W530">
        <f>HYPERLINK("https://klasma.github.io/Logging_222283/klagomålsmail/A 23169-2025 FSC-klagomål mail.docx", "A 23169-2025")</f>
        <v/>
      </c>
      <c r="X530">
        <f>HYPERLINK("https://klasma.github.io/Logging_222283/tillsyn/A 23169-2025 tillsynsbegäran.docx", "A 23169-2025")</f>
        <v/>
      </c>
      <c r="Y530">
        <f>HYPERLINK("https://klasma.github.io/Logging_222283/tillsynsmail/A 23169-2025 tillsynsbegäran mail.docx", "A 23169-2025")</f>
        <v/>
      </c>
      <c r="Z530">
        <f>HYPERLINK("https://klasma.github.io/Logging_222283/fåglar/A 23169-2025 prioriterade fågelarter.docx", "A 23169-2025")</f>
        <v/>
      </c>
    </row>
    <row r="531" ht="15" customHeight="1">
      <c r="A531" t="inlineStr">
        <is>
          <t>A 18277-2019</t>
        </is>
      </c>
      <c r="B531" s="1" t="n">
        <v>43557</v>
      </c>
      <c r="C531" s="1" t="n">
        <v>45802</v>
      </c>
      <c r="D531" t="inlineStr">
        <is>
          <t>VÄSTERNORRLANDS LÄN</t>
        </is>
      </c>
      <c r="E531" t="inlineStr">
        <is>
          <t>SOLLEFTEÅ</t>
        </is>
      </c>
      <c r="G531" t="n">
        <v>6.2</v>
      </c>
      <c r="H531" t="n">
        <v>0</v>
      </c>
      <c r="I531" t="n">
        <v>0</v>
      </c>
      <c r="J531" t="n">
        <v>0</v>
      </c>
      <c r="K531" t="n">
        <v>0</v>
      </c>
      <c r="L531" t="n">
        <v>0</v>
      </c>
      <c r="M531" t="n">
        <v>0</v>
      </c>
      <c r="N531" t="n">
        <v>0</v>
      </c>
      <c r="O531" t="n">
        <v>0</v>
      </c>
      <c r="P531" t="n">
        <v>0</v>
      </c>
      <c r="Q531" t="n">
        <v>0</v>
      </c>
      <c r="R531" s="2" t="inlineStr"/>
    </row>
    <row r="532" ht="15" customHeight="1">
      <c r="A532" t="inlineStr">
        <is>
          <t>A 18578-2019</t>
        </is>
      </c>
      <c r="B532" s="1" t="n">
        <v>43558</v>
      </c>
      <c r="C532" s="1" t="n">
        <v>45802</v>
      </c>
      <c r="D532" t="inlineStr">
        <is>
          <t>VÄSTERNORRLANDS LÄN</t>
        </is>
      </c>
      <c r="E532" t="inlineStr">
        <is>
          <t>SOLLEFTEÅ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18925-2019</t>
        </is>
      </c>
      <c r="B533" s="1" t="n">
        <v>43563</v>
      </c>
      <c r="C533" s="1" t="n">
        <v>45802</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19123-2019</t>
        </is>
      </c>
      <c r="B534" s="1" t="n">
        <v>43564</v>
      </c>
      <c r="C534" s="1" t="n">
        <v>45802</v>
      </c>
      <c r="D534" t="inlineStr">
        <is>
          <t>VÄSTERNORRLANDS LÄN</t>
        </is>
      </c>
      <c r="E534" t="inlineStr">
        <is>
          <t>SOLLEFTEÅ</t>
        </is>
      </c>
      <c r="G534" t="n">
        <v>9.4</v>
      </c>
      <c r="H534" t="n">
        <v>0</v>
      </c>
      <c r="I534" t="n">
        <v>0</v>
      </c>
      <c r="J534" t="n">
        <v>0</v>
      </c>
      <c r="K534" t="n">
        <v>0</v>
      </c>
      <c r="L534" t="n">
        <v>0</v>
      </c>
      <c r="M534" t="n">
        <v>0</v>
      </c>
      <c r="N534" t="n">
        <v>0</v>
      </c>
      <c r="O534" t="n">
        <v>0</v>
      </c>
      <c r="P534" t="n">
        <v>0</v>
      </c>
      <c r="Q534" t="n">
        <v>0</v>
      </c>
      <c r="R534" s="2" t="inlineStr"/>
    </row>
    <row r="535" ht="15" customHeight="1">
      <c r="A535" t="inlineStr">
        <is>
          <t>A 19219-2019</t>
        </is>
      </c>
      <c r="B535" s="1" t="n">
        <v>43564</v>
      </c>
      <c r="C535" s="1" t="n">
        <v>45802</v>
      </c>
      <c r="D535" t="inlineStr">
        <is>
          <t>VÄSTERNORRLANDS LÄN</t>
        </is>
      </c>
      <c r="E535" t="inlineStr">
        <is>
          <t>SOLLEFTEÅ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19553-2019</t>
        </is>
      </c>
      <c r="B536" s="1" t="n">
        <v>43565</v>
      </c>
      <c r="C536" s="1" t="n">
        <v>45802</v>
      </c>
      <c r="D536" t="inlineStr">
        <is>
          <t>VÄSTERNORRLANDS LÄN</t>
        </is>
      </c>
      <c r="E536" t="inlineStr">
        <is>
          <t>SOLLEFTEÅ</t>
        </is>
      </c>
      <c r="G536" t="n">
        <v>28.1</v>
      </c>
      <c r="H536" t="n">
        <v>0</v>
      </c>
      <c r="I536" t="n">
        <v>0</v>
      </c>
      <c r="J536" t="n">
        <v>0</v>
      </c>
      <c r="K536" t="n">
        <v>0</v>
      </c>
      <c r="L536" t="n">
        <v>0</v>
      </c>
      <c r="M536" t="n">
        <v>0</v>
      </c>
      <c r="N536" t="n">
        <v>0</v>
      </c>
      <c r="O536" t="n">
        <v>0</v>
      </c>
      <c r="P536" t="n">
        <v>0</v>
      </c>
      <c r="Q536" t="n">
        <v>0</v>
      </c>
      <c r="R536" s="2" t="inlineStr"/>
    </row>
    <row r="537" ht="15" customHeight="1">
      <c r="A537" t="inlineStr">
        <is>
          <t>A 19730-2019</t>
        </is>
      </c>
      <c r="B537" s="1" t="n">
        <v>43566</v>
      </c>
      <c r="C537" s="1" t="n">
        <v>45802</v>
      </c>
      <c r="D537" t="inlineStr">
        <is>
          <t>VÄSTERNORRLANDS LÄN</t>
        </is>
      </c>
      <c r="E537" t="inlineStr">
        <is>
          <t>SOLLEFTEÅ</t>
        </is>
      </c>
      <c r="G537" t="n">
        <v>2</v>
      </c>
      <c r="H537" t="n">
        <v>0</v>
      </c>
      <c r="I537" t="n">
        <v>0</v>
      </c>
      <c r="J537" t="n">
        <v>0</v>
      </c>
      <c r="K537" t="n">
        <v>0</v>
      </c>
      <c r="L537" t="n">
        <v>0</v>
      </c>
      <c r="M537" t="n">
        <v>0</v>
      </c>
      <c r="N537" t="n">
        <v>0</v>
      </c>
      <c r="O537" t="n">
        <v>0</v>
      </c>
      <c r="P537" t="n">
        <v>0</v>
      </c>
      <c r="Q537" t="n">
        <v>0</v>
      </c>
      <c r="R537" s="2" t="inlineStr"/>
    </row>
    <row r="538" ht="15" customHeight="1">
      <c r="A538" t="inlineStr">
        <is>
          <t>A 19595-2019</t>
        </is>
      </c>
      <c r="B538" s="1" t="n">
        <v>43566</v>
      </c>
      <c r="C538" s="1" t="n">
        <v>45802</v>
      </c>
      <c r="D538" t="inlineStr">
        <is>
          <t>VÄSTERNORRLANDS LÄN</t>
        </is>
      </c>
      <c r="E538" t="inlineStr">
        <is>
          <t>SOLLEFTEÅ</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19732-2019</t>
        </is>
      </c>
      <c r="B539" s="1" t="n">
        <v>43566</v>
      </c>
      <c r="C539" s="1" t="n">
        <v>45802</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19731-2019</t>
        </is>
      </c>
      <c r="B540" s="1" t="n">
        <v>43566</v>
      </c>
      <c r="C540" s="1" t="n">
        <v>45802</v>
      </c>
      <c r="D540" t="inlineStr">
        <is>
          <t>VÄSTERNORRLANDS LÄN</t>
        </is>
      </c>
      <c r="E540" t="inlineStr">
        <is>
          <t>SOLLEFTEÅ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20201-2019</t>
        </is>
      </c>
      <c r="B541" s="1" t="n">
        <v>43570</v>
      </c>
      <c r="C541" s="1" t="n">
        <v>45802</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20198-2019</t>
        </is>
      </c>
      <c r="B542" s="1" t="n">
        <v>43570</v>
      </c>
      <c r="C542" s="1" t="n">
        <v>45802</v>
      </c>
      <c r="D542" t="inlineStr">
        <is>
          <t>VÄSTERNORRLANDS LÄN</t>
        </is>
      </c>
      <c r="E542" t="inlineStr">
        <is>
          <t>SOLLEFTEÅ</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20200-2019</t>
        </is>
      </c>
      <c r="B543" s="1" t="n">
        <v>43570</v>
      </c>
      <c r="C543" s="1" t="n">
        <v>45802</v>
      </c>
      <c r="D543" t="inlineStr">
        <is>
          <t>VÄSTERNORRLANDS LÄN</t>
        </is>
      </c>
      <c r="E543" t="inlineStr">
        <is>
          <t>SOLLEFTEÅ</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20444-2019</t>
        </is>
      </c>
      <c r="B544" s="1" t="n">
        <v>43571</v>
      </c>
      <c r="C544" s="1" t="n">
        <v>45802</v>
      </c>
      <c r="D544" t="inlineStr">
        <is>
          <t>VÄSTERNORRLANDS LÄN</t>
        </is>
      </c>
      <c r="E544" t="inlineStr">
        <is>
          <t>SOLLEFTEÅ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20649-2019</t>
        </is>
      </c>
      <c r="B545" s="1" t="n">
        <v>43572</v>
      </c>
      <c r="C545" s="1" t="n">
        <v>45802</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20648-2019</t>
        </is>
      </c>
      <c r="B546" s="1" t="n">
        <v>43572</v>
      </c>
      <c r="C546" s="1" t="n">
        <v>45802</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21119-2019</t>
        </is>
      </c>
      <c r="B547" s="1" t="n">
        <v>43578</v>
      </c>
      <c r="C547" s="1" t="n">
        <v>45802</v>
      </c>
      <c r="D547" t="inlineStr">
        <is>
          <t>VÄSTERNORRLANDS LÄN</t>
        </is>
      </c>
      <c r="E547" t="inlineStr">
        <is>
          <t>SOLLEFTEÅ</t>
        </is>
      </c>
      <c r="F547" t="inlineStr">
        <is>
          <t>SCA</t>
        </is>
      </c>
      <c r="G547" t="n">
        <v>57.7</v>
      </c>
      <c r="H547" t="n">
        <v>0</v>
      </c>
      <c r="I547" t="n">
        <v>0</v>
      </c>
      <c r="J547" t="n">
        <v>0</v>
      </c>
      <c r="K547" t="n">
        <v>0</v>
      </c>
      <c r="L547" t="n">
        <v>0</v>
      </c>
      <c r="M547" t="n">
        <v>0</v>
      </c>
      <c r="N547" t="n">
        <v>0</v>
      </c>
      <c r="O547" t="n">
        <v>0</v>
      </c>
      <c r="P547" t="n">
        <v>0</v>
      </c>
      <c r="Q547" t="n">
        <v>0</v>
      </c>
      <c r="R547" s="2" t="inlineStr"/>
    </row>
    <row r="548" ht="15" customHeight="1">
      <c r="A548" t="inlineStr">
        <is>
          <t>A 21526-2019</t>
        </is>
      </c>
      <c r="B548" s="1" t="n">
        <v>43580</v>
      </c>
      <c r="C548" s="1" t="n">
        <v>45802</v>
      </c>
      <c r="D548" t="inlineStr">
        <is>
          <t>VÄSTERNORRLANDS LÄN</t>
        </is>
      </c>
      <c r="E548" t="inlineStr">
        <is>
          <t>SOLLEFTEÅ</t>
        </is>
      </c>
      <c r="G548" t="n">
        <v>3.1</v>
      </c>
      <c r="H548" t="n">
        <v>0</v>
      </c>
      <c r="I548" t="n">
        <v>0</v>
      </c>
      <c r="J548" t="n">
        <v>0</v>
      </c>
      <c r="K548" t="n">
        <v>0</v>
      </c>
      <c r="L548" t="n">
        <v>0</v>
      </c>
      <c r="M548" t="n">
        <v>0</v>
      </c>
      <c r="N548" t="n">
        <v>0</v>
      </c>
      <c r="O548" t="n">
        <v>0</v>
      </c>
      <c r="P548" t="n">
        <v>0</v>
      </c>
      <c r="Q548" t="n">
        <v>0</v>
      </c>
      <c r="R548" s="2" t="inlineStr"/>
    </row>
    <row r="549" ht="15" customHeight="1">
      <c r="A549" t="inlineStr">
        <is>
          <t>A 21799-2019</t>
        </is>
      </c>
      <c r="B549" s="1" t="n">
        <v>43581</v>
      </c>
      <c r="C549" s="1" t="n">
        <v>45802</v>
      </c>
      <c r="D549" t="inlineStr">
        <is>
          <t>VÄSTERNORRLANDS LÄN</t>
        </is>
      </c>
      <c r="E549" t="inlineStr">
        <is>
          <t>SOLLEFTEÅ</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21788-2019</t>
        </is>
      </c>
      <c r="B550" s="1" t="n">
        <v>43581</v>
      </c>
      <c r="C550" s="1" t="n">
        <v>45802</v>
      </c>
      <c r="D550" t="inlineStr">
        <is>
          <t>VÄSTERNORRLANDS LÄN</t>
        </is>
      </c>
      <c r="E550" t="inlineStr">
        <is>
          <t>SOLLEFTEÅ</t>
        </is>
      </c>
      <c r="F550" t="inlineStr">
        <is>
          <t>SCA</t>
        </is>
      </c>
      <c r="G550" t="n">
        <v>7.7</v>
      </c>
      <c r="H550" t="n">
        <v>0</v>
      </c>
      <c r="I550" t="n">
        <v>0</v>
      </c>
      <c r="J550" t="n">
        <v>0</v>
      </c>
      <c r="K550" t="n">
        <v>0</v>
      </c>
      <c r="L550" t="n">
        <v>0</v>
      </c>
      <c r="M550" t="n">
        <v>0</v>
      </c>
      <c r="N550" t="n">
        <v>0</v>
      </c>
      <c r="O550" t="n">
        <v>0</v>
      </c>
      <c r="P550" t="n">
        <v>0</v>
      </c>
      <c r="Q550" t="n">
        <v>0</v>
      </c>
      <c r="R550" s="2" t="inlineStr"/>
    </row>
    <row r="551" ht="15" customHeight="1">
      <c r="A551" t="inlineStr">
        <is>
          <t>A 22088-2019</t>
        </is>
      </c>
      <c r="B551" s="1" t="n">
        <v>43584</v>
      </c>
      <c r="C551" s="1" t="n">
        <v>45802</v>
      </c>
      <c r="D551" t="inlineStr">
        <is>
          <t>VÄSTERNORRLANDS LÄN</t>
        </is>
      </c>
      <c r="E551" t="inlineStr">
        <is>
          <t>SOLLEFTEÅ</t>
        </is>
      </c>
      <c r="F551" t="inlineStr">
        <is>
          <t>SCA</t>
        </is>
      </c>
      <c r="G551" t="n">
        <v>37.9</v>
      </c>
      <c r="H551" t="n">
        <v>0</v>
      </c>
      <c r="I551" t="n">
        <v>0</v>
      </c>
      <c r="J551" t="n">
        <v>0</v>
      </c>
      <c r="K551" t="n">
        <v>0</v>
      </c>
      <c r="L551" t="n">
        <v>0</v>
      </c>
      <c r="M551" t="n">
        <v>0</v>
      </c>
      <c r="N551" t="n">
        <v>0</v>
      </c>
      <c r="O551" t="n">
        <v>0</v>
      </c>
      <c r="P551" t="n">
        <v>0</v>
      </c>
      <c r="Q551" t="n">
        <v>0</v>
      </c>
      <c r="R551" s="2" t="inlineStr"/>
    </row>
    <row r="552" ht="15" customHeight="1">
      <c r="A552" t="inlineStr">
        <is>
          <t>A 22283-2019</t>
        </is>
      </c>
      <c r="B552" s="1" t="n">
        <v>43585</v>
      </c>
      <c r="C552" s="1" t="n">
        <v>45802</v>
      </c>
      <c r="D552" t="inlineStr">
        <is>
          <t>VÄSTERNORRLANDS LÄN</t>
        </is>
      </c>
      <c r="E552" t="inlineStr">
        <is>
          <t>SOLLEFTEÅ</t>
        </is>
      </c>
      <c r="F552" t="inlineStr">
        <is>
          <t>SCA</t>
        </is>
      </c>
      <c r="G552" t="n">
        <v>9.1</v>
      </c>
      <c r="H552" t="n">
        <v>0</v>
      </c>
      <c r="I552" t="n">
        <v>0</v>
      </c>
      <c r="J552" t="n">
        <v>0</v>
      </c>
      <c r="K552" t="n">
        <v>0</v>
      </c>
      <c r="L552" t="n">
        <v>0</v>
      </c>
      <c r="M552" t="n">
        <v>0</v>
      </c>
      <c r="N552" t="n">
        <v>0</v>
      </c>
      <c r="O552" t="n">
        <v>0</v>
      </c>
      <c r="P552" t="n">
        <v>0</v>
      </c>
      <c r="Q552" t="n">
        <v>0</v>
      </c>
      <c r="R552" s="2" t="inlineStr"/>
    </row>
    <row r="553" ht="15" customHeight="1">
      <c r="A553" t="inlineStr">
        <is>
          <t>A 22587-2019</t>
        </is>
      </c>
      <c r="B553" s="1" t="n">
        <v>43587</v>
      </c>
      <c r="C553" s="1" t="n">
        <v>45802</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23241-2019</t>
        </is>
      </c>
      <c r="B554" s="1" t="n">
        <v>43591</v>
      </c>
      <c r="C554" s="1" t="n">
        <v>45802</v>
      </c>
      <c r="D554" t="inlineStr">
        <is>
          <t>VÄSTERNORRLANDS LÄN</t>
        </is>
      </c>
      <c r="E554" t="inlineStr">
        <is>
          <t>SOLLEFTEÅ</t>
        </is>
      </c>
      <c r="G554" t="n">
        <v>6.2</v>
      </c>
      <c r="H554" t="n">
        <v>0</v>
      </c>
      <c r="I554" t="n">
        <v>0</v>
      </c>
      <c r="J554" t="n">
        <v>0</v>
      </c>
      <c r="K554" t="n">
        <v>0</v>
      </c>
      <c r="L554" t="n">
        <v>0</v>
      </c>
      <c r="M554" t="n">
        <v>0</v>
      </c>
      <c r="N554" t="n">
        <v>0</v>
      </c>
      <c r="O554" t="n">
        <v>0</v>
      </c>
      <c r="P554" t="n">
        <v>0</v>
      </c>
      <c r="Q554" t="n">
        <v>0</v>
      </c>
      <c r="R554" s="2" t="inlineStr"/>
    </row>
    <row r="555" ht="15" customHeight="1">
      <c r="A555" t="inlineStr">
        <is>
          <t>A 23314-2019</t>
        </is>
      </c>
      <c r="B555" s="1" t="n">
        <v>43591</v>
      </c>
      <c r="C555" s="1" t="n">
        <v>45802</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23323-2019</t>
        </is>
      </c>
      <c r="B556" s="1" t="n">
        <v>43591</v>
      </c>
      <c r="C556" s="1" t="n">
        <v>45802</v>
      </c>
      <c r="D556" t="inlineStr">
        <is>
          <t>VÄSTERNORRLANDS LÄN</t>
        </is>
      </c>
      <c r="E556" t="inlineStr">
        <is>
          <t>SOLLEFTEÅ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23246-2019</t>
        </is>
      </c>
      <c r="B557" s="1" t="n">
        <v>43591</v>
      </c>
      <c r="C557" s="1" t="n">
        <v>45802</v>
      </c>
      <c r="D557" t="inlineStr">
        <is>
          <t>VÄSTERNORRLANDS LÄN</t>
        </is>
      </c>
      <c r="E557" t="inlineStr">
        <is>
          <t>SOLLEFTEÅ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24157-2019</t>
        </is>
      </c>
      <c r="B558" s="1" t="n">
        <v>43598</v>
      </c>
      <c r="C558" s="1" t="n">
        <v>45802</v>
      </c>
      <c r="D558" t="inlineStr">
        <is>
          <t>VÄSTERNORRLANDS LÄN</t>
        </is>
      </c>
      <c r="E558" t="inlineStr">
        <is>
          <t>SOLLEFTEÅ</t>
        </is>
      </c>
      <c r="F558" t="inlineStr">
        <is>
          <t>SCA</t>
        </is>
      </c>
      <c r="G558" t="n">
        <v>0.1</v>
      </c>
      <c r="H558" t="n">
        <v>0</v>
      </c>
      <c r="I558" t="n">
        <v>0</v>
      </c>
      <c r="J558" t="n">
        <v>0</v>
      </c>
      <c r="K558" t="n">
        <v>0</v>
      </c>
      <c r="L558" t="n">
        <v>0</v>
      </c>
      <c r="M558" t="n">
        <v>0</v>
      </c>
      <c r="N558" t="n">
        <v>0</v>
      </c>
      <c r="O558" t="n">
        <v>0</v>
      </c>
      <c r="P558" t="n">
        <v>0</v>
      </c>
      <c r="Q558" t="n">
        <v>0</v>
      </c>
      <c r="R558" s="2" t="inlineStr"/>
    </row>
    <row r="559" ht="15" customHeight="1">
      <c r="A559" t="inlineStr">
        <is>
          <t>A 24168-2019</t>
        </is>
      </c>
      <c r="B559" s="1" t="n">
        <v>43598</v>
      </c>
      <c r="C559" s="1" t="n">
        <v>45802</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25334-2019</t>
        </is>
      </c>
      <c r="B560" s="1" t="n">
        <v>43601</v>
      </c>
      <c r="C560" s="1" t="n">
        <v>45802</v>
      </c>
      <c r="D560" t="inlineStr">
        <is>
          <t>VÄSTERNORRLANDS LÄN</t>
        </is>
      </c>
      <c r="E560" t="inlineStr">
        <is>
          <t>SOLLEFTEÅ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25331-2019</t>
        </is>
      </c>
      <c r="B561" s="1" t="n">
        <v>43601</v>
      </c>
      <c r="C561" s="1" t="n">
        <v>45802</v>
      </c>
      <c r="D561" t="inlineStr">
        <is>
          <t>VÄSTERNORRLANDS LÄN</t>
        </is>
      </c>
      <c r="E561" t="inlineStr">
        <is>
          <t>SOLLEFTEÅ</t>
        </is>
      </c>
      <c r="G561" t="n">
        <v>7.2</v>
      </c>
      <c r="H561" t="n">
        <v>0</v>
      </c>
      <c r="I561" t="n">
        <v>0</v>
      </c>
      <c r="J561" t="n">
        <v>0</v>
      </c>
      <c r="K561" t="n">
        <v>0</v>
      </c>
      <c r="L561" t="n">
        <v>0</v>
      </c>
      <c r="M561" t="n">
        <v>0</v>
      </c>
      <c r="N561" t="n">
        <v>0</v>
      </c>
      <c r="O561" t="n">
        <v>0</v>
      </c>
      <c r="P561" t="n">
        <v>0</v>
      </c>
      <c r="Q561" t="n">
        <v>0</v>
      </c>
      <c r="R561" s="2" t="inlineStr"/>
    </row>
    <row r="562" ht="15" customHeight="1">
      <c r="A562" t="inlineStr">
        <is>
          <t>A 25260-2019</t>
        </is>
      </c>
      <c r="B562" s="1" t="n">
        <v>43601</v>
      </c>
      <c r="C562" s="1" t="n">
        <v>45802</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25328-2019</t>
        </is>
      </c>
      <c r="B563" s="1" t="n">
        <v>43601</v>
      </c>
      <c r="C563" s="1" t="n">
        <v>45802</v>
      </c>
      <c r="D563" t="inlineStr">
        <is>
          <t>VÄSTERNORRLANDS LÄN</t>
        </is>
      </c>
      <c r="E563" t="inlineStr">
        <is>
          <t>SOLLEFTEÅ</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25014-2019</t>
        </is>
      </c>
      <c r="B564" s="1" t="n">
        <v>43602</v>
      </c>
      <c r="C564" s="1" t="n">
        <v>45802</v>
      </c>
      <c r="D564" t="inlineStr">
        <is>
          <t>VÄSTERNORRLANDS LÄN</t>
        </is>
      </c>
      <c r="E564" t="inlineStr">
        <is>
          <t>SOLLEFTEÅ</t>
        </is>
      </c>
      <c r="F564" t="inlineStr">
        <is>
          <t>SCA</t>
        </is>
      </c>
      <c r="G564" t="n">
        <v>11.1</v>
      </c>
      <c r="H564" t="n">
        <v>0</v>
      </c>
      <c r="I564" t="n">
        <v>0</v>
      </c>
      <c r="J564" t="n">
        <v>0</v>
      </c>
      <c r="K564" t="n">
        <v>0</v>
      </c>
      <c r="L564" t="n">
        <v>0</v>
      </c>
      <c r="M564" t="n">
        <v>0</v>
      </c>
      <c r="N564" t="n">
        <v>0</v>
      </c>
      <c r="O564" t="n">
        <v>0</v>
      </c>
      <c r="P564" t="n">
        <v>0</v>
      </c>
      <c r="Q564" t="n">
        <v>0</v>
      </c>
      <c r="R564" s="2" t="inlineStr"/>
    </row>
    <row r="565" ht="15" customHeight="1">
      <c r="A565" t="inlineStr">
        <is>
          <t>A 26111-2019</t>
        </is>
      </c>
      <c r="B565" s="1" t="n">
        <v>43605</v>
      </c>
      <c r="C565" s="1" t="n">
        <v>45802</v>
      </c>
      <c r="D565" t="inlineStr">
        <is>
          <t>VÄSTERNORRLANDS LÄN</t>
        </is>
      </c>
      <c r="E565" t="inlineStr">
        <is>
          <t>SOLLEFTEÅ</t>
        </is>
      </c>
      <c r="G565" t="n">
        <v>3.5</v>
      </c>
      <c r="H565" t="n">
        <v>0</v>
      </c>
      <c r="I565" t="n">
        <v>0</v>
      </c>
      <c r="J565" t="n">
        <v>0</v>
      </c>
      <c r="K565" t="n">
        <v>0</v>
      </c>
      <c r="L565" t="n">
        <v>0</v>
      </c>
      <c r="M565" t="n">
        <v>0</v>
      </c>
      <c r="N565" t="n">
        <v>0</v>
      </c>
      <c r="O565" t="n">
        <v>0</v>
      </c>
      <c r="P565" t="n">
        <v>0</v>
      </c>
      <c r="Q565" t="n">
        <v>0</v>
      </c>
      <c r="R565" s="2" t="inlineStr"/>
    </row>
    <row r="566" ht="15" customHeight="1">
      <c r="A566" t="inlineStr">
        <is>
          <t>A 25714-2019</t>
        </is>
      </c>
      <c r="B566" s="1" t="n">
        <v>43607</v>
      </c>
      <c r="C566" s="1" t="n">
        <v>45802</v>
      </c>
      <c r="D566" t="inlineStr">
        <is>
          <t>VÄSTERNORRLANDS LÄN</t>
        </is>
      </c>
      <c r="E566" t="inlineStr">
        <is>
          <t>SOLLEFTEÅ</t>
        </is>
      </c>
      <c r="F566" t="inlineStr">
        <is>
          <t>SCA</t>
        </is>
      </c>
      <c r="G566" t="n">
        <v>28.3</v>
      </c>
      <c r="H566" t="n">
        <v>0</v>
      </c>
      <c r="I566" t="n">
        <v>0</v>
      </c>
      <c r="J566" t="n">
        <v>0</v>
      </c>
      <c r="K566" t="n">
        <v>0</v>
      </c>
      <c r="L566" t="n">
        <v>0</v>
      </c>
      <c r="M566" t="n">
        <v>0</v>
      </c>
      <c r="N566" t="n">
        <v>0</v>
      </c>
      <c r="O566" t="n">
        <v>0</v>
      </c>
      <c r="P566" t="n">
        <v>0</v>
      </c>
      <c r="Q566" t="n">
        <v>0</v>
      </c>
      <c r="R566" s="2" t="inlineStr"/>
    </row>
    <row r="567" ht="15" customHeight="1">
      <c r="A567" t="inlineStr">
        <is>
          <t>A 25979-2019</t>
        </is>
      </c>
      <c r="B567" s="1" t="n">
        <v>43608</v>
      </c>
      <c r="C567" s="1" t="n">
        <v>45802</v>
      </c>
      <c r="D567" t="inlineStr">
        <is>
          <t>VÄSTERNORRLANDS LÄN</t>
        </is>
      </c>
      <c r="E567" t="inlineStr">
        <is>
          <t>SOLLEFTEÅ</t>
        </is>
      </c>
      <c r="F567" t="inlineStr">
        <is>
          <t>SCA</t>
        </is>
      </c>
      <c r="G567" t="n">
        <v>26.1</v>
      </c>
      <c r="H567" t="n">
        <v>0</v>
      </c>
      <c r="I567" t="n">
        <v>0</v>
      </c>
      <c r="J567" t="n">
        <v>0</v>
      </c>
      <c r="K567" t="n">
        <v>0</v>
      </c>
      <c r="L567" t="n">
        <v>0</v>
      </c>
      <c r="M567" t="n">
        <v>0</v>
      </c>
      <c r="N567" t="n">
        <v>0</v>
      </c>
      <c r="O567" t="n">
        <v>0</v>
      </c>
      <c r="P567" t="n">
        <v>0</v>
      </c>
      <c r="Q567" t="n">
        <v>0</v>
      </c>
      <c r="R567" s="2" t="inlineStr"/>
    </row>
    <row r="568" ht="15" customHeight="1">
      <c r="A568" t="inlineStr">
        <is>
          <t>A 25982-2019</t>
        </is>
      </c>
      <c r="B568" s="1" t="n">
        <v>43608</v>
      </c>
      <c r="C568" s="1" t="n">
        <v>45802</v>
      </c>
      <c r="D568" t="inlineStr">
        <is>
          <t>VÄSTERNORRLANDS LÄN</t>
        </is>
      </c>
      <c r="E568" t="inlineStr">
        <is>
          <t>SOLLEFTEÅ</t>
        </is>
      </c>
      <c r="G568" t="n">
        <v>1.4</v>
      </c>
      <c r="H568" t="n">
        <v>0</v>
      </c>
      <c r="I568" t="n">
        <v>0</v>
      </c>
      <c r="J568" t="n">
        <v>0</v>
      </c>
      <c r="K568" t="n">
        <v>0</v>
      </c>
      <c r="L568" t="n">
        <v>0</v>
      </c>
      <c r="M568" t="n">
        <v>0</v>
      </c>
      <c r="N568" t="n">
        <v>0</v>
      </c>
      <c r="O568" t="n">
        <v>0</v>
      </c>
      <c r="P568" t="n">
        <v>0</v>
      </c>
      <c r="Q568" t="n">
        <v>0</v>
      </c>
      <c r="R568" s="2" t="inlineStr"/>
    </row>
    <row r="569" ht="15" customHeight="1">
      <c r="A569" t="inlineStr">
        <is>
          <t>A 25997-2019</t>
        </is>
      </c>
      <c r="B569" s="1" t="n">
        <v>43608</v>
      </c>
      <c r="C569" s="1" t="n">
        <v>45802</v>
      </c>
      <c r="D569" t="inlineStr">
        <is>
          <t>VÄSTERNORRLANDS LÄN</t>
        </is>
      </c>
      <c r="E569" t="inlineStr">
        <is>
          <t>SOLLEFTEÅ</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25959-2019</t>
        </is>
      </c>
      <c r="B570" s="1" t="n">
        <v>43608</v>
      </c>
      <c r="C570" s="1" t="n">
        <v>45802</v>
      </c>
      <c r="D570" t="inlineStr">
        <is>
          <t>VÄSTERNORRLANDS LÄN</t>
        </is>
      </c>
      <c r="E570" t="inlineStr">
        <is>
          <t>SOLLEFTEÅ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26254-2019</t>
        </is>
      </c>
      <c r="B571" s="1" t="n">
        <v>43609</v>
      </c>
      <c r="C571" s="1" t="n">
        <v>45802</v>
      </c>
      <c r="D571" t="inlineStr">
        <is>
          <t>VÄSTERNORRLANDS LÄN</t>
        </is>
      </c>
      <c r="E571" t="inlineStr">
        <is>
          <t>SOLLEFTEÅ</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26640-2019</t>
        </is>
      </c>
      <c r="B572" s="1" t="n">
        <v>43612</v>
      </c>
      <c r="C572" s="1" t="n">
        <v>45802</v>
      </c>
      <c r="D572" t="inlineStr">
        <is>
          <t>VÄSTERNORRLANDS LÄN</t>
        </is>
      </c>
      <c r="E572" t="inlineStr">
        <is>
          <t>SOLLEFTEÅ</t>
        </is>
      </c>
      <c r="F572" t="inlineStr">
        <is>
          <t>SCA</t>
        </is>
      </c>
      <c r="G572" t="n">
        <v>10.4</v>
      </c>
      <c r="H572" t="n">
        <v>0</v>
      </c>
      <c r="I572" t="n">
        <v>0</v>
      </c>
      <c r="J572" t="n">
        <v>0</v>
      </c>
      <c r="K572" t="n">
        <v>0</v>
      </c>
      <c r="L572" t="n">
        <v>0</v>
      </c>
      <c r="M572" t="n">
        <v>0</v>
      </c>
      <c r="N572" t="n">
        <v>0</v>
      </c>
      <c r="O572" t="n">
        <v>0</v>
      </c>
      <c r="P572" t="n">
        <v>0</v>
      </c>
      <c r="Q572" t="n">
        <v>0</v>
      </c>
      <c r="R572" s="2" t="inlineStr"/>
    </row>
    <row r="573" ht="15" customHeight="1">
      <c r="A573" t="inlineStr">
        <is>
          <t>A 27597-2019</t>
        </is>
      </c>
      <c r="B573" s="1" t="n">
        <v>43612</v>
      </c>
      <c r="C573" s="1" t="n">
        <v>45802</v>
      </c>
      <c r="D573" t="inlineStr">
        <is>
          <t>VÄSTERNORRLANDS LÄN</t>
        </is>
      </c>
      <c r="E573" t="inlineStr">
        <is>
          <t>SOLLEFTEÅ</t>
        </is>
      </c>
      <c r="G573" t="n">
        <v>5.6</v>
      </c>
      <c r="H573" t="n">
        <v>0</v>
      </c>
      <c r="I573" t="n">
        <v>0</v>
      </c>
      <c r="J573" t="n">
        <v>0</v>
      </c>
      <c r="K573" t="n">
        <v>0</v>
      </c>
      <c r="L573" t="n">
        <v>0</v>
      </c>
      <c r="M573" t="n">
        <v>0</v>
      </c>
      <c r="N573" t="n">
        <v>0</v>
      </c>
      <c r="O573" t="n">
        <v>0</v>
      </c>
      <c r="P573" t="n">
        <v>0</v>
      </c>
      <c r="Q573" t="n">
        <v>0</v>
      </c>
      <c r="R573" s="2" t="inlineStr"/>
    </row>
    <row r="574" ht="15" customHeight="1">
      <c r="A574" t="inlineStr">
        <is>
          <t>A 26945-2019</t>
        </is>
      </c>
      <c r="B574" s="1" t="n">
        <v>43613</v>
      </c>
      <c r="C574" s="1" t="n">
        <v>45802</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26957-2019</t>
        </is>
      </c>
      <c r="B575" s="1" t="n">
        <v>43613</v>
      </c>
      <c r="C575" s="1" t="n">
        <v>45802</v>
      </c>
      <c r="D575" t="inlineStr">
        <is>
          <t>VÄSTERNORRLANDS LÄN</t>
        </is>
      </c>
      <c r="E575" t="inlineStr">
        <is>
          <t>SOLLEFTEÅ</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27226-2019</t>
        </is>
      </c>
      <c r="B576" s="1" t="n">
        <v>43614</v>
      </c>
      <c r="C576" s="1" t="n">
        <v>45802</v>
      </c>
      <c r="D576" t="inlineStr">
        <is>
          <t>VÄSTERNORRLANDS LÄN</t>
        </is>
      </c>
      <c r="E576" t="inlineStr">
        <is>
          <t>SOLLEFTEÅ</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27979-2019</t>
        </is>
      </c>
      <c r="B577" s="1" t="n">
        <v>43620</v>
      </c>
      <c r="C577" s="1" t="n">
        <v>45802</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28212-2019</t>
        </is>
      </c>
      <c r="B578" s="1" t="n">
        <v>43621</v>
      </c>
      <c r="C578" s="1" t="n">
        <v>45802</v>
      </c>
      <c r="D578" t="inlineStr">
        <is>
          <t>VÄSTERNORRLANDS LÄN</t>
        </is>
      </c>
      <c r="E578" t="inlineStr">
        <is>
          <t>SOLLEFTEÅ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28236-2019</t>
        </is>
      </c>
      <c r="B579" s="1" t="n">
        <v>43621</v>
      </c>
      <c r="C579" s="1" t="n">
        <v>45802</v>
      </c>
      <c r="D579" t="inlineStr">
        <is>
          <t>VÄSTERNORRLANDS LÄN</t>
        </is>
      </c>
      <c r="E579" t="inlineStr">
        <is>
          <t>SOLLEFTEÅ</t>
        </is>
      </c>
      <c r="G579" t="n">
        <v>0.6</v>
      </c>
      <c r="H579" t="n">
        <v>0</v>
      </c>
      <c r="I579" t="n">
        <v>0</v>
      </c>
      <c r="J579" t="n">
        <v>0</v>
      </c>
      <c r="K579" t="n">
        <v>0</v>
      </c>
      <c r="L579" t="n">
        <v>0</v>
      </c>
      <c r="M579" t="n">
        <v>0</v>
      </c>
      <c r="N579" t="n">
        <v>0</v>
      </c>
      <c r="O579" t="n">
        <v>0</v>
      </c>
      <c r="P579" t="n">
        <v>0</v>
      </c>
      <c r="Q579" t="n">
        <v>0</v>
      </c>
      <c r="R579" s="2" t="inlineStr"/>
    </row>
    <row r="580" ht="15" customHeight="1">
      <c r="A580" t="inlineStr">
        <is>
          <t>A 30383-2019</t>
        </is>
      </c>
      <c r="B580" s="1" t="n">
        <v>43634</v>
      </c>
      <c r="C580" s="1" t="n">
        <v>45802</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30628-2019</t>
        </is>
      </c>
      <c r="B581" s="1" t="n">
        <v>43635</v>
      </c>
      <c r="C581" s="1" t="n">
        <v>45802</v>
      </c>
      <c r="D581" t="inlineStr">
        <is>
          <t>VÄSTERNORRLANDS LÄN</t>
        </is>
      </c>
      <c r="E581" t="inlineStr">
        <is>
          <t>SOLLEFTEÅ</t>
        </is>
      </c>
      <c r="F581" t="inlineStr">
        <is>
          <t>SCA</t>
        </is>
      </c>
      <c r="G581" t="n">
        <v>7.2</v>
      </c>
      <c r="H581" t="n">
        <v>0</v>
      </c>
      <c r="I581" t="n">
        <v>0</v>
      </c>
      <c r="J581" t="n">
        <v>0</v>
      </c>
      <c r="K581" t="n">
        <v>0</v>
      </c>
      <c r="L581" t="n">
        <v>0</v>
      </c>
      <c r="M581" t="n">
        <v>0</v>
      </c>
      <c r="N581" t="n">
        <v>0</v>
      </c>
      <c r="O581" t="n">
        <v>0</v>
      </c>
      <c r="P581" t="n">
        <v>0</v>
      </c>
      <c r="Q581" t="n">
        <v>0</v>
      </c>
      <c r="R581" s="2" t="inlineStr"/>
    </row>
    <row r="582" ht="15" customHeight="1">
      <c r="A582" t="inlineStr">
        <is>
          <t>A 32202-2019</t>
        </is>
      </c>
      <c r="B582" s="1" t="n">
        <v>43643</v>
      </c>
      <c r="C582" s="1" t="n">
        <v>45802</v>
      </c>
      <c r="D582" t="inlineStr">
        <is>
          <t>VÄSTERNORRLANDS LÄN</t>
        </is>
      </c>
      <c r="E582" t="inlineStr">
        <is>
          <t>SOLLEFTEÅ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32203-2019</t>
        </is>
      </c>
      <c r="B583" s="1" t="n">
        <v>43643</v>
      </c>
      <c r="C583" s="1" t="n">
        <v>45802</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32744-2019</t>
        </is>
      </c>
      <c r="B584" s="1" t="n">
        <v>43647</v>
      </c>
      <c r="C584" s="1" t="n">
        <v>45802</v>
      </c>
      <c r="D584" t="inlineStr">
        <is>
          <t>VÄSTERNORRLANDS LÄN</t>
        </is>
      </c>
      <c r="E584" t="inlineStr">
        <is>
          <t>SOLLEFTEÅ</t>
        </is>
      </c>
      <c r="F584" t="inlineStr">
        <is>
          <t>SCA</t>
        </is>
      </c>
      <c r="G584" t="n">
        <v>33.3</v>
      </c>
      <c r="H584" t="n">
        <v>0</v>
      </c>
      <c r="I584" t="n">
        <v>0</v>
      </c>
      <c r="J584" t="n">
        <v>0</v>
      </c>
      <c r="K584" t="n">
        <v>0</v>
      </c>
      <c r="L584" t="n">
        <v>0</v>
      </c>
      <c r="M584" t="n">
        <v>0</v>
      </c>
      <c r="N584" t="n">
        <v>0</v>
      </c>
      <c r="O584" t="n">
        <v>0</v>
      </c>
      <c r="P584" t="n">
        <v>0</v>
      </c>
      <c r="Q584" t="n">
        <v>0</v>
      </c>
      <c r="R584" s="2" t="inlineStr"/>
    </row>
    <row r="585" ht="15" customHeight="1">
      <c r="A585" t="inlineStr">
        <is>
          <t>A 33217-2019</t>
        </is>
      </c>
      <c r="B585" s="1" t="n">
        <v>43649</v>
      </c>
      <c r="C585" s="1" t="n">
        <v>45802</v>
      </c>
      <c r="D585" t="inlineStr">
        <is>
          <t>VÄSTERNORRLANDS LÄN</t>
        </is>
      </c>
      <c r="E585" t="inlineStr">
        <is>
          <t>SOLLEFTEÅ</t>
        </is>
      </c>
      <c r="G585" t="n">
        <v>29.3</v>
      </c>
      <c r="H585" t="n">
        <v>0</v>
      </c>
      <c r="I585" t="n">
        <v>0</v>
      </c>
      <c r="J585" t="n">
        <v>0</v>
      </c>
      <c r="K585" t="n">
        <v>0</v>
      </c>
      <c r="L585" t="n">
        <v>0</v>
      </c>
      <c r="M585" t="n">
        <v>0</v>
      </c>
      <c r="N585" t="n">
        <v>0</v>
      </c>
      <c r="O585" t="n">
        <v>0</v>
      </c>
      <c r="P585" t="n">
        <v>0</v>
      </c>
      <c r="Q585" t="n">
        <v>0</v>
      </c>
      <c r="R585" s="2" t="inlineStr"/>
    </row>
    <row r="586" ht="15" customHeight="1">
      <c r="A586" t="inlineStr">
        <is>
          <t>A 34886-2019</t>
        </is>
      </c>
      <c r="B586" s="1" t="n">
        <v>43650</v>
      </c>
      <c r="C586" s="1" t="n">
        <v>45802</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33833-2019</t>
        </is>
      </c>
      <c r="B587" s="1" t="n">
        <v>43651</v>
      </c>
      <c r="C587" s="1" t="n">
        <v>45802</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33826-2019</t>
        </is>
      </c>
      <c r="B588" s="1" t="n">
        <v>43651</v>
      </c>
      <c r="C588" s="1" t="n">
        <v>45802</v>
      </c>
      <c r="D588" t="inlineStr">
        <is>
          <t>VÄSTERNORRLANDS LÄN</t>
        </is>
      </c>
      <c r="E588" t="inlineStr">
        <is>
          <t>SOLLEFTEÅ</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33852-2019</t>
        </is>
      </c>
      <c r="B589" s="1" t="n">
        <v>43651</v>
      </c>
      <c r="C589" s="1" t="n">
        <v>45802</v>
      </c>
      <c r="D589" t="inlineStr">
        <is>
          <t>VÄSTERNORRLANDS LÄN</t>
        </is>
      </c>
      <c r="E589" t="inlineStr">
        <is>
          <t>SOLLEFTEÅ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33914-2019</t>
        </is>
      </c>
      <c r="B590" s="1" t="n">
        <v>43654</v>
      </c>
      <c r="C590" s="1" t="n">
        <v>45802</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34113-2019</t>
        </is>
      </c>
      <c r="B591" s="1" t="n">
        <v>43654</v>
      </c>
      <c r="C591" s="1" t="n">
        <v>45802</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34311-2019</t>
        </is>
      </c>
      <c r="B592" s="1" t="n">
        <v>43655</v>
      </c>
      <c r="C592" s="1" t="n">
        <v>45802</v>
      </c>
      <c r="D592" t="inlineStr">
        <is>
          <t>VÄSTERNORRLANDS LÄN</t>
        </is>
      </c>
      <c r="E592" t="inlineStr">
        <is>
          <t>SOLLEFTEÅ</t>
        </is>
      </c>
      <c r="F592" t="inlineStr">
        <is>
          <t>SCA</t>
        </is>
      </c>
      <c r="G592" t="n">
        <v>7.9</v>
      </c>
      <c r="H592" t="n">
        <v>0</v>
      </c>
      <c r="I592" t="n">
        <v>0</v>
      </c>
      <c r="J592" t="n">
        <v>0</v>
      </c>
      <c r="K592" t="n">
        <v>0</v>
      </c>
      <c r="L592" t="n">
        <v>0</v>
      </c>
      <c r="M592" t="n">
        <v>0</v>
      </c>
      <c r="N592" t="n">
        <v>0</v>
      </c>
      <c r="O592" t="n">
        <v>0</v>
      </c>
      <c r="P592" t="n">
        <v>0</v>
      </c>
      <c r="Q592" t="n">
        <v>0</v>
      </c>
      <c r="R592" s="2" t="inlineStr"/>
    </row>
    <row r="593" ht="15" customHeight="1">
      <c r="A593" t="inlineStr">
        <is>
          <t>A 34229-2019</t>
        </is>
      </c>
      <c r="B593" s="1" t="n">
        <v>43655</v>
      </c>
      <c r="C593" s="1" t="n">
        <v>45802</v>
      </c>
      <c r="D593" t="inlineStr">
        <is>
          <t>VÄSTERNORRLANDS LÄN</t>
        </is>
      </c>
      <c r="E593" t="inlineStr">
        <is>
          <t>SOLLEFTEÅ</t>
        </is>
      </c>
      <c r="G593" t="n">
        <v>7.9</v>
      </c>
      <c r="H593" t="n">
        <v>0</v>
      </c>
      <c r="I593" t="n">
        <v>0</v>
      </c>
      <c r="J593" t="n">
        <v>0</v>
      </c>
      <c r="K593" t="n">
        <v>0</v>
      </c>
      <c r="L593" t="n">
        <v>0</v>
      </c>
      <c r="M593" t="n">
        <v>0</v>
      </c>
      <c r="N593" t="n">
        <v>0</v>
      </c>
      <c r="O593" t="n">
        <v>0</v>
      </c>
      <c r="P593" t="n">
        <v>0</v>
      </c>
      <c r="Q593" t="n">
        <v>0</v>
      </c>
      <c r="R593" s="2" t="inlineStr"/>
    </row>
    <row r="594" ht="15" customHeight="1">
      <c r="A594" t="inlineStr">
        <is>
          <t>A 34302-2019</t>
        </is>
      </c>
      <c r="B594" s="1" t="n">
        <v>43655</v>
      </c>
      <c r="C594" s="1" t="n">
        <v>45802</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34738-2019</t>
        </is>
      </c>
      <c r="B595" s="1" t="n">
        <v>43657</v>
      </c>
      <c r="C595" s="1" t="n">
        <v>45802</v>
      </c>
      <c r="D595" t="inlineStr">
        <is>
          <t>VÄSTERNORRLANDS LÄN</t>
        </is>
      </c>
      <c r="E595" t="inlineStr">
        <is>
          <t>SOLLEFTEÅ</t>
        </is>
      </c>
      <c r="G595" t="n">
        <v>4.2</v>
      </c>
      <c r="H595" t="n">
        <v>0</v>
      </c>
      <c r="I595" t="n">
        <v>0</v>
      </c>
      <c r="J595" t="n">
        <v>0</v>
      </c>
      <c r="K595" t="n">
        <v>0</v>
      </c>
      <c r="L595" t="n">
        <v>0</v>
      </c>
      <c r="M595" t="n">
        <v>0</v>
      </c>
      <c r="N595" t="n">
        <v>0</v>
      </c>
      <c r="O595" t="n">
        <v>0</v>
      </c>
      <c r="P595" t="n">
        <v>0</v>
      </c>
      <c r="Q595" t="n">
        <v>0</v>
      </c>
      <c r="R595" s="2" t="inlineStr"/>
    </row>
    <row r="596" ht="15" customHeight="1">
      <c r="A596" t="inlineStr">
        <is>
          <t>A 34916-2019</t>
        </is>
      </c>
      <c r="B596" s="1" t="n">
        <v>43658</v>
      </c>
      <c r="C596" s="1" t="n">
        <v>45802</v>
      </c>
      <c r="D596" t="inlineStr">
        <is>
          <t>VÄSTERNORRLANDS LÄN</t>
        </is>
      </c>
      <c r="E596" t="inlineStr">
        <is>
          <t>SOLLEFTEÅ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35320-2019</t>
        </is>
      </c>
      <c r="B597" s="1" t="n">
        <v>43662</v>
      </c>
      <c r="C597" s="1" t="n">
        <v>45802</v>
      </c>
      <c r="D597" t="inlineStr">
        <is>
          <t>VÄSTERNORRLANDS LÄN</t>
        </is>
      </c>
      <c r="E597" t="inlineStr">
        <is>
          <t>SOLLEFTEÅ</t>
        </is>
      </c>
      <c r="F597" t="inlineStr">
        <is>
          <t>SCA</t>
        </is>
      </c>
      <c r="G597" t="n">
        <v>8</v>
      </c>
      <c r="H597" t="n">
        <v>0</v>
      </c>
      <c r="I597" t="n">
        <v>0</v>
      </c>
      <c r="J597" t="n">
        <v>0</v>
      </c>
      <c r="K597" t="n">
        <v>0</v>
      </c>
      <c r="L597" t="n">
        <v>0</v>
      </c>
      <c r="M597" t="n">
        <v>0</v>
      </c>
      <c r="N597" t="n">
        <v>0</v>
      </c>
      <c r="O597" t="n">
        <v>0</v>
      </c>
      <c r="P597" t="n">
        <v>0</v>
      </c>
      <c r="Q597" t="n">
        <v>0</v>
      </c>
      <c r="R597" s="2" t="inlineStr"/>
    </row>
    <row r="598" ht="15" customHeight="1">
      <c r="A598" t="inlineStr">
        <is>
          <t>A 35970-2019</t>
        </is>
      </c>
      <c r="B598" s="1" t="n">
        <v>43665</v>
      </c>
      <c r="C598" s="1" t="n">
        <v>45802</v>
      </c>
      <c r="D598" t="inlineStr">
        <is>
          <t>VÄSTERNORRLANDS LÄN</t>
        </is>
      </c>
      <c r="E598" t="inlineStr">
        <is>
          <t>SOLLEFTEÅ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35969-2019</t>
        </is>
      </c>
      <c r="B599" s="1" t="n">
        <v>43665</v>
      </c>
      <c r="C599" s="1" t="n">
        <v>45802</v>
      </c>
      <c r="D599" t="inlineStr">
        <is>
          <t>VÄSTERNORRLANDS LÄN</t>
        </is>
      </c>
      <c r="E599" t="inlineStr">
        <is>
          <t>SOLLEFTEÅ</t>
        </is>
      </c>
      <c r="F599" t="inlineStr">
        <is>
          <t>SCA</t>
        </is>
      </c>
      <c r="G599" t="n">
        <v>6</v>
      </c>
      <c r="H599" t="n">
        <v>0</v>
      </c>
      <c r="I599" t="n">
        <v>0</v>
      </c>
      <c r="J599" t="n">
        <v>0</v>
      </c>
      <c r="K599" t="n">
        <v>0</v>
      </c>
      <c r="L599" t="n">
        <v>0</v>
      </c>
      <c r="M599" t="n">
        <v>0</v>
      </c>
      <c r="N599" t="n">
        <v>0</v>
      </c>
      <c r="O599" t="n">
        <v>0</v>
      </c>
      <c r="P599" t="n">
        <v>0</v>
      </c>
      <c r="Q599" t="n">
        <v>0</v>
      </c>
      <c r="R599" s="2" t="inlineStr"/>
    </row>
    <row r="600" ht="15" customHeight="1">
      <c r="A600" t="inlineStr">
        <is>
          <t>A 36137-2019</t>
        </is>
      </c>
      <c r="B600" s="1" t="n">
        <v>43668</v>
      </c>
      <c r="C600" s="1" t="n">
        <v>45802</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36486-2019</t>
        </is>
      </c>
      <c r="B601" s="1" t="n">
        <v>43668</v>
      </c>
      <c r="C601" s="1" t="n">
        <v>45802</v>
      </c>
      <c r="D601" t="inlineStr">
        <is>
          <t>VÄSTERNORRLANDS LÄN</t>
        </is>
      </c>
      <c r="E601" t="inlineStr">
        <is>
          <t>SOLLEFTEÅ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36293-2019</t>
        </is>
      </c>
      <c r="B602" s="1" t="n">
        <v>43669</v>
      </c>
      <c r="C602" s="1" t="n">
        <v>45802</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36711-2019</t>
        </is>
      </c>
      <c r="B603" s="1" t="n">
        <v>43671</v>
      </c>
      <c r="C603" s="1" t="n">
        <v>45802</v>
      </c>
      <c r="D603" t="inlineStr">
        <is>
          <t>VÄSTERNORRLANDS LÄN</t>
        </is>
      </c>
      <c r="E603" t="inlineStr">
        <is>
          <t>SOLLEFTEÅ</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37292-2019</t>
        </is>
      </c>
      <c r="B604" s="1" t="n">
        <v>43677</v>
      </c>
      <c r="C604" s="1" t="n">
        <v>45802</v>
      </c>
      <c r="D604" t="inlineStr">
        <is>
          <t>VÄSTERNORRLANDS LÄN</t>
        </is>
      </c>
      <c r="E604" t="inlineStr">
        <is>
          <t>SOLLEFTEÅ</t>
        </is>
      </c>
      <c r="G604" t="n">
        <v>7.8</v>
      </c>
      <c r="H604" t="n">
        <v>0</v>
      </c>
      <c r="I604" t="n">
        <v>0</v>
      </c>
      <c r="J604" t="n">
        <v>0</v>
      </c>
      <c r="K604" t="n">
        <v>0</v>
      </c>
      <c r="L604" t="n">
        <v>0</v>
      </c>
      <c r="M604" t="n">
        <v>0</v>
      </c>
      <c r="N604" t="n">
        <v>0</v>
      </c>
      <c r="O604" t="n">
        <v>0</v>
      </c>
      <c r="P604" t="n">
        <v>0</v>
      </c>
      <c r="Q604" t="n">
        <v>0</v>
      </c>
      <c r="R604" s="2" t="inlineStr"/>
    </row>
    <row r="605" ht="15" customHeight="1">
      <c r="A605" t="inlineStr">
        <is>
          <t>A 37291-2019</t>
        </is>
      </c>
      <c r="B605" s="1" t="n">
        <v>43677</v>
      </c>
      <c r="C605" s="1" t="n">
        <v>45802</v>
      </c>
      <c r="D605" t="inlineStr">
        <is>
          <t>VÄSTERNORRLANDS LÄN</t>
        </is>
      </c>
      <c r="E605" t="inlineStr">
        <is>
          <t>SOLLEFTEÅ</t>
        </is>
      </c>
      <c r="G605" t="n">
        <v>7.4</v>
      </c>
      <c r="H605" t="n">
        <v>0</v>
      </c>
      <c r="I605" t="n">
        <v>0</v>
      </c>
      <c r="J605" t="n">
        <v>0</v>
      </c>
      <c r="K605" t="n">
        <v>0</v>
      </c>
      <c r="L605" t="n">
        <v>0</v>
      </c>
      <c r="M605" t="n">
        <v>0</v>
      </c>
      <c r="N605" t="n">
        <v>0</v>
      </c>
      <c r="O605" t="n">
        <v>0</v>
      </c>
      <c r="P605" t="n">
        <v>0</v>
      </c>
      <c r="Q605" t="n">
        <v>0</v>
      </c>
      <c r="R605" s="2" t="inlineStr"/>
    </row>
    <row r="606" ht="15" customHeight="1">
      <c r="A606" t="inlineStr">
        <is>
          <t>A 37434-2019</t>
        </is>
      </c>
      <c r="B606" s="1" t="n">
        <v>43678</v>
      </c>
      <c r="C606" s="1" t="n">
        <v>45802</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37652-2019</t>
        </is>
      </c>
      <c r="B607" s="1" t="n">
        <v>43679</v>
      </c>
      <c r="C607" s="1" t="n">
        <v>45802</v>
      </c>
      <c r="D607" t="inlineStr">
        <is>
          <t>VÄSTERNORRLANDS LÄN</t>
        </is>
      </c>
      <c r="E607" t="inlineStr">
        <is>
          <t>SOLLEFTEÅ</t>
        </is>
      </c>
      <c r="G607" t="n">
        <v>3.6</v>
      </c>
      <c r="H607" t="n">
        <v>0</v>
      </c>
      <c r="I607" t="n">
        <v>0</v>
      </c>
      <c r="J607" t="n">
        <v>0</v>
      </c>
      <c r="K607" t="n">
        <v>0</v>
      </c>
      <c r="L607" t="n">
        <v>0</v>
      </c>
      <c r="M607" t="n">
        <v>0</v>
      </c>
      <c r="N607" t="n">
        <v>0</v>
      </c>
      <c r="O607" t="n">
        <v>0</v>
      </c>
      <c r="P607" t="n">
        <v>0</v>
      </c>
      <c r="Q607" t="n">
        <v>0</v>
      </c>
      <c r="R607" s="2" t="inlineStr"/>
    </row>
    <row r="608" ht="15" customHeight="1">
      <c r="A608" t="inlineStr">
        <is>
          <t>A 37670-2019</t>
        </is>
      </c>
      <c r="B608" s="1" t="n">
        <v>43679</v>
      </c>
      <c r="C608" s="1" t="n">
        <v>45802</v>
      </c>
      <c r="D608" t="inlineStr">
        <is>
          <t>VÄSTERNORRLANDS LÄN</t>
        </is>
      </c>
      <c r="E608" t="inlineStr">
        <is>
          <t>SOLLEFTEÅ</t>
        </is>
      </c>
      <c r="G608" t="n">
        <v>3.2</v>
      </c>
      <c r="H608" t="n">
        <v>0</v>
      </c>
      <c r="I608" t="n">
        <v>0</v>
      </c>
      <c r="J608" t="n">
        <v>0</v>
      </c>
      <c r="K608" t="n">
        <v>0</v>
      </c>
      <c r="L608" t="n">
        <v>0</v>
      </c>
      <c r="M608" t="n">
        <v>0</v>
      </c>
      <c r="N608" t="n">
        <v>0</v>
      </c>
      <c r="O608" t="n">
        <v>0</v>
      </c>
      <c r="P608" t="n">
        <v>0</v>
      </c>
      <c r="Q608" t="n">
        <v>0</v>
      </c>
      <c r="R608" s="2" t="inlineStr"/>
    </row>
    <row r="609" ht="15" customHeight="1">
      <c r="A609" t="inlineStr">
        <is>
          <t>A 38081-2019</t>
        </is>
      </c>
      <c r="B609" s="1" t="n">
        <v>43682</v>
      </c>
      <c r="C609" s="1" t="n">
        <v>45802</v>
      </c>
      <c r="D609" t="inlineStr">
        <is>
          <t>VÄSTERNORRLANDS LÄN</t>
        </is>
      </c>
      <c r="E609" t="inlineStr">
        <is>
          <t>SOLLEFTEÅ</t>
        </is>
      </c>
      <c r="G609" t="n">
        <v>2.5</v>
      </c>
      <c r="H609" t="n">
        <v>0</v>
      </c>
      <c r="I609" t="n">
        <v>0</v>
      </c>
      <c r="J609" t="n">
        <v>0</v>
      </c>
      <c r="K609" t="n">
        <v>0</v>
      </c>
      <c r="L609" t="n">
        <v>0</v>
      </c>
      <c r="M609" t="n">
        <v>0</v>
      </c>
      <c r="N609" t="n">
        <v>0</v>
      </c>
      <c r="O609" t="n">
        <v>0</v>
      </c>
      <c r="P609" t="n">
        <v>0</v>
      </c>
      <c r="Q609" t="n">
        <v>0</v>
      </c>
      <c r="R609" s="2" t="inlineStr"/>
    </row>
    <row r="610" ht="15" customHeight="1">
      <c r="A610" t="inlineStr">
        <is>
          <t>A 38074-2019</t>
        </is>
      </c>
      <c r="B610" s="1" t="n">
        <v>43682</v>
      </c>
      <c r="C610" s="1" t="n">
        <v>45802</v>
      </c>
      <c r="D610" t="inlineStr">
        <is>
          <t>VÄSTERNORRLANDS LÄN</t>
        </is>
      </c>
      <c r="E610" t="inlineStr">
        <is>
          <t>SOLLEFTEÅ</t>
        </is>
      </c>
      <c r="G610" t="n">
        <v>4.2</v>
      </c>
      <c r="H610" t="n">
        <v>0</v>
      </c>
      <c r="I610" t="n">
        <v>0</v>
      </c>
      <c r="J610" t="n">
        <v>0</v>
      </c>
      <c r="K610" t="n">
        <v>0</v>
      </c>
      <c r="L610" t="n">
        <v>0</v>
      </c>
      <c r="M610" t="n">
        <v>0</v>
      </c>
      <c r="N610" t="n">
        <v>0</v>
      </c>
      <c r="O610" t="n">
        <v>0</v>
      </c>
      <c r="P610" t="n">
        <v>0</v>
      </c>
      <c r="Q610" t="n">
        <v>0</v>
      </c>
      <c r="R610" s="2" t="inlineStr"/>
    </row>
    <row r="611" ht="15" customHeight="1">
      <c r="A611" t="inlineStr">
        <is>
          <t>A 38080-2019</t>
        </is>
      </c>
      <c r="B611" s="1" t="n">
        <v>43682</v>
      </c>
      <c r="C611" s="1" t="n">
        <v>45802</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38083-2019</t>
        </is>
      </c>
      <c r="B612" s="1" t="n">
        <v>43682</v>
      </c>
      <c r="C612" s="1" t="n">
        <v>45802</v>
      </c>
      <c r="D612" t="inlineStr">
        <is>
          <t>VÄSTERNORRLANDS LÄN</t>
        </is>
      </c>
      <c r="E612" t="inlineStr">
        <is>
          <t>SOLLEFTEÅ</t>
        </is>
      </c>
      <c r="G612" t="n">
        <v>9.6</v>
      </c>
      <c r="H612" t="n">
        <v>0</v>
      </c>
      <c r="I612" t="n">
        <v>0</v>
      </c>
      <c r="J612" t="n">
        <v>0</v>
      </c>
      <c r="K612" t="n">
        <v>0</v>
      </c>
      <c r="L612" t="n">
        <v>0</v>
      </c>
      <c r="M612" t="n">
        <v>0</v>
      </c>
      <c r="N612" t="n">
        <v>0</v>
      </c>
      <c r="O612" t="n">
        <v>0</v>
      </c>
      <c r="P612" t="n">
        <v>0</v>
      </c>
      <c r="Q612" t="n">
        <v>0</v>
      </c>
      <c r="R612" s="2" t="inlineStr"/>
    </row>
    <row r="613" ht="15" customHeight="1">
      <c r="A613" t="inlineStr">
        <is>
          <t>A 38544-2019</t>
        </is>
      </c>
      <c r="B613" s="1" t="n">
        <v>43684</v>
      </c>
      <c r="C613" s="1" t="n">
        <v>45802</v>
      </c>
      <c r="D613" t="inlineStr">
        <is>
          <t>VÄSTERNORRLANDS LÄN</t>
        </is>
      </c>
      <c r="E613" t="inlineStr">
        <is>
          <t>SOLLEFTEÅ</t>
        </is>
      </c>
      <c r="G613" t="n">
        <v>6.6</v>
      </c>
      <c r="H613" t="n">
        <v>0</v>
      </c>
      <c r="I613" t="n">
        <v>0</v>
      </c>
      <c r="J613" t="n">
        <v>0</v>
      </c>
      <c r="K613" t="n">
        <v>0</v>
      </c>
      <c r="L613" t="n">
        <v>0</v>
      </c>
      <c r="M613" t="n">
        <v>0</v>
      </c>
      <c r="N613" t="n">
        <v>0</v>
      </c>
      <c r="O613" t="n">
        <v>0</v>
      </c>
      <c r="P613" t="n">
        <v>0</v>
      </c>
      <c r="Q613" t="n">
        <v>0</v>
      </c>
      <c r="R613" s="2" t="inlineStr"/>
    </row>
    <row r="614" ht="15" customHeight="1">
      <c r="A614" t="inlineStr">
        <is>
          <t>A 38252-2019</t>
        </is>
      </c>
      <c r="B614" s="1" t="n">
        <v>43684</v>
      </c>
      <c r="C614" s="1" t="n">
        <v>45802</v>
      </c>
      <c r="D614" t="inlineStr">
        <is>
          <t>VÄSTERNORRLANDS LÄN</t>
        </is>
      </c>
      <c r="E614" t="inlineStr">
        <is>
          <t>SOLLEFTEÅ</t>
        </is>
      </c>
      <c r="G614" t="n">
        <v>2.4</v>
      </c>
      <c r="H614" t="n">
        <v>0</v>
      </c>
      <c r="I614" t="n">
        <v>0</v>
      </c>
      <c r="J614" t="n">
        <v>0</v>
      </c>
      <c r="K614" t="n">
        <v>0</v>
      </c>
      <c r="L614" t="n">
        <v>0</v>
      </c>
      <c r="M614" t="n">
        <v>0</v>
      </c>
      <c r="N614" t="n">
        <v>0</v>
      </c>
      <c r="O614" t="n">
        <v>0</v>
      </c>
      <c r="P614" t="n">
        <v>0</v>
      </c>
      <c r="Q614" t="n">
        <v>0</v>
      </c>
      <c r="R614" s="2" t="inlineStr"/>
    </row>
    <row r="615" ht="15" customHeight="1">
      <c r="A615" t="inlineStr">
        <is>
          <t>A 38566-2019</t>
        </is>
      </c>
      <c r="B615" s="1" t="n">
        <v>43685</v>
      </c>
      <c r="C615" s="1" t="n">
        <v>45802</v>
      </c>
      <c r="D615" t="inlineStr">
        <is>
          <t>VÄSTERNORRLANDS LÄN</t>
        </is>
      </c>
      <c r="E615" t="inlineStr">
        <is>
          <t>SOLLEFTEÅ</t>
        </is>
      </c>
      <c r="F615" t="inlineStr">
        <is>
          <t>SCA</t>
        </is>
      </c>
      <c r="G615" t="n">
        <v>15.1</v>
      </c>
      <c r="H615" t="n">
        <v>0</v>
      </c>
      <c r="I615" t="n">
        <v>0</v>
      </c>
      <c r="J615" t="n">
        <v>0</v>
      </c>
      <c r="K615" t="n">
        <v>0</v>
      </c>
      <c r="L615" t="n">
        <v>0</v>
      </c>
      <c r="M615" t="n">
        <v>0</v>
      </c>
      <c r="N615" t="n">
        <v>0</v>
      </c>
      <c r="O615" t="n">
        <v>0</v>
      </c>
      <c r="P615" t="n">
        <v>0</v>
      </c>
      <c r="Q615" t="n">
        <v>0</v>
      </c>
      <c r="R615" s="2" t="inlineStr"/>
    </row>
    <row r="616" ht="15" customHeight="1">
      <c r="A616" t="inlineStr">
        <is>
          <t>A 38762-2019</t>
        </is>
      </c>
      <c r="B616" s="1" t="n">
        <v>43686</v>
      </c>
      <c r="C616" s="1" t="n">
        <v>45802</v>
      </c>
      <c r="D616" t="inlineStr">
        <is>
          <t>VÄSTERNORRLANDS LÄN</t>
        </is>
      </c>
      <c r="E616" t="inlineStr">
        <is>
          <t>SOLLEFTEÅ</t>
        </is>
      </c>
      <c r="G616" t="n">
        <v>7.7</v>
      </c>
      <c r="H616" t="n">
        <v>0</v>
      </c>
      <c r="I616" t="n">
        <v>0</v>
      </c>
      <c r="J616" t="n">
        <v>0</v>
      </c>
      <c r="K616" t="n">
        <v>0</v>
      </c>
      <c r="L616" t="n">
        <v>0</v>
      </c>
      <c r="M616" t="n">
        <v>0</v>
      </c>
      <c r="N616" t="n">
        <v>0</v>
      </c>
      <c r="O616" t="n">
        <v>0</v>
      </c>
      <c r="P616" t="n">
        <v>0</v>
      </c>
      <c r="Q616" t="n">
        <v>0</v>
      </c>
      <c r="R616" s="2" t="inlineStr"/>
    </row>
    <row r="617" ht="15" customHeight="1">
      <c r="A617" t="inlineStr">
        <is>
          <t>A 38763-2019</t>
        </is>
      </c>
      <c r="B617" s="1" t="n">
        <v>43686</v>
      </c>
      <c r="C617" s="1" t="n">
        <v>45802</v>
      </c>
      <c r="D617" t="inlineStr">
        <is>
          <t>VÄSTERNORRLANDS LÄN</t>
        </is>
      </c>
      <c r="E617" t="inlineStr">
        <is>
          <t>SOLLEFTEÅ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39123-2019</t>
        </is>
      </c>
      <c r="B618" s="1" t="n">
        <v>43689</v>
      </c>
      <c r="C618" s="1" t="n">
        <v>45802</v>
      </c>
      <c r="D618" t="inlineStr">
        <is>
          <t>VÄSTERNORRLANDS LÄN</t>
        </is>
      </c>
      <c r="E618" t="inlineStr">
        <is>
          <t>SOLLEFTEÅ</t>
        </is>
      </c>
      <c r="G618" t="n">
        <v>10.9</v>
      </c>
      <c r="H618" t="n">
        <v>0</v>
      </c>
      <c r="I618" t="n">
        <v>0</v>
      </c>
      <c r="J618" t="n">
        <v>0</v>
      </c>
      <c r="K618" t="n">
        <v>0</v>
      </c>
      <c r="L618" t="n">
        <v>0</v>
      </c>
      <c r="M618" t="n">
        <v>0</v>
      </c>
      <c r="N618" t="n">
        <v>0</v>
      </c>
      <c r="O618" t="n">
        <v>0</v>
      </c>
      <c r="P618" t="n">
        <v>0</v>
      </c>
      <c r="Q618" t="n">
        <v>0</v>
      </c>
      <c r="R618" s="2" t="inlineStr"/>
    </row>
    <row r="619" ht="15" customHeight="1">
      <c r="A619" t="inlineStr">
        <is>
          <t>A 39768-2019</t>
        </is>
      </c>
      <c r="B619" s="1" t="n">
        <v>43689</v>
      </c>
      <c r="C619" s="1" t="n">
        <v>45802</v>
      </c>
      <c r="D619" t="inlineStr">
        <is>
          <t>VÄSTERNORRLANDS LÄN</t>
        </is>
      </c>
      <c r="E619" t="inlineStr">
        <is>
          <t>SOLLEFTEÅ</t>
        </is>
      </c>
      <c r="G619" t="n">
        <v>0.8</v>
      </c>
      <c r="H619" t="n">
        <v>0</v>
      </c>
      <c r="I619" t="n">
        <v>0</v>
      </c>
      <c r="J619" t="n">
        <v>0</v>
      </c>
      <c r="K619" t="n">
        <v>0</v>
      </c>
      <c r="L619" t="n">
        <v>0</v>
      </c>
      <c r="M619" t="n">
        <v>0</v>
      </c>
      <c r="N619" t="n">
        <v>0</v>
      </c>
      <c r="O619" t="n">
        <v>0</v>
      </c>
      <c r="P619" t="n">
        <v>0</v>
      </c>
      <c r="Q619" t="n">
        <v>0</v>
      </c>
      <c r="R619" s="2" t="inlineStr"/>
    </row>
    <row r="620" ht="15" customHeight="1">
      <c r="A620" t="inlineStr">
        <is>
          <t>A 40764-2019</t>
        </is>
      </c>
      <c r="B620" s="1" t="n">
        <v>43692</v>
      </c>
      <c r="C620" s="1" t="n">
        <v>45802</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40769-2019</t>
        </is>
      </c>
      <c r="B621" s="1" t="n">
        <v>43692</v>
      </c>
      <c r="C621" s="1" t="n">
        <v>45802</v>
      </c>
      <c r="D621" t="inlineStr">
        <is>
          <t>VÄSTERNORRLANDS LÄN</t>
        </is>
      </c>
      <c r="E621" t="inlineStr">
        <is>
          <t>SOLLEFTEÅ</t>
        </is>
      </c>
      <c r="G621" t="n">
        <v>1.8</v>
      </c>
      <c r="H621" t="n">
        <v>0</v>
      </c>
      <c r="I621" t="n">
        <v>0</v>
      </c>
      <c r="J621" t="n">
        <v>0</v>
      </c>
      <c r="K621" t="n">
        <v>0</v>
      </c>
      <c r="L621" t="n">
        <v>0</v>
      </c>
      <c r="M621" t="n">
        <v>0</v>
      </c>
      <c r="N621" t="n">
        <v>0</v>
      </c>
      <c r="O621" t="n">
        <v>0</v>
      </c>
      <c r="P621" t="n">
        <v>0</v>
      </c>
      <c r="Q621" t="n">
        <v>0</v>
      </c>
      <c r="R621" s="2" t="inlineStr"/>
    </row>
    <row r="622" ht="15" customHeight="1">
      <c r="A622" t="inlineStr">
        <is>
          <t>A 41069-2019</t>
        </is>
      </c>
      <c r="B622" s="1" t="n">
        <v>43693</v>
      </c>
      <c r="C622" s="1" t="n">
        <v>45802</v>
      </c>
      <c r="D622" t="inlineStr">
        <is>
          <t>VÄSTERNORRLANDS LÄN</t>
        </is>
      </c>
      <c r="E622" t="inlineStr">
        <is>
          <t>SOLLEFTEÅ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40685-2019</t>
        </is>
      </c>
      <c r="B623" s="1" t="n">
        <v>43696</v>
      </c>
      <c r="C623" s="1" t="n">
        <v>45802</v>
      </c>
      <c r="D623" t="inlineStr">
        <is>
          <t>VÄSTERNORRLANDS LÄN</t>
        </is>
      </c>
      <c r="E623" t="inlineStr">
        <is>
          <t>SOLLEFTEÅ</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40682-2019</t>
        </is>
      </c>
      <c r="B624" s="1" t="n">
        <v>43696</v>
      </c>
      <c r="C624" s="1" t="n">
        <v>45802</v>
      </c>
      <c r="D624" t="inlineStr">
        <is>
          <t>VÄSTERNORRLANDS LÄN</t>
        </is>
      </c>
      <c r="E624" t="inlineStr">
        <is>
          <t>SOLLEFTEÅ</t>
        </is>
      </c>
      <c r="F624" t="inlineStr">
        <is>
          <t>SCA</t>
        </is>
      </c>
      <c r="G624" t="n">
        <v>7.1</v>
      </c>
      <c r="H624" t="n">
        <v>0</v>
      </c>
      <c r="I624" t="n">
        <v>0</v>
      </c>
      <c r="J624" t="n">
        <v>0</v>
      </c>
      <c r="K624" t="n">
        <v>0</v>
      </c>
      <c r="L624" t="n">
        <v>0</v>
      </c>
      <c r="M624" t="n">
        <v>0</v>
      </c>
      <c r="N624" t="n">
        <v>0</v>
      </c>
      <c r="O624" t="n">
        <v>0</v>
      </c>
      <c r="P624" t="n">
        <v>0</v>
      </c>
      <c r="Q624" t="n">
        <v>0</v>
      </c>
      <c r="R624" s="2" t="inlineStr"/>
    </row>
    <row r="625" ht="15" customHeight="1">
      <c r="A625" t="inlineStr">
        <is>
          <t>A 40514-2019</t>
        </is>
      </c>
      <c r="B625" s="1" t="n">
        <v>43696</v>
      </c>
      <c r="C625" s="1" t="n">
        <v>45802</v>
      </c>
      <c r="D625" t="inlineStr">
        <is>
          <t>VÄSTERNORRLANDS LÄN</t>
        </is>
      </c>
      <c r="E625" t="inlineStr">
        <is>
          <t>SOLLEFTEÅ</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40679-2019</t>
        </is>
      </c>
      <c r="B626" s="1" t="n">
        <v>43696</v>
      </c>
      <c r="C626" s="1" t="n">
        <v>45802</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41786-2019</t>
        </is>
      </c>
      <c r="B627" s="1" t="n">
        <v>43699</v>
      </c>
      <c r="C627" s="1" t="n">
        <v>45802</v>
      </c>
      <c r="D627" t="inlineStr">
        <is>
          <t>VÄSTERNORRLANDS LÄN</t>
        </is>
      </c>
      <c r="E627" t="inlineStr">
        <is>
          <t>SOLLEFTEÅ</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42417-2019</t>
        </is>
      </c>
      <c r="B628" s="1" t="n">
        <v>43703</v>
      </c>
      <c r="C628" s="1" t="n">
        <v>45802</v>
      </c>
      <c r="D628" t="inlineStr">
        <is>
          <t>VÄSTERNORRLANDS LÄN</t>
        </is>
      </c>
      <c r="E628" t="inlineStr">
        <is>
          <t>SOLLEFTEÅ</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42791-2019</t>
        </is>
      </c>
      <c r="B629" s="1" t="n">
        <v>43704</v>
      </c>
      <c r="C629" s="1" t="n">
        <v>45802</v>
      </c>
      <c r="D629" t="inlineStr">
        <is>
          <t>VÄSTERNORRLANDS LÄN</t>
        </is>
      </c>
      <c r="E629" t="inlineStr">
        <is>
          <t>SOLLEFTEÅ</t>
        </is>
      </c>
      <c r="G629" t="n">
        <v>4.1</v>
      </c>
      <c r="H629" t="n">
        <v>0</v>
      </c>
      <c r="I629" t="n">
        <v>0</v>
      </c>
      <c r="J629" t="n">
        <v>0</v>
      </c>
      <c r="K629" t="n">
        <v>0</v>
      </c>
      <c r="L629" t="n">
        <v>0</v>
      </c>
      <c r="M629" t="n">
        <v>0</v>
      </c>
      <c r="N629" t="n">
        <v>0</v>
      </c>
      <c r="O629" t="n">
        <v>0</v>
      </c>
      <c r="P629" t="n">
        <v>0</v>
      </c>
      <c r="Q629" t="n">
        <v>0</v>
      </c>
      <c r="R629" s="2" t="inlineStr"/>
    </row>
    <row r="630" ht="15" customHeight="1">
      <c r="A630" t="inlineStr">
        <is>
          <t>A 42792-2019</t>
        </is>
      </c>
      <c r="B630" s="1" t="n">
        <v>43704</v>
      </c>
      <c r="C630" s="1" t="n">
        <v>45802</v>
      </c>
      <c r="D630" t="inlineStr">
        <is>
          <t>VÄSTERNORRLANDS LÄN</t>
        </is>
      </c>
      <c r="E630" t="inlineStr">
        <is>
          <t>SOLLEFTEÅ</t>
        </is>
      </c>
      <c r="G630" t="n">
        <v>5.7</v>
      </c>
      <c r="H630" t="n">
        <v>0</v>
      </c>
      <c r="I630" t="n">
        <v>0</v>
      </c>
      <c r="J630" t="n">
        <v>0</v>
      </c>
      <c r="K630" t="n">
        <v>0</v>
      </c>
      <c r="L630" t="n">
        <v>0</v>
      </c>
      <c r="M630" t="n">
        <v>0</v>
      </c>
      <c r="N630" t="n">
        <v>0</v>
      </c>
      <c r="O630" t="n">
        <v>0</v>
      </c>
      <c r="P630" t="n">
        <v>0</v>
      </c>
      <c r="Q630" t="n">
        <v>0</v>
      </c>
      <c r="R630" s="2" t="inlineStr"/>
    </row>
    <row r="631" ht="15" customHeight="1">
      <c r="A631" t="inlineStr">
        <is>
          <t>A 43499-2019</t>
        </is>
      </c>
      <c r="B631" s="1" t="n">
        <v>43706</v>
      </c>
      <c r="C631" s="1" t="n">
        <v>45802</v>
      </c>
      <c r="D631" t="inlineStr">
        <is>
          <t>VÄSTERNORRLANDS LÄN</t>
        </is>
      </c>
      <c r="E631" t="inlineStr">
        <is>
          <t>SOLLEFTEÅ</t>
        </is>
      </c>
      <c r="G631" t="n">
        <v>19.3</v>
      </c>
      <c r="H631" t="n">
        <v>0</v>
      </c>
      <c r="I631" t="n">
        <v>0</v>
      </c>
      <c r="J631" t="n">
        <v>0</v>
      </c>
      <c r="K631" t="n">
        <v>0</v>
      </c>
      <c r="L631" t="n">
        <v>0</v>
      </c>
      <c r="M631" t="n">
        <v>0</v>
      </c>
      <c r="N631" t="n">
        <v>0</v>
      </c>
      <c r="O631" t="n">
        <v>0</v>
      </c>
      <c r="P631" t="n">
        <v>0</v>
      </c>
      <c r="Q631" t="n">
        <v>0</v>
      </c>
      <c r="R631" s="2" t="inlineStr"/>
    </row>
    <row r="632" ht="15" customHeight="1">
      <c r="A632" t="inlineStr">
        <is>
          <t>A 45032-2019</t>
        </is>
      </c>
      <c r="B632" s="1" t="n">
        <v>43707</v>
      </c>
      <c r="C632" s="1" t="n">
        <v>45802</v>
      </c>
      <c r="D632" t="inlineStr">
        <is>
          <t>VÄSTERNORRLANDS LÄN</t>
        </is>
      </c>
      <c r="E632" t="inlineStr">
        <is>
          <t>SOLLEFTEÅ</t>
        </is>
      </c>
      <c r="G632" t="n">
        <v>9.4</v>
      </c>
      <c r="H632" t="n">
        <v>0</v>
      </c>
      <c r="I632" t="n">
        <v>0</v>
      </c>
      <c r="J632" t="n">
        <v>0</v>
      </c>
      <c r="K632" t="n">
        <v>0</v>
      </c>
      <c r="L632" t="n">
        <v>0</v>
      </c>
      <c r="M632" t="n">
        <v>0</v>
      </c>
      <c r="N632" t="n">
        <v>0</v>
      </c>
      <c r="O632" t="n">
        <v>0</v>
      </c>
      <c r="P632" t="n">
        <v>0</v>
      </c>
      <c r="Q632" t="n">
        <v>0</v>
      </c>
      <c r="R632" s="2" t="inlineStr"/>
    </row>
    <row r="633" ht="15" customHeight="1">
      <c r="A633" t="inlineStr">
        <is>
          <t>A 44815-2019</t>
        </is>
      </c>
      <c r="B633" s="1" t="n">
        <v>43712</v>
      </c>
      <c r="C633" s="1" t="n">
        <v>45802</v>
      </c>
      <c r="D633" t="inlineStr">
        <is>
          <t>VÄSTERNORRLANDS LÄN</t>
        </is>
      </c>
      <c r="E633" t="inlineStr">
        <is>
          <t>SOLLEFTEÅ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45941-2019</t>
        </is>
      </c>
      <c r="B634" s="1" t="n">
        <v>43712</v>
      </c>
      <c r="C634" s="1" t="n">
        <v>45802</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44888-2019</t>
        </is>
      </c>
      <c r="B635" s="1" t="n">
        <v>43712</v>
      </c>
      <c r="C635" s="1" t="n">
        <v>45802</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44960-2019</t>
        </is>
      </c>
      <c r="B636" s="1" t="n">
        <v>43713</v>
      </c>
      <c r="C636" s="1" t="n">
        <v>45802</v>
      </c>
      <c r="D636" t="inlineStr">
        <is>
          <t>VÄSTERNORRLANDS LÄN</t>
        </is>
      </c>
      <c r="E636" t="inlineStr">
        <is>
          <t>SOLLEFTEÅ</t>
        </is>
      </c>
      <c r="G636" t="n">
        <v>14.9</v>
      </c>
      <c r="H636" t="n">
        <v>0</v>
      </c>
      <c r="I636" t="n">
        <v>0</v>
      </c>
      <c r="J636" t="n">
        <v>0</v>
      </c>
      <c r="K636" t="n">
        <v>0</v>
      </c>
      <c r="L636" t="n">
        <v>0</v>
      </c>
      <c r="M636" t="n">
        <v>0</v>
      </c>
      <c r="N636" t="n">
        <v>0</v>
      </c>
      <c r="O636" t="n">
        <v>0</v>
      </c>
      <c r="P636" t="n">
        <v>0</v>
      </c>
      <c r="Q636" t="n">
        <v>0</v>
      </c>
      <c r="R636" s="2" t="inlineStr"/>
    </row>
    <row r="637" ht="15" customHeight="1">
      <c r="A637" t="inlineStr">
        <is>
          <t>A 45537-2019</t>
        </is>
      </c>
      <c r="B637" s="1" t="n">
        <v>43714</v>
      </c>
      <c r="C637" s="1" t="n">
        <v>45802</v>
      </c>
      <c r="D637" t="inlineStr">
        <is>
          <t>VÄSTERNORRLANDS LÄN</t>
        </is>
      </c>
      <c r="E637" t="inlineStr">
        <is>
          <t>SOLLEFTEÅ</t>
        </is>
      </c>
      <c r="F637" t="inlineStr">
        <is>
          <t>SCA</t>
        </is>
      </c>
      <c r="G637" t="n">
        <v>35.1</v>
      </c>
      <c r="H637" t="n">
        <v>0</v>
      </c>
      <c r="I637" t="n">
        <v>0</v>
      </c>
      <c r="J637" t="n">
        <v>0</v>
      </c>
      <c r="K637" t="n">
        <v>0</v>
      </c>
      <c r="L637" t="n">
        <v>0</v>
      </c>
      <c r="M637" t="n">
        <v>0</v>
      </c>
      <c r="N637" t="n">
        <v>0</v>
      </c>
      <c r="O637" t="n">
        <v>0</v>
      </c>
      <c r="P637" t="n">
        <v>0</v>
      </c>
      <c r="Q637" t="n">
        <v>0</v>
      </c>
      <c r="R637" s="2" t="inlineStr"/>
    </row>
    <row r="638" ht="15" customHeight="1">
      <c r="A638" t="inlineStr">
        <is>
          <t>A 46345-2019</t>
        </is>
      </c>
      <c r="B638" s="1" t="n">
        <v>43718</v>
      </c>
      <c r="C638" s="1" t="n">
        <v>45802</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46956-2019</t>
        </is>
      </c>
      <c r="B639" s="1" t="n">
        <v>43719</v>
      </c>
      <c r="C639" s="1" t="n">
        <v>45802</v>
      </c>
      <c r="D639" t="inlineStr">
        <is>
          <t>VÄSTERNORRLANDS LÄN</t>
        </is>
      </c>
      <c r="E639" t="inlineStr">
        <is>
          <t>SOLLEFTEÅ</t>
        </is>
      </c>
      <c r="G639" t="n">
        <v>18.1</v>
      </c>
      <c r="H639" t="n">
        <v>0</v>
      </c>
      <c r="I639" t="n">
        <v>0</v>
      </c>
      <c r="J639" t="n">
        <v>0</v>
      </c>
      <c r="K639" t="n">
        <v>0</v>
      </c>
      <c r="L639" t="n">
        <v>0</v>
      </c>
      <c r="M639" t="n">
        <v>0</v>
      </c>
      <c r="N639" t="n">
        <v>0</v>
      </c>
      <c r="O639" t="n">
        <v>0</v>
      </c>
      <c r="P639" t="n">
        <v>0</v>
      </c>
      <c r="Q639" t="n">
        <v>0</v>
      </c>
      <c r="R639" s="2" t="inlineStr"/>
    </row>
    <row r="640" ht="15" customHeight="1">
      <c r="A640" t="inlineStr">
        <is>
          <t>A 47366-2019</t>
        </is>
      </c>
      <c r="B640" s="1" t="n">
        <v>43721</v>
      </c>
      <c r="C640" s="1" t="n">
        <v>45802</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47764-2019</t>
        </is>
      </c>
      <c r="B641" s="1" t="n">
        <v>43724</v>
      </c>
      <c r="C641" s="1" t="n">
        <v>45802</v>
      </c>
      <c r="D641" t="inlineStr">
        <is>
          <t>VÄSTERNORRLANDS LÄN</t>
        </is>
      </c>
      <c r="E641" t="inlineStr">
        <is>
          <t>SOLLEFTEÅ</t>
        </is>
      </c>
      <c r="F641" t="inlineStr">
        <is>
          <t>Kyrkan</t>
        </is>
      </c>
      <c r="G641" t="n">
        <v>4.1</v>
      </c>
      <c r="H641" t="n">
        <v>0</v>
      </c>
      <c r="I641" t="n">
        <v>0</v>
      </c>
      <c r="J641" t="n">
        <v>0</v>
      </c>
      <c r="K641" t="n">
        <v>0</v>
      </c>
      <c r="L641" t="n">
        <v>0</v>
      </c>
      <c r="M641" t="n">
        <v>0</v>
      </c>
      <c r="N641" t="n">
        <v>0</v>
      </c>
      <c r="O641" t="n">
        <v>0</v>
      </c>
      <c r="P641" t="n">
        <v>0</v>
      </c>
      <c r="Q641" t="n">
        <v>0</v>
      </c>
      <c r="R641" s="2" t="inlineStr"/>
    </row>
    <row r="642" ht="15" customHeight="1">
      <c r="A642" t="inlineStr">
        <is>
          <t>A 47768-2019</t>
        </is>
      </c>
      <c r="B642" s="1" t="n">
        <v>43724</v>
      </c>
      <c r="C642" s="1" t="n">
        <v>45802</v>
      </c>
      <c r="D642" t="inlineStr">
        <is>
          <t>VÄSTERNORRLANDS LÄN</t>
        </is>
      </c>
      <c r="E642" t="inlineStr">
        <is>
          <t>SOLLEFTEÅ</t>
        </is>
      </c>
      <c r="F642" t="inlineStr">
        <is>
          <t>Kyrkan</t>
        </is>
      </c>
      <c r="G642" t="n">
        <v>12.1</v>
      </c>
      <c r="H642" t="n">
        <v>0</v>
      </c>
      <c r="I642" t="n">
        <v>0</v>
      </c>
      <c r="J642" t="n">
        <v>0</v>
      </c>
      <c r="K642" t="n">
        <v>0</v>
      </c>
      <c r="L642" t="n">
        <v>0</v>
      </c>
      <c r="M642" t="n">
        <v>0</v>
      </c>
      <c r="N642" t="n">
        <v>0</v>
      </c>
      <c r="O642" t="n">
        <v>0</v>
      </c>
      <c r="P642" t="n">
        <v>0</v>
      </c>
      <c r="Q642" t="n">
        <v>0</v>
      </c>
      <c r="R642" s="2" t="inlineStr"/>
    </row>
    <row r="643" ht="15" customHeight="1">
      <c r="A643" t="inlineStr">
        <is>
          <t>A 49381-2019</t>
        </is>
      </c>
      <c r="B643" s="1" t="n">
        <v>43731</v>
      </c>
      <c r="C643" s="1" t="n">
        <v>45802</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49380-2019</t>
        </is>
      </c>
      <c r="B644" s="1" t="n">
        <v>43731</v>
      </c>
      <c r="C644" s="1" t="n">
        <v>45802</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49674-2019</t>
        </is>
      </c>
      <c r="B645" s="1" t="n">
        <v>43732</v>
      </c>
      <c r="C645" s="1" t="n">
        <v>45802</v>
      </c>
      <c r="D645" t="inlineStr">
        <is>
          <t>VÄSTERNORRLANDS LÄN</t>
        </is>
      </c>
      <c r="E645" t="inlineStr">
        <is>
          <t>SOLLEFTEÅ</t>
        </is>
      </c>
      <c r="G645" t="n">
        <v>2.2</v>
      </c>
      <c r="H645" t="n">
        <v>0</v>
      </c>
      <c r="I645" t="n">
        <v>0</v>
      </c>
      <c r="J645" t="n">
        <v>0</v>
      </c>
      <c r="K645" t="n">
        <v>0</v>
      </c>
      <c r="L645" t="n">
        <v>0</v>
      </c>
      <c r="M645" t="n">
        <v>0</v>
      </c>
      <c r="N645" t="n">
        <v>0</v>
      </c>
      <c r="O645" t="n">
        <v>0</v>
      </c>
      <c r="P645" t="n">
        <v>0</v>
      </c>
      <c r="Q645" t="n">
        <v>0</v>
      </c>
      <c r="R645" s="2" t="inlineStr"/>
    </row>
    <row r="646" ht="15" customHeight="1">
      <c r="A646" t="inlineStr">
        <is>
          <t>A 50283-2019</t>
        </is>
      </c>
      <c r="B646" s="1" t="n">
        <v>43734</v>
      </c>
      <c r="C646" s="1" t="n">
        <v>45802</v>
      </c>
      <c r="D646" t="inlineStr">
        <is>
          <t>VÄSTERNORRLANDS LÄN</t>
        </is>
      </c>
      <c r="E646" t="inlineStr">
        <is>
          <t>SOLLEFTEÅ</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50513-2019</t>
        </is>
      </c>
      <c r="B647" s="1" t="n">
        <v>43735</v>
      </c>
      <c r="C647" s="1" t="n">
        <v>45802</v>
      </c>
      <c r="D647" t="inlineStr">
        <is>
          <t>VÄSTERNORRLANDS LÄN</t>
        </is>
      </c>
      <c r="E647" t="inlineStr">
        <is>
          <t>SOLLEFTEÅ</t>
        </is>
      </c>
      <c r="G647" t="n">
        <v>11</v>
      </c>
      <c r="H647" t="n">
        <v>0</v>
      </c>
      <c r="I647" t="n">
        <v>0</v>
      </c>
      <c r="J647" t="n">
        <v>0</v>
      </c>
      <c r="K647" t="n">
        <v>0</v>
      </c>
      <c r="L647" t="n">
        <v>0</v>
      </c>
      <c r="M647" t="n">
        <v>0</v>
      </c>
      <c r="N647" t="n">
        <v>0</v>
      </c>
      <c r="O647" t="n">
        <v>0</v>
      </c>
      <c r="P647" t="n">
        <v>0</v>
      </c>
      <c r="Q647" t="n">
        <v>0</v>
      </c>
      <c r="R647" s="2" t="inlineStr"/>
    </row>
    <row r="648" ht="15" customHeight="1">
      <c r="A648" t="inlineStr">
        <is>
          <t>A 50668-2019</t>
        </is>
      </c>
      <c r="B648" s="1" t="n">
        <v>43737</v>
      </c>
      <c r="C648" s="1" t="n">
        <v>45802</v>
      </c>
      <c r="D648" t="inlineStr">
        <is>
          <t>VÄSTERNORRLANDS LÄN</t>
        </is>
      </c>
      <c r="E648" t="inlineStr">
        <is>
          <t>SOLLEFTEÅ</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51002-2019</t>
        </is>
      </c>
      <c r="B649" s="1" t="n">
        <v>43738</v>
      </c>
      <c r="C649" s="1" t="n">
        <v>45802</v>
      </c>
      <c r="D649" t="inlineStr">
        <is>
          <t>VÄSTERNORRLANDS LÄN</t>
        </is>
      </c>
      <c r="E649" t="inlineStr">
        <is>
          <t>SOLLEFTEÅ</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50999-2019</t>
        </is>
      </c>
      <c r="B650" s="1" t="n">
        <v>43738</v>
      </c>
      <c r="C650" s="1" t="n">
        <v>45802</v>
      </c>
      <c r="D650" t="inlineStr">
        <is>
          <t>VÄSTERNORRLANDS LÄN</t>
        </is>
      </c>
      <c r="E650" t="inlineStr">
        <is>
          <t>SOLLEFTEÅ</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51675-2019</t>
        </is>
      </c>
      <c r="B651" s="1" t="n">
        <v>43740</v>
      </c>
      <c r="C651" s="1" t="n">
        <v>45802</v>
      </c>
      <c r="D651" t="inlineStr">
        <is>
          <t>VÄSTERNORRLANDS LÄN</t>
        </is>
      </c>
      <c r="E651" t="inlineStr">
        <is>
          <t>SOLLEFTEÅ</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51671-2019</t>
        </is>
      </c>
      <c r="B652" s="1" t="n">
        <v>43740</v>
      </c>
      <c r="C652" s="1" t="n">
        <v>45802</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51682-2019</t>
        </is>
      </c>
      <c r="B653" s="1" t="n">
        <v>43740</v>
      </c>
      <c r="C653" s="1" t="n">
        <v>45802</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53079-2019</t>
        </is>
      </c>
      <c r="B654" s="1" t="n">
        <v>43740</v>
      </c>
      <c r="C654" s="1" t="n">
        <v>45802</v>
      </c>
      <c r="D654" t="inlineStr">
        <is>
          <t>VÄSTERNORRLANDS LÄN</t>
        </is>
      </c>
      <c r="E654" t="inlineStr">
        <is>
          <t>SOLLEFTEÅ</t>
        </is>
      </c>
      <c r="G654" t="n">
        <v>7.9</v>
      </c>
      <c r="H654" t="n">
        <v>0</v>
      </c>
      <c r="I654" t="n">
        <v>0</v>
      </c>
      <c r="J654" t="n">
        <v>0</v>
      </c>
      <c r="K654" t="n">
        <v>0</v>
      </c>
      <c r="L654" t="n">
        <v>0</v>
      </c>
      <c r="M654" t="n">
        <v>0</v>
      </c>
      <c r="N654" t="n">
        <v>0</v>
      </c>
      <c r="O654" t="n">
        <v>0</v>
      </c>
      <c r="P654" t="n">
        <v>0</v>
      </c>
      <c r="Q654" t="n">
        <v>0</v>
      </c>
      <c r="R654" s="2" t="inlineStr"/>
    </row>
    <row r="655" ht="15" customHeight="1">
      <c r="A655" t="inlineStr">
        <is>
          <t>A 51673-2019</t>
        </is>
      </c>
      <c r="B655" s="1" t="n">
        <v>43740</v>
      </c>
      <c r="C655" s="1" t="n">
        <v>45802</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53076-2019</t>
        </is>
      </c>
      <c r="B656" s="1" t="n">
        <v>43740</v>
      </c>
      <c r="C656" s="1" t="n">
        <v>45802</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53088-2019</t>
        </is>
      </c>
      <c r="B657" s="1" t="n">
        <v>43740</v>
      </c>
      <c r="C657" s="1" t="n">
        <v>45802</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51665-2019</t>
        </is>
      </c>
      <c r="B658" s="1" t="n">
        <v>43740</v>
      </c>
      <c r="C658" s="1" t="n">
        <v>45802</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51953-2019</t>
        </is>
      </c>
      <c r="B659" s="1" t="n">
        <v>43741</v>
      </c>
      <c r="C659" s="1" t="n">
        <v>45802</v>
      </c>
      <c r="D659" t="inlineStr">
        <is>
          <t>VÄSTERNORRLANDS LÄN</t>
        </is>
      </c>
      <c r="E659" t="inlineStr">
        <is>
          <t>SOLLEFTEÅ</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53677-2019</t>
        </is>
      </c>
      <c r="B660" s="1" t="n">
        <v>43741</v>
      </c>
      <c r="C660" s="1" t="n">
        <v>45802</v>
      </c>
      <c r="D660" t="inlineStr">
        <is>
          <t>VÄSTERNORRLANDS LÄN</t>
        </is>
      </c>
      <c r="E660" t="inlineStr">
        <is>
          <t>SOLLEFTEÅ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51952-2019</t>
        </is>
      </c>
      <c r="B661" s="1" t="n">
        <v>43741</v>
      </c>
      <c r="C661" s="1" t="n">
        <v>45802</v>
      </c>
      <c r="D661" t="inlineStr">
        <is>
          <t>VÄSTERNORRLANDS LÄN</t>
        </is>
      </c>
      <c r="E661" t="inlineStr">
        <is>
          <t>SOLLEFTEÅ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52568-2019</t>
        </is>
      </c>
      <c r="B662" s="1" t="n">
        <v>43745</v>
      </c>
      <c r="C662" s="1" t="n">
        <v>45802</v>
      </c>
      <c r="D662" t="inlineStr">
        <is>
          <t>VÄSTERNORRLANDS LÄN</t>
        </is>
      </c>
      <c r="E662" t="inlineStr">
        <is>
          <t>SOLLEFTEÅ</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52569-2019</t>
        </is>
      </c>
      <c r="B663" s="1" t="n">
        <v>43745</v>
      </c>
      <c r="C663" s="1" t="n">
        <v>45802</v>
      </c>
      <c r="D663" t="inlineStr">
        <is>
          <t>VÄSTERNORRLANDS LÄN</t>
        </is>
      </c>
      <c r="E663" t="inlineStr">
        <is>
          <t>SOLLEFTEÅ</t>
        </is>
      </c>
      <c r="G663" t="n">
        <v>7.1</v>
      </c>
      <c r="H663" t="n">
        <v>0</v>
      </c>
      <c r="I663" t="n">
        <v>0</v>
      </c>
      <c r="J663" t="n">
        <v>0</v>
      </c>
      <c r="K663" t="n">
        <v>0</v>
      </c>
      <c r="L663" t="n">
        <v>0</v>
      </c>
      <c r="M663" t="n">
        <v>0</v>
      </c>
      <c r="N663" t="n">
        <v>0</v>
      </c>
      <c r="O663" t="n">
        <v>0</v>
      </c>
      <c r="P663" t="n">
        <v>0</v>
      </c>
      <c r="Q663" t="n">
        <v>0</v>
      </c>
      <c r="R663" s="2" t="inlineStr"/>
      <c r="U663">
        <f>HYPERLINK("https://klasma.github.io/Logging_2283/knärot/A 52569-2019 karta knärot.png", "A 52569-2019")</f>
        <v/>
      </c>
      <c r="V663">
        <f>HYPERLINK("https://klasma.github.io/Logging_2283/klagomål/A 52569-2019 FSC-klagomål.docx", "A 52569-2019")</f>
        <v/>
      </c>
      <c r="W663">
        <f>HYPERLINK("https://klasma.github.io/Logging_2283/klagomålsmail/A 52569-2019 FSC-klagomål mail.docx", "A 52569-2019")</f>
        <v/>
      </c>
      <c r="X663">
        <f>HYPERLINK("https://klasma.github.io/Logging_2283/tillsyn/A 52569-2019 tillsynsbegäran.docx", "A 52569-2019")</f>
        <v/>
      </c>
      <c r="Y663">
        <f>HYPERLINK("https://klasma.github.io/Logging_2283/tillsynsmail/A 52569-2019 tillsynsbegäran mail.docx", "A 52569-2019")</f>
        <v/>
      </c>
    </row>
    <row r="664" ht="15" customHeight="1">
      <c r="A664" t="inlineStr">
        <is>
          <t>A 52922-2019</t>
        </is>
      </c>
      <c r="B664" s="1" t="n">
        <v>43746</v>
      </c>
      <c r="C664" s="1" t="n">
        <v>45802</v>
      </c>
      <c r="D664" t="inlineStr">
        <is>
          <t>VÄSTERNORRLANDS LÄN</t>
        </is>
      </c>
      <c r="E664" t="inlineStr">
        <is>
          <t>SOLLEFTEÅ</t>
        </is>
      </c>
      <c r="G664" t="n">
        <v>6.5</v>
      </c>
      <c r="H664" t="n">
        <v>0</v>
      </c>
      <c r="I664" t="n">
        <v>0</v>
      </c>
      <c r="J664" t="n">
        <v>0</v>
      </c>
      <c r="K664" t="n">
        <v>0</v>
      </c>
      <c r="L664" t="n">
        <v>0</v>
      </c>
      <c r="M664" t="n">
        <v>0</v>
      </c>
      <c r="N664" t="n">
        <v>0</v>
      </c>
      <c r="O664" t="n">
        <v>0</v>
      </c>
      <c r="P664" t="n">
        <v>0</v>
      </c>
      <c r="Q664" t="n">
        <v>0</v>
      </c>
      <c r="R664" s="2" t="inlineStr"/>
    </row>
    <row r="665" ht="15" customHeight="1">
      <c r="A665" t="inlineStr">
        <is>
          <t>A 53161-2019</t>
        </is>
      </c>
      <c r="B665" s="1" t="n">
        <v>43747</v>
      </c>
      <c r="C665" s="1" t="n">
        <v>45802</v>
      </c>
      <c r="D665" t="inlineStr">
        <is>
          <t>VÄSTERNORRLANDS LÄN</t>
        </is>
      </c>
      <c r="E665" t="inlineStr">
        <is>
          <t>SOLLEFTEÅ</t>
        </is>
      </c>
      <c r="F665" t="inlineStr">
        <is>
          <t>Kommuner</t>
        </is>
      </c>
      <c r="G665" t="n">
        <v>0.4</v>
      </c>
      <c r="H665" t="n">
        <v>0</v>
      </c>
      <c r="I665" t="n">
        <v>0</v>
      </c>
      <c r="J665" t="n">
        <v>0</v>
      </c>
      <c r="K665" t="n">
        <v>0</v>
      </c>
      <c r="L665" t="n">
        <v>0</v>
      </c>
      <c r="M665" t="n">
        <v>0</v>
      </c>
      <c r="N665" t="n">
        <v>0</v>
      </c>
      <c r="O665" t="n">
        <v>0</v>
      </c>
      <c r="P665" t="n">
        <v>0</v>
      </c>
      <c r="Q665" t="n">
        <v>0</v>
      </c>
      <c r="R665" s="2" t="inlineStr"/>
    </row>
    <row r="666" ht="15" customHeight="1">
      <c r="A666" t="inlineStr">
        <is>
          <t>A 55623-2019</t>
        </is>
      </c>
      <c r="B666" s="1" t="n">
        <v>43755</v>
      </c>
      <c r="C666" s="1" t="n">
        <v>45802</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55925-2019</t>
        </is>
      </c>
      <c r="B667" s="1" t="n">
        <v>43755</v>
      </c>
      <c r="C667" s="1" t="n">
        <v>45802</v>
      </c>
      <c r="D667" t="inlineStr">
        <is>
          <t>VÄSTERNORRLANDS LÄN</t>
        </is>
      </c>
      <c r="E667" t="inlineStr">
        <is>
          <t>SOLLEFTEÅ</t>
        </is>
      </c>
      <c r="G667" t="n">
        <v>6.4</v>
      </c>
      <c r="H667" t="n">
        <v>0</v>
      </c>
      <c r="I667" t="n">
        <v>0</v>
      </c>
      <c r="J667" t="n">
        <v>0</v>
      </c>
      <c r="K667" t="n">
        <v>0</v>
      </c>
      <c r="L667" t="n">
        <v>0</v>
      </c>
      <c r="M667" t="n">
        <v>0</v>
      </c>
      <c r="N667" t="n">
        <v>0</v>
      </c>
      <c r="O667" t="n">
        <v>0</v>
      </c>
      <c r="P667" t="n">
        <v>0</v>
      </c>
      <c r="Q667" t="n">
        <v>0</v>
      </c>
      <c r="R667" s="2" t="inlineStr"/>
    </row>
    <row r="668" ht="15" customHeight="1">
      <c r="A668" t="inlineStr">
        <is>
          <t>A 55628-2019</t>
        </is>
      </c>
      <c r="B668" s="1" t="n">
        <v>43755</v>
      </c>
      <c r="C668" s="1" t="n">
        <v>45802</v>
      </c>
      <c r="D668" t="inlineStr">
        <is>
          <t>VÄSTERNORRLANDS LÄN</t>
        </is>
      </c>
      <c r="E668" t="inlineStr">
        <is>
          <t>SOLLEFTEÅ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55625-2019</t>
        </is>
      </c>
      <c r="B669" s="1" t="n">
        <v>43755</v>
      </c>
      <c r="C669" s="1" t="n">
        <v>45802</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57365-2019</t>
        </is>
      </c>
      <c r="B670" s="1" t="n">
        <v>43760</v>
      </c>
      <c r="C670" s="1" t="n">
        <v>45802</v>
      </c>
      <c r="D670" t="inlineStr">
        <is>
          <t>VÄSTERNORRLANDS LÄN</t>
        </is>
      </c>
      <c r="E670" t="inlineStr">
        <is>
          <t>SOLLEFTEÅ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57575-2019</t>
        </is>
      </c>
      <c r="B671" s="1" t="n">
        <v>43761</v>
      </c>
      <c r="C671" s="1" t="n">
        <v>45802</v>
      </c>
      <c r="D671" t="inlineStr">
        <is>
          <t>VÄSTERNORRLANDS LÄN</t>
        </is>
      </c>
      <c r="E671" t="inlineStr">
        <is>
          <t>SOLLEFTEÅ</t>
        </is>
      </c>
      <c r="G671" t="n">
        <v>14.4</v>
      </c>
      <c r="H671" t="n">
        <v>0</v>
      </c>
      <c r="I671" t="n">
        <v>0</v>
      </c>
      <c r="J671" t="n">
        <v>0</v>
      </c>
      <c r="K671" t="n">
        <v>0</v>
      </c>
      <c r="L671" t="n">
        <v>0</v>
      </c>
      <c r="M671" t="n">
        <v>0</v>
      </c>
      <c r="N671" t="n">
        <v>0</v>
      </c>
      <c r="O671" t="n">
        <v>0</v>
      </c>
      <c r="P671" t="n">
        <v>0</v>
      </c>
      <c r="Q671" t="n">
        <v>0</v>
      </c>
      <c r="R671" s="2" t="inlineStr"/>
    </row>
    <row r="672" ht="15" customHeight="1">
      <c r="A672" t="inlineStr">
        <is>
          <t>A 56252-2019</t>
        </is>
      </c>
      <c r="B672" s="1" t="n">
        <v>43762</v>
      </c>
      <c r="C672" s="1" t="n">
        <v>45802</v>
      </c>
      <c r="D672" t="inlineStr">
        <is>
          <t>VÄSTERNORRLANDS LÄN</t>
        </is>
      </c>
      <c r="E672" t="inlineStr">
        <is>
          <t>SOLLEFTEÅ</t>
        </is>
      </c>
      <c r="F672" t="inlineStr">
        <is>
          <t>Kyrkan</t>
        </is>
      </c>
      <c r="G672" t="n">
        <v>1.1</v>
      </c>
      <c r="H672" t="n">
        <v>0</v>
      </c>
      <c r="I672" t="n">
        <v>0</v>
      </c>
      <c r="J672" t="n">
        <v>0</v>
      </c>
      <c r="K672" t="n">
        <v>0</v>
      </c>
      <c r="L672" t="n">
        <v>0</v>
      </c>
      <c r="M672" t="n">
        <v>0</v>
      </c>
      <c r="N672" t="n">
        <v>0</v>
      </c>
      <c r="O672" t="n">
        <v>0</v>
      </c>
      <c r="P672" t="n">
        <v>0</v>
      </c>
      <c r="Q672" t="n">
        <v>0</v>
      </c>
      <c r="R672" s="2" t="inlineStr"/>
    </row>
    <row r="673" ht="15" customHeight="1">
      <c r="A673" t="inlineStr">
        <is>
          <t>A 56493-2019</t>
        </is>
      </c>
      <c r="B673" s="1" t="n">
        <v>43762</v>
      </c>
      <c r="C673" s="1" t="n">
        <v>45802</v>
      </c>
      <c r="D673" t="inlineStr">
        <is>
          <t>VÄSTERNORRLANDS LÄN</t>
        </is>
      </c>
      <c r="E673" t="inlineStr">
        <is>
          <t>SOLLEFTEÅ</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56492-2019</t>
        </is>
      </c>
      <c r="B674" s="1" t="n">
        <v>43762</v>
      </c>
      <c r="C674" s="1" t="n">
        <v>45802</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56803-2019</t>
        </is>
      </c>
      <c r="B675" s="1" t="n">
        <v>43763</v>
      </c>
      <c r="C675" s="1" t="n">
        <v>45802</v>
      </c>
      <c r="D675" t="inlineStr">
        <is>
          <t>VÄSTERNORRLANDS LÄN</t>
        </is>
      </c>
      <c r="E675" t="inlineStr">
        <is>
          <t>SOLLEFTEÅ</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56874-2019</t>
        </is>
      </c>
      <c r="B676" s="1" t="n">
        <v>43766</v>
      </c>
      <c r="C676" s="1" t="n">
        <v>45802</v>
      </c>
      <c r="D676" t="inlineStr">
        <is>
          <t>VÄSTERNORRLANDS LÄN</t>
        </is>
      </c>
      <c r="E676" t="inlineStr">
        <is>
          <t>SOLLEFTEÅ</t>
        </is>
      </c>
      <c r="G676" t="n">
        <v>6.1</v>
      </c>
      <c r="H676" t="n">
        <v>0</v>
      </c>
      <c r="I676" t="n">
        <v>0</v>
      </c>
      <c r="J676" t="n">
        <v>0</v>
      </c>
      <c r="K676" t="n">
        <v>0</v>
      </c>
      <c r="L676" t="n">
        <v>0</v>
      </c>
      <c r="M676" t="n">
        <v>0</v>
      </c>
      <c r="N676" t="n">
        <v>0</v>
      </c>
      <c r="O676" t="n">
        <v>0</v>
      </c>
      <c r="P676" t="n">
        <v>0</v>
      </c>
      <c r="Q676" t="n">
        <v>0</v>
      </c>
      <c r="R676" s="2" t="inlineStr"/>
    </row>
    <row r="677" ht="15" customHeight="1">
      <c r="A677" t="inlineStr">
        <is>
          <t>A 56985-2019</t>
        </is>
      </c>
      <c r="B677" s="1" t="n">
        <v>43766</v>
      </c>
      <c r="C677" s="1" t="n">
        <v>45802</v>
      </c>
      <c r="D677" t="inlineStr">
        <is>
          <t>VÄSTERNORRLANDS LÄN</t>
        </is>
      </c>
      <c r="E677" t="inlineStr">
        <is>
          <t>SOLLEFTEÅ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57041-2019</t>
        </is>
      </c>
      <c r="B678" s="1" t="n">
        <v>43766</v>
      </c>
      <c r="C678" s="1" t="n">
        <v>45802</v>
      </c>
      <c r="D678" t="inlineStr">
        <is>
          <t>VÄSTERNORRLANDS LÄN</t>
        </is>
      </c>
      <c r="E678" t="inlineStr">
        <is>
          <t>SOLLEFTEÅ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57188-2019</t>
        </is>
      </c>
      <c r="B679" s="1" t="n">
        <v>43766</v>
      </c>
      <c r="C679" s="1" t="n">
        <v>45802</v>
      </c>
      <c r="D679" t="inlineStr">
        <is>
          <t>VÄSTERNORRLANDS LÄN</t>
        </is>
      </c>
      <c r="E679" t="inlineStr">
        <is>
          <t>SOLLEFTEÅ</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57882-2019</t>
        </is>
      </c>
      <c r="B680" s="1" t="n">
        <v>43768</v>
      </c>
      <c r="C680" s="1" t="n">
        <v>45802</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57884-2019</t>
        </is>
      </c>
      <c r="B681" s="1" t="n">
        <v>43768</v>
      </c>
      <c r="C681" s="1" t="n">
        <v>45802</v>
      </c>
      <c r="D681" t="inlineStr">
        <is>
          <t>VÄSTERNORRLANDS LÄN</t>
        </is>
      </c>
      <c r="E681" t="inlineStr">
        <is>
          <t>SOLLEFTEÅ</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57883-2019</t>
        </is>
      </c>
      <c r="B682" s="1" t="n">
        <v>43768</v>
      </c>
      <c r="C682" s="1" t="n">
        <v>45802</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58170-2019</t>
        </is>
      </c>
      <c r="B683" s="1" t="n">
        <v>43769</v>
      </c>
      <c r="C683" s="1" t="n">
        <v>45802</v>
      </c>
      <c r="D683" t="inlineStr">
        <is>
          <t>VÄSTERNORRLANDS LÄN</t>
        </is>
      </c>
      <c r="E683" t="inlineStr">
        <is>
          <t>SOLLEFTEÅ</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58267-2019</t>
        </is>
      </c>
      <c r="B684" s="1" t="n">
        <v>43770</v>
      </c>
      <c r="C684" s="1" t="n">
        <v>45802</v>
      </c>
      <c r="D684" t="inlineStr">
        <is>
          <t>VÄSTERNORRLANDS LÄN</t>
        </is>
      </c>
      <c r="E684" t="inlineStr">
        <is>
          <t>SOLLEFTEÅ</t>
        </is>
      </c>
      <c r="G684" t="n">
        <v>4.6</v>
      </c>
      <c r="H684" t="n">
        <v>0</v>
      </c>
      <c r="I684" t="n">
        <v>0</v>
      </c>
      <c r="J684" t="n">
        <v>0</v>
      </c>
      <c r="K684" t="n">
        <v>0</v>
      </c>
      <c r="L684" t="n">
        <v>0</v>
      </c>
      <c r="M684" t="n">
        <v>0</v>
      </c>
      <c r="N684" t="n">
        <v>0</v>
      </c>
      <c r="O684" t="n">
        <v>0</v>
      </c>
      <c r="P684" t="n">
        <v>0</v>
      </c>
      <c r="Q684" t="n">
        <v>0</v>
      </c>
      <c r="R684" s="2" t="inlineStr"/>
    </row>
    <row r="685" ht="15" customHeight="1">
      <c r="A685" t="inlineStr">
        <is>
          <t>A 59460-2019</t>
        </is>
      </c>
      <c r="B685" s="1" t="n">
        <v>43776</v>
      </c>
      <c r="C685" s="1" t="n">
        <v>45802</v>
      </c>
      <c r="D685" t="inlineStr">
        <is>
          <t>VÄSTERNORRLANDS LÄN</t>
        </is>
      </c>
      <c r="E685" t="inlineStr">
        <is>
          <t>SOLLEFTEÅ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60491-2019</t>
        </is>
      </c>
      <c r="B686" s="1" t="n">
        <v>43780</v>
      </c>
      <c r="C686" s="1" t="n">
        <v>45802</v>
      </c>
      <c r="D686" t="inlineStr">
        <is>
          <t>VÄSTERNORRLANDS LÄN</t>
        </is>
      </c>
      <c r="E686" t="inlineStr">
        <is>
          <t>SOLLEFTEÅ</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61428-2019</t>
        </is>
      </c>
      <c r="B687" s="1" t="n">
        <v>43780</v>
      </c>
      <c r="C687" s="1" t="n">
        <v>45802</v>
      </c>
      <c r="D687" t="inlineStr">
        <is>
          <t>VÄSTERNORRLANDS LÄN</t>
        </is>
      </c>
      <c r="E687" t="inlineStr">
        <is>
          <t>SOLLEFTEÅ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60531-2019</t>
        </is>
      </c>
      <c r="B688" s="1" t="n">
        <v>43781</v>
      </c>
      <c r="C688" s="1" t="n">
        <v>45802</v>
      </c>
      <c r="D688" t="inlineStr">
        <is>
          <t>VÄSTERNORRLANDS LÄN</t>
        </is>
      </c>
      <c r="E688" t="inlineStr">
        <is>
          <t>SOLLEFTEÅ</t>
        </is>
      </c>
      <c r="G688" t="n">
        <v>0.9</v>
      </c>
      <c r="H688" t="n">
        <v>0</v>
      </c>
      <c r="I688" t="n">
        <v>0</v>
      </c>
      <c r="J688" t="n">
        <v>0</v>
      </c>
      <c r="K688" t="n">
        <v>0</v>
      </c>
      <c r="L688" t="n">
        <v>0</v>
      </c>
      <c r="M688" t="n">
        <v>0</v>
      </c>
      <c r="N688" t="n">
        <v>0</v>
      </c>
      <c r="O688" t="n">
        <v>0</v>
      </c>
      <c r="P688" t="n">
        <v>0</v>
      </c>
      <c r="Q688" t="n">
        <v>0</v>
      </c>
      <c r="R688" s="2" t="inlineStr"/>
    </row>
    <row r="689" ht="15" customHeight="1">
      <c r="A689" t="inlineStr">
        <is>
          <t>A 60538-2019</t>
        </is>
      </c>
      <c r="B689" s="1" t="n">
        <v>43781</v>
      </c>
      <c r="C689" s="1" t="n">
        <v>45802</v>
      </c>
      <c r="D689" t="inlineStr">
        <is>
          <t>VÄSTERNORRLANDS LÄN</t>
        </is>
      </c>
      <c r="E689" t="inlineStr">
        <is>
          <t>SOLLEFTEÅ</t>
        </is>
      </c>
      <c r="G689" t="n">
        <v>4.6</v>
      </c>
      <c r="H689" t="n">
        <v>0</v>
      </c>
      <c r="I689" t="n">
        <v>0</v>
      </c>
      <c r="J689" t="n">
        <v>0</v>
      </c>
      <c r="K689" t="n">
        <v>0</v>
      </c>
      <c r="L689" t="n">
        <v>0</v>
      </c>
      <c r="M689" t="n">
        <v>0</v>
      </c>
      <c r="N689" t="n">
        <v>0</v>
      </c>
      <c r="O689" t="n">
        <v>0</v>
      </c>
      <c r="P689" t="n">
        <v>0</v>
      </c>
      <c r="Q689" t="n">
        <v>0</v>
      </c>
      <c r="R689" s="2" t="inlineStr"/>
    </row>
    <row r="690" ht="15" customHeight="1">
      <c r="A690" t="inlineStr">
        <is>
          <t>A 60905-2019</t>
        </is>
      </c>
      <c r="B690" s="1" t="n">
        <v>43781</v>
      </c>
      <c r="C690" s="1" t="n">
        <v>45802</v>
      </c>
      <c r="D690" t="inlineStr">
        <is>
          <t>VÄSTERNORRLANDS LÄN</t>
        </is>
      </c>
      <c r="E690" t="inlineStr">
        <is>
          <t>SOLLEFTEÅ</t>
        </is>
      </c>
      <c r="G690" t="n">
        <v>0.4</v>
      </c>
      <c r="H690" t="n">
        <v>0</v>
      </c>
      <c r="I690" t="n">
        <v>0</v>
      </c>
      <c r="J690" t="n">
        <v>0</v>
      </c>
      <c r="K690" t="n">
        <v>0</v>
      </c>
      <c r="L690" t="n">
        <v>0</v>
      </c>
      <c r="M690" t="n">
        <v>0</v>
      </c>
      <c r="N690" t="n">
        <v>0</v>
      </c>
      <c r="O690" t="n">
        <v>0</v>
      </c>
      <c r="P690" t="n">
        <v>0</v>
      </c>
      <c r="Q690" t="n">
        <v>0</v>
      </c>
      <c r="R690" s="2" t="inlineStr"/>
    </row>
    <row r="691" ht="15" customHeight="1">
      <c r="A691" t="inlineStr">
        <is>
          <t>A 61978-2019</t>
        </is>
      </c>
      <c r="B691" s="1" t="n">
        <v>43781</v>
      </c>
      <c r="C691" s="1" t="n">
        <v>45802</v>
      </c>
      <c r="D691" t="inlineStr">
        <is>
          <t>VÄSTERNORRLANDS LÄN</t>
        </is>
      </c>
      <c r="E691" t="inlineStr">
        <is>
          <t>SOLLEFTEÅ</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63450-2019</t>
        </is>
      </c>
      <c r="B692" s="1" t="n">
        <v>43788</v>
      </c>
      <c r="C692" s="1" t="n">
        <v>45802</v>
      </c>
      <c r="D692" t="inlineStr">
        <is>
          <t>VÄSTERNORRLANDS LÄN</t>
        </is>
      </c>
      <c r="E692" t="inlineStr">
        <is>
          <t>SOLLEFTEÅ</t>
        </is>
      </c>
      <c r="G692" t="n">
        <v>8.6</v>
      </c>
      <c r="H692" t="n">
        <v>0</v>
      </c>
      <c r="I692" t="n">
        <v>0</v>
      </c>
      <c r="J692" t="n">
        <v>0</v>
      </c>
      <c r="K692" t="n">
        <v>0</v>
      </c>
      <c r="L692" t="n">
        <v>0</v>
      </c>
      <c r="M692" t="n">
        <v>0</v>
      </c>
      <c r="N692" t="n">
        <v>0</v>
      </c>
      <c r="O692" t="n">
        <v>0</v>
      </c>
      <c r="P692" t="n">
        <v>0</v>
      </c>
      <c r="Q692" t="n">
        <v>0</v>
      </c>
      <c r="R692" s="2" t="inlineStr"/>
    </row>
    <row r="693" ht="15" customHeight="1">
      <c r="A693" t="inlineStr">
        <is>
          <t>A 62500-2019</t>
        </is>
      </c>
      <c r="B693" s="1" t="n">
        <v>43788</v>
      </c>
      <c r="C693" s="1" t="n">
        <v>45802</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64197-2019</t>
        </is>
      </c>
      <c r="B694" s="1" t="n">
        <v>43791</v>
      </c>
      <c r="C694" s="1" t="n">
        <v>45802</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63552-2019</t>
        </is>
      </c>
      <c r="B695" s="1" t="n">
        <v>43794</v>
      </c>
      <c r="C695" s="1" t="n">
        <v>45802</v>
      </c>
      <c r="D695" t="inlineStr">
        <is>
          <t>VÄSTERNORRLANDS LÄN</t>
        </is>
      </c>
      <c r="E695" t="inlineStr">
        <is>
          <t>SOLLEFTEÅ</t>
        </is>
      </c>
      <c r="G695" t="n">
        <v>7.2</v>
      </c>
      <c r="H695" t="n">
        <v>0</v>
      </c>
      <c r="I695" t="n">
        <v>0</v>
      </c>
      <c r="J695" t="n">
        <v>0</v>
      </c>
      <c r="K695" t="n">
        <v>0</v>
      </c>
      <c r="L695" t="n">
        <v>0</v>
      </c>
      <c r="M695" t="n">
        <v>0</v>
      </c>
      <c r="N695" t="n">
        <v>0</v>
      </c>
      <c r="O695" t="n">
        <v>0</v>
      </c>
      <c r="P695" t="n">
        <v>0</v>
      </c>
      <c r="Q695" t="n">
        <v>0</v>
      </c>
      <c r="R695" s="2" t="inlineStr"/>
    </row>
    <row r="696" ht="15" customHeight="1">
      <c r="A696" t="inlineStr">
        <is>
          <t>A 63752-2019</t>
        </is>
      </c>
      <c r="B696" s="1" t="n">
        <v>43795</v>
      </c>
      <c r="C696" s="1" t="n">
        <v>45802</v>
      </c>
      <c r="D696" t="inlineStr">
        <is>
          <t>VÄSTERNORRLANDS LÄN</t>
        </is>
      </c>
      <c r="E696" t="inlineStr">
        <is>
          <t>SOLLEFTEÅ</t>
        </is>
      </c>
      <c r="G696" t="n">
        <v>4.2</v>
      </c>
      <c r="H696" t="n">
        <v>0</v>
      </c>
      <c r="I696" t="n">
        <v>0</v>
      </c>
      <c r="J696" t="n">
        <v>0</v>
      </c>
      <c r="K696" t="n">
        <v>0</v>
      </c>
      <c r="L696" t="n">
        <v>0</v>
      </c>
      <c r="M696" t="n">
        <v>0</v>
      </c>
      <c r="N696" t="n">
        <v>0</v>
      </c>
      <c r="O696" t="n">
        <v>0</v>
      </c>
      <c r="P696" t="n">
        <v>0</v>
      </c>
      <c r="Q696" t="n">
        <v>0</v>
      </c>
      <c r="R696" s="2" t="inlineStr"/>
    </row>
    <row r="697" ht="15" customHeight="1">
      <c r="A697" t="inlineStr">
        <is>
          <t>A 65218-2019</t>
        </is>
      </c>
      <c r="B697" s="1" t="n">
        <v>43797</v>
      </c>
      <c r="C697" s="1" t="n">
        <v>45802</v>
      </c>
      <c r="D697" t="inlineStr">
        <is>
          <t>VÄSTERNORRLANDS LÄN</t>
        </is>
      </c>
      <c r="E697" t="inlineStr">
        <is>
          <t>SOLLEFTEÅ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65029-2019</t>
        </is>
      </c>
      <c r="B698" s="1" t="n">
        <v>43801</v>
      </c>
      <c r="C698" s="1" t="n">
        <v>45802</v>
      </c>
      <c r="D698" t="inlineStr">
        <is>
          <t>VÄSTERNORRLANDS LÄN</t>
        </is>
      </c>
      <c r="E698" t="inlineStr">
        <is>
          <t>SOLLEFTEÅ</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65332-2019</t>
        </is>
      </c>
      <c r="B699" s="1" t="n">
        <v>43802</v>
      </c>
      <c r="C699" s="1" t="n">
        <v>45802</v>
      </c>
      <c r="D699" t="inlineStr">
        <is>
          <t>VÄSTERNORRLANDS LÄN</t>
        </is>
      </c>
      <c r="E699" t="inlineStr">
        <is>
          <t>SOLLEFTEÅ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66321-2019</t>
        </is>
      </c>
      <c r="B700" s="1" t="n">
        <v>43802</v>
      </c>
      <c r="C700" s="1" t="n">
        <v>45802</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65319-2019</t>
        </is>
      </c>
      <c r="B701" s="1" t="n">
        <v>43802</v>
      </c>
      <c r="C701" s="1" t="n">
        <v>45802</v>
      </c>
      <c r="D701" t="inlineStr">
        <is>
          <t>VÄSTERNORRLANDS LÄN</t>
        </is>
      </c>
      <c r="E701" t="inlineStr">
        <is>
          <t>SOLLEFTEÅ</t>
        </is>
      </c>
      <c r="G701" t="n">
        <v>0.9</v>
      </c>
      <c r="H701" t="n">
        <v>0</v>
      </c>
      <c r="I701" t="n">
        <v>0</v>
      </c>
      <c r="J701" t="n">
        <v>0</v>
      </c>
      <c r="K701" t="n">
        <v>0</v>
      </c>
      <c r="L701" t="n">
        <v>0</v>
      </c>
      <c r="M701" t="n">
        <v>0</v>
      </c>
      <c r="N701" t="n">
        <v>0</v>
      </c>
      <c r="O701" t="n">
        <v>0</v>
      </c>
      <c r="P701" t="n">
        <v>0</v>
      </c>
      <c r="Q701" t="n">
        <v>0</v>
      </c>
      <c r="R701" s="2" t="inlineStr"/>
    </row>
    <row r="702" ht="15" customHeight="1">
      <c r="A702" t="inlineStr">
        <is>
          <t>A 65327-2019</t>
        </is>
      </c>
      <c r="B702" s="1" t="n">
        <v>43802</v>
      </c>
      <c r="C702" s="1" t="n">
        <v>45802</v>
      </c>
      <c r="D702" t="inlineStr">
        <is>
          <t>VÄSTERNORRLANDS LÄN</t>
        </is>
      </c>
      <c r="E702" t="inlineStr">
        <is>
          <t>SOLLEFTEÅ</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66391-2019</t>
        </is>
      </c>
      <c r="B703" s="1" t="n">
        <v>43808</v>
      </c>
      <c r="C703" s="1" t="n">
        <v>45802</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67805-2019</t>
        </is>
      </c>
      <c r="B704" s="1" t="n">
        <v>43815</v>
      </c>
      <c r="C704" s="1" t="n">
        <v>45802</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67815-2019</t>
        </is>
      </c>
      <c r="B705" s="1" t="n">
        <v>43815</v>
      </c>
      <c r="C705" s="1" t="n">
        <v>45802</v>
      </c>
      <c r="D705" t="inlineStr">
        <is>
          <t>VÄSTERNORRLANDS LÄN</t>
        </is>
      </c>
      <c r="E705" t="inlineStr">
        <is>
          <t>SOLLEFTEÅ</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1627-2020</t>
        </is>
      </c>
      <c r="B706" s="1" t="n">
        <v>43829</v>
      </c>
      <c r="C706" s="1" t="n">
        <v>45802</v>
      </c>
      <c r="D706" t="inlineStr">
        <is>
          <t>VÄSTERNORRLANDS LÄN</t>
        </is>
      </c>
      <c r="E706" t="inlineStr">
        <is>
          <t>SOLLEFTEÅ</t>
        </is>
      </c>
      <c r="G706" t="n">
        <v>9</v>
      </c>
      <c r="H706" t="n">
        <v>0</v>
      </c>
      <c r="I706" t="n">
        <v>0</v>
      </c>
      <c r="J706" t="n">
        <v>0</v>
      </c>
      <c r="K706" t="n">
        <v>0</v>
      </c>
      <c r="L706" t="n">
        <v>0</v>
      </c>
      <c r="M706" t="n">
        <v>0</v>
      </c>
      <c r="N706" t="n">
        <v>0</v>
      </c>
      <c r="O706" t="n">
        <v>0</v>
      </c>
      <c r="P706" t="n">
        <v>0</v>
      </c>
      <c r="Q706" t="n">
        <v>0</v>
      </c>
      <c r="R706" s="2" t="inlineStr"/>
    </row>
    <row r="707" ht="15" customHeight="1">
      <c r="A707" t="inlineStr">
        <is>
          <t>A 127-2020</t>
        </is>
      </c>
      <c r="B707" s="1" t="n">
        <v>43832</v>
      </c>
      <c r="C707" s="1" t="n">
        <v>45802</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125-2020</t>
        </is>
      </c>
      <c r="B708" s="1" t="n">
        <v>43832</v>
      </c>
      <c r="C708" s="1" t="n">
        <v>45802</v>
      </c>
      <c r="D708" t="inlineStr">
        <is>
          <t>VÄSTERNORRLANDS LÄN</t>
        </is>
      </c>
      <c r="E708" t="inlineStr">
        <is>
          <t>SOLLEFTEÅ</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126-2020</t>
        </is>
      </c>
      <c r="B709" s="1" t="n">
        <v>43832</v>
      </c>
      <c r="C709" s="1" t="n">
        <v>45802</v>
      </c>
      <c r="D709" t="inlineStr">
        <is>
          <t>VÄSTERNORRLANDS LÄN</t>
        </is>
      </c>
      <c r="E709" t="inlineStr">
        <is>
          <t>SOLLEFTEÅ</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538-2020</t>
        </is>
      </c>
      <c r="B710" s="1" t="n">
        <v>43837</v>
      </c>
      <c r="C710" s="1" t="n">
        <v>45802</v>
      </c>
      <c r="D710" t="inlineStr">
        <is>
          <t>VÄSTERNORRLANDS LÄN</t>
        </is>
      </c>
      <c r="E710" t="inlineStr">
        <is>
          <t>SOLLEFTEÅ</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1263-2020</t>
        </is>
      </c>
      <c r="B711" s="1" t="n">
        <v>43840</v>
      </c>
      <c r="C711" s="1" t="n">
        <v>45802</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1262-2020</t>
        </is>
      </c>
      <c r="B712" s="1" t="n">
        <v>43840</v>
      </c>
      <c r="C712" s="1" t="n">
        <v>45802</v>
      </c>
      <c r="D712" t="inlineStr">
        <is>
          <t>VÄSTERNORRLANDS LÄN</t>
        </is>
      </c>
      <c r="E712" t="inlineStr">
        <is>
          <t>SOLLEFTEÅ</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1213-2020</t>
        </is>
      </c>
      <c r="B713" s="1" t="n">
        <v>43840</v>
      </c>
      <c r="C713" s="1" t="n">
        <v>45802</v>
      </c>
      <c r="D713" t="inlineStr">
        <is>
          <t>VÄSTERNORRLANDS LÄN</t>
        </is>
      </c>
      <c r="E713" t="inlineStr">
        <is>
          <t>SOLLEFTEÅ</t>
        </is>
      </c>
      <c r="F713" t="inlineStr">
        <is>
          <t>Kyrkan</t>
        </is>
      </c>
      <c r="G713" t="n">
        <v>13.9</v>
      </c>
      <c r="H713" t="n">
        <v>0</v>
      </c>
      <c r="I713" t="n">
        <v>0</v>
      </c>
      <c r="J713" t="n">
        <v>0</v>
      </c>
      <c r="K713" t="n">
        <v>0</v>
      </c>
      <c r="L713" t="n">
        <v>0</v>
      </c>
      <c r="M713" t="n">
        <v>0</v>
      </c>
      <c r="N713" t="n">
        <v>0</v>
      </c>
      <c r="O713" t="n">
        <v>0</v>
      </c>
      <c r="P713" t="n">
        <v>0</v>
      </c>
      <c r="Q713" t="n">
        <v>0</v>
      </c>
      <c r="R713" s="2" t="inlineStr"/>
    </row>
    <row r="714" ht="15" customHeight="1">
      <c r="A714" t="inlineStr">
        <is>
          <t>A 1568-2020</t>
        </is>
      </c>
      <c r="B714" s="1" t="n">
        <v>43844</v>
      </c>
      <c r="C714" s="1" t="n">
        <v>45802</v>
      </c>
      <c r="D714" t="inlineStr">
        <is>
          <t>VÄSTERNORRLANDS LÄN</t>
        </is>
      </c>
      <c r="E714" t="inlineStr">
        <is>
          <t>SOLLEFTEÅ</t>
        </is>
      </c>
      <c r="G714" t="n">
        <v>3.4</v>
      </c>
      <c r="H714" t="n">
        <v>0</v>
      </c>
      <c r="I714" t="n">
        <v>0</v>
      </c>
      <c r="J714" t="n">
        <v>0</v>
      </c>
      <c r="K714" t="n">
        <v>0</v>
      </c>
      <c r="L714" t="n">
        <v>0</v>
      </c>
      <c r="M714" t="n">
        <v>0</v>
      </c>
      <c r="N714" t="n">
        <v>0</v>
      </c>
      <c r="O714" t="n">
        <v>0</v>
      </c>
      <c r="P714" t="n">
        <v>0</v>
      </c>
      <c r="Q714" t="n">
        <v>0</v>
      </c>
      <c r="R714" s="2" t="inlineStr"/>
    </row>
    <row r="715" ht="15" customHeight="1">
      <c r="A715" t="inlineStr">
        <is>
          <t>A 2897-2020</t>
        </is>
      </c>
      <c r="B715" s="1" t="n">
        <v>43850</v>
      </c>
      <c r="C715" s="1" t="n">
        <v>45802</v>
      </c>
      <c r="D715" t="inlineStr">
        <is>
          <t>VÄSTERNORRLANDS LÄN</t>
        </is>
      </c>
      <c r="E715" t="inlineStr">
        <is>
          <t>SOLLEFTEÅ</t>
        </is>
      </c>
      <c r="G715" t="n">
        <v>7.6</v>
      </c>
      <c r="H715" t="n">
        <v>0</v>
      </c>
      <c r="I715" t="n">
        <v>0</v>
      </c>
      <c r="J715" t="n">
        <v>0</v>
      </c>
      <c r="K715" t="n">
        <v>0</v>
      </c>
      <c r="L715" t="n">
        <v>0</v>
      </c>
      <c r="M715" t="n">
        <v>0</v>
      </c>
      <c r="N715" t="n">
        <v>0</v>
      </c>
      <c r="O715" t="n">
        <v>0</v>
      </c>
      <c r="P715" t="n">
        <v>0</v>
      </c>
      <c r="Q715" t="n">
        <v>0</v>
      </c>
      <c r="R715" s="2" t="inlineStr"/>
    </row>
    <row r="716" ht="15" customHeight="1">
      <c r="A716" t="inlineStr">
        <is>
          <t>A 3230-2020</t>
        </is>
      </c>
      <c r="B716" s="1" t="n">
        <v>43851</v>
      </c>
      <c r="C716" s="1" t="n">
        <v>45802</v>
      </c>
      <c r="D716" t="inlineStr">
        <is>
          <t>VÄSTERNORRLANDS LÄN</t>
        </is>
      </c>
      <c r="E716" t="inlineStr">
        <is>
          <t>SOLLEFTEÅ</t>
        </is>
      </c>
      <c r="F716" t="inlineStr">
        <is>
          <t>Övriga statliga verk och myndigheter</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4363-2020</t>
        </is>
      </c>
      <c r="B717" s="1" t="n">
        <v>43857</v>
      </c>
      <c r="C717" s="1" t="n">
        <v>45802</v>
      </c>
      <c r="D717" t="inlineStr">
        <is>
          <t>VÄSTERNORRLANDS LÄN</t>
        </is>
      </c>
      <c r="E717" t="inlineStr">
        <is>
          <t>SOLLEFTEÅ</t>
        </is>
      </c>
      <c r="G717" t="n">
        <v>6.4</v>
      </c>
      <c r="H717" t="n">
        <v>0</v>
      </c>
      <c r="I717" t="n">
        <v>0</v>
      </c>
      <c r="J717" t="n">
        <v>0</v>
      </c>
      <c r="K717" t="n">
        <v>0</v>
      </c>
      <c r="L717" t="n">
        <v>0</v>
      </c>
      <c r="M717" t="n">
        <v>0</v>
      </c>
      <c r="N717" t="n">
        <v>0</v>
      </c>
      <c r="O717" t="n">
        <v>0</v>
      </c>
      <c r="P717" t="n">
        <v>0</v>
      </c>
      <c r="Q717" t="n">
        <v>0</v>
      </c>
      <c r="R717" s="2" t="inlineStr"/>
    </row>
    <row r="718" ht="15" customHeight="1">
      <c r="A718" t="inlineStr">
        <is>
          <t>A 5248-2020</t>
        </is>
      </c>
      <c r="B718" s="1" t="n">
        <v>43857</v>
      </c>
      <c r="C718" s="1" t="n">
        <v>45802</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5635-2020</t>
        </is>
      </c>
      <c r="B719" s="1" t="n">
        <v>43860</v>
      </c>
      <c r="C719" s="1" t="n">
        <v>45802</v>
      </c>
      <c r="D719" t="inlineStr">
        <is>
          <t>VÄSTERNORRLANDS LÄN</t>
        </is>
      </c>
      <c r="E719" t="inlineStr">
        <is>
          <t>SOLLEFTEÅ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5662-2020</t>
        </is>
      </c>
      <c r="B720" s="1" t="n">
        <v>43861</v>
      </c>
      <c r="C720" s="1" t="n">
        <v>45802</v>
      </c>
      <c r="D720" t="inlineStr">
        <is>
          <t>VÄSTERNORRLANDS LÄN</t>
        </is>
      </c>
      <c r="E720" t="inlineStr">
        <is>
          <t>SOLLEFTEÅ</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5714-2020</t>
        </is>
      </c>
      <c r="B721" s="1" t="n">
        <v>43861</v>
      </c>
      <c r="C721" s="1" t="n">
        <v>45802</v>
      </c>
      <c r="D721" t="inlineStr">
        <is>
          <t>VÄSTERNORRLANDS LÄN</t>
        </is>
      </c>
      <c r="E721" t="inlineStr">
        <is>
          <t>SOLLEFTEÅ</t>
        </is>
      </c>
      <c r="G721" t="n">
        <v>3</v>
      </c>
      <c r="H721" t="n">
        <v>0</v>
      </c>
      <c r="I721" t="n">
        <v>0</v>
      </c>
      <c r="J721" t="n">
        <v>0</v>
      </c>
      <c r="K721" t="n">
        <v>0</v>
      </c>
      <c r="L721" t="n">
        <v>0</v>
      </c>
      <c r="M721" t="n">
        <v>0</v>
      </c>
      <c r="N721" t="n">
        <v>0</v>
      </c>
      <c r="O721" t="n">
        <v>0</v>
      </c>
      <c r="P721" t="n">
        <v>0</v>
      </c>
      <c r="Q721" t="n">
        <v>0</v>
      </c>
      <c r="R721" s="2" t="inlineStr"/>
    </row>
    <row r="722" ht="15" customHeight="1">
      <c r="A722" t="inlineStr">
        <is>
          <t>A 5908-2020</t>
        </is>
      </c>
      <c r="B722" s="1" t="n">
        <v>43861</v>
      </c>
      <c r="C722" s="1" t="n">
        <v>45802</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8363-2020</t>
        </is>
      </c>
      <c r="B723" s="1" t="n">
        <v>43875</v>
      </c>
      <c r="C723" s="1" t="n">
        <v>45802</v>
      </c>
      <c r="D723" t="inlineStr">
        <is>
          <t>VÄSTERNORRLANDS LÄN</t>
        </is>
      </c>
      <c r="E723" t="inlineStr">
        <is>
          <t>SOLLEFTEÅ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8935-2020</t>
        </is>
      </c>
      <c r="B724" s="1" t="n">
        <v>43878</v>
      </c>
      <c r="C724" s="1" t="n">
        <v>45802</v>
      </c>
      <c r="D724" t="inlineStr">
        <is>
          <t>VÄSTERNORRLANDS LÄN</t>
        </is>
      </c>
      <c r="E724" t="inlineStr">
        <is>
          <t>SOLLEFTEÅ</t>
        </is>
      </c>
      <c r="G724" t="n">
        <v>3.9</v>
      </c>
      <c r="H724" t="n">
        <v>0</v>
      </c>
      <c r="I724" t="n">
        <v>0</v>
      </c>
      <c r="J724" t="n">
        <v>0</v>
      </c>
      <c r="K724" t="n">
        <v>0</v>
      </c>
      <c r="L724" t="n">
        <v>0</v>
      </c>
      <c r="M724" t="n">
        <v>0</v>
      </c>
      <c r="N724" t="n">
        <v>0</v>
      </c>
      <c r="O724" t="n">
        <v>0</v>
      </c>
      <c r="P724" t="n">
        <v>0</v>
      </c>
      <c r="Q724" t="n">
        <v>0</v>
      </c>
      <c r="R724" s="2" t="inlineStr"/>
    </row>
    <row r="725" ht="15" customHeight="1">
      <c r="A725" t="inlineStr">
        <is>
          <t>A 10631-2020</t>
        </is>
      </c>
      <c r="B725" s="1" t="n">
        <v>43887</v>
      </c>
      <c r="C725" s="1" t="n">
        <v>45802</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10846-2020</t>
        </is>
      </c>
      <c r="B726" s="1" t="n">
        <v>43888</v>
      </c>
      <c r="C726" s="1" t="n">
        <v>45802</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11685-2020</t>
        </is>
      </c>
      <c r="B727" s="1" t="n">
        <v>43893</v>
      </c>
      <c r="C727" s="1" t="n">
        <v>45802</v>
      </c>
      <c r="D727" t="inlineStr">
        <is>
          <t>VÄSTERNORRLANDS LÄN</t>
        </is>
      </c>
      <c r="E727" t="inlineStr">
        <is>
          <t>SOLLEFTEÅ</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12819-2020</t>
        </is>
      </c>
      <c r="B728" s="1" t="n">
        <v>43893</v>
      </c>
      <c r="C728" s="1" t="n">
        <v>45802</v>
      </c>
      <c r="D728" t="inlineStr">
        <is>
          <t>VÄSTERNORRLANDS LÄN</t>
        </is>
      </c>
      <c r="E728" t="inlineStr">
        <is>
          <t>SOLLEFTEÅ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12525-2020</t>
        </is>
      </c>
      <c r="B729" s="1" t="n">
        <v>43896</v>
      </c>
      <c r="C729" s="1" t="n">
        <v>45802</v>
      </c>
      <c r="D729" t="inlineStr">
        <is>
          <t>VÄSTERNORRLANDS LÄN</t>
        </is>
      </c>
      <c r="E729" t="inlineStr">
        <is>
          <t>SOLLEFTEÅ</t>
        </is>
      </c>
      <c r="F729" t="inlineStr">
        <is>
          <t>SCA</t>
        </is>
      </c>
      <c r="G729" t="n">
        <v>28.7</v>
      </c>
      <c r="H729" t="n">
        <v>0</v>
      </c>
      <c r="I729" t="n">
        <v>0</v>
      </c>
      <c r="J729" t="n">
        <v>0</v>
      </c>
      <c r="K729" t="n">
        <v>0</v>
      </c>
      <c r="L729" t="n">
        <v>0</v>
      </c>
      <c r="M729" t="n">
        <v>0</v>
      </c>
      <c r="N729" t="n">
        <v>0</v>
      </c>
      <c r="O729" t="n">
        <v>0</v>
      </c>
      <c r="P729" t="n">
        <v>0</v>
      </c>
      <c r="Q729" t="n">
        <v>0</v>
      </c>
      <c r="R729" s="2" t="inlineStr"/>
    </row>
    <row r="730" ht="15" customHeight="1">
      <c r="A730" t="inlineStr">
        <is>
          <t>A 13023-2020</t>
        </is>
      </c>
      <c r="B730" s="1" t="n">
        <v>43900</v>
      </c>
      <c r="C730" s="1" t="n">
        <v>45802</v>
      </c>
      <c r="D730" t="inlineStr">
        <is>
          <t>VÄSTERNORRLANDS LÄN</t>
        </is>
      </c>
      <c r="E730" t="inlineStr">
        <is>
          <t>SOLLEFTEÅ</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13567-2020</t>
        </is>
      </c>
      <c r="B731" s="1" t="n">
        <v>43902</v>
      </c>
      <c r="C731" s="1" t="n">
        <v>45802</v>
      </c>
      <c r="D731" t="inlineStr">
        <is>
          <t>VÄSTERNORRLANDS LÄN</t>
        </is>
      </c>
      <c r="E731" t="inlineStr">
        <is>
          <t>SOLLEFTEÅ</t>
        </is>
      </c>
      <c r="F731" t="inlineStr">
        <is>
          <t>SCA</t>
        </is>
      </c>
      <c r="G731" t="n">
        <v>15.9</v>
      </c>
      <c r="H731" t="n">
        <v>0</v>
      </c>
      <c r="I731" t="n">
        <v>0</v>
      </c>
      <c r="J731" t="n">
        <v>0</v>
      </c>
      <c r="K731" t="n">
        <v>0</v>
      </c>
      <c r="L731" t="n">
        <v>0</v>
      </c>
      <c r="M731" t="n">
        <v>0</v>
      </c>
      <c r="N731" t="n">
        <v>0</v>
      </c>
      <c r="O731" t="n">
        <v>0</v>
      </c>
      <c r="P731" t="n">
        <v>0</v>
      </c>
      <c r="Q731" t="n">
        <v>0</v>
      </c>
      <c r="R731" s="2" t="inlineStr"/>
    </row>
    <row r="732" ht="15" customHeight="1">
      <c r="A732" t="inlineStr">
        <is>
          <t>A 13577-2020</t>
        </is>
      </c>
      <c r="B732" s="1" t="n">
        <v>43902</v>
      </c>
      <c r="C732" s="1" t="n">
        <v>45802</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13565-2020</t>
        </is>
      </c>
      <c r="B733" s="1" t="n">
        <v>43902</v>
      </c>
      <c r="C733" s="1" t="n">
        <v>45802</v>
      </c>
      <c r="D733" t="inlineStr">
        <is>
          <t>VÄSTERNORRLANDS LÄN</t>
        </is>
      </c>
      <c r="E733" t="inlineStr">
        <is>
          <t>SOLLEFTEÅ</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13575-2020</t>
        </is>
      </c>
      <c r="B734" s="1" t="n">
        <v>43902</v>
      </c>
      <c r="C734" s="1" t="n">
        <v>45802</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13561-2020</t>
        </is>
      </c>
      <c r="B735" s="1" t="n">
        <v>43902</v>
      </c>
      <c r="C735" s="1" t="n">
        <v>45802</v>
      </c>
      <c r="D735" t="inlineStr">
        <is>
          <t>VÄSTERNORRLANDS LÄN</t>
        </is>
      </c>
      <c r="E735" t="inlineStr">
        <is>
          <t>SOLLEFTEÅ</t>
        </is>
      </c>
      <c r="F735" t="inlineStr">
        <is>
          <t>SCA</t>
        </is>
      </c>
      <c r="G735" t="n">
        <v>7.8</v>
      </c>
      <c r="H735" t="n">
        <v>0</v>
      </c>
      <c r="I735" t="n">
        <v>0</v>
      </c>
      <c r="J735" t="n">
        <v>0</v>
      </c>
      <c r="K735" t="n">
        <v>0</v>
      </c>
      <c r="L735" t="n">
        <v>0</v>
      </c>
      <c r="M735" t="n">
        <v>0</v>
      </c>
      <c r="N735" t="n">
        <v>0</v>
      </c>
      <c r="O735" t="n">
        <v>0</v>
      </c>
      <c r="P735" t="n">
        <v>0</v>
      </c>
      <c r="Q735" t="n">
        <v>0</v>
      </c>
      <c r="R735" s="2" t="inlineStr"/>
    </row>
    <row r="736" ht="15" customHeight="1">
      <c r="A736" t="inlineStr">
        <is>
          <t>A 13564-2020</t>
        </is>
      </c>
      <c r="B736" s="1" t="n">
        <v>43902</v>
      </c>
      <c r="C736" s="1" t="n">
        <v>45802</v>
      </c>
      <c r="D736" t="inlineStr">
        <is>
          <t>VÄSTERNORRLANDS LÄN</t>
        </is>
      </c>
      <c r="E736" t="inlineStr">
        <is>
          <t>SOLLEFTEÅ</t>
        </is>
      </c>
      <c r="F736" t="inlineStr">
        <is>
          <t>SCA</t>
        </is>
      </c>
      <c r="G736" t="n">
        <v>26.1</v>
      </c>
      <c r="H736" t="n">
        <v>0</v>
      </c>
      <c r="I736" t="n">
        <v>0</v>
      </c>
      <c r="J736" t="n">
        <v>0</v>
      </c>
      <c r="K736" t="n">
        <v>0</v>
      </c>
      <c r="L736" t="n">
        <v>0</v>
      </c>
      <c r="M736" t="n">
        <v>0</v>
      </c>
      <c r="N736" t="n">
        <v>0</v>
      </c>
      <c r="O736" t="n">
        <v>0</v>
      </c>
      <c r="P736" t="n">
        <v>0</v>
      </c>
      <c r="Q736" t="n">
        <v>0</v>
      </c>
      <c r="R736" s="2" t="inlineStr"/>
    </row>
    <row r="737" ht="15" customHeight="1">
      <c r="A737" t="inlineStr">
        <is>
          <t>A 13798-2020</t>
        </is>
      </c>
      <c r="B737" s="1" t="n">
        <v>43903</v>
      </c>
      <c r="C737" s="1" t="n">
        <v>45802</v>
      </c>
      <c r="D737" t="inlineStr">
        <is>
          <t>VÄSTERNORRLANDS LÄN</t>
        </is>
      </c>
      <c r="E737" t="inlineStr">
        <is>
          <t>SOLLEFTEÅ</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13864-2020</t>
        </is>
      </c>
      <c r="B738" s="1" t="n">
        <v>43906</v>
      </c>
      <c r="C738" s="1" t="n">
        <v>45802</v>
      </c>
      <c r="D738" t="inlineStr">
        <is>
          <t>VÄSTERNORRLANDS LÄN</t>
        </is>
      </c>
      <c r="E738" t="inlineStr">
        <is>
          <t>SOLLEFTEÅ</t>
        </is>
      </c>
      <c r="G738" t="n">
        <v>0.4</v>
      </c>
      <c r="H738" t="n">
        <v>0</v>
      </c>
      <c r="I738" t="n">
        <v>0</v>
      </c>
      <c r="J738" t="n">
        <v>0</v>
      </c>
      <c r="K738" t="n">
        <v>0</v>
      </c>
      <c r="L738" t="n">
        <v>0</v>
      </c>
      <c r="M738" t="n">
        <v>0</v>
      </c>
      <c r="N738" t="n">
        <v>0</v>
      </c>
      <c r="O738" t="n">
        <v>0</v>
      </c>
      <c r="P738" t="n">
        <v>0</v>
      </c>
      <c r="Q738" t="n">
        <v>0</v>
      </c>
      <c r="R738" s="2" t="inlineStr"/>
    </row>
    <row r="739" ht="15" customHeight="1">
      <c r="A739" t="inlineStr">
        <is>
          <t>A 14859-2020</t>
        </is>
      </c>
      <c r="B739" s="1" t="n">
        <v>43909</v>
      </c>
      <c r="C739" s="1" t="n">
        <v>45802</v>
      </c>
      <c r="D739" t="inlineStr">
        <is>
          <t>VÄSTERNORRLANDS LÄN</t>
        </is>
      </c>
      <c r="E739" t="inlineStr">
        <is>
          <t>SOLLEFTEÅ</t>
        </is>
      </c>
      <c r="F739" t="inlineStr">
        <is>
          <t>SCA</t>
        </is>
      </c>
      <c r="G739" t="n">
        <v>5.8</v>
      </c>
      <c r="H739" t="n">
        <v>0</v>
      </c>
      <c r="I739" t="n">
        <v>0</v>
      </c>
      <c r="J739" t="n">
        <v>0</v>
      </c>
      <c r="K739" t="n">
        <v>0</v>
      </c>
      <c r="L739" t="n">
        <v>0</v>
      </c>
      <c r="M739" t="n">
        <v>0</v>
      </c>
      <c r="N739" t="n">
        <v>0</v>
      </c>
      <c r="O739" t="n">
        <v>0</v>
      </c>
      <c r="P739" t="n">
        <v>0</v>
      </c>
      <c r="Q739" t="n">
        <v>0</v>
      </c>
      <c r="R739" s="2" t="inlineStr"/>
    </row>
    <row r="740" ht="15" customHeight="1">
      <c r="A740" t="inlineStr">
        <is>
          <t>A 18515-2020</t>
        </is>
      </c>
      <c r="B740" s="1" t="n">
        <v>43927</v>
      </c>
      <c r="C740" s="1" t="n">
        <v>45802</v>
      </c>
      <c r="D740" t="inlineStr">
        <is>
          <t>VÄSTERNORRLANDS LÄN</t>
        </is>
      </c>
      <c r="E740" t="inlineStr">
        <is>
          <t>SOLLEFTEÅ</t>
        </is>
      </c>
      <c r="G740" t="n">
        <v>2.5</v>
      </c>
      <c r="H740" t="n">
        <v>0</v>
      </c>
      <c r="I740" t="n">
        <v>0</v>
      </c>
      <c r="J740" t="n">
        <v>0</v>
      </c>
      <c r="K740" t="n">
        <v>0</v>
      </c>
      <c r="L740" t="n">
        <v>0</v>
      </c>
      <c r="M740" t="n">
        <v>0</v>
      </c>
      <c r="N740" t="n">
        <v>0</v>
      </c>
      <c r="O740" t="n">
        <v>0</v>
      </c>
      <c r="P740" t="n">
        <v>0</v>
      </c>
      <c r="Q740" t="n">
        <v>0</v>
      </c>
      <c r="R740" s="2" t="inlineStr"/>
    </row>
    <row r="741" ht="15" customHeight="1">
      <c r="A741" t="inlineStr">
        <is>
          <t>A 18402-2020</t>
        </is>
      </c>
      <c r="B741" s="1" t="n">
        <v>43928</v>
      </c>
      <c r="C741" s="1" t="n">
        <v>45802</v>
      </c>
      <c r="D741" t="inlineStr">
        <is>
          <t>VÄSTERNORRLANDS LÄN</t>
        </is>
      </c>
      <c r="E741" t="inlineStr">
        <is>
          <t>SOLLEFTEÅ</t>
        </is>
      </c>
      <c r="F741" t="inlineStr">
        <is>
          <t>Kyrkan</t>
        </is>
      </c>
      <c r="G741" t="n">
        <v>2.2</v>
      </c>
      <c r="H741" t="n">
        <v>0</v>
      </c>
      <c r="I741" t="n">
        <v>0</v>
      </c>
      <c r="J741" t="n">
        <v>0</v>
      </c>
      <c r="K741" t="n">
        <v>0</v>
      </c>
      <c r="L741" t="n">
        <v>0</v>
      </c>
      <c r="M741" t="n">
        <v>0</v>
      </c>
      <c r="N741" t="n">
        <v>0</v>
      </c>
      <c r="O741" t="n">
        <v>0</v>
      </c>
      <c r="P741" t="n">
        <v>0</v>
      </c>
      <c r="Q741" t="n">
        <v>0</v>
      </c>
      <c r="R741" s="2" t="inlineStr"/>
    </row>
    <row r="742" ht="15" customHeight="1">
      <c r="A742" t="inlineStr">
        <is>
          <t>A 20164-2020</t>
        </is>
      </c>
      <c r="B742" s="1" t="n">
        <v>43944</v>
      </c>
      <c r="C742" s="1" t="n">
        <v>45802</v>
      </c>
      <c r="D742" t="inlineStr">
        <is>
          <t>VÄSTERNORRLANDS LÄN</t>
        </is>
      </c>
      <c r="E742" t="inlineStr">
        <is>
          <t>SOLLEFTEÅ</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20419-2020</t>
        </is>
      </c>
      <c r="B743" s="1" t="n">
        <v>43945</v>
      </c>
      <c r="C743" s="1" t="n">
        <v>45802</v>
      </c>
      <c r="D743" t="inlineStr">
        <is>
          <t>VÄSTERNORRLANDS LÄN</t>
        </is>
      </c>
      <c r="E743" t="inlineStr">
        <is>
          <t>SOLLEFTEÅ</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20861-2020</t>
        </is>
      </c>
      <c r="B744" s="1" t="n">
        <v>43948</v>
      </c>
      <c r="C744" s="1" t="n">
        <v>45802</v>
      </c>
      <c r="D744" t="inlineStr">
        <is>
          <t>VÄSTERNORRLANDS LÄN</t>
        </is>
      </c>
      <c r="E744" t="inlineStr">
        <is>
          <t>SOLLEFTEÅ</t>
        </is>
      </c>
      <c r="G744" t="n">
        <v>2.9</v>
      </c>
      <c r="H744" t="n">
        <v>0</v>
      </c>
      <c r="I744" t="n">
        <v>0</v>
      </c>
      <c r="J744" t="n">
        <v>0</v>
      </c>
      <c r="K744" t="n">
        <v>0</v>
      </c>
      <c r="L744" t="n">
        <v>0</v>
      </c>
      <c r="M744" t="n">
        <v>0</v>
      </c>
      <c r="N744" t="n">
        <v>0</v>
      </c>
      <c r="O744" t="n">
        <v>0</v>
      </c>
      <c r="P744" t="n">
        <v>0</v>
      </c>
      <c r="Q744" t="n">
        <v>0</v>
      </c>
      <c r="R744" s="2" t="inlineStr"/>
    </row>
    <row r="745" ht="15" customHeight="1">
      <c r="A745" t="inlineStr">
        <is>
          <t>A 21022-2020</t>
        </is>
      </c>
      <c r="B745" s="1" t="n">
        <v>43950</v>
      </c>
      <c r="C745" s="1" t="n">
        <v>45802</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21097-2020</t>
        </is>
      </c>
      <c r="B746" s="1" t="n">
        <v>43950</v>
      </c>
      <c r="C746" s="1" t="n">
        <v>45802</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21020-2020</t>
        </is>
      </c>
      <c r="B747" s="1" t="n">
        <v>43950</v>
      </c>
      <c r="C747" s="1" t="n">
        <v>45802</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22371-2020</t>
        </is>
      </c>
      <c r="B748" s="1" t="n">
        <v>43957</v>
      </c>
      <c r="C748" s="1" t="n">
        <v>45802</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22731-2020</t>
        </is>
      </c>
      <c r="B749" s="1" t="n">
        <v>43962</v>
      </c>
      <c r="C749" s="1" t="n">
        <v>45802</v>
      </c>
      <c r="D749" t="inlineStr">
        <is>
          <t>VÄSTERNORRLANDS LÄN</t>
        </is>
      </c>
      <c r="E749" t="inlineStr">
        <is>
          <t>SOLLEFTEÅ</t>
        </is>
      </c>
      <c r="G749" t="n">
        <v>16.8</v>
      </c>
      <c r="H749" t="n">
        <v>0</v>
      </c>
      <c r="I749" t="n">
        <v>0</v>
      </c>
      <c r="J749" t="n">
        <v>0</v>
      </c>
      <c r="K749" t="n">
        <v>0</v>
      </c>
      <c r="L749" t="n">
        <v>0</v>
      </c>
      <c r="M749" t="n">
        <v>0</v>
      </c>
      <c r="N749" t="n">
        <v>0</v>
      </c>
      <c r="O749" t="n">
        <v>0</v>
      </c>
      <c r="P749" t="n">
        <v>0</v>
      </c>
      <c r="Q749" t="n">
        <v>0</v>
      </c>
      <c r="R749" s="2" t="inlineStr"/>
    </row>
    <row r="750" ht="15" customHeight="1">
      <c r="A750" t="inlineStr">
        <is>
          <t>A 21607-2020</t>
        </is>
      </c>
      <c r="B750" s="1" t="n">
        <v>43963</v>
      </c>
      <c r="C750" s="1" t="n">
        <v>45802</v>
      </c>
      <c r="D750" t="inlineStr">
        <is>
          <t>VÄSTERNORRLANDS LÄN</t>
        </is>
      </c>
      <c r="E750" t="inlineStr">
        <is>
          <t>SOLLEFTEÅ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22561-2020</t>
        </is>
      </c>
      <c r="B751" s="1" t="n">
        <v>43963</v>
      </c>
      <c r="C751" s="1" t="n">
        <v>45802</v>
      </c>
      <c r="D751" t="inlineStr">
        <is>
          <t>VÄSTERNORRLANDS LÄN</t>
        </is>
      </c>
      <c r="E751" t="inlineStr">
        <is>
          <t>SOLLEFTEÅ</t>
        </is>
      </c>
      <c r="G751" t="n">
        <v>8.6</v>
      </c>
      <c r="H751" t="n">
        <v>0</v>
      </c>
      <c r="I751" t="n">
        <v>0</v>
      </c>
      <c r="J751" t="n">
        <v>0</v>
      </c>
      <c r="K751" t="n">
        <v>0</v>
      </c>
      <c r="L751" t="n">
        <v>0</v>
      </c>
      <c r="M751" t="n">
        <v>0</v>
      </c>
      <c r="N751" t="n">
        <v>0</v>
      </c>
      <c r="O751" t="n">
        <v>0</v>
      </c>
      <c r="P751" t="n">
        <v>0</v>
      </c>
      <c r="Q751" t="n">
        <v>0</v>
      </c>
      <c r="R751" s="2" t="inlineStr"/>
    </row>
    <row r="752" ht="15" customHeight="1">
      <c r="A752" t="inlineStr">
        <is>
          <t>A 23231-2020</t>
        </is>
      </c>
      <c r="B752" s="1" t="n">
        <v>43966</v>
      </c>
      <c r="C752" s="1" t="n">
        <v>45802</v>
      </c>
      <c r="D752" t="inlineStr">
        <is>
          <t>VÄSTERNORRLANDS LÄN</t>
        </is>
      </c>
      <c r="E752" t="inlineStr">
        <is>
          <t>SOLLEFTEÅ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23638-2020</t>
        </is>
      </c>
      <c r="B753" s="1" t="n">
        <v>43969</v>
      </c>
      <c r="C753" s="1" t="n">
        <v>45802</v>
      </c>
      <c r="D753" t="inlineStr">
        <is>
          <t>VÄSTERNORRLANDS LÄN</t>
        </is>
      </c>
      <c r="E753" t="inlineStr">
        <is>
          <t>SOLLEFTEÅ</t>
        </is>
      </c>
      <c r="G753" t="n">
        <v>8.9</v>
      </c>
      <c r="H753" t="n">
        <v>0</v>
      </c>
      <c r="I753" t="n">
        <v>0</v>
      </c>
      <c r="J753" t="n">
        <v>0</v>
      </c>
      <c r="K753" t="n">
        <v>0</v>
      </c>
      <c r="L753" t="n">
        <v>0</v>
      </c>
      <c r="M753" t="n">
        <v>0</v>
      </c>
      <c r="N753" t="n">
        <v>0</v>
      </c>
      <c r="O753" t="n">
        <v>0</v>
      </c>
      <c r="P753" t="n">
        <v>0</v>
      </c>
      <c r="Q753" t="n">
        <v>0</v>
      </c>
      <c r="R753" s="2" t="inlineStr"/>
    </row>
    <row r="754" ht="15" customHeight="1">
      <c r="A754" t="inlineStr">
        <is>
          <t>A 24060-2020</t>
        </is>
      </c>
      <c r="B754" s="1" t="n">
        <v>43971</v>
      </c>
      <c r="C754" s="1" t="n">
        <v>45802</v>
      </c>
      <c r="D754" t="inlineStr">
        <is>
          <t>VÄSTERNORRLANDS LÄN</t>
        </is>
      </c>
      <c r="E754" t="inlineStr">
        <is>
          <t>SOLLEFTEÅ</t>
        </is>
      </c>
      <c r="G754" t="n">
        <v>16.3</v>
      </c>
      <c r="H754" t="n">
        <v>0</v>
      </c>
      <c r="I754" t="n">
        <v>0</v>
      </c>
      <c r="J754" t="n">
        <v>0</v>
      </c>
      <c r="K754" t="n">
        <v>0</v>
      </c>
      <c r="L754" t="n">
        <v>0</v>
      </c>
      <c r="M754" t="n">
        <v>0</v>
      </c>
      <c r="N754" t="n">
        <v>0</v>
      </c>
      <c r="O754" t="n">
        <v>0</v>
      </c>
      <c r="P754" t="n">
        <v>0</v>
      </c>
      <c r="Q754" t="n">
        <v>0</v>
      </c>
      <c r="R754" s="2" t="inlineStr"/>
    </row>
    <row r="755" ht="15" customHeight="1">
      <c r="A755" t="inlineStr">
        <is>
          <t>A 24062-2020</t>
        </is>
      </c>
      <c r="B755" s="1" t="n">
        <v>43971</v>
      </c>
      <c r="C755" s="1" t="n">
        <v>45802</v>
      </c>
      <c r="D755" t="inlineStr">
        <is>
          <t>VÄSTERNORRLANDS LÄN</t>
        </is>
      </c>
      <c r="E755" t="inlineStr">
        <is>
          <t>SOLLEFTEÅ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24061-2020</t>
        </is>
      </c>
      <c r="B756" s="1" t="n">
        <v>43971</v>
      </c>
      <c r="C756" s="1" t="n">
        <v>45802</v>
      </c>
      <c r="D756" t="inlineStr">
        <is>
          <t>VÄSTERNORRLANDS LÄN</t>
        </is>
      </c>
      <c r="E756" t="inlineStr">
        <is>
          <t>SOLLEFTEÅ</t>
        </is>
      </c>
      <c r="G756" t="n">
        <v>5.7</v>
      </c>
      <c r="H756" t="n">
        <v>0</v>
      </c>
      <c r="I756" t="n">
        <v>0</v>
      </c>
      <c r="J756" t="n">
        <v>0</v>
      </c>
      <c r="K756" t="n">
        <v>0</v>
      </c>
      <c r="L756" t="n">
        <v>0</v>
      </c>
      <c r="M756" t="n">
        <v>0</v>
      </c>
      <c r="N756" t="n">
        <v>0</v>
      </c>
      <c r="O756" t="n">
        <v>0</v>
      </c>
      <c r="P756" t="n">
        <v>0</v>
      </c>
      <c r="Q756" t="n">
        <v>0</v>
      </c>
      <c r="R756" s="2" t="inlineStr"/>
    </row>
    <row r="757" ht="15" customHeight="1">
      <c r="A757" t="inlineStr">
        <is>
          <t>A 25100-2020</t>
        </is>
      </c>
      <c r="B757" s="1" t="n">
        <v>43979</v>
      </c>
      <c r="C757" s="1" t="n">
        <v>45802</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26189-2020</t>
        </is>
      </c>
      <c r="B758" s="1" t="n">
        <v>43985</v>
      </c>
      <c r="C758" s="1" t="n">
        <v>45802</v>
      </c>
      <c r="D758" t="inlineStr">
        <is>
          <t>VÄSTERNORRLANDS LÄN</t>
        </is>
      </c>
      <c r="E758" t="inlineStr">
        <is>
          <t>SOLLEFTEÅ</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26249-2020</t>
        </is>
      </c>
      <c r="B759" s="1" t="n">
        <v>43986</v>
      </c>
      <c r="C759" s="1" t="n">
        <v>45802</v>
      </c>
      <c r="D759" t="inlineStr">
        <is>
          <t>VÄSTERNORRLANDS LÄN</t>
        </is>
      </c>
      <c r="E759" t="inlineStr">
        <is>
          <t>SOLLEFTEÅ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27199-2020</t>
        </is>
      </c>
      <c r="B760" s="1" t="n">
        <v>43991</v>
      </c>
      <c r="C760" s="1" t="n">
        <v>45802</v>
      </c>
      <c r="D760" t="inlineStr">
        <is>
          <t>VÄSTERNORRLANDS LÄN</t>
        </is>
      </c>
      <c r="E760" t="inlineStr">
        <is>
          <t>SOLLEFTEÅ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27209-2020</t>
        </is>
      </c>
      <c r="B761" s="1" t="n">
        <v>43991</v>
      </c>
      <c r="C761" s="1" t="n">
        <v>45802</v>
      </c>
      <c r="D761" t="inlineStr">
        <is>
          <t>VÄSTERNORRLANDS LÄN</t>
        </is>
      </c>
      <c r="E761" t="inlineStr">
        <is>
          <t>SOLLEFTEÅ</t>
        </is>
      </c>
      <c r="F761" t="inlineStr">
        <is>
          <t>SCA</t>
        </is>
      </c>
      <c r="G761" t="n">
        <v>15.7</v>
      </c>
      <c r="H761" t="n">
        <v>0</v>
      </c>
      <c r="I761" t="n">
        <v>0</v>
      </c>
      <c r="J761" t="n">
        <v>0</v>
      </c>
      <c r="K761" t="n">
        <v>0</v>
      </c>
      <c r="L761" t="n">
        <v>0</v>
      </c>
      <c r="M761" t="n">
        <v>0</v>
      </c>
      <c r="N761" t="n">
        <v>0</v>
      </c>
      <c r="O761" t="n">
        <v>0</v>
      </c>
      <c r="P761" t="n">
        <v>0</v>
      </c>
      <c r="Q761" t="n">
        <v>0</v>
      </c>
      <c r="R761" s="2" t="inlineStr"/>
    </row>
    <row r="762" ht="15" customHeight="1">
      <c r="A762" t="inlineStr">
        <is>
          <t>A 28489-2020</t>
        </is>
      </c>
      <c r="B762" s="1" t="n">
        <v>43998</v>
      </c>
      <c r="C762" s="1" t="n">
        <v>45802</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28486-2020</t>
        </is>
      </c>
      <c r="B763" s="1" t="n">
        <v>43999</v>
      </c>
      <c r="C763" s="1" t="n">
        <v>45802</v>
      </c>
      <c r="D763" t="inlineStr">
        <is>
          <t>VÄSTERNORRLANDS LÄN</t>
        </is>
      </c>
      <c r="E763" t="inlineStr">
        <is>
          <t>SOLLEFTEÅ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29648-2020</t>
        </is>
      </c>
      <c r="B764" s="1" t="n">
        <v>44004</v>
      </c>
      <c r="C764" s="1" t="n">
        <v>45802</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29503-2020</t>
        </is>
      </c>
      <c r="B765" s="1" t="n">
        <v>44005</v>
      </c>
      <c r="C765" s="1" t="n">
        <v>45802</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29825-2020</t>
        </is>
      </c>
      <c r="B766" s="1" t="n">
        <v>44005</v>
      </c>
      <c r="C766" s="1" t="n">
        <v>45802</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29801-2020</t>
        </is>
      </c>
      <c r="B767" s="1" t="n">
        <v>44005</v>
      </c>
      <c r="C767" s="1" t="n">
        <v>45802</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30492-2020</t>
        </is>
      </c>
      <c r="B768" s="1" t="n">
        <v>44007</v>
      </c>
      <c r="C768" s="1" t="n">
        <v>45802</v>
      </c>
      <c r="D768" t="inlineStr">
        <is>
          <t>VÄSTERNORRLANDS LÄN</t>
        </is>
      </c>
      <c r="E768" t="inlineStr">
        <is>
          <t>SOLLEFTEÅ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30484-2020</t>
        </is>
      </c>
      <c r="B769" s="1" t="n">
        <v>44007</v>
      </c>
      <c r="C769" s="1" t="n">
        <v>45802</v>
      </c>
      <c r="D769" t="inlineStr">
        <is>
          <t>VÄSTERNORRLANDS LÄN</t>
        </is>
      </c>
      <c r="E769" t="inlineStr">
        <is>
          <t>SOLLEFTEÅ</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30753-2020</t>
        </is>
      </c>
      <c r="B770" s="1" t="n">
        <v>44008</v>
      </c>
      <c r="C770" s="1" t="n">
        <v>45802</v>
      </c>
      <c r="D770" t="inlineStr">
        <is>
          <t>VÄSTERNORRLANDS LÄN</t>
        </is>
      </c>
      <c r="E770" t="inlineStr">
        <is>
          <t>SOLLEFTEÅ</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30747-2020</t>
        </is>
      </c>
      <c r="B771" s="1" t="n">
        <v>44008</v>
      </c>
      <c r="C771" s="1" t="n">
        <v>45802</v>
      </c>
      <c r="D771" t="inlineStr">
        <is>
          <t>VÄSTERNORRLANDS LÄN</t>
        </is>
      </c>
      <c r="E771" t="inlineStr">
        <is>
          <t>SOLLEFTEÅ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30802-2020</t>
        </is>
      </c>
      <c r="B772" s="1" t="n">
        <v>44011</v>
      </c>
      <c r="C772" s="1" t="n">
        <v>45802</v>
      </c>
      <c r="D772" t="inlineStr">
        <is>
          <t>VÄSTERNORRLANDS LÄN</t>
        </is>
      </c>
      <c r="E772" t="inlineStr">
        <is>
          <t>SOLLEFTEÅ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31313-2020</t>
        </is>
      </c>
      <c r="B773" s="1" t="n">
        <v>44012</v>
      </c>
      <c r="C773" s="1" t="n">
        <v>45802</v>
      </c>
      <c r="D773" t="inlineStr">
        <is>
          <t>VÄSTERNORRLANDS LÄN</t>
        </is>
      </c>
      <c r="E773" t="inlineStr">
        <is>
          <t>SOLLEFTEÅ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32013-2020</t>
        </is>
      </c>
      <c r="B774" s="1" t="n">
        <v>44015</v>
      </c>
      <c r="C774" s="1" t="n">
        <v>45802</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32325-2020</t>
        </is>
      </c>
      <c r="B775" s="1" t="n">
        <v>44016</v>
      </c>
      <c r="C775" s="1" t="n">
        <v>45802</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32461-2020</t>
        </is>
      </c>
      <c r="B776" s="1" t="n">
        <v>44015</v>
      </c>
      <c r="C776" s="1" t="n">
        <v>45802</v>
      </c>
      <c r="D776" t="inlineStr">
        <is>
          <t>VÄSTERNORRLANDS LÄN</t>
        </is>
      </c>
      <c r="E776" t="inlineStr">
        <is>
          <t>SOLLEFTEÅ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32318-2020</t>
        </is>
      </c>
      <c r="B777" s="1" t="n">
        <v>44015</v>
      </c>
      <c r="C777" s="1" t="n">
        <v>45802</v>
      </c>
      <c r="D777" t="inlineStr">
        <is>
          <t>VÄSTERNORRLANDS LÄN</t>
        </is>
      </c>
      <c r="E777" t="inlineStr">
        <is>
          <t>SOLLEFTEÅ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32919-2020</t>
        </is>
      </c>
      <c r="B778" s="1" t="n">
        <v>44018</v>
      </c>
      <c r="C778" s="1" t="n">
        <v>45802</v>
      </c>
      <c r="D778" t="inlineStr">
        <is>
          <t>VÄSTERNORRLANDS LÄN</t>
        </is>
      </c>
      <c r="E778" t="inlineStr">
        <is>
          <t>SOLLEFTEÅ</t>
        </is>
      </c>
      <c r="G778" t="n">
        <v>5.5</v>
      </c>
      <c r="H778" t="n">
        <v>0</v>
      </c>
      <c r="I778" t="n">
        <v>0</v>
      </c>
      <c r="J778" t="n">
        <v>0</v>
      </c>
      <c r="K778" t="n">
        <v>0</v>
      </c>
      <c r="L778" t="n">
        <v>0</v>
      </c>
      <c r="M778" t="n">
        <v>0</v>
      </c>
      <c r="N778" t="n">
        <v>0</v>
      </c>
      <c r="O778" t="n">
        <v>0</v>
      </c>
      <c r="P778" t="n">
        <v>0</v>
      </c>
      <c r="Q778" t="n">
        <v>0</v>
      </c>
      <c r="R778" s="2" t="inlineStr"/>
    </row>
    <row r="779" ht="15" customHeight="1">
      <c r="A779" t="inlineStr">
        <is>
          <t>A 32929-2020</t>
        </is>
      </c>
      <c r="B779" s="1" t="n">
        <v>44018</v>
      </c>
      <c r="C779" s="1" t="n">
        <v>45802</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32924-2020</t>
        </is>
      </c>
      <c r="B780" s="1" t="n">
        <v>44018</v>
      </c>
      <c r="C780" s="1" t="n">
        <v>45802</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32742-2020</t>
        </is>
      </c>
      <c r="B781" s="1" t="n">
        <v>44019</v>
      </c>
      <c r="C781" s="1" t="n">
        <v>45802</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33013-2020</t>
        </is>
      </c>
      <c r="B782" s="1" t="n">
        <v>44020</v>
      </c>
      <c r="C782" s="1" t="n">
        <v>45802</v>
      </c>
      <c r="D782" t="inlineStr">
        <is>
          <t>VÄSTERNORRLANDS LÄN</t>
        </is>
      </c>
      <c r="E782" t="inlineStr">
        <is>
          <t>SOLLEFTEÅ</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33009-2020</t>
        </is>
      </c>
      <c r="B783" s="1" t="n">
        <v>44020</v>
      </c>
      <c r="C783" s="1" t="n">
        <v>45802</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33014-2020</t>
        </is>
      </c>
      <c r="B784" s="1" t="n">
        <v>44021</v>
      </c>
      <c r="C784" s="1" t="n">
        <v>45802</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33010-2020</t>
        </is>
      </c>
      <c r="B785" s="1" t="n">
        <v>44020</v>
      </c>
      <c r="C785" s="1" t="n">
        <v>45802</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33200-2020</t>
        </is>
      </c>
      <c r="B786" s="1" t="n">
        <v>44021</v>
      </c>
      <c r="C786" s="1" t="n">
        <v>45802</v>
      </c>
      <c r="D786" t="inlineStr">
        <is>
          <t>VÄSTERNORRLANDS LÄN</t>
        </is>
      </c>
      <c r="E786" t="inlineStr">
        <is>
          <t>SOLLEFTEÅ</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33211-2020</t>
        </is>
      </c>
      <c r="B787" s="1" t="n">
        <v>44021</v>
      </c>
      <c r="C787" s="1" t="n">
        <v>45802</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33212-2020</t>
        </is>
      </c>
      <c r="B788" s="1" t="n">
        <v>44021</v>
      </c>
      <c r="C788" s="1" t="n">
        <v>45802</v>
      </c>
      <c r="D788" t="inlineStr">
        <is>
          <t>VÄSTERNORRLANDS LÄN</t>
        </is>
      </c>
      <c r="E788" t="inlineStr">
        <is>
          <t>SOLLEFTEÅ</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33440-2020</t>
        </is>
      </c>
      <c r="B789" s="1" t="n">
        <v>44022</v>
      </c>
      <c r="C789" s="1" t="n">
        <v>45802</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33458-2020</t>
        </is>
      </c>
      <c r="B790" s="1" t="n">
        <v>44022</v>
      </c>
      <c r="C790" s="1" t="n">
        <v>45802</v>
      </c>
      <c r="D790" t="inlineStr">
        <is>
          <t>VÄSTERNORRLANDS LÄN</t>
        </is>
      </c>
      <c r="E790" t="inlineStr">
        <is>
          <t>SOLLEFTEÅ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33445-2020</t>
        </is>
      </c>
      <c r="B791" s="1" t="n">
        <v>44022</v>
      </c>
      <c r="C791" s="1" t="n">
        <v>45802</v>
      </c>
      <c r="D791" t="inlineStr">
        <is>
          <t>VÄSTERNORRLANDS LÄN</t>
        </is>
      </c>
      <c r="E791" t="inlineStr">
        <is>
          <t>SOLLEFTEÅ</t>
        </is>
      </c>
      <c r="G791" t="n">
        <v>4.5</v>
      </c>
      <c r="H791" t="n">
        <v>0</v>
      </c>
      <c r="I791" t="n">
        <v>0</v>
      </c>
      <c r="J791" t="n">
        <v>0</v>
      </c>
      <c r="K791" t="n">
        <v>0</v>
      </c>
      <c r="L791" t="n">
        <v>0</v>
      </c>
      <c r="M791" t="n">
        <v>0</v>
      </c>
      <c r="N791" t="n">
        <v>0</v>
      </c>
      <c r="O791" t="n">
        <v>0</v>
      </c>
      <c r="P791" t="n">
        <v>0</v>
      </c>
      <c r="Q791" t="n">
        <v>0</v>
      </c>
      <c r="R791" s="2" t="inlineStr"/>
    </row>
    <row r="792" ht="15" customHeight="1">
      <c r="A792" t="inlineStr">
        <is>
          <t>A 33492-2020</t>
        </is>
      </c>
      <c r="B792" s="1" t="n">
        <v>44024</v>
      </c>
      <c r="C792" s="1" t="n">
        <v>45802</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33640-2020</t>
        </is>
      </c>
      <c r="B793" s="1" t="n">
        <v>44025</v>
      </c>
      <c r="C793" s="1" t="n">
        <v>45802</v>
      </c>
      <c r="D793" t="inlineStr">
        <is>
          <t>VÄSTERNORRLANDS LÄN</t>
        </is>
      </c>
      <c r="E793" t="inlineStr">
        <is>
          <t>SOLLEFTEÅ</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33641-2020</t>
        </is>
      </c>
      <c r="B794" s="1" t="n">
        <v>44025</v>
      </c>
      <c r="C794" s="1" t="n">
        <v>45802</v>
      </c>
      <c r="D794" t="inlineStr">
        <is>
          <t>VÄSTERNORRLANDS LÄN</t>
        </is>
      </c>
      <c r="E794" t="inlineStr">
        <is>
          <t>SOLLEFTEÅ</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33628-2020</t>
        </is>
      </c>
      <c r="B795" s="1" t="n">
        <v>44025</v>
      </c>
      <c r="C795" s="1" t="n">
        <v>45802</v>
      </c>
      <c r="D795" t="inlineStr">
        <is>
          <t>VÄSTERNORRLANDS LÄN</t>
        </is>
      </c>
      <c r="E795" t="inlineStr">
        <is>
          <t>SOLLEFTEÅ</t>
        </is>
      </c>
      <c r="F795" t="inlineStr">
        <is>
          <t>SCA</t>
        </is>
      </c>
      <c r="G795" t="n">
        <v>8</v>
      </c>
      <c r="H795" t="n">
        <v>0</v>
      </c>
      <c r="I795" t="n">
        <v>0</v>
      </c>
      <c r="J795" t="n">
        <v>0</v>
      </c>
      <c r="K795" t="n">
        <v>0</v>
      </c>
      <c r="L795" t="n">
        <v>0</v>
      </c>
      <c r="M795" t="n">
        <v>0</v>
      </c>
      <c r="N795" t="n">
        <v>0</v>
      </c>
      <c r="O795" t="n">
        <v>0</v>
      </c>
      <c r="P795" t="n">
        <v>0</v>
      </c>
      <c r="Q795" t="n">
        <v>0</v>
      </c>
      <c r="R795" s="2" t="inlineStr"/>
    </row>
    <row r="796" ht="15" customHeight="1">
      <c r="A796" t="inlineStr">
        <is>
          <t>A 33784-2020</t>
        </is>
      </c>
      <c r="B796" s="1" t="n">
        <v>44026</v>
      </c>
      <c r="C796" s="1" t="n">
        <v>45802</v>
      </c>
      <c r="D796" t="inlineStr">
        <is>
          <t>VÄSTERNORRLANDS LÄN</t>
        </is>
      </c>
      <c r="E796" t="inlineStr">
        <is>
          <t>SOLLEFTEÅ</t>
        </is>
      </c>
      <c r="F796" t="inlineStr">
        <is>
          <t>SCA</t>
        </is>
      </c>
      <c r="G796" t="n">
        <v>10.6</v>
      </c>
      <c r="H796" t="n">
        <v>0</v>
      </c>
      <c r="I796" t="n">
        <v>0</v>
      </c>
      <c r="J796" t="n">
        <v>0</v>
      </c>
      <c r="K796" t="n">
        <v>0</v>
      </c>
      <c r="L796" t="n">
        <v>0</v>
      </c>
      <c r="M796" t="n">
        <v>0</v>
      </c>
      <c r="N796" t="n">
        <v>0</v>
      </c>
      <c r="O796" t="n">
        <v>0</v>
      </c>
      <c r="P796" t="n">
        <v>0</v>
      </c>
      <c r="Q796" t="n">
        <v>0</v>
      </c>
      <c r="R796" s="2" t="inlineStr"/>
    </row>
    <row r="797" ht="15" customHeight="1">
      <c r="A797" t="inlineStr">
        <is>
          <t>A 33782-2020</t>
        </is>
      </c>
      <c r="B797" s="1" t="n">
        <v>44026</v>
      </c>
      <c r="C797" s="1" t="n">
        <v>45802</v>
      </c>
      <c r="D797" t="inlineStr">
        <is>
          <t>VÄSTERNORRLANDS LÄN</t>
        </is>
      </c>
      <c r="E797" t="inlineStr">
        <is>
          <t>SOLLEFTEÅ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33950-2020</t>
        </is>
      </c>
      <c r="B798" s="1" t="n">
        <v>44027</v>
      </c>
      <c r="C798" s="1" t="n">
        <v>45802</v>
      </c>
      <c r="D798" t="inlineStr">
        <is>
          <t>VÄSTERNORRLANDS LÄN</t>
        </is>
      </c>
      <c r="E798" t="inlineStr">
        <is>
          <t>SOLLEFTEÅ</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34120-2020</t>
        </is>
      </c>
      <c r="B799" s="1" t="n">
        <v>44029</v>
      </c>
      <c r="C799" s="1" t="n">
        <v>45802</v>
      </c>
      <c r="D799" t="inlineStr">
        <is>
          <t>VÄSTERNORRLANDS LÄN</t>
        </is>
      </c>
      <c r="E799" t="inlineStr">
        <is>
          <t>SOLLEFTEÅ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34474-2020</t>
        </is>
      </c>
      <c r="B800" s="1" t="n">
        <v>44032</v>
      </c>
      <c r="C800" s="1" t="n">
        <v>45802</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34585-2020</t>
        </is>
      </c>
      <c r="B801" s="1" t="n">
        <v>44033</v>
      </c>
      <c r="C801" s="1" t="n">
        <v>45802</v>
      </c>
      <c r="D801" t="inlineStr">
        <is>
          <t>VÄSTERNORRLANDS LÄN</t>
        </is>
      </c>
      <c r="E801" t="inlineStr">
        <is>
          <t>SOLLEFTEÅ</t>
        </is>
      </c>
      <c r="F801" t="inlineStr">
        <is>
          <t>SCA</t>
        </is>
      </c>
      <c r="G801" t="n">
        <v>10</v>
      </c>
      <c r="H801" t="n">
        <v>0</v>
      </c>
      <c r="I801" t="n">
        <v>0</v>
      </c>
      <c r="J801" t="n">
        <v>0</v>
      </c>
      <c r="K801" t="n">
        <v>0</v>
      </c>
      <c r="L801" t="n">
        <v>0</v>
      </c>
      <c r="M801" t="n">
        <v>0</v>
      </c>
      <c r="N801" t="n">
        <v>0</v>
      </c>
      <c r="O801" t="n">
        <v>0</v>
      </c>
      <c r="P801" t="n">
        <v>0</v>
      </c>
      <c r="Q801" t="n">
        <v>0</v>
      </c>
      <c r="R801" s="2" t="inlineStr"/>
    </row>
    <row r="802" ht="15" customHeight="1">
      <c r="A802" t="inlineStr">
        <is>
          <t>A 34669-2020</t>
        </is>
      </c>
      <c r="B802" s="1" t="n">
        <v>44034</v>
      </c>
      <c r="C802" s="1" t="n">
        <v>45802</v>
      </c>
      <c r="D802" t="inlineStr">
        <is>
          <t>VÄSTERNORRLANDS LÄN</t>
        </is>
      </c>
      <c r="E802" t="inlineStr">
        <is>
          <t>SOLLEFTEÅ</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34800-2020</t>
        </is>
      </c>
      <c r="B803" s="1" t="n">
        <v>44035</v>
      </c>
      <c r="C803" s="1" t="n">
        <v>45802</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34921-2020</t>
        </is>
      </c>
      <c r="B804" s="1" t="n">
        <v>44036</v>
      </c>
      <c r="C804" s="1" t="n">
        <v>45802</v>
      </c>
      <c r="D804" t="inlineStr">
        <is>
          <t>VÄSTERNORRLANDS LÄN</t>
        </is>
      </c>
      <c r="E804" t="inlineStr">
        <is>
          <t>SOLLEFTEÅ</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34923-2020</t>
        </is>
      </c>
      <c r="B805" s="1" t="n">
        <v>44037</v>
      </c>
      <c r="C805" s="1" t="n">
        <v>45802</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34922-2020</t>
        </is>
      </c>
      <c r="B806" s="1" t="n">
        <v>44036</v>
      </c>
      <c r="C806" s="1" t="n">
        <v>45802</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35372-2020</t>
        </is>
      </c>
      <c r="B807" s="1" t="n">
        <v>44041</v>
      </c>
      <c r="C807" s="1" t="n">
        <v>45802</v>
      </c>
      <c r="D807" t="inlineStr">
        <is>
          <t>VÄSTERNORRLANDS LÄN</t>
        </is>
      </c>
      <c r="E807" t="inlineStr">
        <is>
          <t>SOLLEFTEÅ</t>
        </is>
      </c>
      <c r="F807" t="inlineStr">
        <is>
          <t>SCA</t>
        </is>
      </c>
      <c r="G807" t="n">
        <v>12.3</v>
      </c>
      <c r="H807" t="n">
        <v>0</v>
      </c>
      <c r="I807" t="n">
        <v>0</v>
      </c>
      <c r="J807" t="n">
        <v>0</v>
      </c>
      <c r="K807" t="n">
        <v>0</v>
      </c>
      <c r="L807" t="n">
        <v>0</v>
      </c>
      <c r="M807" t="n">
        <v>0</v>
      </c>
      <c r="N807" t="n">
        <v>0</v>
      </c>
      <c r="O807" t="n">
        <v>0</v>
      </c>
      <c r="P807" t="n">
        <v>0</v>
      </c>
      <c r="Q807" t="n">
        <v>0</v>
      </c>
      <c r="R807" s="2" t="inlineStr"/>
    </row>
    <row r="808" ht="15" customHeight="1">
      <c r="A808" t="inlineStr">
        <is>
          <t>A 35361-2020</t>
        </is>
      </c>
      <c r="B808" s="1" t="n">
        <v>44041</v>
      </c>
      <c r="C808" s="1" t="n">
        <v>45802</v>
      </c>
      <c r="D808" t="inlineStr">
        <is>
          <t>VÄSTERNORRLANDS LÄN</t>
        </is>
      </c>
      <c r="E808" t="inlineStr">
        <is>
          <t>SOLLEFTEÅ</t>
        </is>
      </c>
      <c r="F808" t="inlineStr">
        <is>
          <t>SCA</t>
        </is>
      </c>
      <c r="G808" t="n">
        <v>13.6</v>
      </c>
      <c r="H808" t="n">
        <v>0</v>
      </c>
      <c r="I808" t="n">
        <v>0</v>
      </c>
      <c r="J808" t="n">
        <v>0</v>
      </c>
      <c r="K808" t="n">
        <v>0</v>
      </c>
      <c r="L808" t="n">
        <v>0</v>
      </c>
      <c r="M808" t="n">
        <v>0</v>
      </c>
      <c r="N808" t="n">
        <v>0</v>
      </c>
      <c r="O808" t="n">
        <v>0</v>
      </c>
      <c r="P808" t="n">
        <v>0</v>
      </c>
      <c r="Q808" t="n">
        <v>0</v>
      </c>
      <c r="R808" s="2" t="inlineStr"/>
    </row>
    <row r="809" ht="15" customHeight="1">
      <c r="A809" t="inlineStr">
        <is>
          <t>A 36789-2020</t>
        </is>
      </c>
      <c r="B809" s="1" t="n">
        <v>44048</v>
      </c>
      <c r="C809" s="1" t="n">
        <v>45802</v>
      </c>
      <c r="D809" t="inlineStr">
        <is>
          <t>VÄSTERNORRLANDS LÄN</t>
        </is>
      </c>
      <c r="E809" t="inlineStr">
        <is>
          <t>SOLLEFTEÅ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36660-2020</t>
        </is>
      </c>
      <c r="B810" s="1" t="n">
        <v>44050</v>
      </c>
      <c r="C810" s="1" t="n">
        <v>45802</v>
      </c>
      <c r="D810" t="inlineStr">
        <is>
          <t>VÄSTERNORRLANDS LÄN</t>
        </is>
      </c>
      <c r="E810" t="inlineStr">
        <is>
          <t>SOLLEFTEÅ</t>
        </is>
      </c>
      <c r="G810" t="n">
        <v>18.2</v>
      </c>
      <c r="H810" t="n">
        <v>0</v>
      </c>
      <c r="I810" t="n">
        <v>0</v>
      </c>
      <c r="J810" t="n">
        <v>0</v>
      </c>
      <c r="K810" t="n">
        <v>0</v>
      </c>
      <c r="L810" t="n">
        <v>0</v>
      </c>
      <c r="M810" t="n">
        <v>0</v>
      </c>
      <c r="N810" t="n">
        <v>0</v>
      </c>
      <c r="O810" t="n">
        <v>0</v>
      </c>
      <c r="P810" t="n">
        <v>0</v>
      </c>
      <c r="Q810" t="n">
        <v>0</v>
      </c>
      <c r="R810" s="2" t="inlineStr"/>
    </row>
    <row r="811" ht="15" customHeight="1">
      <c r="A811" t="inlineStr">
        <is>
          <t>A 36811-2020</t>
        </is>
      </c>
      <c r="B811" s="1" t="n">
        <v>44053</v>
      </c>
      <c r="C811" s="1" t="n">
        <v>45802</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37710-2020</t>
        </is>
      </c>
      <c r="B812" s="1" t="n">
        <v>44056</v>
      </c>
      <c r="C812" s="1" t="n">
        <v>45802</v>
      </c>
      <c r="D812" t="inlineStr">
        <is>
          <t>VÄSTERNORRLANDS LÄN</t>
        </is>
      </c>
      <c r="E812" t="inlineStr">
        <is>
          <t>SOLLEFTEÅ</t>
        </is>
      </c>
      <c r="F812" t="inlineStr">
        <is>
          <t>Kommuner</t>
        </is>
      </c>
      <c r="G812" t="n">
        <v>1</v>
      </c>
      <c r="H812" t="n">
        <v>0</v>
      </c>
      <c r="I812" t="n">
        <v>0</v>
      </c>
      <c r="J812" t="n">
        <v>0</v>
      </c>
      <c r="K812" t="n">
        <v>0</v>
      </c>
      <c r="L812" t="n">
        <v>0</v>
      </c>
      <c r="M812" t="n">
        <v>0</v>
      </c>
      <c r="N812" t="n">
        <v>0</v>
      </c>
      <c r="O812" t="n">
        <v>0</v>
      </c>
      <c r="P812" t="n">
        <v>0</v>
      </c>
      <c r="Q812" t="n">
        <v>0</v>
      </c>
      <c r="R812" s="2" t="inlineStr"/>
    </row>
    <row r="813" ht="15" customHeight="1">
      <c r="A813" t="inlineStr">
        <is>
          <t>A 38482-2020</t>
        </is>
      </c>
      <c r="B813" s="1" t="n">
        <v>44060</v>
      </c>
      <c r="C813" s="1" t="n">
        <v>45802</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38517-2020</t>
        </is>
      </c>
      <c r="B814" s="1" t="n">
        <v>44060</v>
      </c>
      <c r="C814" s="1" t="n">
        <v>45802</v>
      </c>
      <c r="D814" t="inlineStr">
        <is>
          <t>VÄSTERNORRLANDS LÄN</t>
        </is>
      </c>
      <c r="E814" t="inlineStr">
        <is>
          <t>SOLLEFTEÅ</t>
        </is>
      </c>
      <c r="G814" t="n">
        <v>1.5</v>
      </c>
      <c r="H814" t="n">
        <v>0</v>
      </c>
      <c r="I814" t="n">
        <v>0</v>
      </c>
      <c r="J814" t="n">
        <v>0</v>
      </c>
      <c r="K814" t="n">
        <v>0</v>
      </c>
      <c r="L814" t="n">
        <v>0</v>
      </c>
      <c r="M814" t="n">
        <v>0</v>
      </c>
      <c r="N814" t="n">
        <v>0</v>
      </c>
      <c r="O814" t="n">
        <v>0</v>
      </c>
      <c r="P814" t="n">
        <v>0</v>
      </c>
      <c r="Q814" t="n">
        <v>0</v>
      </c>
      <c r="R814" s="2" t="inlineStr"/>
    </row>
    <row r="815" ht="15" customHeight="1">
      <c r="A815" t="inlineStr">
        <is>
          <t>A 39007-2020</t>
        </is>
      </c>
      <c r="B815" s="1" t="n">
        <v>44062</v>
      </c>
      <c r="C815" s="1" t="n">
        <v>45802</v>
      </c>
      <c r="D815" t="inlineStr">
        <is>
          <t>VÄSTERNORRLANDS LÄN</t>
        </is>
      </c>
      <c r="E815" t="inlineStr">
        <is>
          <t>SOLLEFTEÅ</t>
        </is>
      </c>
      <c r="F815" t="inlineStr">
        <is>
          <t>Kyrkan</t>
        </is>
      </c>
      <c r="G815" t="n">
        <v>5</v>
      </c>
      <c r="H815" t="n">
        <v>0</v>
      </c>
      <c r="I815" t="n">
        <v>0</v>
      </c>
      <c r="J815" t="n">
        <v>0</v>
      </c>
      <c r="K815" t="n">
        <v>0</v>
      </c>
      <c r="L815" t="n">
        <v>0</v>
      </c>
      <c r="M815" t="n">
        <v>0</v>
      </c>
      <c r="N815" t="n">
        <v>0</v>
      </c>
      <c r="O815" t="n">
        <v>0</v>
      </c>
      <c r="P815" t="n">
        <v>0</v>
      </c>
      <c r="Q815" t="n">
        <v>0</v>
      </c>
      <c r="R815" s="2" t="inlineStr"/>
    </row>
    <row r="816" ht="15" customHeight="1">
      <c r="A816" t="inlineStr">
        <is>
          <t>A 39077-2020</t>
        </is>
      </c>
      <c r="B816" s="1" t="n">
        <v>44062</v>
      </c>
      <c r="C816" s="1" t="n">
        <v>45802</v>
      </c>
      <c r="D816" t="inlineStr">
        <is>
          <t>VÄSTERNORRLANDS LÄN</t>
        </is>
      </c>
      <c r="E816" t="inlineStr">
        <is>
          <t>SOLLEFTEÅ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39016-2020</t>
        </is>
      </c>
      <c r="B817" s="1" t="n">
        <v>44062</v>
      </c>
      <c r="C817" s="1" t="n">
        <v>45802</v>
      </c>
      <c r="D817" t="inlineStr">
        <is>
          <t>VÄSTERNORRLANDS LÄN</t>
        </is>
      </c>
      <c r="E817" t="inlineStr">
        <is>
          <t>SOLLEFTEÅ</t>
        </is>
      </c>
      <c r="F817" t="inlineStr">
        <is>
          <t>Kyrkan</t>
        </is>
      </c>
      <c r="G817" t="n">
        <v>2.4</v>
      </c>
      <c r="H817" t="n">
        <v>0</v>
      </c>
      <c r="I817" t="n">
        <v>0</v>
      </c>
      <c r="J817" t="n">
        <v>0</v>
      </c>
      <c r="K817" t="n">
        <v>0</v>
      </c>
      <c r="L817" t="n">
        <v>0</v>
      </c>
      <c r="M817" t="n">
        <v>0</v>
      </c>
      <c r="N817" t="n">
        <v>0</v>
      </c>
      <c r="O817" t="n">
        <v>0</v>
      </c>
      <c r="P817" t="n">
        <v>0</v>
      </c>
      <c r="Q817" t="n">
        <v>0</v>
      </c>
      <c r="R817" s="2" t="inlineStr"/>
    </row>
    <row r="818" ht="15" customHeight="1">
      <c r="A818" t="inlineStr">
        <is>
          <t>A 39148-2020</t>
        </is>
      </c>
      <c r="B818" s="1" t="n">
        <v>44063</v>
      </c>
      <c r="C818" s="1" t="n">
        <v>45802</v>
      </c>
      <c r="D818" t="inlineStr">
        <is>
          <t>VÄSTERNORRLANDS LÄN</t>
        </is>
      </c>
      <c r="E818" t="inlineStr">
        <is>
          <t>SOLLEFTEÅ</t>
        </is>
      </c>
      <c r="G818" t="n">
        <v>0.7</v>
      </c>
      <c r="H818" t="n">
        <v>0</v>
      </c>
      <c r="I818" t="n">
        <v>0</v>
      </c>
      <c r="J818" t="n">
        <v>0</v>
      </c>
      <c r="K818" t="n">
        <v>0</v>
      </c>
      <c r="L818" t="n">
        <v>0</v>
      </c>
      <c r="M818" t="n">
        <v>0</v>
      </c>
      <c r="N818" t="n">
        <v>0</v>
      </c>
      <c r="O818" t="n">
        <v>0</v>
      </c>
      <c r="P818" t="n">
        <v>0</v>
      </c>
      <c r="Q818" t="n">
        <v>0</v>
      </c>
      <c r="R818" s="2" t="inlineStr"/>
    </row>
    <row r="819" ht="15" customHeight="1">
      <c r="A819" t="inlineStr">
        <is>
          <t>A 39409-2020</t>
        </is>
      </c>
      <c r="B819" s="1" t="n">
        <v>44064</v>
      </c>
      <c r="C819" s="1" t="n">
        <v>45802</v>
      </c>
      <c r="D819" t="inlineStr">
        <is>
          <t>VÄSTERNORRLANDS LÄN</t>
        </is>
      </c>
      <c r="E819" t="inlineStr">
        <is>
          <t>SOLLEFTEÅ</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39479-2020</t>
        </is>
      </c>
      <c r="B820" s="1" t="n">
        <v>44064</v>
      </c>
      <c r="C820" s="1" t="n">
        <v>45802</v>
      </c>
      <c r="D820" t="inlineStr">
        <is>
          <t>VÄSTERNORRLANDS LÄN</t>
        </is>
      </c>
      <c r="E820" t="inlineStr">
        <is>
          <t>SOLLEFTEÅ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40180-2020</t>
        </is>
      </c>
      <c r="B821" s="1" t="n">
        <v>44064</v>
      </c>
      <c r="C821" s="1" t="n">
        <v>45802</v>
      </c>
      <c r="D821" t="inlineStr">
        <is>
          <t>VÄSTERNORRLANDS LÄN</t>
        </is>
      </c>
      <c r="E821" t="inlineStr">
        <is>
          <t>SOLLEFTEÅ</t>
        </is>
      </c>
      <c r="G821" t="n">
        <v>3.8</v>
      </c>
      <c r="H821" t="n">
        <v>0</v>
      </c>
      <c r="I821" t="n">
        <v>0</v>
      </c>
      <c r="J821" t="n">
        <v>0</v>
      </c>
      <c r="K821" t="n">
        <v>0</v>
      </c>
      <c r="L821" t="n">
        <v>0</v>
      </c>
      <c r="M821" t="n">
        <v>0</v>
      </c>
      <c r="N821" t="n">
        <v>0</v>
      </c>
      <c r="O821" t="n">
        <v>0</v>
      </c>
      <c r="P821" t="n">
        <v>0</v>
      </c>
      <c r="Q821" t="n">
        <v>0</v>
      </c>
      <c r="R821" s="2" t="inlineStr"/>
    </row>
    <row r="822" ht="15" customHeight="1">
      <c r="A822" t="inlineStr">
        <is>
          <t>A 39681-2020</t>
        </is>
      </c>
      <c r="B822" s="1" t="n">
        <v>44065</v>
      </c>
      <c r="C822" s="1" t="n">
        <v>45802</v>
      </c>
      <c r="D822" t="inlineStr">
        <is>
          <t>VÄSTERNORRLANDS LÄN</t>
        </is>
      </c>
      <c r="E822" t="inlineStr">
        <is>
          <t>SOLLEFTEÅ</t>
        </is>
      </c>
      <c r="F822" t="inlineStr">
        <is>
          <t>SCA</t>
        </is>
      </c>
      <c r="G822" t="n">
        <v>19.7</v>
      </c>
      <c r="H822" t="n">
        <v>0</v>
      </c>
      <c r="I822" t="n">
        <v>0</v>
      </c>
      <c r="J822" t="n">
        <v>0</v>
      </c>
      <c r="K822" t="n">
        <v>0</v>
      </c>
      <c r="L822" t="n">
        <v>0</v>
      </c>
      <c r="M822" t="n">
        <v>0</v>
      </c>
      <c r="N822" t="n">
        <v>0</v>
      </c>
      <c r="O822" t="n">
        <v>0</v>
      </c>
      <c r="P822" t="n">
        <v>0</v>
      </c>
      <c r="Q822" t="n">
        <v>0</v>
      </c>
      <c r="R822" s="2" t="inlineStr"/>
    </row>
    <row r="823" ht="15" customHeight="1">
      <c r="A823" t="inlineStr">
        <is>
          <t>A 40476-2020</t>
        </is>
      </c>
      <c r="B823" s="1" t="n">
        <v>44067</v>
      </c>
      <c r="C823" s="1" t="n">
        <v>45802</v>
      </c>
      <c r="D823" t="inlineStr">
        <is>
          <t>VÄSTERNORRLANDS LÄN</t>
        </is>
      </c>
      <c r="E823" t="inlineStr">
        <is>
          <t>SOLLEFTEÅ</t>
        </is>
      </c>
      <c r="G823" t="n">
        <v>8</v>
      </c>
      <c r="H823" t="n">
        <v>0</v>
      </c>
      <c r="I823" t="n">
        <v>0</v>
      </c>
      <c r="J823" t="n">
        <v>0</v>
      </c>
      <c r="K823" t="n">
        <v>0</v>
      </c>
      <c r="L823" t="n">
        <v>0</v>
      </c>
      <c r="M823" t="n">
        <v>0</v>
      </c>
      <c r="N823" t="n">
        <v>0</v>
      </c>
      <c r="O823" t="n">
        <v>0</v>
      </c>
      <c r="P823" t="n">
        <v>0</v>
      </c>
      <c r="Q823" t="n">
        <v>0</v>
      </c>
      <c r="R823" s="2" t="inlineStr"/>
    </row>
    <row r="824" ht="15" customHeight="1">
      <c r="A824" t="inlineStr">
        <is>
          <t>A 40697-2020</t>
        </is>
      </c>
      <c r="B824" s="1" t="n">
        <v>44067</v>
      </c>
      <c r="C824" s="1" t="n">
        <v>45802</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40682-2020</t>
        </is>
      </c>
      <c r="B825" s="1" t="n">
        <v>44067</v>
      </c>
      <c r="C825" s="1" t="n">
        <v>45802</v>
      </c>
      <c r="D825" t="inlineStr">
        <is>
          <t>VÄSTERNORRLANDS LÄN</t>
        </is>
      </c>
      <c r="E825" t="inlineStr">
        <is>
          <t>SOLLEFTEÅ</t>
        </is>
      </c>
      <c r="G825" t="n">
        <v>3.5</v>
      </c>
      <c r="H825" t="n">
        <v>0</v>
      </c>
      <c r="I825" t="n">
        <v>0</v>
      </c>
      <c r="J825" t="n">
        <v>0</v>
      </c>
      <c r="K825" t="n">
        <v>0</v>
      </c>
      <c r="L825" t="n">
        <v>0</v>
      </c>
      <c r="M825" t="n">
        <v>0</v>
      </c>
      <c r="N825" t="n">
        <v>0</v>
      </c>
      <c r="O825" t="n">
        <v>0</v>
      </c>
      <c r="P825" t="n">
        <v>0</v>
      </c>
      <c r="Q825" t="n">
        <v>0</v>
      </c>
      <c r="R825" s="2" t="inlineStr"/>
    </row>
    <row r="826" ht="15" customHeight="1">
      <c r="A826" t="inlineStr">
        <is>
          <t>A 40735-2020</t>
        </is>
      </c>
      <c r="B826" s="1" t="n">
        <v>44069</v>
      </c>
      <c r="C826" s="1" t="n">
        <v>45802</v>
      </c>
      <c r="D826" t="inlineStr">
        <is>
          <t>VÄSTERNORRLANDS LÄN</t>
        </is>
      </c>
      <c r="E826" t="inlineStr">
        <is>
          <t>SOLLEFTEÅ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40747-2020</t>
        </is>
      </c>
      <c r="B827" s="1" t="n">
        <v>44069</v>
      </c>
      <c r="C827" s="1" t="n">
        <v>45802</v>
      </c>
      <c r="D827" t="inlineStr">
        <is>
          <t>VÄSTERNORRLANDS LÄN</t>
        </is>
      </c>
      <c r="E827" t="inlineStr">
        <is>
          <t>SOLLEFTEÅ</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42196-2020</t>
        </is>
      </c>
      <c r="B828" s="1" t="n">
        <v>44076</v>
      </c>
      <c r="C828" s="1" t="n">
        <v>45802</v>
      </c>
      <c r="D828" t="inlineStr">
        <is>
          <t>VÄSTERNORRLANDS LÄN</t>
        </is>
      </c>
      <c r="E828" t="inlineStr">
        <is>
          <t>SOLLEFTEÅ</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43300-2020</t>
        </is>
      </c>
      <c r="B829" s="1" t="n">
        <v>44076</v>
      </c>
      <c r="C829" s="1" t="n">
        <v>45802</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43160-2020</t>
        </is>
      </c>
      <c r="B830" s="1" t="n">
        <v>44076</v>
      </c>
      <c r="C830" s="1" t="n">
        <v>45802</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42846-2020</t>
        </is>
      </c>
      <c r="B831" s="1" t="n">
        <v>44078</v>
      </c>
      <c r="C831" s="1" t="n">
        <v>45802</v>
      </c>
      <c r="D831" t="inlineStr">
        <is>
          <t>VÄSTERNORRLANDS LÄN</t>
        </is>
      </c>
      <c r="E831" t="inlineStr">
        <is>
          <t>SOLLEFTEÅ</t>
        </is>
      </c>
      <c r="G831" t="n">
        <v>8.6</v>
      </c>
      <c r="H831" t="n">
        <v>0</v>
      </c>
      <c r="I831" t="n">
        <v>0</v>
      </c>
      <c r="J831" t="n">
        <v>0</v>
      </c>
      <c r="K831" t="n">
        <v>0</v>
      </c>
      <c r="L831" t="n">
        <v>0</v>
      </c>
      <c r="M831" t="n">
        <v>0</v>
      </c>
      <c r="N831" t="n">
        <v>0</v>
      </c>
      <c r="O831" t="n">
        <v>0</v>
      </c>
      <c r="P831" t="n">
        <v>0</v>
      </c>
      <c r="Q831" t="n">
        <v>0</v>
      </c>
      <c r="R831" s="2" t="inlineStr"/>
    </row>
    <row r="832" ht="15" customHeight="1">
      <c r="A832" t="inlineStr">
        <is>
          <t>A 43107-2020</t>
        </is>
      </c>
      <c r="B832" s="1" t="n">
        <v>44078</v>
      </c>
      <c r="C832" s="1" t="n">
        <v>45802</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43820-2020</t>
        </is>
      </c>
      <c r="B833" s="1" t="n">
        <v>44082</v>
      </c>
      <c r="C833" s="1" t="n">
        <v>45802</v>
      </c>
      <c r="D833" t="inlineStr">
        <is>
          <t>VÄSTERNORRLANDS LÄN</t>
        </is>
      </c>
      <c r="E833" t="inlineStr">
        <is>
          <t>SOLLEFTEÅ</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45147-2020</t>
        </is>
      </c>
      <c r="B834" s="1" t="n">
        <v>44084</v>
      </c>
      <c r="C834" s="1" t="n">
        <v>45802</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44681-2020</t>
        </is>
      </c>
      <c r="B835" s="1" t="n">
        <v>44085</v>
      </c>
      <c r="C835" s="1" t="n">
        <v>45802</v>
      </c>
      <c r="D835" t="inlineStr">
        <is>
          <t>VÄSTERNORRLANDS LÄN</t>
        </is>
      </c>
      <c r="E835" t="inlineStr">
        <is>
          <t>SOLLEFTEÅ</t>
        </is>
      </c>
      <c r="G835" t="n">
        <v>7.8</v>
      </c>
      <c r="H835" t="n">
        <v>0</v>
      </c>
      <c r="I835" t="n">
        <v>0</v>
      </c>
      <c r="J835" t="n">
        <v>0</v>
      </c>
      <c r="K835" t="n">
        <v>0</v>
      </c>
      <c r="L835" t="n">
        <v>0</v>
      </c>
      <c r="M835" t="n">
        <v>0</v>
      </c>
      <c r="N835" t="n">
        <v>0</v>
      </c>
      <c r="O835" t="n">
        <v>0</v>
      </c>
      <c r="P835" t="n">
        <v>0</v>
      </c>
      <c r="Q835" t="n">
        <v>0</v>
      </c>
      <c r="R835" s="2" t="inlineStr"/>
    </row>
    <row r="836" ht="15" customHeight="1">
      <c r="A836" t="inlineStr">
        <is>
          <t>A 45250-2020</t>
        </is>
      </c>
      <c r="B836" s="1" t="n">
        <v>44088</v>
      </c>
      <c r="C836" s="1" t="n">
        <v>45802</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45251-2020</t>
        </is>
      </c>
      <c r="B837" s="1" t="n">
        <v>44088</v>
      </c>
      <c r="C837" s="1" t="n">
        <v>45802</v>
      </c>
      <c r="D837" t="inlineStr">
        <is>
          <t>VÄSTERNORRLANDS LÄN</t>
        </is>
      </c>
      <c r="E837" t="inlineStr">
        <is>
          <t>SOLLEFTEÅ</t>
        </is>
      </c>
      <c r="F837" t="inlineStr">
        <is>
          <t>SCA</t>
        </is>
      </c>
      <c r="G837" t="n">
        <v>5.6</v>
      </c>
      <c r="H837" t="n">
        <v>0</v>
      </c>
      <c r="I837" t="n">
        <v>0</v>
      </c>
      <c r="J837" t="n">
        <v>0</v>
      </c>
      <c r="K837" t="n">
        <v>0</v>
      </c>
      <c r="L837" t="n">
        <v>0</v>
      </c>
      <c r="M837" t="n">
        <v>0</v>
      </c>
      <c r="N837" t="n">
        <v>0</v>
      </c>
      <c r="O837" t="n">
        <v>0</v>
      </c>
      <c r="P837" t="n">
        <v>0</v>
      </c>
      <c r="Q837" t="n">
        <v>0</v>
      </c>
      <c r="R837" s="2" t="inlineStr"/>
    </row>
    <row r="838" ht="15" customHeight="1">
      <c r="A838" t="inlineStr">
        <is>
          <t>A 45549-2020</t>
        </is>
      </c>
      <c r="B838" s="1" t="n">
        <v>44090</v>
      </c>
      <c r="C838" s="1" t="n">
        <v>45802</v>
      </c>
      <c r="D838" t="inlineStr">
        <is>
          <t>VÄSTERNORRLANDS LÄN</t>
        </is>
      </c>
      <c r="E838" t="inlineStr">
        <is>
          <t>SOLLEFTEÅ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45542-2020</t>
        </is>
      </c>
      <c r="B839" s="1" t="n">
        <v>44089</v>
      </c>
      <c r="C839" s="1" t="n">
        <v>45802</v>
      </c>
      <c r="D839" t="inlineStr">
        <is>
          <t>VÄSTERNORRLANDS LÄN</t>
        </is>
      </c>
      <c r="E839" t="inlineStr">
        <is>
          <t>SOLLEFTEÅ</t>
        </is>
      </c>
      <c r="G839" t="n">
        <v>0.3</v>
      </c>
      <c r="H839" t="n">
        <v>0</v>
      </c>
      <c r="I839" t="n">
        <v>0</v>
      </c>
      <c r="J839" t="n">
        <v>0</v>
      </c>
      <c r="K839" t="n">
        <v>0</v>
      </c>
      <c r="L839" t="n">
        <v>0</v>
      </c>
      <c r="M839" t="n">
        <v>0</v>
      </c>
      <c r="N839" t="n">
        <v>0</v>
      </c>
      <c r="O839" t="n">
        <v>0</v>
      </c>
      <c r="P839" t="n">
        <v>0</v>
      </c>
      <c r="Q839" t="n">
        <v>0</v>
      </c>
      <c r="R839" s="2" t="inlineStr"/>
    </row>
    <row r="840" ht="15" customHeight="1">
      <c r="A840" t="inlineStr">
        <is>
          <t>A 45551-2020</t>
        </is>
      </c>
      <c r="B840" s="1" t="n">
        <v>44089</v>
      </c>
      <c r="C840" s="1" t="n">
        <v>45802</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46715-2020</t>
        </is>
      </c>
      <c r="B841" s="1" t="n">
        <v>44095</v>
      </c>
      <c r="C841" s="1" t="n">
        <v>45802</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47827-2020</t>
        </is>
      </c>
      <c r="B842" s="1" t="n">
        <v>44098</v>
      </c>
      <c r="C842" s="1" t="n">
        <v>45802</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47859-2020</t>
        </is>
      </c>
      <c r="B843" s="1" t="n">
        <v>44099</v>
      </c>
      <c r="C843" s="1" t="n">
        <v>45802</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48052-2020</t>
        </is>
      </c>
      <c r="B844" s="1" t="n">
        <v>44100</v>
      </c>
      <c r="C844" s="1" t="n">
        <v>45802</v>
      </c>
      <c r="D844" t="inlineStr">
        <is>
          <t>VÄSTERNORRLANDS LÄN</t>
        </is>
      </c>
      <c r="E844" t="inlineStr">
        <is>
          <t>SOLLEFTEÅ</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48240-2020</t>
        </is>
      </c>
      <c r="B845" s="1" t="n">
        <v>44102</v>
      </c>
      <c r="C845" s="1" t="n">
        <v>45802</v>
      </c>
      <c r="D845" t="inlineStr">
        <is>
          <t>VÄSTERNORRLANDS LÄN</t>
        </is>
      </c>
      <c r="E845" t="inlineStr">
        <is>
          <t>SOLLEFTEÅ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48477-2020</t>
        </is>
      </c>
      <c r="B846" s="1" t="n">
        <v>44102</v>
      </c>
      <c r="C846" s="1" t="n">
        <v>45802</v>
      </c>
      <c r="D846" t="inlineStr">
        <is>
          <t>VÄSTERNORRLANDS LÄN</t>
        </is>
      </c>
      <c r="E846" t="inlineStr">
        <is>
          <t>SOLLEFTEÅ</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48468-2020</t>
        </is>
      </c>
      <c r="B847" s="1" t="n">
        <v>44102</v>
      </c>
      <c r="C847" s="1" t="n">
        <v>45802</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48470-2020</t>
        </is>
      </c>
      <c r="B848" s="1" t="n">
        <v>44102</v>
      </c>
      <c r="C848" s="1" t="n">
        <v>45802</v>
      </c>
      <c r="D848" t="inlineStr">
        <is>
          <t>VÄSTERNORRLANDS LÄN</t>
        </is>
      </c>
      <c r="E848" t="inlineStr">
        <is>
          <t>SOLLEFTEÅ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48475-2020</t>
        </is>
      </c>
      <c r="B849" s="1" t="n">
        <v>44103</v>
      </c>
      <c r="C849" s="1" t="n">
        <v>45802</v>
      </c>
      <c r="D849" t="inlineStr">
        <is>
          <t>VÄSTERNORRLANDS LÄN</t>
        </is>
      </c>
      <c r="E849" t="inlineStr">
        <is>
          <t>SOLLEFTEÅ</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48802-2020</t>
        </is>
      </c>
      <c r="B850" s="1" t="n">
        <v>44103</v>
      </c>
      <c r="C850" s="1" t="n">
        <v>45802</v>
      </c>
      <c r="D850" t="inlineStr">
        <is>
          <t>VÄSTERNORRLANDS LÄN</t>
        </is>
      </c>
      <c r="E850" t="inlineStr">
        <is>
          <t>SOLLEFTEÅ</t>
        </is>
      </c>
      <c r="F850" t="inlineStr">
        <is>
          <t>SCA</t>
        </is>
      </c>
      <c r="G850" t="n">
        <v>10.9</v>
      </c>
      <c r="H850" t="n">
        <v>0</v>
      </c>
      <c r="I850" t="n">
        <v>0</v>
      </c>
      <c r="J850" t="n">
        <v>0</v>
      </c>
      <c r="K850" t="n">
        <v>0</v>
      </c>
      <c r="L850" t="n">
        <v>0</v>
      </c>
      <c r="M850" t="n">
        <v>0</v>
      </c>
      <c r="N850" t="n">
        <v>0</v>
      </c>
      <c r="O850" t="n">
        <v>0</v>
      </c>
      <c r="P850" t="n">
        <v>0</v>
      </c>
      <c r="Q850" t="n">
        <v>0</v>
      </c>
      <c r="R850" s="2" t="inlineStr"/>
    </row>
    <row r="851" ht="15" customHeight="1">
      <c r="A851" t="inlineStr">
        <is>
          <t>A 49629-2020</t>
        </is>
      </c>
      <c r="B851" s="1" t="n">
        <v>44103</v>
      </c>
      <c r="C851" s="1" t="n">
        <v>45802</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49165-2020</t>
        </is>
      </c>
      <c r="B852" s="1" t="n">
        <v>44105</v>
      </c>
      <c r="C852" s="1" t="n">
        <v>45802</v>
      </c>
      <c r="D852" t="inlineStr">
        <is>
          <t>VÄSTERNORRLANDS LÄN</t>
        </is>
      </c>
      <c r="E852" t="inlineStr">
        <is>
          <t>SOLLEFTEÅ</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49507-2020</t>
        </is>
      </c>
      <c r="B853" s="1" t="n">
        <v>44105</v>
      </c>
      <c r="C853" s="1" t="n">
        <v>45802</v>
      </c>
      <c r="D853" t="inlineStr">
        <is>
          <t>VÄSTERNORRLANDS LÄN</t>
        </is>
      </c>
      <c r="E853" t="inlineStr">
        <is>
          <t>SOLLEFTEÅ</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49508-2020</t>
        </is>
      </c>
      <c r="B854" s="1" t="n">
        <v>44105</v>
      </c>
      <c r="C854" s="1" t="n">
        <v>45802</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49837-2020</t>
        </is>
      </c>
      <c r="B855" s="1" t="n">
        <v>44106</v>
      </c>
      <c r="C855" s="1" t="n">
        <v>45802</v>
      </c>
      <c r="D855" t="inlineStr">
        <is>
          <t>VÄSTERNORRLANDS LÄN</t>
        </is>
      </c>
      <c r="E855" t="inlineStr">
        <is>
          <t>SOLLEFTEÅ</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50647-2020</t>
        </is>
      </c>
      <c r="B856" s="1" t="n">
        <v>44111</v>
      </c>
      <c r="C856" s="1" t="n">
        <v>45802</v>
      </c>
      <c r="D856" t="inlineStr">
        <is>
          <t>VÄSTERNORRLANDS LÄN</t>
        </is>
      </c>
      <c r="E856" t="inlineStr">
        <is>
          <t>SOLLEFTEÅ</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51018-2020</t>
        </is>
      </c>
      <c r="B857" s="1" t="n">
        <v>44111</v>
      </c>
      <c r="C857" s="1" t="n">
        <v>45802</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51011-2020</t>
        </is>
      </c>
      <c r="B858" s="1" t="n">
        <v>44111</v>
      </c>
      <c r="C858" s="1" t="n">
        <v>45802</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51534-2020</t>
        </is>
      </c>
      <c r="B859" s="1" t="n">
        <v>44113</v>
      </c>
      <c r="C859" s="1" t="n">
        <v>45802</v>
      </c>
      <c r="D859" t="inlineStr">
        <is>
          <t>VÄSTERNORRLANDS LÄN</t>
        </is>
      </c>
      <c r="E859" t="inlineStr">
        <is>
          <t>SOLLEFTEÅ</t>
        </is>
      </c>
      <c r="G859" t="n">
        <v>2.7</v>
      </c>
      <c r="H859" t="n">
        <v>0</v>
      </c>
      <c r="I859" t="n">
        <v>0</v>
      </c>
      <c r="J859" t="n">
        <v>0</v>
      </c>
      <c r="K859" t="n">
        <v>0</v>
      </c>
      <c r="L859" t="n">
        <v>0</v>
      </c>
      <c r="M859" t="n">
        <v>0</v>
      </c>
      <c r="N859" t="n">
        <v>0</v>
      </c>
      <c r="O859" t="n">
        <v>0</v>
      </c>
      <c r="P859" t="n">
        <v>0</v>
      </c>
      <c r="Q859" t="n">
        <v>0</v>
      </c>
      <c r="R859" s="2" t="inlineStr"/>
    </row>
    <row r="860" ht="15" customHeight="1">
      <c r="A860" t="inlineStr">
        <is>
          <t>A 52035-2020</t>
        </is>
      </c>
      <c r="B860" s="1" t="n">
        <v>44117</v>
      </c>
      <c r="C860" s="1" t="n">
        <v>45802</v>
      </c>
      <c r="D860" t="inlineStr">
        <is>
          <t>VÄSTERNORRLANDS LÄN</t>
        </is>
      </c>
      <c r="E860" t="inlineStr">
        <is>
          <t>SOLLEFTEÅ</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52189-2020</t>
        </is>
      </c>
      <c r="B861" s="1" t="n">
        <v>44117</v>
      </c>
      <c r="C861" s="1" t="n">
        <v>45802</v>
      </c>
      <c r="D861" t="inlineStr">
        <is>
          <t>VÄSTERNORRLANDS LÄN</t>
        </is>
      </c>
      <c r="E861" t="inlineStr">
        <is>
          <t>SOLLEFTEÅ</t>
        </is>
      </c>
      <c r="G861" t="n">
        <v>2.2</v>
      </c>
      <c r="H861" t="n">
        <v>0</v>
      </c>
      <c r="I861" t="n">
        <v>0</v>
      </c>
      <c r="J861" t="n">
        <v>0</v>
      </c>
      <c r="K861" t="n">
        <v>0</v>
      </c>
      <c r="L861" t="n">
        <v>0</v>
      </c>
      <c r="M861" t="n">
        <v>0</v>
      </c>
      <c r="N861" t="n">
        <v>0</v>
      </c>
      <c r="O861" t="n">
        <v>0</v>
      </c>
      <c r="P861" t="n">
        <v>0</v>
      </c>
      <c r="Q861" t="n">
        <v>0</v>
      </c>
      <c r="R861" s="2" t="inlineStr"/>
    </row>
    <row r="862" ht="15" customHeight="1">
      <c r="A862" t="inlineStr">
        <is>
          <t>A 52199-2020</t>
        </is>
      </c>
      <c r="B862" s="1" t="n">
        <v>44117</v>
      </c>
      <c r="C862" s="1" t="n">
        <v>45802</v>
      </c>
      <c r="D862" t="inlineStr">
        <is>
          <t>VÄSTERNORRLANDS LÄN</t>
        </is>
      </c>
      <c r="E862" t="inlineStr">
        <is>
          <t>SOLLEFTEÅ</t>
        </is>
      </c>
      <c r="G862" t="n">
        <v>4.9</v>
      </c>
      <c r="H862" t="n">
        <v>0</v>
      </c>
      <c r="I862" t="n">
        <v>0</v>
      </c>
      <c r="J862" t="n">
        <v>0</v>
      </c>
      <c r="K862" t="n">
        <v>0</v>
      </c>
      <c r="L862" t="n">
        <v>0</v>
      </c>
      <c r="M862" t="n">
        <v>0</v>
      </c>
      <c r="N862" t="n">
        <v>0</v>
      </c>
      <c r="O862" t="n">
        <v>0</v>
      </c>
      <c r="P862" t="n">
        <v>0</v>
      </c>
      <c r="Q862" t="n">
        <v>0</v>
      </c>
      <c r="R862" s="2" t="inlineStr"/>
    </row>
    <row r="863" ht="15" customHeight="1">
      <c r="A863" t="inlineStr">
        <is>
          <t>A 52406-2020</t>
        </is>
      </c>
      <c r="B863" s="1" t="n">
        <v>44118</v>
      </c>
      <c r="C863" s="1" t="n">
        <v>45802</v>
      </c>
      <c r="D863" t="inlineStr">
        <is>
          <t>VÄSTERNORRLANDS LÄN</t>
        </is>
      </c>
      <c r="E863" t="inlineStr">
        <is>
          <t>SOLLEFTEÅ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52983-2020</t>
        </is>
      </c>
      <c r="B864" s="1" t="n">
        <v>44119</v>
      </c>
      <c r="C864" s="1" t="n">
        <v>45802</v>
      </c>
      <c r="D864" t="inlineStr">
        <is>
          <t>VÄSTERNORRLANDS LÄN</t>
        </is>
      </c>
      <c r="E864" t="inlineStr">
        <is>
          <t>SOLLEFTEÅ</t>
        </is>
      </c>
      <c r="G864" t="n">
        <v>3.8</v>
      </c>
      <c r="H864" t="n">
        <v>0</v>
      </c>
      <c r="I864" t="n">
        <v>0</v>
      </c>
      <c r="J864" t="n">
        <v>0</v>
      </c>
      <c r="K864" t="n">
        <v>0</v>
      </c>
      <c r="L864" t="n">
        <v>0</v>
      </c>
      <c r="M864" t="n">
        <v>0</v>
      </c>
      <c r="N864" t="n">
        <v>0</v>
      </c>
      <c r="O864" t="n">
        <v>0</v>
      </c>
      <c r="P864" t="n">
        <v>0</v>
      </c>
      <c r="Q864" t="n">
        <v>0</v>
      </c>
      <c r="R864" s="2" t="inlineStr"/>
    </row>
    <row r="865" ht="15" customHeight="1">
      <c r="A865" t="inlineStr">
        <is>
          <t>A 52936-2020</t>
        </is>
      </c>
      <c r="B865" s="1" t="n">
        <v>44120</v>
      </c>
      <c r="C865" s="1" t="n">
        <v>45802</v>
      </c>
      <c r="D865" t="inlineStr">
        <is>
          <t>VÄSTERNORRLANDS LÄN</t>
        </is>
      </c>
      <c r="E865" t="inlineStr">
        <is>
          <t>SOLLEFTEÅ</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53828-2020</t>
        </is>
      </c>
      <c r="B866" s="1" t="n">
        <v>44124</v>
      </c>
      <c r="C866" s="1" t="n">
        <v>45802</v>
      </c>
      <c r="D866" t="inlineStr">
        <is>
          <t>VÄSTERNORRLANDS LÄN</t>
        </is>
      </c>
      <c r="E866" t="inlineStr">
        <is>
          <t>SOLLEFTEÅ</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54463-2020</t>
        </is>
      </c>
      <c r="B867" s="1" t="n">
        <v>44125</v>
      </c>
      <c r="C867" s="1" t="n">
        <v>45802</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53866-2020</t>
        </is>
      </c>
      <c r="B868" s="1" t="n">
        <v>44125</v>
      </c>
      <c r="C868" s="1" t="n">
        <v>45802</v>
      </c>
      <c r="D868" t="inlineStr">
        <is>
          <t>VÄSTERNORRLANDS LÄN</t>
        </is>
      </c>
      <c r="E868" t="inlineStr">
        <is>
          <t>SOLLEFTEÅ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54567-2020</t>
        </is>
      </c>
      <c r="B869" s="1" t="n">
        <v>44126</v>
      </c>
      <c r="C869" s="1" t="n">
        <v>45802</v>
      </c>
      <c r="D869" t="inlineStr">
        <is>
          <t>VÄSTERNORRLANDS LÄN</t>
        </is>
      </c>
      <c r="E869" t="inlineStr">
        <is>
          <t>SOLLEFTEÅ</t>
        </is>
      </c>
      <c r="G869" t="n">
        <v>0.4</v>
      </c>
      <c r="H869" t="n">
        <v>0</v>
      </c>
      <c r="I869" t="n">
        <v>0</v>
      </c>
      <c r="J869" t="n">
        <v>0</v>
      </c>
      <c r="K869" t="n">
        <v>0</v>
      </c>
      <c r="L869" t="n">
        <v>0</v>
      </c>
      <c r="M869" t="n">
        <v>0</v>
      </c>
      <c r="N869" t="n">
        <v>0</v>
      </c>
      <c r="O869" t="n">
        <v>0</v>
      </c>
      <c r="P869" t="n">
        <v>0</v>
      </c>
      <c r="Q869" t="n">
        <v>0</v>
      </c>
      <c r="R869" s="2" t="inlineStr"/>
    </row>
    <row r="870" ht="15" customHeight="1">
      <c r="A870" t="inlineStr">
        <is>
          <t>A 54568-2020</t>
        </is>
      </c>
      <c r="B870" s="1" t="n">
        <v>44126</v>
      </c>
      <c r="C870" s="1" t="n">
        <v>45802</v>
      </c>
      <c r="D870" t="inlineStr">
        <is>
          <t>VÄSTERNORRLANDS LÄN</t>
        </is>
      </c>
      <c r="E870" t="inlineStr">
        <is>
          <t>SOLLEFTEÅ</t>
        </is>
      </c>
      <c r="G870" t="n">
        <v>0.2</v>
      </c>
      <c r="H870" t="n">
        <v>0</v>
      </c>
      <c r="I870" t="n">
        <v>0</v>
      </c>
      <c r="J870" t="n">
        <v>0</v>
      </c>
      <c r="K870" t="n">
        <v>0</v>
      </c>
      <c r="L870" t="n">
        <v>0</v>
      </c>
      <c r="M870" t="n">
        <v>0</v>
      </c>
      <c r="N870" t="n">
        <v>0</v>
      </c>
      <c r="O870" t="n">
        <v>0</v>
      </c>
      <c r="P870" t="n">
        <v>0</v>
      </c>
      <c r="Q870" t="n">
        <v>0</v>
      </c>
      <c r="R870" s="2" t="inlineStr"/>
    </row>
    <row r="871" ht="15" customHeight="1">
      <c r="A871" t="inlineStr">
        <is>
          <t>A 54572-2020</t>
        </is>
      </c>
      <c r="B871" s="1" t="n">
        <v>44126</v>
      </c>
      <c r="C871" s="1" t="n">
        <v>45802</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54576-2020</t>
        </is>
      </c>
      <c r="B872" s="1" t="n">
        <v>44126</v>
      </c>
      <c r="C872" s="1" t="n">
        <v>45802</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54571-2020</t>
        </is>
      </c>
      <c r="B873" s="1" t="n">
        <v>44126</v>
      </c>
      <c r="C873" s="1" t="n">
        <v>45802</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54569-2020</t>
        </is>
      </c>
      <c r="B874" s="1" t="n">
        <v>44126</v>
      </c>
      <c r="C874" s="1" t="n">
        <v>45802</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54566-2020</t>
        </is>
      </c>
      <c r="B875" s="1" t="n">
        <v>44126</v>
      </c>
      <c r="C875" s="1" t="n">
        <v>45802</v>
      </c>
      <c r="D875" t="inlineStr">
        <is>
          <t>VÄSTERNORRLANDS LÄN</t>
        </is>
      </c>
      <c r="E875" t="inlineStr">
        <is>
          <t>SOLLEFTEÅ</t>
        </is>
      </c>
      <c r="G875" t="n">
        <v>0.6</v>
      </c>
      <c r="H875" t="n">
        <v>0</v>
      </c>
      <c r="I875" t="n">
        <v>0</v>
      </c>
      <c r="J875" t="n">
        <v>0</v>
      </c>
      <c r="K875" t="n">
        <v>0</v>
      </c>
      <c r="L875" t="n">
        <v>0</v>
      </c>
      <c r="M875" t="n">
        <v>0</v>
      </c>
      <c r="N875" t="n">
        <v>0</v>
      </c>
      <c r="O875" t="n">
        <v>0</v>
      </c>
      <c r="P875" t="n">
        <v>0</v>
      </c>
      <c r="Q875" t="n">
        <v>0</v>
      </c>
      <c r="R875" s="2" t="inlineStr"/>
    </row>
    <row r="876" ht="15" customHeight="1">
      <c r="A876" t="inlineStr">
        <is>
          <t>A 54570-2020</t>
        </is>
      </c>
      <c r="B876" s="1" t="n">
        <v>44126</v>
      </c>
      <c r="C876" s="1" t="n">
        <v>45802</v>
      </c>
      <c r="D876" t="inlineStr">
        <is>
          <t>VÄSTERNORRLANDS LÄN</t>
        </is>
      </c>
      <c r="E876" t="inlineStr">
        <is>
          <t>SOLLEFTEÅ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54573-2020</t>
        </is>
      </c>
      <c r="B877" s="1" t="n">
        <v>44126</v>
      </c>
      <c r="C877" s="1" t="n">
        <v>45802</v>
      </c>
      <c r="D877" t="inlineStr">
        <is>
          <t>VÄSTERNORRLANDS LÄN</t>
        </is>
      </c>
      <c r="E877" t="inlineStr">
        <is>
          <t>SOLLEFTEÅ</t>
        </is>
      </c>
      <c r="G877" t="n">
        <v>0.2</v>
      </c>
      <c r="H877" t="n">
        <v>0</v>
      </c>
      <c r="I877" t="n">
        <v>0</v>
      </c>
      <c r="J877" t="n">
        <v>0</v>
      </c>
      <c r="K877" t="n">
        <v>0</v>
      </c>
      <c r="L877" t="n">
        <v>0</v>
      </c>
      <c r="M877" t="n">
        <v>0</v>
      </c>
      <c r="N877" t="n">
        <v>0</v>
      </c>
      <c r="O877" t="n">
        <v>0</v>
      </c>
      <c r="P877" t="n">
        <v>0</v>
      </c>
      <c r="Q877" t="n">
        <v>0</v>
      </c>
      <c r="R877" s="2" t="inlineStr"/>
    </row>
    <row r="878" ht="15" customHeight="1">
      <c r="A878" t="inlineStr">
        <is>
          <t>A 55337-2020</t>
        </is>
      </c>
      <c r="B878" s="1" t="n">
        <v>44130</v>
      </c>
      <c r="C878" s="1" t="n">
        <v>45802</v>
      </c>
      <c r="D878" t="inlineStr">
        <is>
          <t>VÄSTERNORRLANDS LÄN</t>
        </is>
      </c>
      <c r="E878" t="inlineStr">
        <is>
          <t>SOLLEFTEÅ</t>
        </is>
      </c>
      <c r="G878" t="n">
        <v>21.1</v>
      </c>
      <c r="H878" t="n">
        <v>0</v>
      </c>
      <c r="I878" t="n">
        <v>0</v>
      </c>
      <c r="J878" t="n">
        <v>0</v>
      </c>
      <c r="K878" t="n">
        <v>0</v>
      </c>
      <c r="L878" t="n">
        <v>0</v>
      </c>
      <c r="M878" t="n">
        <v>0</v>
      </c>
      <c r="N878" t="n">
        <v>0</v>
      </c>
      <c r="O878" t="n">
        <v>0</v>
      </c>
      <c r="P878" t="n">
        <v>0</v>
      </c>
      <c r="Q878" t="n">
        <v>0</v>
      </c>
      <c r="R878" s="2" t="inlineStr"/>
    </row>
    <row r="879" ht="15" customHeight="1">
      <c r="A879" t="inlineStr">
        <is>
          <t>A 55489-2020</t>
        </is>
      </c>
      <c r="B879" s="1" t="n">
        <v>44131</v>
      </c>
      <c r="C879" s="1" t="n">
        <v>45802</v>
      </c>
      <c r="D879" t="inlineStr">
        <is>
          <t>VÄSTERNORRLANDS LÄN</t>
        </is>
      </c>
      <c r="E879" t="inlineStr">
        <is>
          <t>SOLLEFTEÅ</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58380-2020</t>
        </is>
      </c>
      <c r="B880" s="1" t="n">
        <v>44145</v>
      </c>
      <c r="C880" s="1" t="n">
        <v>45802</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58381-2020</t>
        </is>
      </c>
      <c r="B881" s="1" t="n">
        <v>44145</v>
      </c>
      <c r="C881" s="1" t="n">
        <v>45802</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59334-2020</t>
        </is>
      </c>
      <c r="B882" s="1" t="n">
        <v>44147</v>
      </c>
      <c r="C882" s="1" t="n">
        <v>45802</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59950-2020</t>
        </is>
      </c>
      <c r="B883" s="1" t="n">
        <v>44151</v>
      </c>
      <c r="C883" s="1" t="n">
        <v>45802</v>
      </c>
      <c r="D883" t="inlineStr">
        <is>
          <t>VÄSTERNORRLANDS LÄN</t>
        </is>
      </c>
      <c r="E883" t="inlineStr">
        <is>
          <t>SOLLEFTEÅ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59953-2020</t>
        </is>
      </c>
      <c r="B884" s="1" t="n">
        <v>44151</v>
      </c>
      <c r="C884" s="1" t="n">
        <v>45802</v>
      </c>
      <c r="D884" t="inlineStr">
        <is>
          <t>VÄSTERNORRLANDS LÄN</t>
        </is>
      </c>
      <c r="E884" t="inlineStr">
        <is>
          <t>SOLLEFTEÅ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60091-2020</t>
        </is>
      </c>
      <c r="B885" s="1" t="n">
        <v>44151</v>
      </c>
      <c r="C885" s="1" t="n">
        <v>45802</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61127-2020</t>
        </is>
      </c>
      <c r="B886" s="1" t="n">
        <v>44154</v>
      </c>
      <c r="C886" s="1" t="n">
        <v>45802</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61130-2020</t>
        </is>
      </c>
      <c r="B887" s="1" t="n">
        <v>44154</v>
      </c>
      <c r="C887" s="1" t="n">
        <v>45802</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61894-2020</t>
        </is>
      </c>
      <c r="B888" s="1" t="n">
        <v>44155</v>
      </c>
      <c r="C888" s="1" t="n">
        <v>45802</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61943-2020</t>
        </is>
      </c>
      <c r="B889" s="1" t="n">
        <v>44155</v>
      </c>
      <c r="C889" s="1" t="n">
        <v>45802</v>
      </c>
      <c r="D889" t="inlineStr">
        <is>
          <t>VÄSTERNORRLANDS LÄN</t>
        </is>
      </c>
      <c r="E889" t="inlineStr">
        <is>
          <t>SOLLEFTEÅ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62666-2020</t>
        </is>
      </c>
      <c r="B890" s="1" t="n">
        <v>44161</v>
      </c>
      <c r="C890" s="1" t="n">
        <v>45802</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62881-2020</t>
        </is>
      </c>
      <c r="B891" s="1" t="n">
        <v>44161</v>
      </c>
      <c r="C891" s="1" t="n">
        <v>45802</v>
      </c>
      <c r="D891" t="inlineStr">
        <is>
          <t>VÄSTERNORRLANDS LÄN</t>
        </is>
      </c>
      <c r="E891" t="inlineStr">
        <is>
          <t>SOLLEFTEÅ</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62883-2020</t>
        </is>
      </c>
      <c r="B892" s="1" t="n">
        <v>44161</v>
      </c>
      <c r="C892" s="1" t="n">
        <v>45802</v>
      </c>
      <c r="D892" t="inlineStr">
        <is>
          <t>VÄSTERNORRLANDS LÄN</t>
        </is>
      </c>
      <c r="E892" t="inlineStr">
        <is>
          <t>SOLLEFTEÅ</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63190-2020</t>
        </is>
      </c>
      <c r="B893" s="1" t="n">
        <v>44162</v>
      </c>
      <c r="C893" s="1" t="n">
        <v>45802</v>
      </c>
      <c r="D893" t="inlineStr">
        <is>
          <t>VÄSTERNORRLANDS LÄN</t>
        </is>
      </c>
      <c r="E893" t="inlineStr">
        <is>
          <t>SOLLEFTEÅ</t>
        </is>
      </c>
      <c r="G893" t="n">
        <v>0.2</v>
      </c>
      <c r="H893" t="n">
        <v>0</v>
      </c>
      <c r="I893" t="n">
        <v>0</v>
      </c>
      <c r="J893" t="n">
        <v>0</v>
      </c>
      <c r="K893" t="n">
        <v>0</v>
      </c>
      <c r="L893" t="n">
        <v>0</v>
      </c>
      <c r="M893" t="n">
        <v>0</v>
      </c>
      <c r="N893" t="n">
        <v>0</v>
      </c>
      <c r="O893" t="n">
        <v>0</v>
      </c>
      <c r="P893" t="n">
        <v>0</v>
      </c>
      <c r="Q893" t="n">
        <v>0</v>
      </c>
      <c r="R893" s="2" t="inlineStr"/>
    </row>
    <row r="894" ht="15" customHeight="1">
      <c r="A894" t="inlineStr">
        <is>
          <t>A 63210-2020</t>
        </is>
      </c>
      <c r="B894" s="1" t="n">
        <v>44163</v>
      </c>
      <c r="C894" s="1" t="n">
        <v>45802</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65401-2020</t>
        </is>
      </c>
      <c r="B895" s="1" t="n">
        <v>44169</v>
      </c>
      <c r="C895" s="1" t="n">
        <v>45802</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65407-2020</t>
        </is>
      </c>
      <c r="B896" s="1" t="n">
        <v>44169</v>
      </c>
      <c r="C896" s="1" t="n">
        <v>45802</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65403-2020</t>
        </is>
      </c>
      <c r="B897" s="1" t="n">
        <v>44169</v>
      </c>
      <c r="C897" s="1" t="n">
        <v>45802</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67063-2020</t>
        </is>
      </c>
      <c r="B898" s="1" t="n">
        <v>44176</v>
      </c>
      <c r="C898" s="1" t="n">
        <v>45802</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66845-2020</t>
        </is>
      </c>
      <c r="B899" s="1" t="n">
        <v>44179</v>
      </c>
      <c r="C899" s="1" t="n">
        <v>45802</v>
      </c>
      <c r="D899" t="inlineStr">
        <is>
          <t>VÄSTERNORRLANDS LÄN</t>
        </is>
      </c>
      <c r="E899" t="inlineStr">
        <is>
          <t>SOLLEFTEÅ</t>
        </is>
      </c>
      <c r="F899" t="inlineStr">
        <is>
          <t>SCA</t>
        </is>
      </c>
      <c r="G899" t="n">
        <v>5.7</v>
      </c>
      <c r="H899" t="n">
        <v>0</v>
      </c>
      <c r="I899" t="n">
        <v>0</v>
      </c>
      <c r="J899" t="n">
        <v>0</v>
      </c>
      <c r="K899" t="n">
        <v>0</v>
      </c>
      <c r="L899" t="n">
        <v>0</v>
      </c>
      <c r="M899" t="n">
        <v>0</v>
      </c>
      <c r="N899" t="n">
        <v>0</v>
      </c>
      <c r="O899" t="n">
        <v>0</v>
      </c>
      <c r="P899" t="n">
        <v>0</v>
      </c>
      <c r="Q899" t="n">
        <v>0</v>
      </c>
      <c r="R899" s="2" t="inlineStr"/>
    </row>
    <row r="900" ht="15" customHeight="1">
      <c r="A900" t="inlineStr">
        <is>
          <t>A 66844-2020</t>
        </is>
      </c>
      <c r="B900" s="1" t="n">
        <v>44179</v>
      </c>
      <c r="C900" s="1" t="n">
        <v>45802</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66850-2020</t>
        </is>
      </c>
      <c r="B901" s="1" t="n">
        <v>44179</v>
      </c>
      <c r="C901" s="1" t="n">
        <v>45802</v>
      </c>
      <c r="D901" t="inlineStr">
        <is>
          <t>VÄSTERNORRLANDS LÄN</t>
        </is>
      </c>
      <c r="E901" t="inlineStr">
        <is>
          <t>SOLLEFTEÅ</t>
        </is>
      </c>
      <c r="G901" t="n">
        <v>3</v>
      </c>
      <c r="H901" t="n">
        <v>0</v>
      </c>
      <c r="I901" t="n">
        <v>0</v>
      </c>
      <c r="J901" t="n">
        <v>0</v>
      </c>
      <c r="K901" t="n">
        <v>0</v>
      </c>
      <c r="L901" t="n">
        <v>0</v>
      </c>
      <c r="M901" t="n">
        <v>0</v>
      </c>
      <c r="N901" t="n">
        <v>0</v>
      </c>
      <c r="O901" t="n">
        <v>0</v>
      </c>
      <c r="P901" t="n">
        <v>0</v>
      </c>
      <c r="Q901" t="n">
        <v>0</v>
      </c>
      <c r="R901" s="2" t="inlineStr"/>
    </row>
    <row r="902" ht="15" customHeight="1">
      <c r="A902" t="inlineStr">
        <is>
          <t>A 66851-2020</t>
        </is>
      </c>
      <c r="B902" s="1" t="n">
        <v>44179</v>
      </c>
      <c r="C902" s="1" t="n">
        <v>45802</v>
      </c>
      <c r="D902" t="inlineStr">
        <is>
          <t>VÄSTERNORRLANDS LÄN</t>
        </is>
      </c>
      <c r="E902" t="inlineStr">
        <is>
          <t>SOLLEFTEÅ</t>
        </is>
      </c>
      <c r="F902" t="inlineStr">
        <is>
          <t>SCA</t>
        </is>
      </c>
      <c r="G902" t="n">
        <v>6</v>
      </c>
      <c r="H902" t="n">
        <v>0</v>
      </c>
      <c r="I902" t="n">
        <v>0</v>
      </c>
      <c r="J902" t="n">
        <v>0</v>
      </c>
      <c r="K902" t="n">
        <v>0</v>
      </c>
      <c r="L902" t="n">
        <v>0</v>
      </c>
      <c r="M902" t="n">
        <v>0</v>
      </c>
      <c r="N902" t="n">
        <v>0</v>
      </c>
      <c r="O902" t="n">
        <v>0</v>
      </c>
      <c r="P902" t="n">
        <v>0</v>
      </c>
      <c r="Q902" t="n">
        <v>0</v>
      </c>
      <c r="R902" s="2" t="inlineStr"/>
    </row>
    <row r="903" ht="15" customHeight="1">
      <c r="A903" t="inlineStr">
        <is>
          <t>A 66853-2020</t>
        </is>
      </c>
      <c r="B903" s="1" t="n">
        <v>44179</v>
      </c>
      <c r="C903" s="1" t="n">
        <v>45802</v>
      </c>
      <c r="D903" t="inlineStr">
        <is>
          <t>VÄSTERNORRLANDS LÄN</t>
        </is>
      </c>
      <c r="E903" t="inlineStr">
        <is>
          <t>SOLLEFTEÅ</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67602-2020</t>
        </is>
      </c>
      <c r="B904" s="1" t="n">
        <v>44181</v>
      </c>
      <c r="C904" s="1" t="n">
        <v>45802</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68016-2020</t>
        </is>
      </c>
      <c r="B905" s="1" t="n">
        <v>44182</v>
      </c>
      <c r="C905" s="1" t="n">
        <v>45802</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68026-2020</t>
        </is>
      </c>
      <c r="B906" s="1" t="n">
        <v>44182</v>
      </c>
      <c r="C906" s="1" t="n">
        <v>45802</v>
      </c>
      <c r="D906" t="inlineStr">
        <is>
          <t>VÄSTERNORRLANDS LÄN</t>
        </is>
      </c>
      <c r="E906" t="inlineStr">
        <is>
          <t>SOLLEFTEÅ</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68022-2020</t>
        </is>
      </c>
      <c r="B907" s="1" t="n">
        <v>44182</v>
      </c>
      <c r="C907" s="1" t="n">
        <v>45802</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68031-2020</t>
        </is>
      </c>
      <c r="B908" s="1" t="n">
        <v>44182</v>
      </c>
      <c r="C908" s="1" t="n">
        <v>45802</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68036-2020</t>
        </is>
      </c>
      <c r="B909" s="1" t="n">
        <v>44182</v>
      </c>
      <c r="C909" s="1" t="n">
        <v>45802</v>
      </c>
      <c r="D909" t="inlineStr">
        <is>
          <t>VÄSTERNORRLANDS LÄN</t>
        </is>
      </c>
      <c r="E909" t="inlineStr">
        <is>
          <t>SOLLEFTEÅ</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68020-2020</t>
        </is>
      </c>
      <c r="B910" s="1" t="n">
        <v>44182</v>
      </c>
      <c r="C910" s="1" t="n">
        <v>45802</v>
      </c>
      <c r="D910" t="inlineStr">
        <is>
          <t>VÄSTERNORRLANDS LÄN</t>
        </is>
      </c>
      <c r="E910" t="inlineStr">
        <is>
          <t>SOLLEFTEÅ</t>
        </is>
      </c>
      <c r="F910" t="inlineStr">
        <is>
          <t>SCA</t>
        </is>
      </c>
      <c r="G910" t="n">
        <v>8.5</v>
      </c>
      <c r="H910" t="n">
        <v>0</v>
      </c>
      <c r="I910" t="n">
        <v>0</v>
      </c>
      <c r="J910" t="n">
        <v>0</v>
      </c>
      <c r="K910" t="n">
        <v>0</v>
      </c>
      <c r="L910" t="n">
        <v>0</v>
      </c>
      <c r="M910" t="n">
        <v>0</v>
      </c>
      <c r="N910" t="n">
        <v>0</v>
      </c>
      <c r="O910" t="n">
        <v>0</v>
      </c>
      <c r="P910" t="n">
        <v>0</v>
      </c>
      <c r="Q910" t="n">
        <v>0</v>
      </c>
      <c r="R910" s="2" t="inlineStr"/>
    </row>
    <row r="911" ht="15" customHeight="1">
      <c r="A911" t="inlineStr">
        <is>
          <t>A 68030-2020</t>
        </is>
      </c>
      <c r="B911" s="1" t="n">
        <v>44182</v>
      </c>
      <c r="C911" s="1" t="n">
        <v>45802</v>
      </c>
      <c r="D911" t="inlineStr">
        <is>
          <t>VÄSTERNORRLANDS LÄN</t>
        </is>
      </c>
      <c r="E911" t="inlineStr">
        <is>
          <t>SOLLEFTEÅ</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68034-2020</t>
        </is>
      </c>
      <c r="B912" s="1" t="n">
        <v>44182</v>
      </c>
      <c r="C912" s="1" t="n">
        <v>45802</v>
      </c>
      <c r="D912" t="inlineStr">
        <is>
          <t>VÄSTERNORRLANDS LÄN</t>
        </is>
      </c>
      <c r="E912" t="inlineStr">
        <is>
          <t>SOLLEFTEÅ</t>
        </is>
      </c>
      <c r="F912" t="inlineStr">
        <is>
          <t>SCA</t>
        </is>
      </c>
      <c r="G912" t="n">
        <v>17.1</v>
      </c>
      <c r="H912" t="n">
        <v>0</v>
      </c>
      <c r="I912" t="n">
        <v>0</v>
      </c>
      <c r="J912" t="n">
        <v>0</v>
      </c>
      <c r="K912" t="n">
        <v>0</v>
      </c>
      <c r="L912" t="n">
        <v>0</v>
      </c>
      <c r="M912" t="n">
        <v>0</v>
      </c>
      <c r="N912" t="n">
        <v>0</v>
      </c>
      <c r="O912" t="n">
        <v>0</v>
      </c>
      <c r="P912" t="n">
        <v>0</v>
      </c>
      <c r="Q912" t="n">
        <v>0</v>
      </c>
      <c r="R912" s="2" t="inlineStr"/>
    </row>
    <row r="913" ht="15" customHeight="1">
      <c r="A913" t="inlineStr">
        <is>
          <t>A 68033-2020</t>
        </is>
      </c>
      <c r="B913" s="1" t="n">
        <v>44182</v>
      </c>
      <c r="C913" s="1" t="n">
        <v>45802</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68015-2020</t>
        </is>
      </c>
      <c r="B914" s="1" t="n">
        <v>44182</v>
      </c>
      <c r="C914" s="1" t="n">
        <v>45802</v>
      </c>
      <c r="D914" t="inlineStr">
        <is>
          <t>VÄSTERNORRLANDS LÄN</t>
        </is>
      </c>
      <c r="E914" t="inlineStr">
        <is>
          <t>SOLLEFTEÅ</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68025-2020</t>
        </is>
      </c>
      <c r="B915" s="1" t="n">
        <v>44182</v>
      </c>
      <c r="C915" s="1" t="n">
        <v>45802</v>
      </c>
      <c r="D915" t="inlineStr">
        <is>
          <t>VÄSTERNORRLANDS LÄN</t>
        </is>
      </c>
      <c r="E915" t="inlineStr">
        <is>
          <t>SOLLEFTEÅ</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68032-2020</t>
        </is>
      </c>
      <c r="B916" s="1" t="n">
        <v>44182</v>
      </c>
      <c r="C916" s="1" t="n">
        <v>45802</v>
      </c>
      <c r="D916" t="inlineStr">
        <is>
          <t>VÄSTERNORRLANDS LÄN</t>
        </is>
      </c>
      <c r="E916" t="inlineStr">
        <is>
          <t>SOLLEFTEÅ</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68037-2020</t>
        </is>
      </c>
      <c r="B917" s="1" t="n">
        <v>44182</v>
      </c>
      <c r="C917" s="1" t="n">
        <v>45802</v>
      </c>
      <c r="D917" t="inlineStr">
        <is>
          <t>VÄSTERNORRLANDS LÄN</t>
        </is>
      </c>
      <c r="E917" t="inlineStr">
        <is>
          <t>SOLLEFTEÅ</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68292-2020</t>
        </is>
      </c>
      <c r="B918" s="1" t="n">
        <v>44183</v>
      </c>
      <c r="C918" s="1" t="n">
        <v>45802</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68570-2020</t>
        </is>
      </c>
      <c r="B919" s="1" t="n">
        <v>44186</v>
      </c>
      <c r="C919" s="1" t="n">
        <v>45802</v>
      </c>
      <c r="D919" t="inlineStr">
        <is>
          <t>VÄSTERNORRLANDS LÄN</t>
        </is>
      </c>
      <c r="E919" t="inlineStr">
        <is>
          <t>SOLLEFTEÅ</t>
        </is>
      </c>
      <c r="G919" t="n">
        <v>5.5</v>
      </c>
      <c r="H919" t="n">
        <v>0</v>
      </c>
      <c r="I919" t="n">
        <v>0</v>
      </c>
      <c r="J919" t="n">
        <v>0</v>
      </c>
      <c r="K919" t="n">
        <v>0</v>
      </c>
      <c r="L919" t="n">
        <v>0</v>
      </c>
      <c r="M919" t="n">
        <v>0</v>
      </c>
      <c r="N919" t="n">
        <v>0</v>
      </c>
      <c r="O919" t="n">
        <v>0</v>
      </c>
      <c r="P919" t="n">
        <v>0</v>
      </c>
      <c r="Q919" t="n">
        <v>0</v>
      </c>
      <c r="R919" s="2" t="inlineStr"/>
    </row>
    <row r="920" ht="15" customHeight="1">
      <c r="A920" t="inlineStr">
        <is>
          <t>A 68652-2020</t>
        </is>
      </c>
      <c r="B920" s="1" t="n">
        <v>44186</v>
      </c>
      <c r="C920" s="1" t="n">
        <v>45802</v>
      </c>
      <c r="D920" t="inlineStr">
        <is>
          <t>VÄSTERNORRLANDS LÄN</t>
        </is>
      </c>
      <c r="E920" t="inlineStr">
        <is>
          <t>SOLLEFTEÅ</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68647-2020</t>
        </is>
      </c>
      <c r="B921" s="1" t="n">
        <v>44186</v>
      </c>
      <c r="C921" s="1" t="n">
        <v>45802</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68648-2020</t>
        </is>
      </c>
      <c r="B922" s="1" t="n">
        <v>44186</v>
      </c>
      <c r="C922" s="1" t="n">
        <v>45802</v>
      </c>
      <c r="D922" t="inlineStr">
        <is>
          <t>VÄSTERNORRLANDS LÄN</t>
        </is>
      </c>
      <c r="E922" t="inlineStr">
        <is>
          <t>SOLLEFTEÅ</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68656-2020</t>
        </is>
      </c>
      <c r="B923" s="1" t="n">
        <v>44186</v>
      </c>
      <c r="C923" s="1" t="n">
        <v>45802</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69436-2020</t>
        </is>
      </c>
      <c r="B924" s="1" t="n">
        <v>44193</v>
      </c>
      <c r="C924" s="1" t="n">
        <v>45802</v>
      </c>
      <c r="D924" t="inlineStr">
        <is>
          <t>VÄSTERNORRLANDS LÄN</t>
        </is>
      </c>
      <c r="E924" t="inlineStr">
        <is>
          <t>SOLLEFTEÅ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272-2021</t>
        </is>
      </c>
      <c r="B925" s="1" t="n">
        <v>44200</v>
      </c>
      <c r="C925" s="1" t="n">
        <v>45802</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691-2021</t>
        </is>
      </c>
      <c r="B926" s="1" t="n">
        <v>44203</v>
      </c>
      <c r="C926" s="1" t="n">
        <v>45802</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1858-2021</t>
        </is>
      </c>
      <c r="B927" s="1" t="n">
        <v>44210</v>
      </c>
      <c r="C927" s="1" t="n">
        <v>45802</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2077-2021</t>
        </is>
      </c>
      <c r="B928" s="1" t="n">
        <v>44210</v>
      </c>
      <c r="C928" s="1" t="n">
        <v>45802</v>
      </c>
      <c r="D928" t="inlineStr">
        <is>
          <t>VÄSTERNORRLANDS LÄN</t>
        </is>
      </c>
      <c r="E928" t="inlineStr">
        <is>
          <t>SOLLEFTEÅ</t>
        </is>
      </c>
      <c r="G928" t="n">
        <v>6.1</v>
      </c>
      <c r="H928" t="n">
        <v>0</v>
      </c>
      <c r="I928" t="n">
        <v>0</v>
      </c>
      <c r="J928" t="n">
        <v>0</v>
      </c>
      <c r="K928" t="n">
        <v>0</v>
      </c>
      <c r="L928" t="n">
        <v>0</v>
      </c>
      <c r="M928" t="n">
        <v>0</v>
      </c>
      <c r="N928" t="n">
        <v>0</v>
      </c>
      <c r="O928" t="n">
        <v>0</v>
      </c>
      <c r="P928" t="n">
        <v>0</v>
      </c>
      <c r="Q928" t="n">
        <v>0</v>
      </c>
      <c r="R928" s="2" t="inlineStr"/>
    </row>
    <row r="929" ht="15" customHeight="1">
      <c r="A929" t="inlineStr">
        <is>
          <t>A 2487-2021</t>
        </is>
      </c>
      <c r="B929" s="1" t="n">
        <v>44211</v>
      </c>
      <c r="C929" s="1" t="n">
        <v>45802</v>
      </c>
      <c r="D929" t="inlineStr">
        <is>
          <t>VÄSTERNORRLANDS LÄN</t>
        </is>
      </c>
      <c r="E929" t="inlineStr">
        <is>
          <t>SOLLEFTEÅ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3441-2021</t>
        </is>
      </c>
      <c r="B930" s="1" t="n">
        <v>44218</v>
      </c>
      <c r="C930" s="1" t="n">
        <v>45802</v>
      </c>
      <c r="D930" t="inlineStr">
        <is>
          <t>VÄSTERNORRLANDS LÄN</t>
        </is>
      </c>
      <c r="E930" t="inlineStr">
        <is>
          <t>SOLLEFTEÅ</t>
        </is>
      </c>
      <c r="G930" t="n">
        <v>2.3</v>
      </c>
      <c r="H930" t="n">
        <v>0</v>
      </c>
      <c r="I930" t="n">
        <v>0</v>
      </c>
      <c r="J930" t="n">
        <v>0</v>
      </c>
      <c r="K930" t="n">
        <v>0</v>
      </c>
      <c r="L930" t="n">
        <v>0</v>
      </c>
      <c r="M930" t="n">
        <v>0</v>
      </c>
      <c r="N930" t="n">
        <v>0</v>
      </c>
      <c r="O930" t="n">
        <v>0</v>
      </c>
      <c r="P930" t="n">
        <v>0</v>
      </c>
      <c r="Q930" t="n">
        <v>0</v>
      </c>
      <c r="R930" s="2" t="inlineStr"/>
    </row>
    <row r="931" ht="15" customHeight="1">
      <c r="A931" t="inlineStr">
        <is>
          <t>A 4127-2021</t>
        </is>
      </c>
      <c r="B931" s="1" t="n">
        <v>44222</v>
      </c>
      <c r="C931" s="1" t="n">
        <v>45802</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5989-2021</t>
        </is>
      </c>
      <c r="B932" s="1" t="n">
        <v>44231</v>
      </c>
      <c r="C932" s="1" t="n">
        <v>45802</v>
      </c>
      <c r="D932" t="inlineStr">
        <is>
          <t>VÄSTERNORRLANDS LÄN</t>
        </is>
      </c>
      <c r="E932" t="inlineStr">
        <is>
          <t>SOLLEFTEÅ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7658-2021</t>
        </is>
      </c>
      <c r="B933" s="1" t="n">
        <v>44242</v>
      </c>
      <c r="C933" s="1" t="n">
        <v>45802</v>
      </c>
      <c r="D933" t="inlineStr">
        <is>
          <t>VÄSTERNORRLANDS LÄN</t>
        </is>
      </c>
      <c r="E933" t="inlineStr">
        <is>
          <t>SOLLEFTEÅ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7659-2021</t>
        </is>
      </c>
      <c r="B934" s="1" t="n">
        <v>44242</v>
      </c>
      <c r="C934" s="1" t="n">
        <v>45802</v>
      </c>
      <c r="D934" t="inlineStr">
        <is>
          <t>VÄSTERNORRLANDS LÄN</t>
        </is>
      </c>
      <c r="E934" t="inlineStr">
        <is>
          <t>SOLLEFTEÅ</t>
        </is>
      </c>
      <c r="G934" t="n">
        <v>8.1</v>
      </c>
      <c r="H934" t="n">
        <v>0</v>
      </c>
      <c r="I934" t="n">
        <v>0</v>
      </c>
      <c r="J934" t="n">
        <v>0</v>
      </c>
      <c r="K934" t="n">
        <v>0</v>
      </c>
      <c r="L934" t="n">
        <v>0</v>
      </c>
      <c r="M934" t="n">
        <v>0</v>
      </c>
      <c r="N934" t="n">
        <v>0</v>
      </c>
      <c r="O934" t="n">
        <v>0</v>
      </c>
      <c r="P934" t="n">
        <v>0</v>
      </c>
      <c r="Q934" t="n">
        <v>0</v>
      </c>
      <c r="R934" s="2" t="inlineStr"/>
    </row>
    <row r="935" ht="15" customHeight="1">
      <c r="A935" t="inlineStr">
        <is>
          <t>A 7889-2021</t>
        </is>
      </c>
      <c r="B935" s="1" t="n">
        <v>44242</v>
      </c>
      <c r="C935" s="1" t="n">
        <v>45802</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8631-2021</t>
        </is>
      </c>
      <c r="B936" s="1" t="n">
        <v>44245</v>
      </c>
      <c r="C936" s="1" t="n">
        <v>45802</v>
      </c>
      <c r="D936" t="inlineStr">
        <is>
          <t>VÄSTERNORRLANDS LÄN</t>
        </is>
      </c>
      <c r="E936" t="inlineStr">
        <is>
          <t>SOLLEFTEÅ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8692-2021</t>
        </is>
      </c>
      <c r="B937" s="1" t="n">
        <v>44246</v>
      </c>
      <c r="C937" s="1" t="n">
        <v>45802</v>
      </c>
      <c r="D937" t="inlineStr">
        <is>
          <t>VÄSTERNORRLANDS LÄN</t>
        </is>
      </c>
      <c r="E937" t="inlineStr">
        <is>
          <t>SOLLEFTEÅ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9461-2021</t>
        </is>
      </c>
      <c r="B938" s="1" t="n">
        <v>44251</v>
      </c>
      <c r="C938" s="1" t="n">
        <v>45802</v>
      </c>
      <c r="D938" t="inlineStr">
        <is>
          <t>VÄSTERNORRLANDS LÄN</t>
        </is>
      </c>
      <c r="E938" t="inlineStr">
        <is>
          <t>SOLLEFTEÅ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11270-2021</t>
        </is>
      </c>
      <c r="B939" s="1" t="n">
        <v>44263</v>
      </c>
      <c r="C939" s="1" t="n">
        <v>45802</v>
      </c>
      <c r="D939" t="inlineStr">
        <is>
          <t>VÄSTERNORRLANDS LÄN</t>
        </is>
      </c>
      <c r="E939" t="inlineStr">
        <is>
          <t>SOLLEFTEÅ</t>
        </is>
      </c>
      <c r="F939" t="inlineStr">
        <is>
          <t>Kommuner</t>
        </is>
      </c>
      <c r="G939" t="n">
        <v>10.9</v>
      </c>
      <c r="H939" t="n">
        <v>0</v>
      </c>
      <c r="I939" t="n">
        <v>0</v>
      </c>
      <c r="J939" t="n">
        <v>0</v>
      </c>
      <c r="K939" t="n">
        <v>0</v>
      </c>
      <c r="L939" t="n">
        <v>0</v>
      </c>
      <c r="M939" t="n">
        <v>0</v>
      </c>
      <c r="N939" t="n">
        <v>0</v>
      </c>
      <c r="O939" t="n">
        <v>0</v>
      </c>
      <c r="P939" t="n">
        <v>0</v>
      </c>
      <c r="Q939" t="n">
        <v>0</v>
      </c>
      <c r="R939" s="2" t="inlineStr"/>
    </row>
    <row r="940" ht="15" customHeight="1">
      <c r="A940" t="inlineStr">
        <is>
          <t>A 11710-2021</t>
        </is>
      </c>
      <c r="B940" s="1" t="n">
        <v>44264</v>
      </c>
      <c r="C940" s="1" t="n">
        <v>45802</v>
      </c>
      <c r="D940" t="inlineStr">
        <is>
          <t>VÄSTERNORRLANDS LÄN</t>
        </is>
      </c>
      <c r="E940" t="inlineStr">
        <is>
          <t>SOLLEFTEÅ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12278-2021</t>
        </is>
      </c>
      <c r="B941" s="1" t="n">
        <v>44266</v>
      </c>
      <c r="C941" s="1" t="n">
        <v>45802</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12277-2021</t>
        </is>
      </c>
      <c r="B942" s="1" t="n">
        <v>44266</v>
      </c>
      <c r="C942" s="1" t="n">
        <v>45802</v>
      </c>
      <c r="D942" t="inlineStr">
        <is>
          <t>VÄSTERNORRLANDS LÄN</t>
        </is>
      </c>
      <c r="E942" t="inlineStr">
        <is>
          <t>SOLLEFTEÅ</t>
        </is>
      </c>
      <c r="F942" t="inlineStr">
        <is>
          <t>SCA</t>
        </is>
      </c>
      <c r="G942" t="n">
        <v>4.5</v>
      </c>
      <c r="H942" t="n">
        <v>0</v>
      </c>
      <c r="I942" t="n">
        <v>0</v>
      </c>
      <c r="J942" t="n">
        <v>0</v>
      </c>
      <c r="K942" t="n">
        <v>0</v>
      </c>
      <c r="L942" t="n">
        <v>0</v>
      </c>
      <c r="M942" t="n">
        <v>0</v>
      </c>
      <c r="N942" t="n">
        <v>0</v>
      </c>
      <c r="O942" t="n">
        <v>0</v>
      </c>
      <c r="P942" t="n">
        <v>0</v>
      </c>
      <c r="Q942" t="n">
        <v>0</v>
      </c>
      <c r="R942" s="2" t="inlineStr"/>
    </row>
    <row r="943" ht="15" customHeight="1">
      <c r="A943" t="inlineStr">
        <is>
          <t>A 12279-2021</t>
        </is>
      </c>
      <c r="B943" s="1" t="n">
        <v>44266</v>
      </c>
      <c r="C943" s="1" t="n">
        <v>45802</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14733-2021</t>
        </is>
      </c>
      <c r="B944" s="1" t="n">
        <v>44280</v>
      </c>
      <c r="C944" s="1" t="n">
        <v>45802</v>
      </c>
      <c r="D944" t="inlineStr">
        <is>
          <t>VÄSTERNORRLANDS LÄN</t>
        </is>
      </c>
      <c r="E944" t="inlineStr">
        <is>
          <t>SOLLEFTEÅ</t>
        </is>
      </c>
      <c r="G944" t="n">
        <v>5.3</v>
      </c>
      <c r="H944" t="n">
        <v>0</v>
      </c>
      <c r="I944" t="n">
        <v>0</v>
      </c>
      <c r="J944" t="n">
        <v>0</v>
      </c>
      <c r="K944" t="n">
        <v>0</v>
      </c>
      <c r="L944" t="n">
        <v>0</v>
      </c>
      <c r="M944" t="n">
        <v>0</v>
      </c>
      <c r="N944" t="n">
        <v>0</v>
      </c>
      <c r="O944" t="n">
        <v>0</v>
      </c>
      <c r="P944" t="n">
        <v>0</v>
      </c>
      <c r="Q944" t="n">
        <v>0</v>
      </c>
      <c r="R944" s="2" t="inlineStr"/>
    </row>
    <row r="945" ht="15" customHeight="1">
      <c r="A945" t="inlineStr">
        <is>
          <t>A 15461-2021</t>
        </is>
      </c>
      <c r="B945" s="1" t="n">
        <v>44285</v>
      </c>
      <c r="C945" s="1" t="n">
        <v>45802</v>
      </c>
      <c r="D945" t="inlineStr">
        <is>
          <t>VÄSTERNORRLANDS LÄN</t>
        </is>
      </c>
      <c r="E945" t="inlineStr">
        <is>
          <t>SOLLEFTEÅ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15894-2021</t>
        </is>
      </c>
      <c r="B946" s="1" t="n">
        <v>44286</v>
      </c>
      <c r="C946" s="1" t="n">
        <v>45802</v>
      </c>
      <c r="D946" t="inlineStr">
        <is>
          <t>VÄSTERNORRLANDS LÄN</t>
        </is>
      </c>
      <c r="E946" t="inlineStr">
        <is>
          <t>SOLLEFTEÅ</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16700-2021</t>
        </is>
      </c>
      <c r="B947" s="1" t="n">
        <v>44293</v>
      </c>
      <c r="C947" s="1" t="n">
        <v>45802</v>
      </c>
      <c r="D947" t="inlineStr">
        <is>
          <t>VÄSTERNORRLANDS LÄN</t>
        </is>
      </c>
      <c r="E947" t="inlineStr">
        <is>
          <t>SOLLEFTEÅ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16799-2021</t>
        </is>
      </c>
      <c r="B948" s="1" t="n">
        <v>44293</v>
      </c>
      <c r="C948" s="1" t="n">
        <v>45802</v>
      </c>
      <c r="D948" t="inlineStr">
        <is>
          <t>VÄSTERNORRLANDS LÄN</t>
        </is>
      </c>
      <c r="E948" t="inlineStr">
        <is>
          <t>SOLLEFTEÅ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16905-2021</t>
        </is>
      </c>
      <c r="B949" s="1" t="n">
        <v>44294</v>
      </c>
      <c r="C949" s="1" t="n">
        <v>45802</v>
      </c>
      <c r="D949" t="inlineStr">
        <is>
          <t>VÄSTERNORRLANDS LÄN</t>
        </is>
      </c>
      <c r="E949" t="inlineStr">
        <is>
          <t>SOLLEFTEÅ</t>
        </is>
      </c>
      <c r="G949" t="n">
        <v>5</v>
      </c>
      <c r="H949" t="n">
        <v>0</v>
      </c>
      <c r="I949" t="n">
        <v>0</v>
      </c>
      <c r="J949" t="n">
        <v>0</v>
      </c>
      <c r="K949" t="n">
        <v>0</v>
      </c>
      <c r="L949" t="n">
        <v>0</v>
      </c>
      <c r="M949" t="n">
        <v>0</v>
      </c>
      <c r="N949" t="n">
        <v>0</v>
      </c>
      <c r="O949" t="n">
        <v>0</v>
      </c>
      <c r="P949" t="n">
        <v>0</v>
      </c>
      <c r="Q949" t="n">
        <v>0</v>
      </c>
      <c r="R949" s="2" t="inlineStr"/>
    </row>
    <row r="950" ht="15" customHeight="1">
      <c r="A950" t="inlineStr">
        <is>
          <t>A 17604-2021</t>
        </is>
      </c>
      <c r="B950" s="1" t="n">
        <v>44299</v>
      </c>
      <c r="C950" s="1" t="n">
        <v>45802</v>
      </c>
      <c r="D950" t="inlineStr">
        <is>
          <t>VÄSTERNORRLANDS LÄN</t>
        </is>
      </c>
      <c r="E950" t="inlineStr">
        <is>
          <t>SOLLEFTEÅ</t>
        </is>
      </c>
      <c r="G950" t="n">
        <v>1.7</v>
      </c>
      <c r="H950" t="n">
        <v>0</v>
      </c>
      <c r="I950" t="n">
        <v>0</v>
      </c>
      <c r="J950" t="n">
        <v>0</v>
      </c>
      <c r="K950" t="n">
        <v>0</v>
      </c>
      <c r="L950" t="n">
        <v>0</v>
      </c>
      <c r="M950" t="n">
        <v>0</v>
      </c>
      <c r="N950" t="n">
        <v>0</v>
      </c>
      <c r="O950" t="n">
        <v>0</v>
      </c>
      <c r="P950" t="n">
        <v>0</v>
      </c>
      <c r="Q950" t="n">
        <v>0</v>
      </c>
      <c r="R950" s="2" t="inlineStr"/>
    </row>
    <row r="951" ht="15" customHeight="1">
      <c r="A951" t="inlineStr">
        <is>
          <t>A 18459-2021</t>
        </is>
      </c>
      <c r="B951" s="1" t="n">
        <v>44306</v>
      </c>
      <c r="C951" s="1" t="n">
        <v>45802</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18668-2021</t>
        </is>
      </c>
      <c r="B952" s="1" t="n">
        <v>44306</v>
      </c>
      <c r="C952" s="1" t="n">
        <v>45802</v>
      </c>
      <c r="D952" t="inlineStr">
        <is>
          <t>VÄSTERNORRLANDS LÄN</t>
        </is>
      </c>
      <c r="E952" t="inlineStr">
        <is>
          <t>SOLLEFTEÅ</t>
        </is>
      </c>
      <c r="G952" t="n">
        <v>12.7</v>
      </c>
      <c r="H952" t="n">
        <v>0</v>
      </c>
      <c r="I952" t="n">
        <v>0</v>
      </c>
      <c r="J952" t="n">
        <v>0</v>
      </c>
      <c r="K952" t="n">
        <v>0</v>
      </c>
      <c r="L952" t="n">
        <v>0</v>
      </c>
      <c r="M952" t="n">
        <v>0</v>
      </c>
      <c r="N952" t="n">
        <v>0</v>
      </c>
      <c r="O952" t="n">
        <v>0</v>
      </c>
      <c r="P952" t="n">
        <v>0</v>
      </c>
      <c r="Q952" t="n">
        <v>0</v>
      </c>
      <c r="R952" s="2" t="inlineStr"/>
    </row>
    <row r="953" ht="15" customHeight="1">
      <c r="A953" t="inlineStr">
        <is>
          <t>A 18741-2021</t>
        </is>
      </c>
      <c r="B953" s="1" t="n">
        <v>44306</v>
      </c>
      <c r="C953" s="1" t="n">
        <v>45802</v>
      </c>
      <c r="D953" t="inlineStr">
        <is>
          <t>VÄSTERNORRLANDS LÄN</t>
        </is>
      </c>
      <c r="E953" t="inlineStr">
        <is>
          <t>SOLLEFTEÅ</t>
        </is>
      </c>
      <c r="F953" t="inlineStr">
        <is>
          <t>Kyrkan</t>
        </is>
      </c>
      <c r="G953" t="n">
        <v>4.8</v>
      </c>
      <c r="H953" t="n">
        <v>0</v>
      </c>
      <c r="I953" t="n">
        <v>0</v>
      </c>
      <c r="J953" t="n">
        <v>0</v>
      </c>
      <c r="K953" t="n">
        <v>0</v>
      </c>
      <c r="L953" t="n">
        <v>0</v>
      </c>
      <c r="M953" t="n">
        <v>0</v>
      </c>
      <c r="N953" t="n">
        <v>0</v>
      </c>
      <c r="O953" t="n">
        <v>0</v>
      </c>
      <c r="P953" t="n">
        <v>0</v>
      </c>
      <c r="Q953" t="n">
        <v>0</v>
      </c>
      <c r="R953" s="2" t="inlineStr"/>
    </row>
    <row r="954" ht="15" customHeight="1">
      <c r="A954" t="inlineStr">
        <is>
          <t>A 18662-2021</t>
        </is>
      </c>
      <c r="B954" s="1" t="n">
        <v>44306</v>
      </c>
      <c r="C954" s="1" t="n">
        <v>45802</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18766-2021</t>
        </is>
      </c>
      <c r="B955" s="1" t="n">
        <v>44307</v>
      </c>
      <c r="C955" s="1" t="n">
        <v>45802</v>
      </c>
      <c r="D955" t="inlineStr">
        <is>
          <t>VÄSTERNORRLANDS LÄN</t>
        </is>
      </c>
      <c r="E955" t="inlineStr">
        <is>
          <t>SOLLEFTEÅ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18761-2021</t>
        </is>
      </c>
      <c r="B956" s="1" t="n">
        <v>44307</v>
      </c>
      <c r="C956" s="1" t="n">
        <v>45802</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18873-2021</t>
        </is>
      </c>
      <c r="B957" s="1" t="n">
        <v>44308</v>
      </c>
      <c r="C957" s="1" t="n">
        <v>45802</v>
      </c>
      <c r="D957" t="inlineStr">
        <is>
          <t>VÄSTERNORRLANDS LÄN</t>
        </is>
      </c>
      <c r="E957" t="inlineStr">
        <is>
          <t>SOLLEFTEÅ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18878-2021</t>
        </is>
      </c>
      <c r="B958" s="1" t="n">
        <v>44307</v>
      </c>
      <c r="C958" s="1" t="n">
        <v>45802</v>
      </c>
      <c r="D958" t="inlineStr">
        <is>
          <t>VÄSTERNORRLANDS LÄN</t>
        </is>
      </c>
      <c r="E958" t="inlineStr">
        <is>
          <t>SOLLEFTEÅ</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18867-2021</t>
        </is>
      </c>
      <c r="B959" s="1" t="n">
        <v>44307</v>
      </c>
      <c r="C959" s="1" t="n">
        <v>45802</v>
      </c>
      <c r="D959" t="inlineStr">
        <is>
          <t>VÄSTERNORRLANDS LÄN</t>
        </is>
      </c>
      <c r="E959" t="inlineStr">
        <is>
          <t>SOLLEFTEÅ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18882-2021</t>
        </is>
      </c>
      <c r="B960" s="1" t="n">
        <v>44308</v>
      </c>
      <c r="C960" s="1" t="n">
        <v>45802</v>
      </c>
      <c r="D960" t="inlineStr">
        <is>
          <t>VÄSTERNORRLANDS LÄN</t>
        </is>
      </c>
      <c r="E960" t="inlineStr">
        <is>
          <t>SOLLEFTEÅ</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18875-2021</t>
        </is>
      </c>
      <c r="B961" s="1" t="n">
        <v>44307</v>
      </c>
      <c r="C961" s="1" t="n">
        <v>45802</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18866-2021</t>
        </is>
      </c>
      <c r="B962" s="1" t="n">
        <v>44308</v>
      </c>
      <c r="C962" s="1" t="n">
        <v>45802</v>
      </c>
      <c r="D962" t="inlineStr">
        <is>
          <t>VÄSTERNORRLANDS LÄN</t>
        </is>
      </c>
      <c r="E962" t="inlineStr">
        <is>
          <t>SOLLEFTEÅ</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18874-2021</t>
        </is>
      </c>
      <c r="B963" s="1" t="n">
        <v>44308</v>
      </c>
      <c r="C963" s="1" t="n">
        <v>45802</v>
      </c>
      <c r="D963" t="inlineStr">
        <is>
          <t>VÄSTERNORRLANDS LÄN</t>
        </is>
      </c>
      <c r="E963" t="inlineStr">
        <is>
          <t>SOLLEFTEÅ</t>
        </is>
      </c>
      <c r="F963" t="inlineStr">
        <is>
          <t>SCA</t>
        </is>
      </c>
      <c r="G963" t="n">
        <v>10.7</v>
      </c>
      <c r="H963" t="n">
        <v>0</v>
      </c>
      <c r="I963" t="n">
        <v>0</v>
      </c>
      <c r="J963" t="n">
        <v>0</v>
      </c>
      <c r="K963" t="n">
        <v>0</v>
      </c>
      <c r="L963" t="n">
        <v>0</v>
      </c>
      <c r="M963" t="n">
        <v>0</v>
      </c>
      <c r="N963" t="n">
        <v>0</v>
      </c>
      <c r="O963" t="n">
        <v>0</v>
      </c>
      <c r="P963" t="n">
        <v>0</v>
      </c>
      <c r="Q963" t="n">
        <v>0</v>
      </c>
      <c r="R963" s="2" t="inlineStr"/>
    </row>
    <row r="964" ht="15" customHeight="1">
      <c r="A964" t="inlineStr">
        <is>
          <t>A 18879-2021</t>
        </is>
      </c>
      <c r="B964" s="1" t="n">
        <v>44307</v>
      </c>
      <c r="C964" s="1" t="n">
        <v>45802</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18868-2021</t>
        </is>
      </c>
      <c r="B965" s="1" t="n">
        <v>44307</v>
      </c>
      <c r="C965" s="1" t="n">
        <v>45802</v>
      </c>
      <c r="D965" t="inlineStr">
        <is>
          <t>VÄSTERNORRLANDS LÄN</t>
        </is>
      </c>
      <c r="E965" t="inlineStr">
        <is>
          <t>SOLLEFTEÅ</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18877-2021</t>
        </is>
      </c>
      <c r="B966" s="1" t="n">
        <v>44308</v>
      </c>
      <c r="C966" s="1" t="n">
        <v>45802</v>
      </c>
      <c r="D966" t="inlineStr">
        <is>
          <t>VÄSTERNORRLANDS LÄN</t>
        </is>
      </c>
      <c r="E966" t="inlineStr">
        <is>
          <t>SOLLEFTEÅ</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18889-2021</t>
        </is>
      </c>
      <c r="B967" s="1" t="n">
        <v>44308</v>
      </c>
      <c r="C967" s="1" t="n">
        <v>45802</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19200-2021</t>
        </is>
      </c>
      <c r="B968" s="1" t="n">
        <v>44309</v>
      </c>
      <c r="C968" s="1" t="n">
        <v>45802</v>
      </c>
      <c r="D968" t="inlineStr">
        <is>
          <t>VÄSTERNORRLANDS LÄN</t>
        </is>
      </c>
      <c r="E968" t="inlineStr">
        <is>
          <t>SOLLEFTEÅ</t>
        </is>
      </c>
      <c r="G968" t="n">
        <v>12.7</v>
      </c>
      <c r="H968" t="n">
        <v>0</v>
      </c>
      <c r="I968" t="n">
        <v>0</v>
      </c>
      <c r="J968" t="n">
        <v>0</v>
      </c>
      <c r="K968" t="n">
        <v>0</v>
      </c>
      <c r="L968" t="n">
        <v>0</v>
      </c>
      <c r="M968" t="n">
        <v>0</v>
      </c>
      <c r="N968" t="n">
        <v>0</v>
      </c>
      <c r="O968" t="n">
        <v>0</v>
      </c>
      <c r="P968" t="n">
        <v>0</v>
      </c>
      <c r="Q968" t="n">
        <v>0</v>
      </c>
      <c r="R968" s="2" t="inlineStr"/>
    </row>
    <row r="969" ht="15" customHeight="1">
      <c r="A969" t="inlineStr">
        <is>
          <t>A 19510-2021</t>
        </is>
      </c>
      <c r="B969" s="1" t="n">
        <v>44308</v>
      </c>
      <c r="C969" s="1" t="n">
        <v>45802</v>
      </c>
      <c r="D969" t="inlineStr">
        <is>
          <t>VÄSTERNORRLANDS LÄN</t>
        </is>
      </c>
      <c r="E969" t="inlineStr">
        <is>
          <t>SOLLEFTEÅ</t>
        </is>
      </c>
      <c r="F969" t="inlineStr">
        <is>
          <t>Kyrkan</t>
        </is>
      </c>
      <c r="G969" t="n">
        <v>19.6</v>
      </c>
      <c r="H969" t="n">
        <v>0</v>
      </c>
      <c r="I969" t="n">
        <v>0</v>
      </c>
      <c r="J969" t="n">
        <v>0</v>
      </c>
      <c r="K969" t="n">
        <v>0</v>
      </c>
      <c r="L969" t="n">
        <v>0</v>
      </c>
      <c r="M969" t="n">
        <v>0</v>
      </c>
      <c r="N969" t="n">
        <v>0</v>
      </c>
      <c r="O969" t="n">
        <v>0</v>
      </c>
      <c r="P969" t="n">
        <v>0</v>
      </c>
      <c r="Q969" t="n">
        <v>0</v>
      </c>
      <c r="R969" s="2" t="inlineStr"/>
    </row>
    <row r="970" ht="15" customHeight="1">
      <c r="A970" t="inlineStr">
        <is>
          <t>A 19220-2021</t>
        </is>
      </c>
      <c r="B970" s="1" t="n">
        <v>44309</v>
      </c>
      <c r="C970" s="1" t="n">
        <v>45802</v>
      </c>
      <c r="D970" t="inlineStr">
        <is>
          <t>VÄSTERNORRLANDS LÄN</t>
        </is>
      </c>
      <c r="E970" t="inlineStr">
        <is>
          <t>SOLLEFTEÅ</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19433-2021</t>
        </is>
      </c>
      <c r="B971" s="1" t="n">
        <v>44310</v>
      </c>
      <c r="C971" s="1" t="n">
        <v>45802</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19412-2021</t>
        </is>
      </c>
      <c r="B972" s="1" t="n">
        <v>44310</v>
      </c>
      <c r="C972" s="1" t="n">
        <v>45802</v>
      </c>
      <c r="D972" t="inlineStr">
        <is>
          <t>VÄSTERNORRLANDS LÄN</t>
        </is>
      </c>
      <c r="E972" t="inlineStr">
        <is>
          <t>SOLLEFTEÅ</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19435-2021</t>
        </is>
      </c>
      <c r="B973" s="1" t="n">
        <v>44310</v>
      </c>
      <c r="C973" s="1" t="n">
        <v>45802</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19516-2021</t>
        </is>
      </c>
      <c r="B974" s="1" t="n">
        <v>44309</v>
      </c>
      <c r="C974" s="1" t="n">
        <v>45802</v>
      </c>
      <c r="D974" t="inlineStr">
        <is>
          <t>VÄSTERNORRLANDS LÄN</t>
        </is>
      </c>
      <c r="E974" t="inlineStr">
        <is>
          <t>SOLLEFTEÅ</t>
        </is>
      </c>
      <c r="G974" t="n">
        <v>15.6</v>
      </c>
      <c r="H974" t="n">
        <v>0</v>
      </c>
      <c r="I974" t="n">
        <v>0</v>
      </c>
      <c r="J974" t="n">
        <v>0</v>
      </c>
      <c r="K974" t="n">
        <v>0</v>
      </c>
      <c r="L974" t="n">
        <v>0</v>
      </c>
      <c r="M974" t="n">
        <v>0</v>
      </c>
      <c r="N974" t="n">
        <v>0</v>
      </c>
      <c r="O974" t="n">
        <v>0</v>
      </c>
      <c r="P974" t="n">
        <v>0</v>
      </c>
      <c r="Q974" t="n">
        <v>0</v>
      </c>
      <c r="R974" s="2" t="inlineStr"/>
    </row>
    <row r="975" ht="15" customHeight="1">
      <c r="A975" t="inlineStr">
        <is>
          <t>A 19830-2021</t>
        </is>
      </c>
      <c r="B975" s="1" t="n">
        <v>44312</v>
      </c>
      <c r="C975" s="1" t="n">
        <v>45802</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19637-2021</t>
        </is>
      </c>
      <c r="B976" s="1" t="n">
        <v>44312</v>
      </c>
      <c r="C976" s="1" t="n">
        <v>45802</v>
      </c>
      <c r="D976" t="inlineStr">
        <is>
          <t>VÄSTERNORRLANDS LÄN</t>
        </is>
      </c>
      <c r="E976" t="inlineStr">
        <is>
          <t>SOLLEFTEÅ</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21341-2021</t>
        </is>
      </c>
      <c r="B977" s="1" t="n">
        <v>44321</v>
      </c>
      <c r="C977" s="1" t="n">
        <v>45802</v>
      </c>
      <c r="D977" t="inlineStr">
        <is>
          <t>VÄSTERNORRLANDS LÄN</t>
        </is>
      </c>
      <c r="E977" t="inlineStr">
        <is>
          <t>SOLLEFTEÅ</t>
        </is>
      </c>
      <c r="G977" t="n">
        <v>4.1</v>
      </c>
      <c r="H977" t="n">
        <v>0</v>
      </c>
      <c r="I977" t="n">
        <v>0</v>
      </c>
      <c r="J977" t="n">
        <v>0</v>
      </c>
      <c r="K977" t="n">
        <v>0</v>
      </c>
      <c r="L977" t="n">
        <v>0</v>
      </c>
      <c r="M977" t="n">
        <v>0</v>
      </c>
      <c r="N977" t="n">
        <v>0</v>
      </c>
      <c r="O977" t="n">
        <v>0</v>
      </c>
      <c r="P977" t="n">
        <v>0</v>
      </c>
      <c r="Q977" t="n">
        <v>0</v>
      </c>
      <c r="R977" s="2" t="inlineStr"/>
    </row>
    <row r="978" ht="15" customHeight="1">
      <c r="A978" t="inlineStr">
        <is>
          <t>A 21350-2021</t>
        </is>
      </c>
      <c r="B978" s="1" t="n">
        <v>44321</v>
      </c>
      <c r="C978" s="1" t="n">
        <v>45802</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21358-2021</t>
        </is>
      </c>
      <c r="B979" s="1" t="n">
        <v>44320</v>
      </c>
      <c r="C979" s="1" t="n">
        <v>45802</v>
      </c>
      <c r="D979" t="inlineStr">
        <is>
          <t>VÄSTERNORRLANDS LÄN</t>
        </is>
      </c>
      <c r="E979" t="inlineStr">
        <is>
          <t>SOLLEFTEÅ</t>
        </is>
      </c>
      <c r="G979" t="n">
        <v>2.1</v>
      </c>
      <c r="H979" t="n">
        <v>0</v>
      </c>
      <c r="I979" t="n">
        <v>0</v>
      </c>
      <c r="J979" t="n">
        <v>0</v>
      </c>
      <c r="K979" t="n">
        <v>0</v>
      </c>
      <c r="L979" t="n">
        <v>0</v>
      </c>
      <c r="M979" t="n">
        <v>0</v>
      </c>
      <c r="N979" t="n">
        <v>0</v>
      </c>
      <c r="O979" t="n">
        <v>0</v>
      </c>
      <c r="P979" t="n">
        <v>0</v>
      </c>
      <c r="Q979" t="n">
        <v>0</v>
      </c>
      <c r="R979" s="2" t="inlineStr"/>
    </row>
    <row r="980" ht="15" customHeight="1">
      <c r="A980" t="inlineStr">
        <is>
          <t>A 21362-2021</t>
        </is>
      </c>
      <c r="B980" s="1" t="n">
        <v>44321</v>
      </c>
      <c r="C980" s="1" t="n">
        <v>45802</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21532-2021</t>
        </is>
      </c>
      <c r="B981" s="1" t="n">
        <v>44321</v>
      </c>
      <c r="C981" s="1" t="n">
        <v>45802</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21589-2021</t>
        </is>
      </c>
      <c r="B982" s="1" t="n">
        <v>44321</v>
      </c>
      <c r="C982" s="1" t="n">
        <v>45802</v>
      </c>
      <c r="D982" t="inlineStr">
        <is>
          <t>VÄSTERNORRLANDS LÄN</t>
        </is>
      </c>
      <c r="E982" t="inlineStr">
        <is>
          <t>SOLLEFTEÅ</t>
        </is>
      </c>
      <c r="G982" t="n">
        <v>7</v>
      </c>
      <c r="H982" t="n">
        <v>0</v>
      </c>
      <c r="I982" t="n">
        <v>0</v>
      </c>
      <c r="J982" t="n">
        <v>0</v>
      </c>
      <c r="K982" t="n">
        <v>0</v>
      </c>
      <c r="L982" t="n">
        <v>0</v>
      </c>
      <c r="M982" t="n">
        <v>0</v>
      </c>
      <c r="N982" t="n">
        <v>0</v>
      </c>
      <c r="O982" t="n">
        <v>0</v>
      </c>
      <c r="P982" t="n">
        <v>0</v>
      </c>
      <c r="Q982" t="n">
        <v>0</v>
      </c>
      <c r="R982" s="2" t="inlineStr"/>
    </row>
    <row r="983" ht="15" customHeight="1">
      <c r="A983" t="inlineStr">
        <is>
          <t>A 21711-2021</t>
        </is>
      </c>
      <c r="B983" s="1" t="n">
        <v>44322</v>
      </c>
      <c r="C983" s="1" t="n">
        <v>45802</v>
      </c>
      <c r="D983" t="inlineStr">
        <is>
          <t>VÄSTERNORRLANDS LÄN</t>
        </is>
      </c>
      <c r="E983" t="inlineStr">
        <is>
          <t>SOLLEFTEÅ</t>
        </is>
      </c>
      <c r="F983" t="inlineStr">
        <is>
          <t>Kyrkan</t>
        </is>
      </c>
      <c r="G983" t="n">
        <v>22.2</v>
      </c>
      <c r="H983" t="n">
        <v>0</v>
      </c>
      <c r="I983" t="n">
        <v>0</v>
      </c>
      <c r="J983" t="n">
        <v>0</v>
      </c>
      <c r="K983" t="n">
        <v>0</v>
      </c>
      <c r="L983" t="n">
        <v>0</v>
      </c>
      <c r="M983" t="n">
        <v>0</v>
      </c>
      <c r="N983" t="n">
        <v>0</v>
      </c>
      <c r="O983" t="n">
        <v>0</v>
      </c>
      <c r="P983" t="n">
        <v>0</v>
      </c>
      <c r="Q983" t="n">
        <v>0</v>
      </c>
      <c r="R983" s="2" t="inlineStr"/>
    </row>
    <row r="984" ht="15" customHeight="1">
      <c r="A984" t="inlineStr">
        <is>
          <t>A 21924-2021</t>
        </is>
      </c>
      <c r="B984" s="1" t="n">
        <v>44323</v>
      </c>
      <c r="C984" s="1" t="n">
        <v>45802</v>
      </c>
      <c r="D984" t="inlineStr">
        <is>
          <t>VÄSTERNORRLANDS LÄN</t>
        </is>
      </c>
      <c r="E984" t="inlineStr">
        <is>
          <t>SOLLEFTEÅ</t>
        </is>
      </c>
      <c r="G984" t="n">
        <v>3.6</v>
      </c>
      <c r="H984" t="n">
        <v>0</v>
      </c>
      <c r="I984" t="n">
        <v>0</v>
      </c>
      <c r="J984" t="n">
        <v>0</v>
      </c>
      <c r="K984" t="n">
        <v>0</v>
      </c>
      <c r="L984" t="n">
        <v>0</v>
      </c>
      <c r="M984" t="n">
        <v>0</v>
      </c>
      <c r="N984" t="n">
        <v>0</v>
      </c>
      <c r="O984" t="n">
        <v>0</v>
      </c>
      <c r="P984" t="n">
        <v>0</v>
      </c>
      <c r="Q984" t="n">
        <v>0</v>
      </c>
      <c r="R984" s="2" t="inlineStr"/>
    </row>
    <row r="985" ht="15" customHeight="1">
      <c r="A985" t="inlineStr">
        <is>
          <t>A 22447-2021</t>
        </is>
      </c>
      <c r="B985" s="1" t="n">
        <v>44323</v>
      </c>
      <c r="C985" s="1" t="n">
        <v>45802</v>
      </c>
      <c r="D985" t="inlineStr">
        <is>
          <t>VÄSTERNORRLANDS LÄN</t>
        </is>
      </c>
      <c r="E985" t="inlineStr">
        <is>
          <t>SOLLEFTEÅ</t>
        </is>
      </c>
      <c r="G985" t="n">
        <v>1.4</v>
      </c>
      <c r="H985" t="n">
        <v>0</v>
      </c>
      <c r="I985" t="n">
        <v>0</v>
      </c>
      <c r="J985" t="n">
        <v>0</v>
      </c>
      <c r="K985" t="n">
        <v>0</v>
      </c>
      <c r="L985" t="n">
        <v>0</v>
      </c>
      <c r="M985" t="n">
        <v>0</v>
      </c>
      <c r="N985" t="n">
        <v>0</v>
      </c>
      <c r="O985" t="n">
        <v>0</v>
      </c>
      <c r="P985" t="n">
        <v>0</v>
      </c>
      <c r="Q985" t="n">
        <v>0</v>
      </c>
      <c r="R985" s="2" t="inlineStr"/>
    </row>
    <row r="986" ht="15" customHeight="1">
      <c r="A986" t="inlineStr">
        <is>
          <t>A 22441-2021</t>
        </is>
      </c>
      <c r="B986" s="1" t="n">
        <v>44323</v>
      </c>
      <c r="C986" s="1" t="n">
        <v>45802</v>
      </c>
      <c r="D986" t="inlineStr">
        <is>
          <t>VÄSTERNORRLANDS LÄN</t>
        </is>
      </c>
      <c r="E986" t="inlineStr">
        <is>
          <t>SOLLEFTEÅ</t>
        </is>
      </c>
      <c r="G986" t="n">
        <v>2.2</v>
      </c>
      <c r="H986" t="n">
        <v>0</v>
      </c>
      <c r="I986" t="n">
        <v>0</v>
      </c>
      <c r="J986" t="n">
        <v>0</v>
      </c>
      <c r="K986" t="n">
        <v>0</v>
      </c>
      <c r="L986" t="n">
        <v>0</v>
      </c>
      <c r="M986" t="n">
        <v>0</v>
      </c>
      <c r="N986" t="n">
        <v>0</v>
      </c>
      <c r="O986" t="n">
        <v>0</v>
      </c>
      <c r="P986" t="n">
        <v>0</v>
      </c>
      <c r="Q986" t="n">
        <v>0</v>
      </c>
      <c r="R986" s="2" t="inlineStr"/>
    </row>
    <row r="987" ht="15" customHeight="1">
      <c r="A987" t="inlineStr">
        <is>
          <t>A 22224-2021</t>
        </is>
      </c>
      <c r="B987" s="1" t="n">
        <v>44326</v>
      </c>
      <c r="C987" s="1" t="n">
        <v>45802</v>
      </c>
      <c r="D987" t="inlineStr">
        <is>
          <t>VÄSTERNORRLANDS LÄN</t>
        </is>
      </c>
      <c r="E987" t="inlineStr">
        <is>
          <t>SOLLEFTEÅ</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22934-2021</t>
        </is>
      </c>
      <c r="B988" s="1" t="n">
        <v>44328</v>
      </c>
      <c r="C988" s="1" t="n">
        <v>45802</v>
      </c>
      <c r="D988" t="inlineStr">
        <is>
          <t>VÄSTERNORRLANDS LÄN</t>
        </is>
      </c>
      <c r="E988" t="inlineStr">
        <is>
          <t>SOLLEFTEÅ</t>
        </is>
      </c>
      <c r="G988" t="n">
        <v>10</v>
      </c>
      <c r="H988" t="n">
        <v>0</v>
      </c>
      <c r="I988" t="n">
        <v>0</v>
      </c>
      <c r="J988" t="n">
        <v>0</v>
      </c>
      <c r="K988" t="n">
        <v>0</v>
      </c>
      <c r="L988" t="n">
        <v>0</v>
      </c>
      <c r="M988" t="n">
        <v>0</v>
      </c>
      <c r="N988" t="n">
        <v>0</v>
      </c>
      <c r="O988" t="n">
        <v>0</v>
      </c>
      <c r="P988" t="n">
        <v>0</v>
      </c>
      <c r="Q988" t="n">
        <v>0</v>
      </c>
      <c r="R988" s="2" t="inlineStr"/>
    </row>
    <row r="989" ht="15" customHeight="1">
      <c r="A989" t="inlineStr">
        <is>
          <t>A 23033-2021</t>
        </is>
      </c>
      <c r="B989" s="1" t="n">
        <v>44329</v>
      </c>
      <c r="C989" s="1" t="n">
        <v>45802</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23032-2021</t>
        </is>
      </c>
      <c r="B990" s="1" t="n">
        <v>44329</v>
      </c>
      <c r="C990" s="1" t="n">
        <v>45802</v>
      </c>
      <c r="D990" t="inlineStr">
        <is>
          <t>VÄSTERNORRLANDS LÄN</t>
        </is>
      </c>
      <c r="E990" t="inlineStr">
        <is>
          <t>SOLLEFTEÅ</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23034-2021</t>
        </is>
      </c>
      <c r="B991" s="1" t="n">
        <v>44329</v>
      </c>
      <c r="C991" s="1" t="n">
        <v>45802</v>
      </c>
      <c r="D991" t="inlineStr">
        <is>
          <t>VÄSTERNORRLANDS LÄN</t>
        </is>
      </c>
      <c r="E991" t="inlineStr">
        <is>
          <t>SOLLEFTEÅ</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23030-2021</t>
        </is>
      </c>
      <c r="B992" s="1" t="n">
        <v>44329</v>
      </c>
      <c r="C992" s="1" t="n">
        <v>45802</v>
      </c>
      <c r="D992" t="inlineStr">
        <is>
          <t>VÄSTERNORRLANDS LÄN</t>
        </is>
      </c>
      <c r="E992" t="inlineStr">
        <is>
          <t>SOLLEFTEÅ</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23069-2021</t>
        </is>
      </c>
      <c r="B993" s="1" t="n">
        <v>44330</v>
      </c>
      <c r="C993" s="1" t="n">
        <v>45802</v>
      </c>
      <c r="D993" t="inlineStr">
        <is>
          <t>VÄSTERNORRLANDS LÄN</t>
        </is>
      </c>
      <c r="E993" t="inlineStr">
        <is>
          <t>SOLLEFTEÅ</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23394-2021</t>
        </is>
      </c>
      <c r="B994" s="1" t="n">
        <v>44333</v>
      </c>
      <c r="C994" s="1" t="n">
        <v>45802</v>
      </c>
      <c r="D994" t="inlineStr">
        <is>
          <t>VÄSTERNORRLANDS LÄN</t>
        </is>
      </c>
      <c r="E994" t="inlineStr">
        <is>
          <t>SOLLEFTEÅ</t>
        </is>
      </c>
      <c r="G994" t="n">
        <v>2.1</v>
      </c>
      <c r="H994" t="n">
        <v>0</v>
      </c>
      <c r="I994" t="n">
        <v>0</v>
      </c>
      <c r="J994" t="n">
        <v>0</v>
      </c>
      <c r="K994" t="n">
        <v>0</v>
      </c>
      <c r="L994" t="n">
        <v>0</v>
      </c>
      <c r="M994" t="n">
        <v>0</v>
      </c>
      <c r="N994" t="n">
        <v>0</v>
      </c>
      <c r="O994" t="n">
        <v>0</v>
      </c>
      <c r="P994" t="n">
        <v>0</v>
      </c>
      <c r="Q994" t="n">
        <v>0</v>
      </c>
      <c r="R994" s="2" t="inlineStr"/>
    </row>
    <row r="995" ht="15" customHeight="1">
      <c r="A995" t="inlineStr">
        <is>
          <t>A 23639-2021</t>
        </is>
      </c>
      <c r="B995" s="1" t="n">
        <v>44334</v>
      </c>
      <c r="C995" s="1" t="n">
        <v>45802</v>
      </c>
      <c r="D995" t="inlineStr">
        <is>
          <t>VÄSTERNORRLANDS LÄN</t>
        </is>
      </c>
      <c r="E995" t="inlineStr">
        <is>
          <t>SOLLEFTEÅ</t>
        </is>
      </c>
      <c r="F995" t="inlineStr">
        <is>
          <t>Kyrkan</t>
        </is>
      </c>
      <c r="G995" t="n">
        <v>5.4</v>
      </c>
      <c r="H995" t="n">
        <v>0</v>
      </c>
      <c r="I995" t="n">
        <v>0</v>
      </c>
      <c r="J995" t="n">
        <v>0</v>
      </c>
      <c r="K995" t="n">
        <v>0</v>
      </c>
      <c r="L995" t="n">
        <v>0</v>
      </c>
      <c r="M995" t="n">
        <v>0</v>
      </c>
      <c r="N995" t="n">
        <v>0</v>
      </c>
      <c r="O995" t="n">
        <v>0</v>
      </c>
      <c r="P995" t="n">
        <v>0</v>
      </c>
      <c r="Q995" t="n">
        <v>0</v>
      </c>
      <c r="R995" s="2" t="inlineStr"/>
    </row>
    <row r="996" ht="15" customHeight="1">
      <c r="A996" t="inlineStr">
        <is>
          <t>A 23689-2021</t>
        </is>
      </c>
      <c r="B996" s="1" t="n">
        <v>44334</v>
      </c>
      <c r="C996" s="1" t="n">
        <v>45802</v>
      </c>
      <c r="D996" t="inlineStr">
        <is>
          <t>VÄSTERNORRLANDS LÄN</t>
        </is>
      </c>
      <c r="E996" t="inlineStr">
        <is>
          <t>SOLLEFTEÅ</t>
        </is>
      </c>
      <c r="G996" t="n">
        <v>14.9</v>
      </c>
      <c r="H996" t="n">
        <v>0</v>
      </c>
      <c r="I996" t="n">
        <v>0</v>
      </c>
      <c r="J996" t="n">
        <v>0</v>
      </c>
      <c r="K996" t="n">
        <v>0</v>
      </c>
      <c r="L996" t="n">
        <v>0</v>
      </c>
      <c r="M996" t="n">
        <v>0</v>
      </c>
      <c r="N996" t="n">
        <v>0</v>
      </c>
      <c r="O996" t="n">
        <v>0</v>
      </c>
      <c r="P996" t="n">
        <v>0</v>
      </c>
      <c r="Q996" t="n">
        <v>0</v>
      </c>
      <c r="R996" s="2" t="inlineStr"/>
    </row>
    <row r="997" ht="15" customHeight="1">
      <c r="A997" t="inlineStr">
        <is>
          <t>A 23770-2021</t>
        </is>
      </c>
      <c r="B997" s="1" t="n">
        <v>44335</v>
      </c>
      <c r="C997" s="1" t="n">
        <v>45802</v>
      </c>
      <c r="D997" t="inlineStr">
        <is>
          <t>VÄSTERNORRLANDS LÄN</t>
        </is>
      </c>
      <c r="E997" t="inlineStr">
        <is>
          <t>SOLLEFTEÅ</t>
        </is>
      </c>
      <c r="G997" t="n">
        <v>1.4</v>
      </c>
      <c r="H997" t="n">
        <v>0</v>
      </c>
      <c r="I997" t="n">
        <v>0</v>
      </c>
      <c r="J997" t="n">
        <v>0</v>
      </c>
      <c r="K997" t="n">
        <v>0</v>
      </c>
      <c r="L997" t="n">
        <v>0</v>
      </c>
      <c r="M997" t="n">
        <v>0</v>
      </c>
      <c r="N997" t="n">
        <v>0</v>
      </c>
      <c r="O997" t="n">
        <v>0</v>
      </c>
      <c r="P997" t="n">
        <v>0</v>
      </c>
      <c r="Q997" t="n">
        <v>0</v>
      </c>
      <c r="R997" s="2" t="inlineStr"/>
    </row>
    <row r="998" ht="15" customHeight="1">
      <c r="A998" t="inlineStr">
        <is>
          <t>A 23753-2021</t>
        </is>
      </c>
      <c r="B998" s="1" t="n">
        <v>44334</v>
      </c>
      <c r="C998" s="1" t="n">
        <v>45802</v>
      </c>
      <c r="D998" t="inlineStr">
        <is>
          <t>VÄSTERNORRLANDS LÄN</t>
        </is>
      </c>
      <c r="E998" t="inlineStr">
        <is>
          <t>SOLLEFTEÅ</t>
        </is>
      </c>
      <c r="G998" t="n">
        <v>14.8</v>
      </c>
      <c r="H998" t="n">
        <v>0</v>
      </c>
      <c r="I998" t="n">
        <v>0</v>
      </c>
      <c r="J998" t="n">
        <v>0</v>
      </c>
      <c r="K998" t="n">
        <v>0</v>
      </c>
      <c r="L998" t="n">
        <v>0</v>
      </c>
      <c r="M998" t="n">
        <v>0</v>
      </c>
      <c r="N998" t="n">
        <v>0</v>
      </c>
      <c r="O998" t="n">
        <v>0</v>
      </c>
      <c r="P998" t="n">
        <v>0</v>
      </c>
      <c r="Q998" t="n">
        <v>0</v>
      </c>
      <c r="R998" s="2" t="inlineStr"/>
    </row>
    <row r="999" ht="15" customHeight="1">
      <c r="A999" t="inlineStr">
        <is>
          <t>A 23814-2021</t>
        </is>
      </c>
      <c r="B999" s="1" t="n">
        <v>44335</v>
      </c>
      <c r="C999" s="1" t="n">
        <v>45802</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24243-2021</t>
        </is>
      </c>
      <c r="B1000" s="1" t="n">
        <v>44336</v>
      </c>
      <c r="C1000" s="1" t="n">
        <v>45802</v>
      </c>
      <c r="D1000" t="inlineStr">
        <is>
          <t>VÄSTERNORRLANDS LÄN</t>
        </is>
      </c>
      <c r="E1000" t="inlineStr">
        <is>
          <t>SOLLEFTEÅ</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24244-2021</t>
        </is>
      </c>
      <c r="B1001" s="1" t="n">
        <v>44337</v>
      </c>
      <c r="C1001" s="1" t="n">
        <v>45802</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24720-2021</t>
        </is>
      </c>
      <c r="B1002" s="1" t="n">
        <v>44340</v>
      </c>
      <c r="C1002" s="1" t="n">
        <v>45802</v>
      </c>
      <c r="D1002" t="inlineStr">
        <is>
          <t>VÄSTERNORRLANDS LÄN</t>
        </is>
      </c>
      <c r="E1002" t="inlineStr">
        <is>
          <t>SOLLEFTEÅ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24731-2021</t>
        </is>
      </c>
      <c r="B1003" s="1" t="n">
        <v>44340</v>
      </c>
      <c r="C1003" s="1" t="n">
        <v>45802</v>
      </c>
      <c r="D1003" t="inlineStr">
        <is>
          <t>VÄSTERNORRLANDS LÄN</t>
        </is>
      </c>
      <c r="E1003" t="inlineStr">
        <is>
          <t>SOLLEFTEÅ</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25183-2021</t>
        </is>
      </c>
      <c r="B1004" s="1" t="n">
        <v>44341</v>
      </c>
      <c r="C1004" s="1" t="n">
        <v>45802</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25156-2021</t>
        </is>
      </c>
      <c r="B1005" s="1" t="n">
        <v>44341</v>
      </c>
      <c r="C1005" s="1" t="n">
        <v>45802</v>
      </c>
      <c r="D1005" t="inlineStr">
        <is>
          <t>VÄSTERNORRLANDS LÄN</t>
        </is>
      </c>
      <c r="E1005" t="inlineStr">
        <is>
          <t>SOLLEFTEÅ</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25152-2021</t>
        </is>
      </c>
      <c r="B1006" s="1" t="n">
        <v>44341</v>
      </c>
      <c r="C1006" s="1" t="n">
        <v>45802</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25329-2021</t>
        </is>
      </c>
      <c r="B1007" s="1" t="n">
        <v>44342</v>
      </c>
      <c r="C1007" s="1" t="n">
        <v>45802</v>
      </c>
      <c r="D1007" t="inlineStr">
        <is>
          <t>VÄSTERNORRLANDS LÄN</t>
        </is>
      </c>
      <c r="E1007" t="inlineStr">
        <is>
          <t>SOLLEFTEÅ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25345-2021</t>
        </is>
      </c>
      <c r="B1008" s="1" t="n">
        <v>44342</v>
      </c>
      <c r="C1008" s="1" t="n">
        <v>45802</v>
      </c>
      <c r="D1008" t="inlineStr">
        <is>
          <t>VÄSTERNORRLANDS LÄN</t>
        </is>
      </c>
      <c r="E1008" t="inlineStr">
        <is>
          <t>SOLLEFTEÅ</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25522-2021</t>
        </is>
      </c>
      <c r="B1009" s="1" t="n">
        <v>44342</v>
      </c>
      <c r="C1009" s="1" t="n">
        <v>45802</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25999-2021</t>
        </is>
      </c>
      <c r="B1010" s="1" t="n">
        <v>44344</v>
      </c>
      <c r="C1010" s="1" t="n">
        <v>45802</v>
      </c>
      <c r="D1010" t="inlineStr">
        <is>
          <t>VÄSTERNORRLANDS LÄN</t>
        </is>
      </c>
      <c r="E1010" t="inlineStr">
        <is>
          <t>SOLLEFTEÅ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25877-2021</t>
        </is>
      </c>
      <c r="B1011" s="1" t="n">
        <v>44344</v>
      </c>
      <c r="C1011" s="1" t="n">
        <v>45802</v>
      </c>
      <c r="D1011" t="inlineStr">
        <is>
          <t>VÄSTERNORRLANDS LÄN</t>
        </is>
      </c>
      <c r="E1011" t="inlineStr">
        <is>
          <t>SOLLEFTEÅ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25989-2021</t>
        </is>
      </c>
      <c r="B1012" s="1" t="n">
        <v>44344</v>
      </c>
      <c r="C1012" s="1" t="n">
        <v>45802</v>
      </c>
      <c r="D1012" t="inlineStr">
        <is>
          <t>VÄSTERNORRLANDS LÄN</t>
        </is>
      </c>
      <c r="E1012" t="inlineStr">
        <is>
          <t>SOLLEFTEÅ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26406-2021</t>
        </is>
      </c>
      <c r="B1013" s="1" t="n">
        <v>44347</v>
      </c>
      <c r="C1013" s="1" t="n">
        <v>45802</v>
      </c>
      <c r="D1013" t="inlineStr">
        <is>
          <t>VÄSTERNORRLANDS LÄN</t>
        </is>
      </c>
      <c r="E1013" t="inlineStr">
        <is>
          <t>SOLLEFTEÅ</t>
        </is>
      </c>
      <c r="F1013" t="inlineStr">
        <is>
          <t>SCA</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26401-2021</t>
        </is>
      </c>
      <c r="B1014" s="1" t="n">
        <v>44348</v>
      </c>
      <c r="C1014" s="1" t="n">
        <v>45802</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26498-2021</t>
        </is>
      </c>
      <c r="B1015" s="1" t="n">
        <v>44348</v>
      </c>
      <c r="C1015" s="1" t="n">
        <v>45802</v>
      </c>
      <c r="D1015" t="inlineStr">
        <is>
          <t>VÄSTERNORRLANDS LÄN</t>
        </is>
      </c>
      <c r="E1015" t="inlineStr">
        <is>
          <t>SOLLEFTEÅ</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26559-2021</t>
        </is>
      </c>
      <c r="B1016" s="1" t="n">
        <v>44348</v>
      </c>
      <c r="C1016" s="1" t="n">
        <v>45802</v>
      </c>
      <c r="D1016" t="inlineStr">
        <is>
          <t>VÄSTERNORRLANDS LÄN</t>
        </is>
      </c>
      <c r="E1016" t="inlineStr">
        <is>
          <t>SOLLEFTEÅ</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26669-2021</t>
        </is>
      </c>
      <c r="B1017" s="1" t="n">
        <v>44349</v>
      </c>
      <c r="C1017" s="1" t="n">
        <v>45802</v>
      </c>
      <c r="D1017" t="inlineStr">
        <is>
          <t>VÄSTERNORRLANDS LÄN</t>
        </is>
      </c>
      <c r="E1017" t="inlineStr">
        <is>
          <t>SOLLEFTEÅ</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27809-2021</t>
        </is>
      </c>
      <c r="B1018" s="1" t="n">
        <v>44354</v>
      </c>
      <c r="C1018" s="1" t="n">
        <v>45802</v>
      </c>
      <c r="D1018" t="inlineStr">
        <is>
          <t>VÄSTERNORRLANDS LÄN</t>
        </is>
      </c>
      <c r="E1018" t="inlineStr">
        <is>
          <t>SOLLEFTEÅ</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27972-2021</t>
        </is>
      </c>
      <c r="B1019" s="1" t="n">
        <v>44355</v>
      </c>
      <c r="C1019" s="1" t="n">
        <v>45802</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28288-2021</t>
        </is>
      </c>
      <c r="B1020" s="1" t="n">
        <v>44355</v>
      </c>
      <c r="C1020" s="1" t="n">
        <v>45802</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28615-2021</t>
        </is>
      </c>
      <c r="B1021" s="1" t="n">
        <v>44357</v>
      </c>
      <c r="C1021" s="1" t="n">
        <v>45802</v>
      </c>
      <c r="D1021" t="inlineStr">
        <is>
          <t>VÄSTERNORRLANDS LÄN</t>
        </is>
      </c>
      <c r="E1021" t="inlineStr">
        <is>
          <t>SOLLEFTEÅ</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28939-2021</t>
        </is>
      </c>
      <c r="B1022" s="1" t="n">
        <v>44358</v>
      </c>
      <c r="C1022" s="1" t="n">
        <v>45802</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29623-2021</t>
        </is>
      </c>
      <c r="B1023" s="1" t="n">
        <v>44361</v>
      </c>
      <c r="C1023" s="1" t="n">
        <v>45802</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29602-2021</t>
        </is>
      </c>
      <c r="B1024" s="1" t="n">
        <v>44362</v>
      </c>
      <c r="C1024" s="1" t="n">
        <v>45802</v>
      </c>
      <c r="D1024" t="inlineStr">
        <is>
          <t>VÄSTERNORRLANDS LÄN</t>
        </is>
      </c>
      <c r="E1024" t="inlineStr">
        <is>
          <t>SOLLEFTEÅ</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29829-2021</t>
        </is>
      </c>
      <c r="B1025" s="1" t="n">
        <v>44362</v>
      </c>
      <c r="C1025" s="1" t="n">
        <v>45802</v>
      </c>
      <c r="D1025" t="inlineStr">
        <is>
          <t>VÄSTERNORRLANDS LÄN</t>
        </is>
      </c>
      <c r="E1025" t="inlineStr">
        <is>
          <t>SOLLEFTEÅ</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30692-2021</t>
        </is>
      </c>
      <c r="B1026" s="1" t="n">
        <v>44365</v>
      </c>
      <c r="C1026" s="1" t="n">
        <v>45802</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31600-2021</t>
        </is>
      </c>
      <c r="B1027" s="1" t="n">
        <v>44369</v>
      </c>
      <c r="C1027" s="1" t="n">
        <v>45802</v>
      </c>
      <c r="D1027" t="inlineStr">
        <is>
          <t>VÄSTERNORRLANDS LÄN</t>
        </is>
      </c>
      <c r="E1027" t="inlineStr">
        <is>
          <t>SOLLEFTEÅ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31737-2021</t>
        </is>
      </c>
      <c r="B1028" s="1" t="n">
        <v>44370</v>
      </c>
      <c r="C1028" s="1" t="n">
        <v>45802</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32091-2021</t>
        </is>
      </c>
      <c r="B1029" s="1" t="n">
        <v>44370</v>
      </c>
      <c r="C1029" s="1" t="n">
        <v>45802</v>
      </c>
      <c r="D1029" t="inlineStr">
        <is>
          <t>VÄSTERNORRLANDS LÄN</t>
        </is>
      </c>
      <c r="E1029" t="inlineStr">
        <is>
          <t>SOLLEFTEÅ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33207-2021</t>
        </is>
      </c>
      <c r="B1030" s="1" t="n">
        <v>44376</v>
      </c>
      <c r="C1030" s="1" t="n">
        <v>45802</v>
      </c>
      <c r="D1030" t="inlineStr">
        <is>
          <t>VÄSTERNORRLANDS LÄN</t>
        </is>
      </c>
      <c r="E1030" t="inlineStr">
        <is>
          <t>SOLLEFTEÅ</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33214-2021</t>
        </is>
      </c>
      <c r="B1031" s="1" t="n">
        <v>44377</v>
      </c>
      <c r="C1031" s="1" t="n">
        <v>45802</v>
      </c>
      <c r="D1031" t="inlineStr">
        <is>
          <t>VÄSTERNORRLANDS LÄN</t>
        </is>
      </c>
      <c r="E1031" t="inlineStr">
        <is>
          <t>SOLLEFTEÅ</t>
        </is>
      </c>
      <c r="F1031" t="inlineStr">
        <is>
          <t>SCA</t>
        </is>
      </c>
      <c r="G1031" t="n">
        <v>13.9</v>
      </c>
      <c r="H1031" t="n">
        <v>0</v>
      </c>
      <c r="I1031" t="n">
        <v>0</v>
      </c>
      <c r="J1031" t="n">
        <v>0</v>
      </c>
      <c r="K1031" t="n">
        <v>0</v>
      </c>
      <c r="L1031" t="n">
        <v>0</v>
      </c>
      <c r="M1031" t="n">
        <v>0</v>
      </c>
      <c r="N1031" t="n">
        <v>0</v>
      </c>
      <c r="O1031" t="n">
        <v>0</v>
      </c>
      <c r="P1031" t="n">
        <v>0</v>
      </c>
      <c r="Q1031" t="n">
        <v>0</v>
      </c>
      <c r="R1031" s="2" t="inlineStr"/>
    </row>
    <row r="1032" ht="15" customHeight="1">
      <c r="A1032" t="inlineStr">
        <is>
          <t>A 33895-2021</t>
        </is>
      </c>
      <c r="B1032" s="1" t="n">
        <v>44378</v>
      </c>
      <c r="C1032" s="1" t="n">
        <v>45802</v>
      </c>
      <c r="D1032" t="inlineStr">
        <is>
          <t>VÄSTERNORRLANDS LÄN</t>
        </is>
      </c>
      <c r="E1032" t="inlineStr">
        <is>
          <t>SOLLEFTEÅ</t>
        </is>
      </c>
      <c r="F1032" t="inlineStr">
        <is>
          <t>Kyrkan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34396-2021</t>
        </is>
      </c>
      <c r="B1033" s="1" t="n">
        <v>44379</v>
      </c>
      <c r="C1033" s="1" t="n">
        <v>45802</v>
      </c>
      <c r="D1033" t="inlineStr">
        <is>
          <t>VÄSTERNORRLANDS LÄN</t>
        </is>
      </c>
      <c r="E1033" t="inlineStr">
        <is>
          <t>SOLLEFTEÅ</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34395-2021</t>
        </is>
      </c>
      <c r="B1034" s="1" t="n">
        <v>44379</v>
      </c>
      <c r="C1034" s="1" t="n">
        <v>45802</v>
      </c>
      <c r="D1034" t="inlineStr">
        <is>
          <t>VÄSTERNORRLANDS LÄN</t>
        </is>
      </c>
      <c r="E1034" t="inlineStr">
        <is>
          <t>SOLLEFTEÅ</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34397-2021</t>
        </is>
      </c>
      <c r="B1035" s="1" t="n">
        <v>44379</v>
      </c>
      <c r="C1035" s="1" t="n">
        <v>45802</v>
      </c>
      <c r="D1035" t="inlineStr">
        <is>
          <t>VÄSTERNORRLANDS LÄN</t>
        </is>
      </c>
      <c r="E1035" t="inlineStr">
        <is>
          <t>SOLLEFTEÅ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34475-2021</t>
        </is>
      </c>
      <c r="B1036" s="1" t="n">
        <v>44381</v>
      </c>
      <c r="C1036" s="1" t="n">
        <v>45802</v>
      </c>
      <c r="D1036" t="inlineStr">
        <is>
          <t>VÄSTERNORRLANDS LÄN</t>
        </is>
      </c>
      <c r="E1036" t="inlineStr">
        <is>
          <t>SOLLEFTEÅ</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34473-2021</t>
        </is>
      </c>
      <c r="B1037" s="1" t="n">
        <v>44382</v>
      </c>
      <c r="C1037" s="1" t="n">
        <v>45802</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35333-2021</t>
        </is>
      </c>
      <c r="B1038" s="1" t="n">
        <v>44384</v>
      </c>
      <c r="C1038" s="1" t="n">
        <v>45802</v>
      </c>
      <c r="D1038" t="inlineStr">
        <is>
          <t>VÄSTERNORRLANDS LÄN</t>
        </is>
      </c>
      <c r="E1038" t="inlineStr">
        <is>
          <t>SOLLEFTEÅ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35358-2021</t>
        </is>
      </c>
      <c r="B1039" s="1" t="n">
        <v>44385</v>
      </c>
      <c r="C1039" s="1" t="n">
        <v>45802</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35574-2021</t>
        </is>
      </c>
      <c r="B1040" s="1" t="n">
        <v>44386</v>
      </c>
      <c r="C1040" s="1" t="n">
        <v>45802</v>
      </c>
      <c r="D1040" t="inlineStr">
        <is>
          <t>VÄSTERNORRLANDS LÄN</t>
        </is>
      </c>
      <c r="E1040" t="inlineStr">
        <is>
          <t>SOLLEFTEÅ</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35862-2021</t>
        </is>
      </c>
      <c r="B1041" s="1" t="n">
        <v>44386</v>
      </c>
      <c r="C1041" s="1" t="n">
        <v>45802</v>
      </c>
      <c r="D1041" t="inlineStr">
        <is>
          <t>VÄSTERNORRLANDS LÄN</t>
        </is>
      </c>
      <c r="E1041" t="inlineStr">
        <is>
          <t>SOLLEFTEÅ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36447-2021</t>
        </is>
      </c>
      <c r="B1042" s="1" t="n">
        <v>44390</v>
      </c>
      <c r="C1042" s="1" t="n">
        <v>45802</v>
      </c>
      <c r="D1042" t="inlineStr">
        <is>
          <t>VÄSTERNORRLANDS LÄN</t>
        </is>
      </c>
      <c r="E1042" t="inlineStr">
        <is>
          <t>SOLLEFTEÅ</t>
        </is>
      </c>
      <c r="F1042" t="inlineStr">
        <is>
          <t>SCA</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36448-2021</t>
        </is>
      </c>
      <c r="B1043" s="1" t="n">
        <v>44390</v>
      </c>
      <c r="C1043" s="1" t="n">
        <v>45802</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36579-2021</t>
        </is>
      </c>
      <c r="B1044" s="1" t="n">
        <v>44391</v>
      </c>
      <c r="C1044" s="1" t="n">
        <v>45802</v>
      </c>
      <c r="D1044" t="inlineStr">
        <is>
          <t>VÄSTERNORRLANDS LÄN</t>
        </is>
      </c>
      <c r="E1044" t="inlineStr">
        <is>
          <t>SOLLEFTEÅ</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36816-2021</t>
        </is>
      </c>
      <c r="B1045" s="1" t="n">
        <v>44393</v>
      </c>
      <c r="C1045" s="1" t="n">
        <v>45802</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36815-2021</t>
        </is>
      </c>
      <c r="B1046" s="1" t="n">
        <v>44393</v>
      </c>
      <c r="C1046" s="1" t="n">
        <v>45802</v>
      </c>
      <c r="D1046" t="inlineStr">
        <is>
          <t>VÄSTERNORRLANDS LÄN</t>
        </is>
      </c>
      <c r="E1046" t="inlineStr">
        <is>
          <t>SOLLEFTEÅ</t>
        </is>
      </c>
      <c r="F1046" t="inlineStr">
        <is>
          <t>SCA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37041-2021</t>
        </is>
      </c>
      <c r="B1047" s="1" t="n">
        <v>44394</v>
      </c>
      <c r="C1047" s="1" t="n">
        <v>45802</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37042-2021</t>
        </is>
      </c>
      <c r="B1048" s="1" t="n">
        <v>44394</v>
      </c>
      <c r="C1048" s="1" t="n">
        <v>45802</v>
      </c>
      <c r="D1048" t="inlineStr">
        <is>
          <t>VÄSTERNORRLANDS LÄN</t>
        </is>
      </c>
      <c r="E1048" t="inlineStr">
        <is>
          <t>SOLLEFTEÅ</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37369-2021</t>
        </is>
      </c>
      <c r="B1049" s="1" t="n">
        <v>44397</v>
      </c>
      <c r="C1049" s="1" t="n">
        <v>45802</v>
      </c>
      <c r="D1049" t="inlineStr">
        <is>
          <t>VÄSTERNORRLANDS LÄN</t>
        </is>
      </c>
      <c r="E1049" t="inlineStr">
        <is>
          <t>SOLLEFTEÅ</t>
        </is>
      </c>
      <c r="F1049" t="inlineStr">
        <is>
          <t>SCA</t>
        </is>
      </c>
      <c r="G1049" t="n">
        <v>20.3</v>
      </c>
      <c r="H1049" t="n">
        <v>0</v>
      </c>
      <c r="I1049" t="n">
        <v>0</v>
      </c>
      <c r="J1049" t="n">
        <v>0</v>
      </c>
      <c r="K1049" t="n">
        <v>0</v>
      </c>
      <c r="L1049" t="n">
        <v>0</v>
      </c>
      <c r="M1049" t="n">
        <v>0</v>
      </c>
      <c r="N1049" t="n">
        <v>0</v>
      </c>
      <c r="O1049" t="n">
        <v>0</v>
      </c>
      <c r="P1049" t="n">
        <v>0</v>
      </c>
      <c r="Q1049" t="n">
        <v>0</v>
      </c>
      <c r="R1049" s="2" t="inlineStr"/>
    </row>
    <row r="1050" ht="15" customHeight="1">
      <c r="A1050" t="inlineStr">
        <is>
          <t>A 37639-2021</t>
        </is>
      </c>
      <c r="B1050" s="1" t="n">
        <v>44400</v>
      </c>
      <c r="C1050" s="1" t="n">
        <v>45802</v>
      </c>
      <c r="D1050" t="inlineStr">
        <is>
          <t>VÄSTERNORRLANDS LÄN</t>
        </is>
      </c>
      <c r="E1050" t="inlineStr">
        <is>
          <t>SOLLEFTEÅ</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37648-2021</t>
        </is>
      </c>
      <c r="B1051" s="1" t="n">
        <v>44400</v>
      </c>
      <c r="C1051" s="1" t="n">
        <v>45802</v>
      </c>
      <c r="D1051" t="inlineStr">
        <is>
          <t>VÄSTERNORRLANDS LÄN</t>
        </is>
      </c>
      <c r="E1051" t="inlineStr">
        <is>
          <t>SOLLEFTEÅ</t>
        </is>
      </c>
      <c r="G1051" t="n">
        <v>33.6</v>
      </c>
      <c r="H1051" t="n">
        <v>0</v>
      </c>
      <c r="I1051" t="n">
        <v>0</v>
      </c>
      <c r="J1051" t="n">
        <v>0</v>
      </c>
      <c r="K1051" t="n">
        <v>0</v>
      </c>
      <c r="L1051" t="n">
        <v>0</v>
      </c>
      <c r="M1051" t="n">
        <v>0</v>
      </c>
      <c r="N1051" t="n">
        <v>0</v>
      </c>
      <c r="O1051" t="n">
        <v>0</v>
      </c>
      <c r="P1051" t="n">
        <v>0</v>
      </c>
      <c r="Q1051" t="n">
        <v>0</v>
      </c>
      <c r="R1051" s="2" t="inlineStr"/>
    </row>
    <row r="1052" ht="15" customHeight="1">
      <c r="A1052" t="inlineStr">
        <is>
          <t>A 37634-2021</t>
        </is>
      </c>
      <c r="B1052" s="1" t="n">
        <v>44400</v>
      </c>
      <c r="C1052" s="1" t="n">
        <v>45802</v>
      </c>
      <c r="D1052" t="inlineStr">
        <is>
          <t>VÄSTERNORRLANDS LÄN</t>
        </is>
      </c>
      <c r="E1052" t="inlineStr">
        <is>
          <t>SOLLEFTEÅ</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38283-2021</t>
        </is>
      </c>
      <c r="B1053" s="1" t="n">
        <v>44405</v>
      </c>
      <c r="C1053" s="1" t="n">
        <v>45802</v>
      </c>
      <c r="D1053" t="inlineStr">
        <is>
          <t>VÄSTERNORRLANDS LÄN</t>
        </is>
      </c>
      <c r="E1053" t="inlineStr">
        <is>
          <t>SOLLEFTEÅ</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39334-2021</t>
        </is>
      </c>
      <c r="B1054" s="1" t="n">
        <v>44414</v>
      </c>
      <c r="C1054" s="1" t="n">
        <v>45802</v>
      </c>
      <c r="D1054" t="inlineStr">
        <is>
          <t>VÄSTERNORRLANDS LÄN</t>
        </is>
      </c>
      <c r="E1054" t="inlineStr">
        <is>
          <t>SOLLEFTEÅ</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39594-2021</t>
        </is>
      </c>
      <c r="B1055" s="1" t="n">
        <v>44413</v>
      </c>
      <c r="C1055" s="1" t="n">
        <v>45802</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39230-2021</t>
        </is>
      </c>
      <c r="B1056" s="1" t="n">
        <v>44413</v>
      </c>
      <c r="C1056" s="1" t="n">
        <v>45802</v>
      </c>
      <c r="D1056" t="inlineStr">
        <is>
          <t>VÄSTERNORRLANDS LÄN</t>
        </is>
      </c>
      <c r="E1056" t="inlineStr">
        <is>
          <t>SOLLEFTEÅ</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39504-2021</t>
        </is>
      </c>
      <c r="B1057" s="1" t="n">
        <v>44415</v>
      </c>
      <c r="C1057" s="1" t="n">
        <v>45802</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40539-2021</t>
        </is>
      </c>
      <c r="B1058" s="1" t="n">
        <v>44420</v>
      </c>
      <c r="C1058" s="1" t="n">
        <v>45802</v>
      </c>
      <c r="D1058" t="inlineStr">
        <is>
          <t>VÄSTERNORRLANDS LÄN</t>
        </is>
      </c>
      <c r="E1058" t="inlineStr">
        <is>
          <t>SOLLEFTEÅ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41334-2021</t>
        </is>
      </c>
      <c r="B1059" s="1" t="n">
        <v>44424</v>
      </c>
      <c r="C1059" s="1" t="n">
        <v>45802</v>
      </c>
      <c r="D1059" t="inlineStr">
        <is>
          <t>VÄSTERNORRLANDS LÄN</t>
        </is>
      </c>
      <c r="E1059" t="inlineStr">
        <is>
          <t>SOLLEFTEÅ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42219-2021</t>
        </is>
      </c>
      <c r="B1060" s="1" t="n">
        <v>44426</v>
      </c>
      <c r="C1060" s="1" t="n">
        <v>45802</v>
      </c>
      <c r="D1060" t="inlineStr">
        <is>
          <t>VÄSTERNORRLANDS LÄN</t>
        </is>
      </c>
      <c r="E1060" t="inlineStr">
        <is>
          <t>SOLLEFTEÅ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42231-2021</t>
        </is>
      </c>
      <c r="B1061" s="1" t="n">
        <v>44426</v>
      </c>
      <c r="C1061" s="1" t="n">
        <v>45802</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42228-2021</t>
        </is>
      </c>
      <c r="B1062" s="1" t="n">
        <v>44426</v>
      </c>
      <c r="C1062" s="1" t="n">
        <v>45802</v>
      </c>
      <c r="D1062" t="inlineStr">
        <is>
          <t>VÄSTERNORRLANDS LÄN</t>
        </is>
      </c>
      <c r="E1062" t="inlineStr">
        <is>
          <t>SOLLEFTEÅ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42229-2021</t>
        </is>
      </c>
      <c r="B1063" s="1" t="n">
        <v>44427</v>
      </c>
      <c r="C1063" s="1" t="n">
        <v>45802</v>
      </c>
      <c r="D1063" t="inlineStr">
        <is>
          <t>VÄSTERNORRLANDS LÄN</t>
        </is>
      </c>
      <c r="E1063" t="inlineStr">
        <is>
          <t>SOLLEFTEÅ</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42531-2021</t>
        </is>
      </c>
      <c r="B1064" s="1" t="n">
        <v>44428</v>
      </c>
      <c r="C1064" s="1" t="n">
        <v>45802</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43220-2021</t>
        </is>
      </c>
      <c r="B1065" s="1" t="n">
        <v>44432</v>
      </c>
      <c r="C1065" s="1" t="n">
        <v>45802</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43525-2021</t>
        </is>
      </c>
      <c r="B1066" s="1" t="n">
        <v>44433</v>
      </c>
      <c r="C1066" s="1" t="n">
        <v>45802</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44592-2021</t>
        </is>
      </c>
      <c r="B1067" s="1" t="n">
        <v>44435</v>
      </c>
      <c r="C1067" s="1" t="n">
        <v>45802</v>
      </c>
      <c r="D1067" t="inlineStr">
        <is>
          <t>VÄSTERNORRLANDS LÄN</t>
        </is>
      </c>
      <c r="E1067" t="inlineStr">
        <is>
          <t>SOLLEFTEÅ</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44587-2021</t>
        </is>
      </c>
      <c r="B1068" s="1" t="n">
        <v>44435</v>
      </c>
      <c r="C1068" s="1" t="n">
        <v>45802</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45187-2021</t>
        </is>
      </c>
      <c r="B1069" s="1" t="n">
        <v>44439</v>
      </c>
      <c r="C1069" s="1" t="n">
        <v>45802</v>
      </c>
      <c r="D1069" t="inlineStr">
        <is>
          <t>VÄSTERNORRLANDS LÄN</t>
        </is>
      </c>
      <c r="E1069" t="inlineStr">
        <is>
          <t>SOLLEFTEÅ</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45105-2021</t>
        </is>
      </c>
      <c r="B1070" s="1" t="n">
        <v>44439</v>
      </c>
      <c r="C1070" s="1" t="n">
        <v>45802</v>
      </c>
      <c r="D1070" t="inlineStr">
        <is>
          <t>VÄSTERNORRLANDS LÄN</t>
        </is>
      </c>
      <c r="E1070" t="inlineStr">
        <is>
          <t>SOLLEFTEÅ</t>
        </is>
      </c>
      <c r="F1070" t="inlineStr">
        <is>
          <t>Kommuner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46049-2021</t>
        </is>
      </c>
      <c r="B1071" s="1" t="n">
        <v>44442</v>
      </c>
      <c r="C1071" s="1" t="n">
        <v>45802</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46058-2021</t>
        </is>
      </c>
      <c r="B1072" s="1" t="n">
        <v>44442</v>
      </c>
      <c r="C1072" s="1" t="n">
        <v>45802</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47643-2021</t>
        </is>
      </c>
      <c r="B1073" s="1" t="n">
        <v>44448</v>
      </c>
      <c r="C1073" s="1" t="n">
        <v>45802</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47675-2021</t>
        </is>
      </c>
      <c r="B1074" s="1" t="n">
        <v>44448</v>
      </c>
      <c r="C1074" s="1" t="n">
        <v>45802</v>
      </c>
      <c r="D1074" t="inlineStr">
        <is>
          <t>VÄSTERNORRLANDS LÄN</t>
        </is>
      </c>
      <c r="E1074" t="inlineStr">
        <is>
          <t>SOLLEFTEÅ</t>
        </is>
      </c>
      <c r="F1074" t="inlineStr">
        <is>
          <t>Holmen skog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47626-2021</t>
        </is>
      </c>
      <c r="B1075" s="1" t="n">
        <v>44448</v>
      </c>
      <c r="C1075" s="1" t="n">
        <v>45802</v>
      </c>
      <c r="D1075" t="inlineStr">
        <is>
          <t>VÄSTERNORRLANDS LÄN</t>
        </is>
      </c>
      <c r="E1075" t="inlineStr">
        <is>
          <t>SOLLEFTEÅ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47696-2021</t>
        </is>
      </c>
      <c r="B1076" s="1" t="n">
        <v>44448</v>
      </c>
      <c r="C1076" s="1" t="n">
        <v>45802</v>
      </c>
      <c r="D1076" t="inlineStr">
        <is>
          <t>VÄSTERNORRLANDS LÄN</t>
        </is>
      </c>
      <c r="E1076" t="inlineStr">
        <is>
          <t>SOLLEFTEÅ</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47681-2021</t>
        </is>
      </c>
      <c r="B1077" s="1" t="n">
        <v>44448</v>
      </c>
      <c r="C1077" s="1" t="n">
        <v>45802</v>
      </c>
      <c r="D1077" t="inlineStr">
        <is>
          <t>VÄSTERNORRLANDS LÄN</t>
        </is>
      </c>
      <c r="E1077" t="inlineStr">
        <is>
          <t>SOLLEFTEÅ</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48555-2021</t>
        </is>
      </c>
      <c r="B1078" s="1" t="n">
        <v>44452</v>
      </c>
      <c r="C1078" s="1" t="n">
        <v>45802</v>
      </c>
      <c r="D1078" t="inlineStr">
        <is>
          <t>VÄSTERNORRLANDS LÄN</t>
        </is>
      </c>
      <c r="E1078" t="inlineStr">
        <is>
          <t>SOLLEFTEÅ</t>
        </is>
      </c>
      <c r="G1078" t="n">
        <v>9.300000000000001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48578-2021</t>
        </is>
      </c>
      <c r="B1079" s="1" t="n">
        <v>44452</v>
      </c>
      <c r="C1079" s="1" t="n">
        <v>45802</v>
      </c>
      <c r="D1079" t="inlineStr">
        <is>
          <t>VÄSTERNORRLANDS LÄN</t>
        </is>
      </c>
      <c r="E1079" t="inlineStr">
        <is>
          <t>SOLLEFTEÅ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49160-2021</t>
        </is>
      </c>
      <c r="B1080" s="1" t="n">
        <v>44454</v>
      </c>
      <c r="C1080" s="1" t="n">
        <v>45802</v>
      </c>
      <c r="D1080" t="inlineStr">
        <is>
          <t>VÄSTERNORRLANDS LÄN</t>
        </is>
      </c>
      <c r="E1080" t="inlineStr">
        <is>
          <t>SOLLEFTEÅ</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49492-2021</t>
        </is>
      </c>
      <c r="B1081" s="1" t="n">
        <v>44455</v>
      </c>
      <c r="C1081" s="1" t="n">
        <v>45802</v>
      </c>
      <c r="D1081" t="inlineStr">
        <is>
          <t>VÄSTERNORRLANDS LÄN</t>
        </is>
      </c>
      <c r="E1081" t="inlineStr">
        <is>
          <t>SOLLEFTEÅ</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49518-2021</t>
        </is>
      </c>
      <c r="B1082" s="1" t="n">
        <v>44455</v>
      </c>
      <c r="C1082" s="1" t="n">
        <v>45802</v>
      </c>
      <c r="D1082" t="inlineStr">
        <is>
          <t>VÄSTERNORRLANDS LÄN</t>
        </is>
      </c>
      <c r="E1082" t="inlineStr">
        <is>
          <t>SOLLEFTEÅ</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49711-2021</t>
        </is>
      </c>
      <c r="B1083" s="1" t="n">
        <v>44455</v>
      </c>
      <c r="C1083" s="1" t="n">
        <v>45802</v>
      </c>
      <c r="D1083" t="inlineStr">
        <is>
          <t>VÄSTERNORRLANDS LÄN</t>
        </is>
      </c>
      <c r="E1083" t="inlineStr">
        <is>
          <t>SOLLEFTEÅ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50360-2021</t>
        </is>
      </c>
      <c r="B1084" s="1" t="n">
        <v>44459</v>
      </c>
      <c r="C1084" s="1" t="n">
        <v>45802</v>
      </c>
      <c r="D1084" t="inlineStr">
        <is>
          <t>VÄSTERNORRLANDS LÄN</t>
        </is>
      </c>
      <c r="E1084" t="inlineStr">
        <is>
          <t>SOLLEFTEÅ</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51104-2021</t>
        </is>
      </c>
      <c r="B1085" s="1" t="n">
        <v>44459</v>
      </c>
      <c r="C1085" s="1" t="n">
        <v>45802</v>
      </c>
      <c r="D1085" t="inlineStr">
        <is>
          <t>VÄSTERNORRLANDS LÄN</t>
        </is>
      </c>
      <c r="E1085" t="inlineStr">
        <is>
          <t>SOLLEFTEÅ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51020-2021</t>
        </is>
      </c>
      <c r="B1086" s="1" t="n">
        <v>44460</v>
      </c>
      <c r="C1086" s="1" t="n">
        <v>45802</v>
      </c>
      <c r="D1086" t="inlineStr">
        <is>
          <t>VÄSTERNORRLANDS LÄN</t>
        </is>
      </c>
      <c r="E1086" t="inlineStr">
        <is>
          <t>SOLLEFTEÅ</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51029-2021</t>
        </is>
      </c>
      <c r="B1087" s="1" t="n">
        <v>44461</v>
      </c>
      <c r="C1087" s="1" t="n">
        <v>45802</v>
      </c>
      <c r="D1087" t="inlineStr">
        <is>
          <t>VÄSTERNORRLANDS LÄN</t>
        </is>
      </c>
      <c r="E1087" t="inlineStr">
        <is>
          <t>SOLLEFTEÅ</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51440-2021</t>
        </is>
      </c>
      <c r="B1088" s="1" t="n">
        <v>44461</v>
      </c>
      <c r="C1088" s="1" t="n">
        <v>45802</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51443-2021</t>
        </is>
      </c>
      <c r="B1089" s="1" t="n">
        <v>44461</v>
      </c>
      <c r="C1089" s="1" t="n">
        <v>45802</v>
      </c>
      <c r="D1089" t="inlineStr">
        <is>
          <t>VÄSTERNORRLANDS LÄN</t>
        </is>
      </c>
      <c r="E1089" t="inlineStr">
        <is>
          <t>SOLLEFTEÅ</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51442-2021</t>
        </is>
      </c>
      <c r="B1090" s="1" t="n">
        <v>44462</v>
      </c>
      <c r="C1090" s="1" t="n">
        <v>45802</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51491-2021</t>
        </is>
      </c>
      <c r="B1091" s="1" t="n">
        <v>44462</v>
      </c>
      <c r="C1091" s="1" t="n">
        <v>45802</v>
      </c>
      <c r="D1091" t="inlineStr">
        <is>
          <t>VÄSTERNORRLANDS LÄN</t>
        </is>
      </c>
      <c r="E1091" t="inlineStr">
        <is>
          <t>SOLLEFTEÅ</t>
        </is>
      </c>
      <c r="F1091" t="inlineStr">
        <is>
          <t>Kyrkan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51847-2021</t>
        </is>
      </c>
      <c r="B1092" s="1" t="n">
        <v>44462</v>
      </c>
      <c r="C1092" s="1" t="n">
        <v>45802</v>
      </c>
      <c r="D1092" t="inlineStr">
        <is>
          <t>VÄSTERNORRLANDS LÄN</t>
        </is>
      </c>
      <c r="E1092" t="inlineStr">
        <is>
          <t>SOLLEFTEÅ</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51952-2021</t>
        </is>
      </c>
      <c r="B1093" s="1" t="n">
        <v>44463</v>
      </c>
      <c r="C1093" s="1" t="n">
        <v>45802</v>
      </c>
      <c r="D1093" t="inlineStr">
        <is>
          <t>VÄSTERNORRLANDS LÄN</t>
        </is>
      </c>
      <c r="E1093" t="inlineStr">
        <is>
          <t>SOLLEFTEÅ</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52447-2021</t>
        </is>
      </c>
      <c r="B1094" s="1" t="n">
        <v>44466</v>
      </c>
      <c r="C1094" s="1" t="n">
        <v>45802</v>
      </c>
      <c r="D1094" t="inlineStr">
        <is>
          <t>VÄSTERNORRLANDS LÄN</t>
        </is>
      </c>
      <c r="E1094" t="inlineStr">
        <is>
          <t>SOLLEFTEÅ</t>
        </is>
      </c>
      <c r="F1094" t="inlineStr">
        <is>
          <t>Holmen skog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53289-2021</t>
        </is>
      </c>
      <c r="B1095" s="1" t="n">
        <v>44467</v>
      </c>
      <c r="C1095" s="1" t="n">
        <v>45802</v>
      </c>
      <c r="D1095" t="inlineStr">
        <is>
          <t>VÄSTERNORRLANDS LÄN</t>
        </is>
      </c>
      <c r="E1095" t="inlineStr">
        <is>
          <t>SOLLEFTEÅ</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53278-2021</t>
        </is>
      </c>
      <c r="B1096" s="1" t="n">
        <v>44467</v>
      </c>
      <c r="C1096" s="1" t="n">
        <v>45802</v>
      </c>
      <c r="D1096" t="inlineStr">
        <is>
          <t>VÄSTERNORRLANDS LÄN</t>
        </is>
      </c>
      <c r="E1096" t="inlineStr">
        <is>
          <t>SOLLEFTEÅ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53524-2021</t>
        </is>
      </c>
      <c r="B1097" s="1" t="n">
        <v>44468</v>
      </c>
      <c r="C1097" s="1" t="n">
        <v>45802</v>
      </c>
      <c r="D1097" t="inlineStr">
        <is>
          <t>VÄSTERNORRLANDS LÄN</t>
        </is>
      </c>
      <c r="E1097" t="inlineStr">
        <is>
          <t>SOLLEFTEÅ</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53955-2021</t>
        </is>
      </c>
      <c r="B1098" s="1" t="n">
        <v>44469</v>
      </c>
      <c r="C1098" s="1" t="n">
        <v>45802</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54146-2021</t>
        </is>
      </c>
      <c r="B1099" s="1" t="n">
        <v>44469</v>
      </c>
      <c r="C1099" s="1" t="n">
        <v>45802</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54728-2021</t>
        </is>
      </c>
      <c r="B1100" s="1" t="n">
        <v>44473</v>
      </c>
      <c r="C1100" s="1" t="n">
        <v>45802</v>
      </c>
      <c r="D1100" t="inlineStr">
        <is>
          <t>VÄSTERNORRLANDS LÄN</t>
        </is>
      </c>
      <c r="E1100" t="inlineStr">
        <is>
          <t>SOLLEFTEÅ</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55016-2021</t>
        </is>
      </c>
      <c r="B1101" s="1" t="n">
        <v>44474</v>
      </c>
      <c r="C1101" s="1" t="n">
        <v>45802</v>
      </c>
      <c r="D1101" t="inlineStr">
        <is>
          <t>VÄSTERNORRLANDS LÄN</t>
        </is>
      </c>
      <c r="E1101" t="inlineStr">
        <is>
          <t>SOLLEFTEÅ</t>
        </is>
      </c>
      <c r="F1101" t="inlineStr">
        <is>
          <t>Övriga Aktiebolag</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55018-2021</t>
        </is>
      </c>
      <c r="B1102" s="1" t="n">
        <v>44474</v>
      </c>
      <c r="C1102" s="1" t="n">
        <v>45802</v>
      </c>
      <c r="D1102" t="inlineStr">
        <is>
          <t>VÄSTERNORRLANDS LÄN</t>
        </is>
      </c>
      <c r="E1102" t="inlineStr">
        <is>
          <t>SOLLEFTEÅ</t>
        </is>
      </c>
      <c r="F1102" t="inlineStr">
        <is>
          <t>Övriga Aktiebolag</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55610-2021</t>
        </is>
      </c>
      <c r="B1103" s="1" t="n">
        <v>44476</v>
      </c>
      <c r="C1103" s="1" t="n">
        <v>45802</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55643-2021</t>
        </is>
      </c>
      <c r="B1104" s="1" t="n">
        <v>44475</v>
      </c>
      <c r="C1104" s="1" t="n">
        <v>45802</v>
      </c>
      <c r="D1104" t="inlineStr">
        <is>
          <t>VÄSTERNORRLANDS LÄN</t>
        </is>
      </c>
      <c r="E1104" t="inlineStr">
        <is>
          <t>SOLLEFTEÅ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55904-2021</t>
        </is>
      </c>
      <c r="B1105" s="1" t="n">
        <v>44476</v>
      </c>
      <c r="C1105" s="1" t="n">
        <v>45802</v>
      </c>
      <c r="D1105" t="inlineStr">
        <is>
          <t>VÄSTERNORRLANDS LÄN</t>
        </is>
      </c>
      <c r="E1105" t="inlineStr">
        <is>
          <t>SOLLEFTEÅ</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56211-2021</t>
        </is>
      </c>
      <c r="B1106" s="1" t="n">
        <v>44478</v>
      </c>
      <c r="C1106" s="1" t="n">
        <v>45802</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56918-2021</t>
        </is>
      </c>
      <c r="B1107" s="1" t="n">
        <v>44482</v>
      </c>
      <c r="C1107" s="1" t="n">
        <v>45802</v>
      </c>
      <c r="D1107" t="inlineStr">
        <is>
          <t>VÄSTERNORRLANDS LÄN</t>
        </is>
      </c>
      <c r="E1107" t="inlineStr">
        <is>
          <t>SOLLEFTEÅ</t>
        </is>
      </c>
      <c r="F1107" t="inlineStr">
        <is>
          <t>SCA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57007-2021</t>
        </is>
      </c>
      <c r="B1108" s="1" t="n">
        <v>44482</v>
      </c>
      <c r="C1108" s="1" t="n">
        <v>45802</v>
      </c>
      <c r="D1108" t="inlineStr">
        <is>
          <t>VÄSTERNORRLANDS LÄN</t>
        </is>
      </c>
      <c r="E1108" t="inlineStr">
        <is>
          <t>SOLLEFTEÅ</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57550-2021</t>
        </is>
      </c>
      <c r="B1109" s="1" t="n">
        <v>44484</v>
      </c>
      <c r="C1109" s="1" t="n">
        <v>45802</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57552-2021</t>
        </is>
      </c>
      <c r="B1110" s="1" t="n">
        <v>44483</v>
      </c>
      <c r="C1110" s="1" t="n">
        <v>45802</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57856-2021</t>
        </is>
      </c>
      <c r="B1111" s="1" t="n">
        <v>44485</v>
      </c>
      <c r="C1111" s="1" t="n">
        <v>45802</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57911-2021</t>
        </is>
      </c>
      <c r="B1112" s="1" t="n">
        <v>44486</v>
      </c>
      <c r="C1112" s="1" t="n">
        <v>45802</v>
      </c>
      <c r="D1112" t="inlineStr">
        <is>
          <t>VÄSTERNORRLANDS LÄN</t>
        </is>
      </c>
      <c r="E1112" t="inlineStr">
        <is>
          <t>SOLLEFTEÅ</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58268-2021</t>
        </is>
      </c>
      <c r="B1113" s="1" t="n">
        <v>44487</v>
      </c>
      <c r="C1113" s="1" t="n">
        <v>45802</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58276-2021</t>
        </is>
      </c>
      <c r="B1114" s="1" t="n">
        <v>44488</v>
      </c>
      <c r="C1114" s="1" t="n">
        <v>45802</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58179-2021</t>
        </is>
      </c>
      <c r="B1115" s="1" t="n">
        <v>44487</v>
      </c>
      <c r="C1115" s="1" t="n">
        <v>45802</v>
      </c>
      <c r="D1115" t="inlineStr">
        <is>
          <t>VÄSTERNORRLANDS LÄN</t>
        </is>
      </c>
      <c r="E1115" t="inlineStr">
        <is>
          <t>SOLLEFTEÅ</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58478-2021</t>
        </is>
      </c>
      <c r="B1116" s="1" t="n">
        <v>44488</v>
      </c>
      <c r="C1116" s="1" t="n">
        <v>45802</v>
      </c>
      <c r="D1116" t="inlineStr">
        <is>
          <t>VÄSTERNORRLANDS LÄN</t>
        </is>
      </c>
      <c r="E1116" t="inlineStr">
        <is>
          <t>SOLLEFTEÅ</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58486-2021</t>
        </is>
      </c>
      <c r="B1117" s="1" t="n">
        <v>44488</v>
      </c>
      <c r="C1117" s="1" t="n">
        <v>45802</v>
      </c>
      <c r="D1117" t="inlineStr">
        <is>
          <t>VÄSTERNORRLANDS LÄN</t>
        </is>
      </c>
      <c r="E1117" t="inlineStr">
        <is>
          <t>SOLLEFTEÅ</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58571-2021</t>
        </is>
      </c>
      <c r="B1118" s="1" t="n">
        <v>44488</v>
      </c>
      <c r="C1118" s="1" t="n">
        <v>45802</v>
      </c>
      <c r="D1118" t="inlineStr">
        <is>
          <t>VÄSTERNORRLANDS LÄN</t>
        </is>
      </c>
      <c r="E1118" t="inlineStr">
        <is>
          <t>SOLLEFTEÅ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58573-2021</t>
        </is>
      </c>
      <c r="B1119" s="1" t="n">
        <v>44488</v>
      </c>
      <c r="C1119" s="1" t="n">
        <v>45802</v>
      </c>
      <c r="D1119" t="inlineStr">
        <is>
          <t>VÄSTERNORRLANDS LÄN</t>
        </is>
      </c>
      <c r="E1119" t="inlineStr">
        <is>
          <t>SOLLEFTEÅ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58726-2021</t>
        </is>
      </c>
      <c r="B1120" s="1" t="n">
        <v>44489</v>
      </c>
      <c r="C1120" s="1" t="n">
        <v>45802</v>
      </c>
      <c r="D1120" t="inlineStr">
        <is>
          <t>VÄSTERNORRLANDS LÄN</t>
        </is>
      </c>
      <c r="E1120" t="inlineStr">
        <is>
          <t>SOLLEFTEÅ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58742-2021</t>
        </is>
      </c>
      <c r="B1121" s="1" t="n">
        <v>44489</v>
      </c>
      <c r="C1121" s="1" t="n">
        <v>45802</v>
      </c>
      <c r="D1121" t="inlineStr">
        <is>
          <t>VÄSTERNORRLANDS LÄN</t>
        </is>
      </c>
      <c r="E1121" t="inlineStr">
        <is>
          <t>SOLLEFTEÅ</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58755-2021</t>
        </is>
      </c>
      <c r="B1122" s="1" t="n">
        <v>44489</v>
      </c>
      <c r="C1122" s="1" t="n">
        <v>45802</v>
      </c>
      <c r="D1122" t="inlineStr">
        <is>
          <t>VÄSTERNORRLANDS LÄN</t>
        </is>
      </c>
      <c r="E1122" t="inlineStr">
        <is>
          <t>SOLLEFTEÅ</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58688-2021</t>
        </is>
      </c>
      <c r="B1123" s="1" t="n">
        <v>44489</v>
      </c>
      <c r="C1123" s="1" t="n">
        <v>45802</v>
      </c>
      <c r="D1123" t="inlineStr">
        <is>
          <t>VÄSTERNORRLANDS LÄN</t>
        </is>
      </c>
      <c r="E1123" t="inlineStr">
        <is>
          <t>SOLLEFTEÅ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58715-2021</t>
        </is>
      </c>
      <c r="B1124" s="1" t="n">
        <v>44489</v>
      </c>
      <c r="C1124" s="1" t="n">
        <v>45802</v>
      </c>
      <c r="D1124" t="inlineStr">
        <is>
          <t>VÄSTERNORRLANDS LÄN</t>
        </is>
      </c>
      <c r="E1124" t="inlineStr">
        <is>
          <t>SOLLEFTEÅ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59344-2021</t>
        </is>
      </c>
      <c r="B1125" s="1" t="n">
        <v>44490</v>
      </c>
      <c r="C1125" s="1" t="n">
        <v>45802</v>
      </c>
      <c r="D1125" t="inlineStr">
        <is>
          <t>VÄSTERNORRLANDS LÄN</t>
        </is>
      </c>
      <c r="E1125" t="inlineStr">
        <is>
          <t>SOLLEFTEÅ</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59309-2021</t>
        </is>
      </c>
      <c r="B1126" s="1" t="n">
        <v>44491</v>
      </c>
      <c r="C1126" s="1" t="n">
        <v>45802</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59343-2021</t>
        </is>
      </c>
      <c r="B1127" s="1" t="n">
        <v>44490</v>
      </c>
      <c r="C1127" s="1" t="n">
        <v>45802</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60324-2021</t>
        </is>
      </c>
      <c r="B1128" s="1" t="n">
        <v>44496</v>
      </c>
      <c r="C1128" s="1" t="n">
        <v>45802</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60757-2021</t>
        </is>
      </c>
      <c r="B1129" s="1" t="n">
        <v>44497</v>
      </c>
      <c r="C1129" s="1" t="n">
        <v>45802</v>
      </c>
      <c r="D1129" t="inlineStr">
        <is>
          <t>VÄSTERNORRLANDS LÄN</t>
        </is>
      </c>
      <c r="E1129" t="inlineStr">
        <is>
          <t>SOLLEFTEÅ</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60756-2021</t>
        </is>
      </c>
      <c r="B1130" s="1" t="n">
        <v>44496</v>
      </c>
      <c r="C1130" s="1" t="n">
        <v>45802</v>
      </c>
      <c r="D1130" t="inlineStr">
        <is>
          <t>VÄSTERNORRLANDS LÄN</t>
        </is>
      </c>
      <c r="E1130" t="inlineStr">
        <is>
          <t>SOLLEFTEÅ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61739-2021</t>
        </is>
      </c>
      <c r="B1131" s="1" t="n">
        <v>44498</v>
      </c>
      <c r="C1131" s="1" t="n">
        <v>45802</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61424-2021</t>
        </is>
      </c>
      <c r="B1132" s="1" t="n">
        <v>44500</v>
      </c>
      <c r="C1132" s="1" t="n">
        <v>45802</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61470-2021</t>
        </is>
      </c>
      <c r="B1133" s="1" t="n">
        <v>44500</v>
      </c>
      <c r="C1133" s="1" t="n">
        <v>45802</v>
      </c>
      <c r="D1133" t="inlineStr">
        <is>
          <t>VÄSTERNORRLANDS LÄN</t>
        </is>
      </c>
      <c r="E1133" t="inlineStr">
        <is>
          <t>SOLLEFTEÅ</t>
        </is>
      </c>
      <c r="F1133" t="inlineStr">
        <is>
          <t>SCA</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61480-2021</t>
        </is>
      </c>
      <c r="B1134" s="1" t="n">
        <v>44500</v>
      </c>
      <c r="C1134" s="1" t="n">
        <v>45802</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61426-2021</t>
        </is>
      </c>
      <c r="B1135" s="1" t="n">
        <v>44500</v>
      </c>
      <c r="C1135" s="1" t="n">
        <v>45802</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61469-2021</t>
        </is>
      </c>
      <c r="B1136" s="1" t="n">
        <v>44500</v>
      </c>
      <c r="C1136" s="1" t="n">
        <v>45802</v>
      </c>
      <c r="D1136" t="inlineStr">
        <is>
          <t>VÄSTERNORRLANDS LÄN</t>
        </is>
      </c>
      <c r="E1136" t="inlineStr">
        <is>
          <t>SOLLEFTEÅ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61496-2021</t>
        </is>
      </c>
      <c r="B1137" s="1" t="n">
        <v>44501</v>
      </c>
      <c r="C1137" s="1" t="n">
        <v>45802</v>
      </c>
      <c r="D1137" t="inlineStr">
        <is>
          <t>VÄSTERNORRLANDS LÄN</t>
        </is>
      </c>
      <c r="E1137" t="inlineStr">
        <is>
          <t>SOLLEFTEÅ</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62214-2021</t>
        </is>
      </c>
      <c r="B1138" s="1" t="n">
        <v>44502</v>
      </c>
      <c r="C1138" s="1" t="n">
        <v>45802</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62210-2021</t>
        </is>
      </c>
      <c r="B1139" s="1" t="n">
        <v>44502</v>
      </c>
      <c r="C1139" s="1" t="n">
        <v>45802</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62418-2021</t>
        </is>
      </c>
      <c r="B1140" s="1" t="n">
        <v>44503</v>
      </c>
      <c r="C1140" s="1" t="n">
        <v>45802</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62790-2021</t>
        </is>
      </c>
      <c r="B1141" s="1" t="n">
        <v>44503</v>
      </c>
      <c r="C1141" s="1" t="n">
        <v>45802</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62697-2021</t>
        </is>
      </c>
      <c r="B1142" s="1" t="n">
        <v>44504</v>
      </c>
      <c r="C1142" s="1" t="n">
        <v>45802</v>
      </c>
      <c r="D1142" t="inlineStr">
        <is>
          <t>VÄSTERNORRLANDS LÄN</t>
        </is>
      </c>
      <c r="E1142" t="inlineStr">
        <is>
          <t>SOLLEFTEÅ</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62692-2021</t>
        </is>
      </c>
      <c r="B1143" s="1" t="n">
        <v>44504</v>
      </c>
      <c r="C1143" s="1" t="n">
        <v>45802</v>
      </c>
      <c r="D1143" t="inlineStr">
        <is>
          <t>VÄSTERNORRLANDS LÄN</t>
        </is>
      </c>
      <c r="E1143" t="inlineStr">
        <is>
          <t>SOLLEFTEÅ</t>
        </is>
      </c>
      <c r="F1143" t="inlineStr">
        <is>
          <t>Holmen skog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63710-2021</t>
        </is>
      </c>
      <c r="B1144" s="1" t="n">
        <v>44504</v>
      </c>
      <c r="C1144" s="1" t="n">
        <v>45802</v>
      </c>
      <c r="D1144" t="inlineStr">
        <is>
          <t>VÄSTERNORRLANDS LÄN</t>
        </is>
      </c>
      <c r="E1144" t="inlineStr">
        <is>
          <t>SOLLEFTEÅ</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64638-2021</t>
        </is>
      </c>
      <c r="B1145" s="1" t="n">
        <v>44511</v>
      </c>
      <c r="C1145" s="1" t="n">
        <v>45802</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64651-2021</t>
        </is>
      </c>
      <c r="B1146" s="1" t="n">
        <v>44511</v>
      </c>
      <c r="C1146" s="1" t="n">
        <v>45802</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64653-2021</t>
        </is>
      </c>
      <c r="B1147" s="1" t="n">
        <v>44511</v>
      </c>
      <c r="C1147" s="1" t="n">
        <v>45802</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64939-2021</t>
        </is>
      </c>
      <c r="B1148" s="1" t="n">
        <v>44512</v>
      </c>
      <c r="C1148" s="1" t="n">
        <v>45802</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64947-2021</t>
        </is>
      </c>
      <c r="B1149" s="1" t="n">
        <v>44512</v>
      </c>
      <c r="C1149" s="1" t="n">
        <v>45802</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64944-2021</t>
        </is>
      </c>
      <c r="B1150" s="1" t="n">
        <v>44512</v>
      </c>
      <c r="C1150" s="1" t="n">
        <v>45802</v>
      </c>
      <c r="D1150" t="inlineStr">
        <is>
          <t>VÄSTERNORRLANDS LÄN</t>
        </is>
      </c>
      <c r="E1150" t="inlineStr">
        <is>
          <t>SOLLEFTEÅ</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65009-2021</t>
        </is>
      </c>
      <c r="B1151" s="1" t="n">
        <v>44514</v>
      </c>
      <c r="C1151" s="1" t="n">
        <v>45802</v>
      </c>
      <c r="D1151" t="inlineStr">
        <is>
          <t>VÄSTERNORRLANDS LÄN</t>
        </is>
      </c>
      <c r="E1151" t="inlineStr">
        <is>
          <t>SOLLEFTEÅ</t>
        </is>
      </c>
      <c r="G1151" t="n">
        <v>17.3</v>
      </c>
      <c r="H1151" t="n">
        <v>0</v>
      </c>
      <c r="I1151" t="n">
        <v>0</v>
      </c>
      <c r="J1151" t="n">
        <v>0</v>
      </c>
      <c r="K1151" t="n">
        <v>0</v>
      </c>
      <c r="L1151" t="n">
        <v>0</v>
      </c>
      <c r="M1151" t="n">
        <v>0</v>
      </c>
      <c r="N1151" t="n">
        <v>0</v>
      </c>
      <c r="O1151" t="n">
        <v>0</v>
      </c>
      <c r="P1151" t="n">
        <v>0</v>
      </c>
      <c r="Q1151" t="n">
        <v>0</v>
      </c>
      <c r="R1151" s="2" t="inlineStr"/>
    </row>
    <row r="1152" ht="15" customHeight="1">
      <c r="A1152" t="inlineStr">
        <is>
          <t>A 66178-2021</t>
        </is>
      </c>
      <c r="B1152" s="1" t="n">
        <v>44517</v>
      </c>
      <c r="C1152" s="1" t="n">
        <v>45802</v>
      </c>
      <c r="D1152" t="inlineStr">
        <is>
          <t>VÄSTERNORRLANDS LÄN</t>
        </is>
      </c>
      <c r="E1152" t="inlineStr">
        <is>
          <t>SOLLEFTEÅ</t>
        </is>
      </c>
      <c r="F1152" t="inlineStr">
        <is>
          <t>SCA</t>
        </is>
      </c>
      <c r="G1152" t="n">
        <v>31.7</v>
      </c>
      <c r="H1152" t="n">
        <v>0</v>
      </c>
      <c r="I1152" t="n">
        <v>0</v>
      </c>
      <c r="J1152" t="n">
        <v>0</v>
      </c>
      <c r="K1152" t="n">
        <v>0</v>
      </c>
      <c r="L1152" t="n">
        <v>0</v>
      </c>
      <c r="M1152" t="n">
        <v>0</v>
      </c>
      <c r="N1152" t="n">
        <v>0</v>
      </c>
      <c r="O1152" t="n">
        <v>0</v>
      </c>
      <c r="P1152" t="n">
        <v>0</v>
      </c>
      <c r="Q1152" t="n">
        <v>0</v>
      </c>
      <c r="R1152" s="2" t="inlineStr"/>
    </row>
    <row r="1153" ht="15" customHeight="1">
      <c r="A1153" t="inlineStr">
        <is>
          <t>A 66856-2021</t>
        </is>
      </c>
      <c r="B1153" s="1" t="n">
        <v>44522</v>
      </c>
      <c r="C1153" s="1" t="n">
        <v>45802</v>
      </c>
      <c r="D1153" t="inlineStr">
        <is>
          <t>VÄSTERNORRLANDS LÄN</t>
        </is>
      </c>
      <c r="E1153" t="inlineStr">
        <is>
          <t>SOLLEFTEÅ</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67085-2021</t>
        </is>
      </c>
      <c r="B1154" s="1" t="n">
        <v>44522</v>
      </c>
      <c r="C1154" s="1" t="n">
        <v>45802</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67143-2021</t>
        </is>
      </c>
      <c r="B1155" s="1" t="n">
        <v>44523</v>
      </c>
      <c r="C1155" s="1" t="n">
        <v>45802</v>
      </c>
      <c r="D1155" t="inlineStr">
        <is>
          <t>VÄSTERNORRLANDS LÄN</t>
        </is>
      </c>
      <c r="E1155" t="inlineStr">
        <is>
          <t>SOLLEFTEÅ</t>
        </is>
      </c>
      <c r="G1155" t="n">
        <v>19.7</v>
      </c>
      <c r="H1155" t="n">
        <v>0</v>
      </c>
      <c r="I1155" t="n">
        <v>0</v>
      </c>
      <c r="J1155" t="n">
        <v>0</v>
      </c>
      <c r="K1155" t="n">
        <v>0</v>
      </c>
      <c r="L1155" t="n">
        <v>0</v>
      </c>
      <c r="M1155" t="n">
        <v>0</v>
      </c>
      <c r="N1155" t="n">
        <v>0</v>
      </c>
      <c r="O1155" t="n">
        <v>0</v>
      </c>
      <c r="P1155" t="n">
        <v>0</v>
      </c>
      <c r="Q1155" t="n">
        <v>0</v>
      </c>
      <c r="R1155" s="2" t="inlineStr"/>
    </row>
    <row r="1156" ht="15" customHeight="1">
      <c r="A1156" t="inlineStr">
        <is>
          <t>A 67136-2021</t>
        </is>
      </c>
      <c r="B1156" s="1" t="n">
        <v>44523</v>
      </c>
      <c r="C1156" s="1" t="n">
        <v>45802</v>
      </c>
      <c r="D1156" t="inlineStr">
        <is>
          <t>VÄSTERNORRLANDS LÄN</t>
        </is>
      </c>
      <c r="E1156" t="inlineStr">
        <is>
          <t>SOLLEFTEÅ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67390-2021</t>
        </is>
      </c>
      <c r="B1157" s="1" t="n">
        <v>44523</v>
      </c>
      <c r="C1157" s="1" t="n">
        <v>45802</v>
      </c>
      <c r="D1157" t="inlineStr">
        <is>
          <t>VÄSTERNORRLANDS LÄN</t>
        </is>
      </c>
      <c r="E1157" t="inlineStr">
        <is>
          <t>SOLLEFTEÅ</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67401-2021</t>
        </is>
      </c>
      <c r="B1158" s="1" t="n">
        <v>44523</v>
      </c>
      <c r="C1158" s="1" t="n">
        <v>45802</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67689-2021</t>
        </is>
      </c>
      <c r="B1159" s="1" t="n">
        <v>44524</v>
      </c>
      <c r="C1159" s="1" t="n">
        <v>45802</v>
      </c>
      <c r="D1159" t="inlineStr">
        <is>
          <t>VÄSTERNORRLANDS LÄN</t>
        </is>
      </c>
      <c r="E1159" t="inlineStr">
        <is>
          <t>SOLLEFTEÅ</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67702-2021</t>
        </is>
      </c>
      <c r="B1160" s="1" t="n">
        <v>44524</v>
      </c>
      <c r="C1160" s="1" t="n">
        <v>45802</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67822-2021</t>
        </is>
      </c>
      <c r="B1161" s="1" t="n">
        <v>44525</v>
      </c>
      <c r="C1161" s="1" t="n">
        <v>45802</v>
      </c>
      <c r="D1161" t="inlineStr">
        <is>
          <t>VÄSTERNORRLANDS LÄN</t>
        </is>
      </c>
      <c r="E1161" t="inlineStr">
        <is>
          <t>SOLLEFTEÅ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68317-2021</t>
        </is>
      </c>
      <c r="B1162" s="1" t="n">
        <v>44526</v>
      </c>
      <c r="C1162" s="1" t="n">
        <v>45802</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68792-2021</t>
        </is>
      </c>
      <c r="B1163" s="1" t="n">
        <v>44529</v>
      </c>
      <c r="C1163" s="1" t="n">
        <v>45802</v>
      </c>
      <c r="D1163" t="inlineStr">
        <is>
          <t>VÄSTERNORRLANDS LÄN</t>
        </is>
      </c>
      <c r="E1163" t="inlineStr">
        <is>
          <t>SOLLEFTEÅ</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68843-2021</t>
        </is>
      </c>
      <c r="B1164" s="1" t="n">
        <v>44530</v>
      </c>
      <c r="C1164" s="1" t="n">
        <v>45802</v>
      </c>
      <c r="D1164" t="inlineStr">
        <is>
          <t>VÄSTERNORRLANDS LÄN</t>
        </is>
      </c>
      <c r="E1164" t="inlineStr">
        <is>
          <t>SOLLEFTEÅ</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68863-2021</t>
        </is>
      </c>
      <c r="B1165" s="1" t="n">
        <v>44530</v>
      </c>
      <c r="C1165" s="1" t="n">
        <v>45802</v>
      </c>
      <c r="D1165" t="inlineStr">
        <is>
          <t>VÄSTERNORRLANDS LÄN</t>
        </is>
      </c>
      <c r="E1165" t="inlineStr">
        <is>
          <t>SOLLEFTEÅ</t>
        </is>
      </c>
      <c r="F1165" t="inlineStr">
        <is>
          <t>Holmen skog AB</t>
        </is>
      </c>
      <c r="G1165" t="n">
        <v>16.8</v>
      </c>
      <c r="H1165" t="n">
        <v>0</v>
      </c>
      <c r="I1165" t="n">
        <v>0</v>
      </c>
      <c r="J1165" t="n">
        <v>0</v>
      </c>
      <c r="K1165" t="n">
        <v>0</v>
      </c>
      <c r="L1165" t="n">
        <v>0</v>
      </c>
      <c r="M1165" t="n">
        <v>0</v>
      </c>
      <c r="N1165" t="n">
        <v>0</v>
      </c>
      <c r="O1165" t="n">
        <v>0</v>
      </c>
      <c r="P1165" t="n">
        <v>0</v>
      </c>
      <c r="Q1165" t="n">
        <v>0</v>
      </c>
      <c r="R1165" s="2" t="inlineStr"/>
    </row>
    <row r="1166" ht="15" customHeight="1">
      <c r="A1166" t="inlineStr">
        <is>
          <t>A 69121-2021</t>
        </is>
      </c>
      <c r="B1166" s="1" t="n">
        <v>44530</v>
      </c>
      <c r="C1166" s="1" t="n">
        <v>45802</v>
      </c>
      <c r="D1166" t="inlineStr">
        <is>
          <t>VÄSTERNORRLANDS LÄN</t>
        </is>
      </c>
      <c r="E1166" t="inlineStr">
        <is>
          <t>SOLLEFTEÅ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69543-2021</t>
        </is>
      </c>
      <c r="B1167" s="1" t="n">
        <v>44531</v>
      </c>
      <c r="C1167" s="1" t="n">
        <v>45802</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69542-2021</t>
        </is>
      </c>
      <c r="B1168" s="1" t="n">
        <v>44531</v>
      </c>
      <c r="C1168" s="1" t="n">
        <v>45802</v>
      </c>
      <c r="D1168" t="inlineStr">
        <is>
          <t>VÄSTERNORRLANDS LÄN</t>
        </is>
      </c>
      <c r="E1168" t="inlineStr">
        <is>
          <t>SOLLEFTEÅ</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69919-2021</t>
        </is>
      </c>
      <c r="B1169" s="1" t="n">
        <v>44532</v>
      </c>
      <c r="C1169" s="1" t="n">
        <v>45802</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69916-2021</t>
        </is>
      </c>
      <c r="B1170" s="1" t="n">
        <v>44532</v>
      </c>
      <c r="C1170" s="1" t="n">
        <v>45802</v>
      </c>
      <c r="D1170" t="inlineStr">
        <is>
          <t>VÄSTERNORRLANDS LÄN</t>
        </is>
      </c>
      <c r="E1170" t="inlineStr">
        <is>
          <t>SOLLEFTEÅ</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70180-2021</t>
        </is>
      </c>
      <c r="B1171" s="1" t="n">
        <v>44533</v>
      </c>
      <c r="C1171" s="1" t="n">
        <v>45802</v>
      </c>
      <c r="D1171" t="inlineStr">
        <is>
          <t>VÄSTERNORRLANDS LÄN</t>
        </is>
      </c>
      <c r="E1171" t="inlineStr">
        <is>
          <t>SOLLEFTEÅ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70821-2021</t>
        </is>
      </c>
      <c r="B1172" s="1" t="n">
        <v>44537</v>
      </c>
      <c r="C1172" s="1" t="n">
        <v>45802</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71080-2021</t>
        </is>
      </c>
      <c r="B1173" s="1" t="n">
        <v>44538</v>
      </c>
      <c r="C1173" s="1" t="n">
        <v>45802</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71079-2021</t>
        </is>
      </c>
      <c r="B1174" s="1" t="n">
        <v>44538</v>
      </c>
      <c r="C1174" s="1" t="n">
        <v>45802</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71348-2021</t>
        </is>
      </c>
      <c r="B1175" s="1" t="n">
        <v>44539</v>
      </c>
      <c r="C1175" s="1" t="n">
        <v>45802</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71351-2021</t>
        </is>
      </c>
      <c r="B1176" s="1" t="n">
        <v>44539</v>
      </c>
      <c r="C1176" s="1" t="n">
        <v>45802</v>
      </c>
      <c r="D1176" t="inlineStr">
        <is>
          <t>VÄSTERNORRLANDS LÄN</t>
        </is>
      </c>
      <c r="E1176" t="inlineStr">
        <is>
          <t>SOLLEFTEÅ</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71350-2021</t>
        </is>
      </c>
      <c r="B1177" s="1" t="n">
        <v>44539</v>
      </c>
      <c r="C1177" s="1" t="n">
        <v>45802</v>
      </c>
      <c r="D1177" t="inlineStr">
        <is>
          <t>VÄSTERNORRLANDS LÄN</t>
        </is>
      </c>
      <c r="E1177" t="inlineStr">
        <is>
          <t>SOLLEFTEÅ</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71580-2021</t>
        </is>
      </c>
      <c r="B1178" s="1" t="n">
        <v>44540</v>
      </c>
      <c r="C1178" s="1" t="n">
        <v>45802</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72244-2021</t>
        </is>
      </c>
      <c r="B1179" s="1" t="n">
        <v>44544</v>
      </c>
      <c r="C1179" s="1" t="n">
        <v>45802</v>
      </c>
      <c r="D1179" t="inlineStr">
        <is>
          <t>VÄSTERNORRLANDS LÄN</t>
        </is>
      </c>
      <c r="E1179" t="inlineStr">
        <is>
          <t>SOLLEFTEÅ</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72249-2021</t>
        </is>
      </c>
      <c r="B1180" s="1" t="n">
        <v>44544</v>
      </c>
      <c r="C1180" s="1" t="n">
        <v>45802</v>
      </c>
      <c r="D1180" t="inlineStr">
        <is>
          <t>VÄSTERNORRLANDS LÄN</t>
        </is>
      </c>
      <c r="E1180" t="inlineStr">
        <is>
          <t>SOLLEFTEÅ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72315-2021</t>
        </is>
      </c>
      <c r="B1181" s="1" t="n">
        <v>44545</v>
      </c>
      <c r="C1181" s="1" t="n">
        <v>45802</v>
      </c>
      <c r="D1181" t="inlineStr">
        <is>
          <t>VÄSTERNORRLANDS LÄN</t>
        </is>
      </c>
      <c r="E1181" t="inlineStr">
        <is>
          <t>SOLLEFTEÅ</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72485-2021</t>
        </is>
      </c>
      <c r="B1182" s="1" t="n">
        <v>44545</v>
      </c>
      <c r="C1182" s="1" t="n">
        <v>45802</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72496-2021</t>
        </is>
      </c>
      <c r="B1183" s="1" t="n">
        <v>44545</v>
      </c>
      <c r="C1183" s="1" t="n">
        <v>45802</v>
      </c>
      <c r="D1183" t="inlineStr">
        <is>
          <t>VÄSTERNORRLANDS LÄN</t>
        </is>
      </c>
      <c r="E1183" t="inlineStr">
        <is>
          <t>SOLLEFTEÅ</t>
        </is>
      </c>
      <c r="G1183" t="n">
        <v>20</v>
      </c>
      <c r="H1183" t="n">
        <v>0</v>
      </c>
      <c r="I1183" t="n">
        <v>0</v>
      </c>
      <c r="J1183" t="n">
        <v>0</v>
      </c>
      <c r="K1183" t="n">
        <v>0</v>
      </c>
      <c r="L1183" t="n">
        <v>0</v>
      </c>
      <c r="M1183" t="n">
        <v>0</v>
      </c>
      <c r="N1183" t="n">
        <v>0</v>
      </c>
      <c r="O1183" t="n">
        <v>0</v>
      </c>
      <c r="P1183" t="n">
        <v>0</v>
      </c>
      <c r="Q1183" t="n">
        <v>0</v>
      </c>
      <c r="R1183" s="2" t="inlineStr"/>
    </row>
    <row r="1184" ht="15" customHeight="1">
      <c r="A1184" t="inlineStr">
        <is>
          <t>A 72949-2021</t>
        </is>
      </c>
      <c r="B1184" s="1" t="n">
        <v>44547</v>
      </c>
      <c r="C1184" s="1" t="n">
        <v>45802</v>
      </c>
      <c r="D1184" t="inlineStr">
        <is>
          <t>VÄSTERNORRLANDS LÄN</t>
        </is>
      </c>
      <c r="E1184" t="inlineStr">
        <is>
          <t>SOLLEFTEÅ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72958-2021</t>
        </is>
      </c>
      <c r="B1185" s="1" t="n">
        <v>44547</v>
      </c>
      <c r="C1185" s="1" t="n">
        <v>45802</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72977-2021</t>
        </is>
      </c>
      <c r="B1186" s="1" t="n">
        <v>44548</v>
      </c>
      <c r="C1186" s="1" t="n">
        <v>45802</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73285-2021</t>
        </is>
      </c>
      <c r="B1187" s="1" t="n">
        <v>44550</v>
      </c>
      <c r="C1187" s="1" t="n">
        <v>45802</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73367-2021</t>
        </is>
      </c>
      <c r="B1188" s="1" t="n">
        <v>44550</v>
      </c>
      <c r="C1188" s="1" t="n">
        <v>45802</v>
      </c>
      <c r="D1188" t="inlineStr">
        <is>
          <t>VÄSTERNORRLANDS LÄN</t>
        </is>
      </c>
      <c r="E1188" t="inlineStr">
        <is>
          <t>SOLLEFTEÅ</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73566-2021</t>
        </is>
      </c>
      <c r="B1189" s="1" t="n">
        <v>44551</v>
      </c>
      <c r="C1189" s="1" t="n">
        <v>45802</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73564-2021</t>
        </is>
      </c>
      <c r="B1190" s="1" t="n">
        <v>44551</v>
      </c>
      <c r="C1190" s="1" t="n">
        <v>45802</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73567-2021</t>
        </is>
      </c>
      <c r="B1191" s="1" t="n">
        <v>44551</v>
      </c>
      <c r="C1191" s="1" t="n">
        <v>45802</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73886-2021</t>
        </is>
      </c>
      <c r="B1192" s="1" t="n">
        <v>44553</v>
      </c>
      <c r="C1192" s="1" t="n">
        <v>45802</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73847-2021</t>
        </is>
      </c>
      <c r="B1193" s="1" t="n">
        <v>44553</v>
      </c>
      <c r="C1193" s="1" t="n">
        <v>45802</v>
      </c>
      <c r="D1193" t="inlineStr">
        <is>
          <t>VÄSTERNORRLANDS LÄN</t>
        </is>
      </c>
      <c r="E1193" t="inlineStr">
        <is>
          <t>SOLLEFTEÅ</t>
        </is>
      </c>
      <c r="F1193" t="inlineStr">
        <is>
          <t>Övriga Aktiebolag</t>
        </is>
      </c>
      <c r="G1193" t="n">
        <v>20.1</v>
      </c>
      <c r="H1193" t="n">
        <v>0</v>
      </c>
      <c r="I1193" t="n">
        <v>0</v>
      </c>
      <c r="J1193" t="n">
        <v>0</v>
      </c>
      <c r="K1193" t="n">
        <v>0</v>
      </c>
      <c r="L1193" t="n">
        <v>0</v>
      </c>
      <c r="M1193" t="n">
        <v>0</v>
      </c>
      <c r="N1193" t="n">
        <v>0</v>
      </c>
      <c r="O1193" t="n">
        <v>0</v>
      </c>
      <c r="P1193" t="n">
        <v>0</v>
      </c>
      <c r="Q1193" t="n">
        <v>0</v>
      </c>
      <c r="R1193" s="2" t="inlineStr"/>
    </row>
    <row r="1194" ht="15" customHeight="1">
      <c r="A1194" t="inlineStr">
        <is>
          <t>A 2-2022</t>
        </is>
      </c>
      <c r="B1194" s="1" t="n">
        <v>44562</v>
      </c>
      <c r="C1194" s="1" t="n">
        <v>45802</v>
      </c>
      <c r="D1194" t="inlineStr">
        <is>
          <t>VÄSTERNORRLANDS LÄN</t>
        </is>
      </c>
      <c r="E1194" t="inlineStr">
        <is>
          <t>SOLLEFTEÅ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19-2022</t>
        </is>
      </c>
      <c r="B1195" s="1" t="n">
        <v>44564</v>
      </c>
      <c r="C1195" s="1" t="n">
        <v>45802</v>
      </c>
      <c r="D1195" t="inlineStr">
        <is>
          <t>VÄSTERNORRLANDS LÄN</t>
        </is>
      </c>
      <c r="E1195" t="inlineStr">
        <is>
          <t>SOLLEFTEÅ</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576-2022</t>
        </is>
      </c>
      <c r="B1196" s="1" t="n">
        <v>44566</v>
      </c>
      <c r="C1196" s="1" t="n">
        <v>45802</v>
      </c>
      <c r="D1196" t="inlineStr">
        <is>
          <t>VÄSTERNORRLANDS LÄN</t>
        </is>
      </c>
      <c r="E1196" t="inlineStr">
        <is>
          <t>SOLLEFTEÅ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1095-2022</t>
        </is>
      </c>
      <c r="B1197" s="1" t="n">
        <v>44571</v>
      </c>
      <c r="C1197" s="1" t="n">
        <v>45802</v>
      </c>
      <c r="D1197" t="inlineStr">
        <is>
          <t>VÄSTERNORRLANDS LÄN</t>
        </is>
      </c>
      <c r="E1197" t="inlineStr">
        <is>
          <t>SOLLEFTEÅ</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1094-2022</t>
        </is>
      </c>
      <c r="B1198" s="1" t="n">
        <v>44571</v>
      </c>
      <c r="C1198" s="1" t="n">
        <v>45802</v>
      </c>
      <c r="D1198" t="inlineStr">
        <is>
          <t>VÄSTERNORRLANDS LÄN</t>
        </is>
      </c>
      <c r="E1198" t="inlineStr">
        <is>
          <t>SOLLEFTEÅ</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1402-2022</t>
        </is>
      </c>
      <c r="B1199" s="1" t="n">
        <v>44573</v>
      </c>
      <c r="C1199" s="1" t="n">
        <v>45802</v>
      </c>
      <c r="D1199" t="inlineStr">
        <is>
          <t>VÄSTERNORRLANDS LÄN</t>
        </is>
      </c>
      <c r="E1199" t="inlineStr">
        <is>
          <t>SOLLEFTEÅ</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1987-2022</t>
        </is>
      </c>
      <c r="B1200" s="1" t="n">
        <v>44575</v>
      </c>
      <c r="C1200" s="1" t="n">
        <v>45802</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1997-2022</t>
        </is>
      </c>
      <c r="B1201" s="1" t="n">
        <v>44575</v>
      </c>
      <c r="C1201" s="1" t="n">
        <v>45802</v>
      </c>
      <c r="D1201" t="inlineStr">
        <is>
          <t>VÄSTERNORRLANDS LÄN</t>
        </is>
      </c>
      <c r="E1201" t="inlineStr">
        <is>
          <t>SOLLEFTEÅ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2536-2022</t>
        </is>
      </c>
      <c r="B1202" s="1" t="n">
        <v>44579</v>
      </c>
      <c r="C1202" s="1" t="n">
        <v>45802</v>
      </c>
      <c r="D1202" t="inlineStr">
        <is>
          <t>VÄSTERNORRLANDS LÄN</t>
        </is>
      </c>
      <c r="E1202" t="inlineStr">
        <is>
          <t>SOLLEFTEÅ</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2543-2022</t>
        </is>
      </c>
      <c r="B1203" s="1" t="n">
        <v>44580</v>
      </c>
      <c r="C1203" s="1" t="n">
        <v>45802</v>
      </c>
      <c r="D1203" t="inlineStr">
        <is>
          <t>VÄSTERNORRLANDS LÄN</t>
        </is>
      </c>
      <c r="E1203" t="inlineStr">
        <is>
          <t>SOLLEFTEÅ</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2542-2022</t>
        </is>
      </c>
      <c r="B1204" s="1" t="n">
        <v>44580</v>
      </c>
      <c r="C1204" s="1" t="n">
        <v>45802</v>
      </c>
      <c r="D1204" t="inlineStr">
        <is>
          <t>VÄSTERNORRLANDS LÄN</t>
        </is>
      </c>
      <c r="E1204" t="inlineStr">
        <is>
          <t>SOLLEFTEÅ</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2541-2022</t>
        </is>
      </c>
      <c r="B1205" s="1" t="n">
        <v>44580</v>
      </c>
      <c r="C1205" s="1" t="n">
        <v>45802</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2747-2022</t>
        </is>
      </c>
      <c r="B1206" s="1" t="n">
        <v>44580</v>
      </c>
      <c r="C1206" s="1" t="n">
        <v>45802</v>
      </c>
      <c r="D1206" t="inlineStr">
        <is>
          <t>VÄSTERNORRLANDS LÄN</t>
        </is>
      </c>
      <c r="E1206" t="inlineStr">
        <is>
          <t>SOLLEFTEÅ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3001-2022</t>
        </is>
      </c>
      <c r="B1207" s="1" t="n">
        <v>44581</v>
      </c>
      <c r="C1207" s="1" t="n">
        <v>45802</v>
      </c>
      <c r="D1207" t="inlineStr">
        <is>
          <t>VÄSTERNORRLANDS LÄN</t>
        </is>
      </c>
      <c r="E1207" t="inlineStr">
        <is>
          <t>SOLLEFTEÅ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3541-2022</t>
        </is>
      </c>
      <c r="B1208" s="1" t="n">
        <v>44585</v>
      </c>
      <c r="C1208" s="1" t="n">
        <v>45802</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3548-2022</t>
        </is>
      </c>
      <c r="B1209" s="1" t="n">
        <v>44585</v>
      </c>
      <c r="C1209" s="1" t="n">
        <v>45802</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3554-2022</t>
        </is>
      </c>
      <c r="B1210" s="1" t="n">
        <v>44585</v>
      </c>
      <c r="C1210" s="1" t="n">
        <v>45802</v>
      </c>
      <c r="D1210" t="inlineStr">
        <is>
          <t>VÄSTERNORRLANDS LÄN</t>
        </is>
      </c>
      <c r="E1210" t="inlineStr">
        <is>
          <t>SOLLEFTEÅ</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3560-2022</t>
        </is>
      </c>
      <c r="B1211" s="1" t="n">
        <v>44585</v>
      </c>
      <c r="C1211" s="1" t="n">
        <v>45802</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3549-2022</t>
        </is>
      </c>
      <c r="B1212" s="1" t="n">
        <v>44585</v>
      </c>
      <c r="C1212" s="1" t="n">
        <v>45802</v>
      </c>
      <c r="D1212" t="inlineStr">
        <is>
          <t>VÄSTERNORRLANDS LÄN</t>
        </is>
      </c>
      <c r="E1212" t="inlineStr">
        <is>
          <t>SOLLEFTEÅ</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3551-2022</t>
        </is>
      </c>
      <c r="B1213" s="1" t="n">
        <v>44585</v>
      </c>
      <c r="C1213" s="1" t="n">
        <v>45802</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3556-2022</t>
        </is>
      </c>
      <c r="B1214" s="1" t="n">
        <v>44585</v>
      </c>
      <c r="C1214" s="1" t="n">
        <v>45802</v>
      </c>
      <c r="D1214" t="inlineStr">
        <is>
          <t>VÄSTERNORRLANDS LÄN</t>
        </is>
      </c>
      <c r="E1214" t="inlineStr">
        <is>
          <t>SOLLEFTEÅ</t>
        </is>
      </c>
      <c r="F1214" t="inlineStr">
        <is>
          <t>SCA</t>
        </is>
      </c>
      <c r="G1214" t="n">
        <v>18.2</v>
      </c>
      <c r="H1214" t="n">
        <v>0</v>
      </c>
      <c r="I1214" t="n">
        <v>0</v>
      </c>
      <c r="J1214" t="n">
        <v>0</v>
      </c>
      <c r="K1214" t="n">
        <v>0</v>
      </c>
      <c r="L1214" t="n">
        <v>0</v>
      </c>
      <c r="M1214" t="n">
        <v>0</v>
      </c>
      <c r="N1214" t="n">
        <v>0</v>
      </c>
      <c r="O1214" t="n">
        <v>0</v>
      </c>
      <c r="P1214" t="n">
        <v>0</v>
      </c>
      <c r="Q1214" t="n">
        <v>0</v>
      </c>
      <c r="R1214" s="2" t="inlineStr"/>
    </row>
    <row r="1215" ht="15" customHeight="1">
      <c r="A1215" t="inlineStr">
        <is>
          <t>A 3555-2022</t>
        </is>
      </c>
      <c r="B1215" s="1" t="n">
        <v>44585</v>
      </c>
      <c r="C1215" s="1" t="n">
        <v>45802</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3552-2022</t>
        </is>
      </c>
      <c r="B1216" s="1" t="n">
        <v>44585</v>
      </c>
      <c r="C1216" s="1" t="n">
        <v>45802</v>
      </c>
      <c r="D1216" t="inlineStr">
        <is>
          <t>VÄSTERNORRLANDS LÄN</t>
        </is>
      </c>
      <c r="E1216" t="inlineStr">
        <is>
          <t>SOLLEFTEÅ</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3557-2022</t>
        </is>
      </c>
      <c r="B1217" s="1" t="n">
        <v>44585</v>
      </c>
      <c r="C1217" s="1" t="n">
        <v>45802</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3699-2022</t>
        </is>
      </c>
      <c r="B1218" s="1" t="n">
        <v>44586</v>
      </c>
      <c r="C1218" s="1" t="n">
        <v>45802</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3793-2022</t>
        </is>
      </c>
      <c r="B1219" s="1" t="n">
        <v>44586</v>
      </c>
      <c r="C1219" s="1" t="n">
        <v>45802</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4018-2022</t>
        </is>
      </c>
      <c r="B1220" s="1" t="n">
        <v>44587</v>
      </c>
      <c r="C1220" s="1" t="n">
        <v>45802</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4343-2022</t>
        </is>
      </c>
      <c r="B1221" s="1" t="n">
        <v>44588</v>
      </c>
      <c r="C1221" s="1" t="n">
        <v>45802</v>
      </c>
      <c r="D1221" t="inlineStr">
        <is>
          <t>VÄSTERNORRLANDS LÄN</t>
        </is>
      </c>
      <c r="E1221" t="inlineStr">
        <is>
          <t>SOLLEFTEÅ</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4555-2022</t>
        </is>
      </c>
      <c r="B1222" s="1" t="n">
        <v>44590</v>
      </c>
      <c r="C1222" s="1" t="n">
        <v>45802</v>
      </c>
      <c r="D1222" t="inlineStr">
        <is>
          <t>VÄSTERNORRLANDS LÄN</t>
        </is>
      </c>
      <c r="E1222" t="inlineStr">
        <is>
          <t>SOLLEFTEÅ</t>
        </is>
      </c>
      <c r="F1222" t="inlineStr">
        <is>
          <t>SCA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5108-2022</t>
        </is>
      </c>
      <c r="B1223" s="1" t="n">
        <v>44593</v>
      </c>
      <c r="C1223" s="1" t="n">
        <v>45802</v>
      </c>
      <c r="D1223" t="inlineStr">
        <is>
          <t>VÄSTERNORRLANDS LÄN</t>
        </is>
      </c>
      <c r="E1223" t="inlineStr">
        <is>
          <t>SOLLEFTEÅ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5110-2022</t>
        </is>
      </c>
      <c r="B1224" s="1" t="n">
        <v>44593</v>
      </c>
      <c r="C1224" s="1" t="n">
        <v>45802</v>
      </c>
      <c r="D1224" t="inlineStr">
        <is>
          <t>VÄSTERNORRLANDS LÄN</t>
        </is>
      </c>
      <c r="E1224" t="inlineStr">
        <is>
          <t>SOLLEFTEÅ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5111-2022</t>
        </is>
      </c>
      <c r="B1225" s="1" t="n">
        <v>44593</v>
      </c>
      <c r="C1225" s="1" t="n">
        <v>45802</v>
      </c>
      <c r="D1225" t="inlineStr">
        <is>
          <t>VÄSTERNORRLANDS LÄN</t>
        </is>
      </c>
      <c r="E1225" t="inlineStr">
        <is>
          <t>SOLLEFTEÅ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5134-2022</t>
        </is>
      </c>
      <c r="B1226" s="1" t="n">
        <v>44594</v>
      </c>
      <c r="C1226" s="1" t="n">
        <v>45802</v>
      </c>
      <c r="D1226" t="inlineStr">
        <is>
          <t>VÄSTERNORRLANDS LÄN</t>
        </is>
      </c>
      <c r="E1226" t="inlineStr">
        <is>
          <t>SOLLEFTEÅ</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5657-2022</t>
        </is>
      </c>
      <c r="B1227" s="1" t="n">
        <v>44595</v>
      </c>
      <c r="C1227" s="1" t="n">
        <v>45802</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5909-2022</t>
        </is>
      </c>
      <c r="B1228" s="1" t="n">
        <v>44596</v>
      </c>
      <c r="C1228" s="1" t="n">
        <v>45802</v>
      </c>
      <c r="D1228" t="inlineStr">
        <is>
          <t>VÄSTERNORRLANDS LÄN</t>
        </is>
      </c>
      <c r="E1228" t="inlineStr">
        <is>
          <t>SOLLEFTEÅ</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6121-2022</t>
        </is>
      </c>
      <c r="B1229" s="1" t="n">
        <v>44599</v>
      </c>
      <c r="C1229" s="1" t="n">
        <v>45802</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6172-2022</t>
        </is>
      </c>
      <c r="B1230" s="1" t="n">
        <v>44599</v>
      </c>
      <c r="C1230" s="1" t="n">
        <v>45802</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6170-2022</t>
        </is>
      </c>
      <c r="B1231" s="1" t="n">
        <v>44599</v>
      </c>
      <c r="C1231" s="1" t="n">
        <v>45802</v>
      </c>
      <c r="D1231" t="inlineStr">
        <is>
          <t>VÄSTERNORRLANDS LÄN</t>
        </is>
      </c>
      <c r="E1231" t="inlineStr">
        <is>
          <t>SOLLEFTEÅ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7667-2022</t>
        </is>
      </c>
      <c r="B1232" s="1" t="n">
        <v>44607</v>
      </c>
      <c r="C1232" s="1" t="n">
        <v>45802</v>
      </c>
      <c r="D1232" t="inlineStr">
        <is>
          <t>VÄSTERNORRLANDS LÄN</t>
        </is>
      </c>
      <c r="E1232" t="inlineStr">
        <is>
          <t>SOLLEFTEÅ</t>
        </is>
      </c>
      <c r="F1232" t="inlineStr">
        <is>
          <t>SCA</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7965-2022</t>
        </is>
      </c>
      <c r="B1233" s="1" t="n">
        <v>44608</v>
      </c>
      <c r="C1233" s="1" t="n">
        <v>45802</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7963-2022</t>
        </is>
      </c>
      <c r="B1234" s="1" t="n">
        <v>44608</v>
      </c>
      <c r="C1234" s="1" t="n">
        <v>45802</v>
      </c>
      <c r="D1234" t="inlineStr">
        <is>
          <t>VÄSTERNORRLANDS LÄN</t>
        </is>
      </c>
      <c r="E1234" t="inlineStr">
        <is>
          <t>SOLLEFTEÅ</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7935-2022</t>
        </is>
      </c>
      <c r="B1235" s="1" t="n">
        <v>44608</v>
      </c>
      <c r="C1235" s="1" t="n">
        <v>45802</v>
      </c>
      <c r="D1235" t="inlineStr">
        <is>
          <t>VÄSTERNORRLANDS LÄN</t>
        </is>
      </c>
      <c r="E1235" t="inlineStr">
        <is>
          <t>SOLLEFTEÅ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7964-2022</t>
        </is>
      </c>
      <c r="B1236" s="1" t="n">
        <v>44608</v>
      </c>
      <c r="C1236" s="1" t="n">
        <v>45802</v>
      </c>
      <c r="D1236" t="inlineStr">
        <is>
          <t>VÄSTERNORRLANDS LÄN</t>
        </is>
      </c>
      <c r="E1236" t="inlineStr">
        <is>
          <t>SOLLEFTEÅ</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8221-2022</t>
        </is>
      </c>
      <c r="B1237" s="1" t="n">
        <v>44609</v>
      </c>
      <c r="C1237" s="1" t="n">
        <v>45802</v>
      </c>
      <c r="D1237" t="inlineStr">
        <is>
          <t>VÄSTERNORRLANDS LÄN</t>
        </is>
      </c>
      <c r="E1237" t="inlineStr">
        <is>
          <t>SOLLEFTEÅ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8222-2022</t>
        </is>
      </c>
      <c r="B1238" s="1" t="n">
        <v>44609</v>
      </c>
      <c r="C1238" s="1" t="n">
        <v>45802</v>
      </c>
      <c r="D1238" t="inlineStr">
        <is>
          <t>VÄSTERNORRLANDS LÄN</t>
        </is>
      </c>
      <c r="E1238" t="inlineStr">
        <is>
          <t>SOLLEFTEÅ</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8728-2022</t>
        </is>
      </c>
      <c r="B1239" s="1" t="n">
        <v>44613</v>
      </c>
      <c r="C1239" s="1" t="n">
        <v>45802</v>
      </c>
      <c r="D1239" t="inlineStr">
        <is>
          <t>VÄSTERNORRLANDS LÄN</t>
        </is>
      </c>
      <c r="E1239" t="inlineStr">
        <is>
          <t>SOLLEFTEÅ</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8729-2022</t>
        </is>
      </c>
      <c r="B1240" s="1" t="n">
        <v>44613</v>
      </c>
      <c r="C1240" s="1" t="n">
        <v>45802</v>
      </c>
      <c r="D1240" t="inlineStr">
        <is>
          <t>VÄSTERNORRLANDS LÄN</t>
        </is>
      </c>
      <c r="E1240" t="inlineStr">
        <is>
          <t>SOLLEFTEÅ</t>
        </is>
      </c>
      <c r="F1240" t="inlineStr">
        <is>
          <t>SCA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8734-2022</t>
        </is>
      </c>
      <c r="B1241" s="1" t="n">
        <v>44613</v>
      </c>
      <c r="C1241" s="1" t="n">
        <v>45802</v>
      </c>
      <c r="D1241" t="inlineStr">
        <is>
          <t>VÄSTERNORRLANDS LÄN</t>
        </is>
      </c>
      <c r="E1241" t="inlineStr">
        <is>
          <t>SOLLEFTEÅ</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9124-2022</t>
        </is>
      </c>
      <c r="B1242" s="1" t="n">
        <v>44615</v>
      </c>
      <c r="C1242" s="1" t="n">
        <v>45802</v>
      </c>
      <c r="D1242" t="inlineStr">
        <is>
          <t>VÄSTERNORRLANDS LÄN</t>
        </is>
      </c>
      <c r="E1242" t="inlineStr">
        <is>
          <t>SOLLEFTEÅ</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9487-2022</t>
        </is>
      </c>
      <c r="B1243" s="1" t="n">
        <v>44616</v>
      </c>
      <c r="C1243" s="1" t="n">
        <v>45802</v>
      </c>
      <c r="D1243" t="inlineStr">
        <is>
          <t>VÄSTERNORRLANDS LÄN</t>
        </is>
      </c>
      <c r="E1243" t="inlineStr">
        <is>
          <t>SOLLEFTEÅ</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9586-2022</t>
        </is>
      </c>
      <c r="B1244" s="1" t="n">
        <v>44617</v>
      </c>
      <c r="C1244" s="1" t="n">
        <v>45802</v>
      </c>
      <c r="D1244" t="inlineStr">
        <is>
          <t>VÄSTERNORRLANDS LÄN</t>
        </is>
      </c>
      <c r="E1244" t="inlineStr">
        <is>
          <t>SOLLEFTEÅ</t>
        </is>
      </c>
      <c r="F1244" t="inlineStr">
        <is>
          <t>Övriga Aktiebolag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10138-2022</t>
        </is>
      </c>
      <c r="B1245" s="1" t="n">
        <v>44621</v>
      </c>
      <c r="C1245" s="1" t="n">
        <v>45802</v>
      </c>
      <c r="D1245" t="inlineStr">
        <is>
          <t>VÄSTERNORRLANDS LÄN</t>
        </is>
      </c>
      <c r="E1245" t="inlineStr">
        <is>
          <t>SOLLEFTEÅ</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10139-2022</t>
        </is>
      </c>
      <c r="B1246" s="1" t="n">
        <v>44621</v>
      </c>
      <c r="C1246" s="1" t="n">
        <v>45802</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10140-2022</t>
        </is>
      </c>
      <c r="B1247" s="1" t="n">
        <v>44621</v>
      </c>
      <c r="C1247" s="1" t="n">
        <v>45802</v>
      </c>
      <c r="D1247" t="inlineStr">
        <is>
          <t>VÄSTERNORRLANDS LÄN</t>
        </is>
      </c>
      <c r="E1247" t="inlineStr">
        <is>
          <t>SOLLEFTEÅ</t>
        </is>
      </c>
      <c r="F1247" t="inlineStr">
        <is>
          <t>SCA</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10141-2022</t>
        </is>
      </c>
      <c r="B1248" s="1" t="n">
        <v>44621</v>
      </c>
      <c r="C1248" s="1" t="n">
        <v>45802</v>
      </c>
      <c r="D1248" t="inlineStr">
        <is>
          <t>VÄSTERNORRLANDS LÄN</t>
        </is>
      </c>
      <c r="E1248" t="inlineStr">
        <is>
          <t>SOLLEFTEÅ</t>
        </is>
      </c>
      <c r="F1248" t="inlineStr">
        <is>
          <t>SCA</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10198-2022</t>
        </is>
      </c>
      <c r="B1249" s="1" t="n">
        <v>44622</v>
      </c>
      <c r="C1249" s="1" t="n">
        <v>45802</v>
      </c>
      <c r="D1249" t="inlineStr">
        <is>
          <t>VÄSTERNORRLANDS LÄN</t>
        </is>
      </c>
      <c r="E1249" t="inlineStr">
        <is>
          <t>SOLLEFTEÅ</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10242-2022</t>
        </is>
      </c>
      <c r="B1250" s="1" t="n">
        <v>44622</v>
      </c>
      <c r="C1250" s="1" t="n">
        <v>45802</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10308-2022</t>
        </is>
      </c>
      <c r="B1251" s="1" t="n">
        <v>44622</v>
      </c>
      <c r="C1251" s="1" t="n">
        <v>45802</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10250-2022</t>
        </is>
      </c>
      <c r="B1252" s="1" t="n">
        <v>44622</v>
      </c>
      <c r="C1252" s="1" t="n">
        <v>45802</v>
      </c>
      <c r="D1252" t="inlineStr">
        <is>
          <t>VÄSTERNORRLANDS LÄN</t>
        </is>
      </c>
      <c r="E1252" t="inlineStr">
        <is>
          <t>SOLLEFTEÅ</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10310-2022</t>
        </is>
      </c>
      <c r="B1253" s="1" t="n">
        <v>44622</v>
      </c>
      <c r="C1253" s="1" t="n">
        <v>45802</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10307-2022</t>
        </is>
      </c>
      <c r="B1254" s="1" t="n">
        <v>44622</v>
      </c>
      <c r="C1254" s="1" t="n">
        <v>45802</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10311-2022</t>
        </is>
      </c>
      <c r="B1255" s="1" t="n">
        <v>44622</v>
      </c>
      <c r="C1255" s="1" t="n">
        <v>45802</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10309-2022</t>
        </is>
      </c>
      <c r="B1256" s="1" t="n">
        <v>44622</v>
      </c>
      <c r="C1256" s="1" t="n">
        <v>45802</v>
      </c>
      <c r="D1256" t="inlineStr">
        <is>
          <t>VÄSTERNORRLANDS LÄN</t>
        </is>
      </c>
      <c r="E1256" t="inlineStr">
        <is>
          <t>SOLLEFTEÅ</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10314-2022</t>
        </is>
      </c>
      <c r="B1257" s="1" t="n">
        <v>44622</v>
      </c>
      <c r="C1257" s="1" t="n">
        <v>45802</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10417-2022</t>
        </is>
      </c>
      <c r="B1258" s="1" t="n">
        <v>44623</v>
      </c>
      <c r="C1258" s="1" t="n">
        <v>45802</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10924-2022</t>
        </is>
      </c>
      <c r="B1259" s="1" t="n">
        <v>44627</v>
      </c>
      <c r="C1259" s="1" t="n">
        <v>45802</v>
      </c>
      <c r="D1259" t="inlineStr">
        <is>
          <t>VÄSTERNORRLANDS LÄN</t>
        </is>
      </c>
      <c r="E1259" t="inlineStr">
        <is>
          <t>SOLLEFTEÅ</t>
        </is>
      </c>
      <c r="F1259" t="inlineStr">
        <is>
          <t>SCA</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10926-2022</t>
        </is>
      </c>
      <c r="B1260" s="1" t="n">
        <v>44627</v>
      </c>
      <c r="C1260" s="1" t="n">
        <v>45802</v>
      </c>
      <c r="D1260" t="inlineStr">
        <is>
          <t>VÄSTERNORRLANDS LÄN</t>
        </is>
      </c>
      <c r="E1260" t="inlineStr">
        <is>
          <t>SOLLEFTEÅ</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10925-2022</t>
        </is>
      </c>
      <c r="B1261" s="1" t="n">
        <v>44627</v>
      </c>
      <c r="C1261" s="1" t="n">
        <v>45802</v>
      </c>
      <c r="D1261" t="inlineStr">
        <is>
          <t>VÄSTERNORRLANDS LÄN</t>
        </is>
      </c>
      <c r="E1261" t="inlineStr">
        <is>
          <t>SOLLEFTEÅ</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10927-2022</t>
        </is>
      </c>
      <c r="B1262" s="1" t="n">
        <v>44627</v>
      </c>
      <c r="C1262" s="1" t="n">
        <v>45802</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11117-2022</t>
        </is>
      </c>
      <c r="B1263" s="1" t="n">
        <v>44628</v>
      </c>
      <c r="C1263" s="1" t="n">
        <v>45802</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11131-2022</t>
        </is>
      </c>
      <c r="B1264" s="1" t="n">
        <v>44628</v>
      </c>
      <c r="C1264" s="1" t="n">
        <v>45802</v>
      </c>
      <c r="D1264" t="inlineStr">
        <is>
          <t>VÄSTERNORRLANDS LÄN</t>
        </is>
      </c>
      <c r="E1264" t="inlineStr">
        <is>
          <t>SOLLEFTEÅ</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11133-2022</t>
        </is>
      </c>
      <c r="B1265" s="1" t="n">
        <v>44628</v>
      </c>
      <c r="C1265" s="1" t="n">
        <v>45802</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11125-2022</t>
        </is>
      </c>
      <c r="B1266" s="1" t="n">
        <v>44628</v>
      </c>
      <c r="C1266" s="1" t="n">
        <v>45802</v>
      </c>
      <c r="D1266" t="inlineStr">
        <is>
          <t>VÄSTERNORRLANDS LÄN</t>
        </is>
      </c>
      <c r="E1266" t="inlineStr">
        <is>
          <t>SOLLEFTEÅ</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11241-2022</t>
        </is>
      </c>
      <c r="B1267" s="1" t="n">
        <v>44629</v>
      </c>
      <c r="C1267" s="1" t="n">
        <v>45802</v>
      </c>
      <c r="D1267" t="inlineStr">
        <is>
          <t>VÄSTERNORRLANDS LÄN</t>
        </is>
      </c>
      <c r="E1267" t="inlineStr">
        <is>
          <t>SOLLEFTEÅ</t>
        </is>
      </c>
      <c r="F1267" t="inlineStr">
        <is>
          <t>Kommuner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11318-2022</t>
        </is>
      </c>
      <c r="B1268" s="1" t="n">
        <v>44629</v>
      </c>
      <c r="C1268" s="1" t="n">
        <v>45802</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11475-2022</t>
        </is>
      </c>
      <c r="B1269" s="1" t="n">
        <v>44630</v>
      </c>
      <c r="C1269" s="1" t="n">
        <v>45802</v>
      </c>
      <c r="D1269" t="inlineStr">
        <is>
          <t>VÄSTERNORRLANDS LÄN</t>
        </is>
      </c>
      <c r="E1269" t="inlineStr">
        <is>
          <t>SOLLEFTEÅ</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11484-2022</t>
        </is>
      </c>
      <c r="B1270" s="1" t="n">
        <v>44630</v>
      </c>
      <c r="C1270" s="1" t="n">
        <v>45802</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11474-2022</t>
        </is>
      </c>
      <c r="B1271" s="1" t="n">
        <v>44630</v>
      </c>
      <c r="C1271" s="1" t="n">
        <v>45802</v>
      </c>
      <c r="D1271" t="inlineStr">
        <is>
          <t>VÄSTERNORRLANDS LÄN</t>
        </is>
      </c>
      <c r="E1271" t="inlineStr">
        <is>
          <t>SOLLEFTEÅ</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11483-2022</t>
        </is>
      </c>
      <c r="B1272" s="1" t="n">
        <v>44630</v>
      </c>
      <c r="C1272" s="1" t="n">
        <v>45802</v>
      </c>
      <c r="D1272" t="inlineStr">
        <is>
          <t>VÄSTERNORRLANDS LÄN</t>
        </is>
      </c>
      <c r="E1272" t="inlineStr">
        <is>
          <t>SOLLEFTEÅ</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11652-2022</t>
        </is>
      </c>
      <c r="B1273" s="1" t="n">
        <v>44631</v>
      </c>
      <c r="C1273" s="1" t="n">
        <v>45802</v>
      </c>
      <c r="D1273" t="inlineStr">
        <is>
          <t>VÄSTERNORRLANDS LÄN</t>
        </is>
      </c>
      <c r="E1273" t="inlineStr">
        <is>
          <t>SOLLEFTEÅ</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11656-2022</t>
        </is>
      </c>
      <c r="B1274" s="1" t="n">
        <v>44631</v>
      </c>
      <c r="C1274" s="1" t="n">
        <v>45802</v>
      </c>
      <c r="D1274" t="inlineStr">
        <is>
          <t>VÄSTERNORRLANDS LÄN</t>
        </is>
      </c>
      <c r="E1274" t="inlineStr">
        <is>
          <t>SOLLEFTEÅ</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11653-2022</t>
        </is>
      </c>
      <c r="B1275" s="1" t="n">
        <v>44631</v>
      </c>
      <c r="C1275" s="1" t="n">
        <v>45802</v>
      </c>
      <c r="D1275" t="inlineStr">
        <is>
          <t>VÄSTERNORRLANDS LÄN</t>
        </is>
      </c>
      <c r="E1275" t="inlineStr">
        <is>
          <t>SOLLEFTEÅ</t>
        </is>
      </c>
      <c r="F1275" t="inlineStr">
        <is>
          <t>SCA</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11677-2022</t>
        </is>
      </c>
      <c r="B1276" s="1" t="n">
        <v>44633</v>
      </c>
      <c r="C1276" s="1" t="n">
        <v>45802</v>
      </c>
      <c r="D1276" t="inlineStr">
        <is>
          <t>VÄSTERNORRLANDS LÄN</t>
        </is>
      </c>
      <c r="E1276" t="inlineStr">
        <is>
          <t>SOLLEFTEÅ</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11842-2022</t>
        </is>
      </c>
      <c r="B1277" s="1" t="n">
        <v>44634</v>
      </c>
      <c r="C1277" s="1" t="n">
        <v>45802</v>
      </c>
      <c r="D1277" t="inlineStr">
        <is>
          <t>VÄSTERNORRLANDS LÄN</t>
        </is>
      </c>
      <c r="E1277" t="inlineStr">
        <is>
          <t>SOLLEFTEÅ</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11845-2022</t>
        </is>
      </c>
      <c r="B1278" s="1" t="n">
        <v>44634</v>
      </c>
      <c r="C1278" s="1" t="n">
        <v>45802</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11846-2022</t>
        </is>
      </c>
      <c r="B1279" s="1" t="n">
        <v>44634</v>
      </c>
      <c r="C1279" s="1" t="n">
        <v>45802</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11870-2022</t>
        </is>
      </c>
      <c r="B1280" s="1" t="n">
        <v>44635</v>
      </c>
      <c r="C1280" s="1" t="n">
        <v>45802</v>
      </c>
      <c r="D1280" t="inlineStr">
        <is>
          <t>VÄSTERNORRLANDS LÄN</t>
        </is>
      </c>
      <c r="E1280" t="inlineStr">
        <is>
          <t>SOLLEFTEÅ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11874-2022</t>
        </is>
      </c>
      <c r="B1281" s="1" t="n">
        <v>44635</v>
      </c>
      <c r="C1281" s="1" t="n">
        <v>45802</v>
      </c>
      <c r="D1281" t="inlineStr">
        <is>
          <t>VÄSTERNORRLANDS LÄN</t>
        </is>
      </c>
      <c r="E1281" t="inlineStr">
        <is>
          <t>SOLLEFTEÅ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12007-2022</t>
        </is>
      </c>
      <c r="B1282" s="1" t="n">
        <v>44635</v>
      </c>
      <c r="C1282" s="1" t="n">
        <v>45802</v>
      </c>
      <c r="D1282" t="inlineStr">
        <is>
          <t>VÄSTERNORRLANDS LÄN</t>
        </is>
      </c>
      <c r="E1282" t="inlineStr">
        <is>
          <t>SOLLEFTEÅ</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12001-2022</t>
        </is>
      </c>
      <c r="B1283" s="1" t="n">
        <v>44635</v>
      </c>
      <c r="C1283" s="1" t="n">
        <v>45802</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12006-2022</t>
        </is>
      </c>
      <c r="B1284" s="1" t="n">
        <v>44635</v>
      </c>
      <c r="C1284" s="1" t="n">
        <v>45802</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12022-2022</t>
        </is>
      </c>
      <c r="B1285" s="1" t="n">
        <v>44635</v>
      </c>
      <c r="C1285" s="1" t="n">
        <v>45802</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12191-2022</t>
        </is>
      </c>
      <c r="B1286" s="1" t="n">
        <v>44636</v>
      </c>
      <c r="C1286" s="1" t="n">
        <v>45802</v>
      </c>
      <c r="D1286" t="inlineStr">
        <is>
          <t>VÄSTERNORRLANDS LÄN</t>
        </is>
      </c>
      <c r="E1286" t="inlineStr">
        <is>
          <t>SOLLEFTEÅ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12201-2022</t>
        </is>
      </c>
      <c r="B1287" s="1" t="n">
        <v>44636</v>
      </c>
      <c r="C1287" s="1" t="n">
        <v>45802</v>
      </c>
      <c r="D1287" t="inlineStr">
        <is>
          <t>VÄSTERNORRLANDS LÄN</t>
        </is>
      </c>
      <c r="E1287" t="inlineStr">
        <is>
          <t>SOLLEFTEÅ</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12395-2022</t>
        </is>
      </c>
      <c r="B1288" s="1" t="n">
        <v>44637</v>
      </c>
      <c r="C1288" s="1" t="n">
        <v>45802</v>
      </c>
      <c r="D1288" t="inlineStr">
        <is>
          <t>VÄSTERNORRLANDS LÄN</t>
        </is>
      </c>
      <c r="E1288" t="inlineStr">
        <is>
          <t>SOLLEFTEÅ</t>
        </is>
      </c>
      <c r="F1288" t="inlineStr">
        <is>
          <t>SCA</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12561-2022</t>
        </is>
      </c>
      <c r="B1289" s="1" t="n">
        <v>44638</v>
      </c>
      <c r="C1289" s="1" t="n">
        <v>45802</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12565-2022</t>
        </is>
      </c>
      <c r="B1290" s="1" t="n">
        <v>44638</v>
      </c>
      <c r="C1290" s="1" t="n">
        <v>45802</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12572-2022</t>
        </is>
      </c>
      <c r="B1291" s="1" t="n">
        <v>44638</v>
      </c>
      <c r="C1291" s="1" t="n">
        <v>45802</v>
      </c>
      <c r="D1291" t="inlineStr">
        <is>
          <t>VÄSTERNORRLANDS LÄN</t>
        </is>
      </c>
      <c r="E1291" t="inlineStr">
        <is>
          <t>SOLLEFTEÅ</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12564-2022</t>
        </is>
      </c>
      <c r="B1292" s="1" t="n">
        <v>44638</v>
      </c>
      <c r="C1292" s="1" t="n">
        <v>45802</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12568-2022</t>
        </is>
      </c>
      <c r="B1293" s="1" t="n">
        <v>44638</v>
      </c>
      <c r="C1293" s="1" t="n">
        <v>45802</v>
      </c>
      <c r="D1293" t="inlineStr">
        <is>
          <t>VÄSTERNORRLANDS LÄN</t>
        </is>
      </c>
      <c r="E1293" t="inlineStr">
        <is>
          <t>SOLLEFTEÅ</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12557-2022</t>
        </is>
      </c>
      <c r="B1294" s="1" t="n">
        <v>44638</v>
      </c>
      <c r="C1294" s="1" t="n">
        <v>45802</v>
      </c>
      <c r="D1294" t="inlineStr">
        <is>
          <t>VÄSTERNORRLANDS LÄN</t>
        </is>
      </c>
      <c r="E1294" t="inlineStr">
        <is>
          <t>SOLLEFTEÅ</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12563-2022</t>
        </is>
      </c>
      <c r="B1295" s="1" t="n">
        <v>44638</v>
      </c>
      <c r="C1295" s="1" t="n">
        <v>45802</v>
      </c>
      <c r="D1295" t="inlineStr">
        <is>
          <t>VÄSTERNORRLANDS LÄN</t>
        </is>
      </c>
      <c r="E1295" t="inlineStr">
        <is>
          <t>SOLLEFTEÅ</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12567-2022</t>
        </is>
      </c>
      <c r="B1296" s="1" t="n">
        <v>44638</v>
      </c>
      <c r="C1296" s="1" t="n">
        <v>45802</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12562-2022</t>
        </is>
      </c>
      <c r="B1297" s="1" t="n">
        <v>44638</v>
      </c>
      <c r="C1297" s="1" t="n">
        <v>45802</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12566-2022</t>
        </is>
      </c>
      <c r="B1298" s="1" t="n">
        <v>44638</v>
      </c>
      <c r="C1298" s="1" t="n">
        <v>45802</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12758-2022</t>
        </is>
      </c>
      <c r="B1299" s="1" t="n">
        <v>44641</v>
      </c>
      <c r="C1299" s="1" t="n">
        <v>45802</v>
      </c>
      <c r="D1299" t="inlineStr">
        <is>
          <t>VÄSTERNORRLANDS LÄN</t>
        </is>
      </c>
      <c r="E1299" t="inlineStr">
        <is>
          <t>SOLLEFTEÅ</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12764-2022</t>
        </is>
      </c>
      <c r="B1300" s="1" t="n">
        <v>44641</v>
      </c>
      <c r="C1300" s="1" t="n">
        <v>45802</v>
      </c>
      <c r="D1300" t="inlineStr">
        <is>
          <t>VÄSTERNORRLANDS LÄN</t>
        </is>
      </c>
      <c r="E1300" t="inlineStr">
        <is>
          <t>SOLLEFTEÅ</t>
        </is>
      </c>
      <c r="F1300" t="inlineStr">
        <is>
          <t>SCA</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12774-2022</t>
        </is>
      </c>
      <c r="B1301" s="1" t="n">
        <v>44641</v>
      </c>
      <c r="C1301" s="1" t="n">
        <v>45802</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13300-2022</t>
        </is>
      </c>
      <c r="B1302" s="1" t="n">
        <v>44644</v>
      </c>
      <c r="C1302" s="1" t="n">
        <v>45802</v>
      </c>
      <c r="D1302" t="inlineStr">
        <is>
          <t>VÄSTERNORRLANDS LÄN</t>
        </is>
      </c>
      <c r="E1302" t="inlineStr">
        <is>
          <t>SOLLEFTEÅ</t>
        </is>
      </c>
      <c r="F1302" t="inlineStr">
        <is>
          <t>SCA</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13311-2022</t>
        </is>
      </c>
      <c r="B1303" s="1" t="n">
        <v>44644</v>
      </c>
      <c r="C1303" s="1" t="n">
        <v>45802</v>
      </c>
      <c r="D1303" t="inlineStr">
        <is>
          <t>VÄSTERNORRLANDS LÄN</t>
        </is>
      </c>
      <c r="E1303" t="inlineStr">
        <is>
          <t>SOLLEFTEÅ</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13309-2022</t>
        </is>
      </c>
      <c r="B1304" s="1" t="n">
        <v>44644</v>
      </c>
      <c r="C1304" s="1" t="n">
        <v>45802</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13492-2022</t>
        </is>
      </c>
      <c r="B1305" s="1" t="n">
        <v>44646</v>
      </c>
      <c r="C1305" s="1" t="n">
        <v>45802</v>
      </c>
      <c r="D1305" t="inlineStr">
        <is>
          <t>VÄSTERNORRLANDS LÄN</t>
        </is>
      </c>
      <c r="E1305" t="inlineStr">
        <is>
          <t>SOLLEFTEÅ</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13598-2022</t>
        </is>
      </c>
      <c r="B1306" s="1" t="n">
        <v>44648</v>
      </c>
      <c r="C1306" s="1" t="n">
        <v>45802</v>
      </c>
      <c r="D1306" t="inlineStr">
        <is>
          <t>VÄSTERNORRLANDS LÄN</t>
        </is>
      </c>
      <c r="E1306" t="inlineStr">
        <is>
          <t>SOLLEFTEÅ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13710-2022</t>
        </is>
      </c>
      <c r="B1307" s="1" t="n">
        <v>44649</v>
      </c>
      <c r="C1307" s="1" t="n">
        <v>45802</v>
      </c>
      <c r="D1307" t="inlineStr">
        <is>
          <t>VÄSTERNORRLANDS LÄN</t>
        </is>
      </c>
      <c r="E1307" t="inlineStr">
        <is>
          <t>SOLLEFTEÅ</t>
        </is>
      </c>
      <c r="F1307" t="inlineStr">
        <is>
          <t>SCA</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14061-2022</t>
        </is>
      </c>
      <c r="B1308" s="1" t="n">
        <v>44651</v>
      </c>
      <c r="C1308" s="1" t="n">
        <v>45802</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14066-2022</t>
        </is>
      </c>
      <c r="B1309" s="1" t="n">
        <v>44650</v>
      </c>
      <c r="C1309" s="1" t="n">
        <v>45802</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14058-2022</t>
        </is>
      </c>
      <c r="B1310" s="1" t="n">
        <v>44651</v>
      </c>
      <c r="C1310" s="1" t="n">
        <v>45802</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14063-2022</t>
        </is>
      </c>
      <c r="B1311" s="1" t="n">
        <v>44651</v>
      </c>
      <c r="C1311" s="1" t="n">
        <v>45802</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14055-2022</t>
        </is>
      </c>
      <c r="B1312" s="1" t="n">
        <v>44651</v>
      </c>
      <c r="C1312" s="1" t="n">
        <v>45802</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14060-2022</t>
        </is>
      </c>
      <c r="B1313" s="1" t="n">
        <v>44651</v>
      </c>
      <c r="C1313" s="1" t="n">
        <v>45802</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14065-2022</t>
        </is>
      </c>
      <c r="B1314" s="1" t="n">
        <v>44650</v>
      </c>
      <c r="C1314" s="1" t="n">
        <v>45802</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14059-2022</t>
        </is>
      </c>
      <c r="B1315" s="1" t="n">
        <v>44651</v>
      </c>
      <c r="C1315" s="1" t="n">
        <v>45802</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14064-2022</t>
        </is>
      </c>
      <c r="B1316" s="1" t="n">
        <v>44651</v>
      </c>
      <c r="C1316" s="1" t="n">
        <v>45802</v>
      </c>
      <c r="D1316" t="inlineStr">
        <is>
          <t>VÄSTERNORRLANDS LÄN</t>
        </is>
      </c>
      <c r="E1316" t="inlineStr">
        <is>
          <t>SOLLEFTEÅ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14276-2022</t>
        </is>
      </c>
      <c r="B1317" s="1" t="n">
        <v>44652</v>
      </c>
      <c r="C1317" s="1" t="n">
        <v>45802</v>
      </c>
      <c r="D1317" t="inlineStr">
        <is>
          <t>VÄSTERNORRLANDS LÄN</t>
        </is>
      </c>
      <c r="E1317" t="inlineStr">
        <is>
          <t>SOLLEFTEÅ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14297-2022</t>
        </is>
      </c>
      <c r="B1318" s="1" t="n">
        <v>44651</v>
      </c>
      <c r="C1318" s="1" t="n">
        <v>45802</v>
      </c>
      <c r="D1318" t="inlineStr">
        <is>
          <t>VÄSTERNORRLANDS LÄN</t>
        </is>
      </c>
      <c r="E1318" t="inlineStr">
        <is>
          <t>SOLLEFTEÅ</t>
        </is>
      </c>
      <c r="F1318" t="inlineStr">
        <is>
          <t>SCA</t>
        </is>
      </c>
      <c r="G1318" t="n">
        <v>15.2</v>
      </c>
      <c r="H1318" t="n">
        <v>0</v>
      </c>
      <c r="I1318" t="n">
        <v>0</v>
      </c>
      <c r="J1318" t="n">
        <v>0</v>
      </c>
      <c r="K1318" t="n">
        <v>0</v>
      </c>
      <c r="L1318" t="n">
        <v>0</v>
      </c>
      <c r="M1318" t="n">
        <v>0</v>
      </c>
      <c r="N1318" t="n">
        <v>0</v>
      </c>
      <c r="O1318" t="n">
        <v>0</v>
      </c>
      <c r="P1318" t="n">
        <v>0</v>
      </c>
      <c r="Q1318" t="n">
        <v>0</v>
      </c>
      <c r="R1318" s="2" t="inlineStr"/>
    </row>
    <row r="1319" ht="15" customHeight="1">
      <c r="A1319" t="inlineStr">
        <is>
          <t>A 14300-2022</t>
        </is>
      </c>
      <c r="B1319" s="1" t="n">
        <v>44652</v>
      </c>
      <c r="C1319" s="1" t="n">
        <v>45802</v>
      </c>
      <c r="D1319" t="inlineStr">
        <is>
          <t>VÄSTERNORRLANDS LÄN</t>
        </is>
      </c>
      <c r="E1319" t="inlineStr">
        <is>
          <t>SOLLEFTEÅ</t>
        </is>
      </c>
      <c r="F1319" t="inlineStr">
        <is>
          <t>SCA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14308-2022</t>
        </is>
      </c>
      <c r="B1320" s="1" t="n">
        <v>44652</v>
      </c>
      <c r="C1320" s="1" t="n">
        <v>45802</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14275-2022</t>
        </is>
      </c>
      <c r="B1321" s="1" t="n">
        <v>44651</v>
      </c>
      <c r="C1321" s="1" t="n">
        <v>45802</v>
      </c>
      <c r="D1321" t="inlineStr">
        <is>
          <t>VÄSTERNORRLANDS LÄN</t>
        </is>
      </c>
      <c r="E1321" t="inlineStr">
        <is>
          <t>SOLLEFTEÅ</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14299-2022</t>
        </is>
      </c>
      <c r="B1322" s="1" t="n">
        <v>44652</v>
      </c>
      <c r="C1322" s="1" t="n">
        <v>45802</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14296-2022</t>
        </is>
      </c>
      <c r="B1323" s="1" t="n">
        <v>44652</v>
      </c>
      <c r="C1323" s="1" t="n">
        <v>45802</v>
      </c>
      <c r="D1323" t="inlineStr">
        <is>
          <t>VÄSTERNORRLANDS LÄN</t>
        </is>
      </c>
      <c r="E1323" t="inlineStr">
        <is>
          <t>SOLLEFTEÅ</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14302-2022</t>
        </is>
      </c>
      <c r="B1324" s="1" t="n">
        <v>44651</v>
      </c>
      <c r="C1324" s="1" t="n">
        <v>45802</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14448-2022</t>
        </is>
      </c>
      <c r="B1325" s="1" t="n">
        <v>44652</v>
      </c>
      <c r="C1325" s="1" t="n">
        <v>45802</v>
      </c>
      <c r="D1325" t="inlineStr">
        <is>
          <t>VÄSTERNORRLANDS LÄN</t>
        </is>
      </c>
      <c r="E1325" t="inlineStr">
        <is>
          <t>SOLLEFTEÅ</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14449-2022</t>
        </is>
      </c>
      <c r="B1326" s="1" t="n">
        <v>44652</v>
      </c>
      <c r="C1326" s="1" t="n">
        <v>45802</v>
      </c>
      <c r="D1326" t="inlineStr">
        <is>
          <t>VÄSTERNORRLANDS LÄN</t>
        </is>
      </c>
      <c r="E1326" t="inlineStr">
        <is>
          <t>SOLLEFTEÅ</t>
        </is>
      </c>
      <c r="F1326" t="inlineStr">
        <is>
          <t>SCA</t>
        </is>
      </c>
      <c r="G1326" t="n">
        <v>31.8</v>
      </c>
      <c r="H1326" t="n">
        <v>0</v>
      </c>
      <c r="I1326" t="n">
        <v>0</v>
      </c>
      <c r="J1326" t="n">
        <v>0</v>
      </c>
      <c r="K1326" t="n">
        <v>0</v>
      </c>
      <c r="L1326" t="n">
        <v>0</v>
      </c>
      <c r="M1326" t="n">
        <v>0</v>
      </c>
      <c r="N1326" t="n">
        <v>0</v>
      </c>
      <c r="O1326" t="n">
        <v>0</v>
      </c>
      <c r="P1326" t="n">
        <v>0</v>
      </c>
      <c r="Q1326" t="n">
        <v>0</v>
      </c>
      <c r="R1326" s="2" t="inlineStr"/>
    </row>
    <row r="1327" ht="15" customHeight="1">
      <c r="A1327" t="inlineStr">
        <is>
          <t>A 14450-2022</t>
        </is>
      </c>
      <c r="B1327" s="1" t="n">
        <v>44653</v>
      </c>
      <c r="C1327" s="1" t="n">
        <v>45802</v>
      </c>
      <c r="D1327" t="inlineStr">
        <is>
          <t>VÄSTERNORRLANDS LÄN</t>
        </is>
      </c>
      <c r="E1327" t="inlineStr">
        <is>
          <t>SOLLEFTEÅ</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14447-2022</t>
        </is>
      </c>
      <c r="B1328" s="1" t="n">
        <v>44653</v>
      </c>
      <c r="C1328" s="1" t="n">
        <v>45802</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14477-2022</t>
        </is>
      </c>
      <c r="B1329" s="1" t="n">
        <v>44655</v>
      </c>
      <c r="C1329" s="1" t="n">
        <v>45802</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14910-2022</t>
        </is>
      </c>
      <c r="B1330" s="1" t="n">
        <v>44657</v>
      </c>
      <c r="C1330" s="1" t="n">
        <v>45802</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15090-2022</t>
        </is>
      </c>
      <c r="B1331" s="1" t="n">
        <v>44658</v>
      </c>
      <c r="C1331" s="1" t="n">
        <v>45802</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15241-2022</t>
        </is>
      </c>
      <c r="B1332" s="1" t="n">
        <v>44659</v>
      </c>
      <c r="C1332" s="1" t="n">
        <v>45802</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15234-2022</t>
        </is>
      </c>
      <c r="B1333" s="1" t="n">
        <v>44659</v>
      </c>
      <c r="C1333" s="1" t="n">
        <v>45802</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15658-2022</t>
        </is>
      </c>
      <c r="B1334" s="1" t="n">
        <v>44663</v>
      </c>
      <c r="C1334" s="1" t="n">
        <v>45802</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15809-2022</t>
        </is>
      </c>
      <c r="B1335" s="1" t="n">
        <v>44663</v>
      </c>
      <c r="C1335" s="1" t="n">
        <v>45802</v>
      </c>
      <c r="D1335" t="inlineStr">
        <is>
          <t>VÄSTERNORRLANDS LÄN</t>
        </is>
      </c>
      <c r="E1335" t="inlineStr">
        <is>
          <t>SOLLEFTEÅ</t>
        </is>
      </c>
      <c r="F1335" t="inlineStr">
        <is>
          <t>SCA</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15964-2022</t>
        </is>
      </c>
      <c r="B1336" s="1" t="n">
        <v>44665</v>
      </c>
      <c r="C1336" s="1" t="n">
        <v>45802</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15974-2022</t>
        </is>
      </c>
      <c r="B1337" s="1" t="n">
        <v>44665</v>
      </c>
      <c r="C1337" s="1" t="n">
        <v>45802</v>
      </c>
      <c r="D1337" t="inlineStr">
        <is>
          <t>VÄSTERNORRLANDS LÄN</t>
        </is>
      </c>
      <c r="E1337" t="inlineStr">
        <is>
          <t>SOLLEFTEÅ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16088-2022</t>
        </is>
      </c>
      <c r="B1338" s="1" t="n">
        <v>44665</v>
      </c>
      <c r="C1338" s="1" t="n">
        <v>45802</v>
      </c>
      <c r="D1338" t="inlineStr">
        <is>
          <t>VÄSTERNORRLANDS LÄN</t>
        </is>
      </c>
      <c r="E1338" t="inlineStr">
        <is>
          <t>SOLLEFTEÅ</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16000-2022</t>
        </is>
      </c>
      <c r="B1339" s="1" t="n">
        <v>44665</v>
      </c>
      <c r="C1339" s="1" t="n">
        <v>45802</v>
      </c>
      <c r="D1339" t="inlineStr">
        <is>
          <t>VÄSTERNORRLANDS LÄN</t>
        </is>
      </c>
      <c r="E1339" t="inlineStr">
        <is>
          <t>SOLLEFTEÅ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16083-2022</t>
        </is>
      </c>
      <c r="B1340" s="1" t="n">
        <v>44665</v>
      </c>
      <c r="C1340" s="1" t="n">
        <v>45802</v>
      </c>
      <c r="D1340" t="inlineStr">
        <is>
          <t>VÄSTERNORRLANDS LÄN</t>
        </is>
      </c>
      <c r="E1340" t="inlineStr">
        <is>
          <t>SOLLEFTEÅ</t>
        </is>
      </c>
      <c r="F1340" t="inlineStr">
        <is>
          <t>Holmen skog AB</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16093-2022</t>
        </is>
      </c>
      <c r="B1341" s="1" t="n">
        <v>44665</v>
      </c>
      <c r="C1341" s="1" t="n">
        <v>45802</v>
      </c>
      <c r="D1341" t="inlineStr">
        <is>
          <t>VÄSTERNORRLANDS LÄN</t>
        </is>
      </c>
      <c r="E1341" t="inlineStr">
        <is>
          <t>SOLLEFTEÅ</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16365-2022</t>
        </is>
      </c>
      <c r="B1342" s="1" t="n">
        <v>44671</v>
      </c>
      <c r="C1342" s="1" t="n">
        <v>45802</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16419-2022</t>
        </is>
      </c>
      <c r="B1343" s="1" t="n">
        <v>44671</v>
      </c>
      <c r="C1343" s="1" t="n">
        <v>45802</v>
      </c>
      <c r="D1343" t="inlineStr">
        <is>
          <t>VÄSTERNORRLANDS LÄN</t>
        </is>
      </c>
      <c r="E1343" t="inlineStr">
        <is>
          <t>SOLLEFTEÅ</t>
        </is>
      </c>
      <c r="F1343" t="inlineStr">
        <is>
          <t>Kommuner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16521-2022</t>
        </is>
      </c>
      <c r="B1344" s="1" t="n">
        <v>44671</v>
      </c>
      <c r="C1344" s="1" t="n">
        <v>45802</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16675-2022</t>
        </is>
      </c>
      <c r="B1345" s="1" t="n">
        <v>44672</v>
      </c>
      <c r="C1345" s="1" t="n">
        <v>45802</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16611-2022</t>
        </is>
      </c>
      <c r="B1346" s="1" t="n">
        <v>44672</v>
      </c>
      <c r="C1346" s="1" t="n">
        <v>45802</v>
      </c>
      <c r="D1346" t="inlineStr">
        <is>
          <t>VÄSTERNORRLANDS LÄN</t>
        </is>
      </c>
      <c r="E1346" t="inlineStr">
        <is>
          <t>SOLLEFTEÅ</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16670-2022</t>
        </is>
      </c>
      <c r="B1347" s="1" t="n">
        <v>44673</v>
      </c>
      <c r="C1347" s="1" t="n">
        <v>45802</v>
      </c>
      <c r="D1347" t="inlineStr">
        <is>
          <t>VÄSTERNORRLANDS LÄN</t>
        </is>
      </c>
      <c r="E1347" t="inlineStr">
        <is>
          <t>SOLLEFTEÅ</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17045-2022</t>
        </is>
      </c>
      <c r="B1348" s="1" t="n">
        <v>44676</v>
      </c>
      <c r="C1348" s="1" t="n">
        <v>45802</v>
      </c>
      <c r="D1348" t="inlineStr">
        <is>
          <t>VÄSTERNORRLANDS LÄN</t>
        </is>
      </c>
      <c r="E1348" t="inlineStr">
        <is>
          <t>SOLLEFTEÅ</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17049-2022</t>
        </is>
      </c>
      <c r="B1349" s="1" t="n">
        <v>44676</v>
      </c>
      <c r="C1349" s="1" t="n">
        <v>45802</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c r="U1349">
        <f>HYPERLINK("https://klasma.github.io/Logging_2283/knärot/A 17049-2022 karta knärot.png", "A 17049-2022")</f>
        <v/>
      </c>
      <c r="V1349">
        <f>HYPERLINK("https://klasma.github.io/Logging_2283/klagomål/A 17049-2022 FSC-klagomål.docx", "A 17049-2022")</f>
        <v/>
      </c>
      <c r="W1349">
        <f>HYPERLINK("https://klasma.github.io/Logging_2283/klagomålsmail/A 17049-2022 FSC-klagomål mail.docx", "A 17049-2022")</f>
        <v/>
      </c>
      <c r="X1349">
        <f>HYPERLINK("https://klasma.github.io/Logging_2283/tillsyn/A 17049-2022 tillsynsbegäran.docx", "A 17049-2022")</f>
        <v/>
      </c>
      <c r="Y1349">
        <f>HYPERLINK("https://klasma.github.io/Logging_2283/tillsynsmail/A 17049-2022 tillsynsbegäran mail.docx", "A 17049-2022")</f>
        <v/>
      </c>
    </row>
    <row r="1350" ht="15" customHeight="1">
      <c r="A1350" t="inlineStr">
        <is>
          <t>A 17344-2022</t>
        </is>
      </c>
      <c r="B1350" s="1" t="n">
        <v>44678</v>
      </c>
      <c r="C1350" s="1" t="n">
        <v>45802</v>
      </c>
      <c r="D1350" t="inlineStr">
        <is>
          <t>VÄSTERNORRLANDS LÄN</t>
        </is>
      </c>
      <c r="E1350" t="inlineStr">
        <is>
          <t>SOLLEFTEÅ</t>
        </is>
      </c>
      <c r="G1350" t="n">
        <v>34.2</v>
      </c>
      <c r="H1350" t="n">
        <v>0</v>
      </c>
      <c r="I1350" t="n">
        <v>0</v>
      </c>
      <c r="J1350" t="n">
        <v>0</v>
      </c>
      <c r="K1350" t="n">
        <v>0</v>
      </c>
      <c r="L1350" t="n">
        <v>0</v>
      </c>
      <c r="M1350" t="n">
        <v>0</v>
      </c>
      <c r="N1350" t="n">
        <v>0</v>
      </c>
      <c r="O1350" t="n">
        <v>0</v>
      </c>
      <c r="P1350" t="n">
        <v>0</v>
      </c>
      <c r="Q1350" t="n">
        <v>0</v>
      </c>
      <c r="R1350" s="2" t="inlineStr"/>
    </row>
    <row r="1351" ht="15" customHeight="1">
      <c r="A1351" t="inlineStr">
        <is>
          <t>A 17995-2022</t>
        </is>
      </c>
      <c r="B1351" s="1" t="n">
        <v>44684</v>
      </c>
      <c r="C1351" s="1" t="n">
        <v>45802</v>
      </c>
      <c r="D1351" t="inlineStr">
        <is>
          <t>VÄSTERNORRLANDS LÄN</t>
        </is>
      </c>
      <c r="E1351" t="inlineStr">
        <is>
          <t>SOLLEFTEÅ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18000-2022</t>
        </is>
      </c>
      <c r="B1352" s="1" t="n">
        <v>44684</v>
      </c>
      <c r="C1352" s="1" t="n">
        <v>45802</v>
      </c>
      <c r="D1352" t="inlineStr">
        <is>
          <t>VÄSTERNORRLANDS LÄN</t>
        </is>
      </c>
      <c r="E1352" t="inlineStr">
        <is>
          <t>SOLLEFTEÅ</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18011-2022</t>
        </is>
      </c>
      <c r="B1353" s="1" t="n">
        <v>44683</v>
      </c>
      <c r="C1353" s="1" t="n">
        <v>45802</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18015-2022</t>
        </is>
      </c>
      <c r="B1354" s="1" t="n">
        <v>44684</v>
      </c>
      <c r="C1354" s="1" t="n">
        <v>45802</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18016-2022</t>
        </is>
      </c>
      <c r="B1355" s="1" t="n">
        <v>44684</v>
      </c>
      <c r="C1355" s="1" t="n">
        <v>45802</v>
      </c>
      <c r="D1355" t="inlineStr">
        <is>
          <t>VÄSTERNORRLANDS LÄN</t>
        </is>
      </c>
      <c r="E1355" t="inlineStr">
        <is>
          <t>SOLLEFTEÅ</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17999-2022</t>
        </is>
      </c>
      <c r="B1356" s="1" t="n">
        <v>44683</v>
      </c>
      <c r="C1356" s="1" t="n">
        <v>45802</v>
      </c>
      <c r="D1356" t="inlineStr">
        <is>
          <t>VÄSTERNORRLANDS LÄN</t>
        </is>
      </c>
      <c r="E1356" t="inlineStr">
        <is>
          <t>SOLLEFTEÅ</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18013-2022</t>
        </is>
      </c>
      <c r="B1357" s="1" t="n">
        <v>44684</v>
      </c>
      <c r="C1357" s="1" t="n">
        <v>45802</v>
      </c>
      <c r="D1357" t="inlineStr">
        <is>
          <t>VÄSTERNORRLANDS LÄN</t>
        </is>
      </c>
      <c r="E1357" t="inlineStr">
        <is>
          <t>SOLLEFTEÅ</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18017-2022</t>
        </is>
      </c>
      <c r="B1358" s="1" t="n">
        <v>44683</v>
      </c>
      <c r="C1358" s="1" t="n">
        <v>45802</v>
      </c>
      <c r="D1358" t="inlineStr">
        <is>
          <t>VÄSTERNORRLANDS LÄN</t>
        </is>
      </c>
      <c r="E1358" t="inlineStr">
        <is>
          <t>SOLLEFTEÅ</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18187-2022</t>
        </is>
      </c>
      <c r="B1359" s="1" t="n">
        <v>44684</v>
      </c>
      <c r="C1359" s="1" t="n">
        <v>45802</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18190-2022</t>
        </is>
      </c>
      <c r="B1360" s="1" t="n">
        <v>44685</v>
      </c>
      <c r="C1360" s="1" t="n">
        <v>45802</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18197-2022</t>
        </is>
      </c>
      <c r="B1361" s="1" t="n">
        <v>44684</v>
      </c>
      <c r="C1361" s="1" t="n">
        <v>45802</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18188-2022</t>
        </is>
      </c>
      <c r="B1362" s="1" t="n">
        <v>44685</v>
      </c>
      <c r="C1362" s="1" t="n">
        <v>45802</v>
      </c>
      <c r="D1362" t="inlineStr">
        <is>
          <t>VÄSTERNORRLANDS LÄN</t>
        </is>
      </c>
      <c r="E1362" t="inlineStr">
        <is>
          <t>SOLLEFTEÅ</t>
        </is>
      </c>
      <c r="F1362" t="inlineStr">
        <is>
          <t>SCA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18196-2022</t>
        </is>
      </c>
      <c r="B1363" s="1" t="n">
        <v>44685</v>
      </c>
      <c r="C1363" s="1" t="n">
        <v>45802</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18202-2022</t>
        </is>
      </c>
      <c r="B1364" s="1" t="n">
        <v>44684</v>
      </c>
      <c r="C1364" s="1" t="n">
        <v>45802</v>
      </c>
      <c r="D1364" t="inlineStr">
        <is>
          <t>VÄSTERNORRLANDS LÄN</t>
        </is>
      </c>
      <c r="E1364" t="inlineStr">
        <is>
          <t>SOLLEFTEÅ</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18304-2022</t>
        </is>
      </c>
      <c r="B1365" s="1" t="n">
        <v>44685</v>
      </c>
      <c r="C1365" s="1" t="n">
        <v>45802</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18372-2022</t>
        </is>
      </c>
      <c r="B1366" s="1" t="n">
        <v>44685</v>
      </c>
      <c r="C1366" s="1" t="n">
        <v>45802</v>
      </c>
      <c r="D1366" t="inlineStr">
        <is>
          <t>VÄSTERNORRLANDS LÄN</t>
        </is>
      </c>
      <c r="E1366" t="inlineStr">
        <is>
          <t>SOLLEFTEÅ</t>
        </is>
      </c>
      <c r="F1366" t="inlineStr">
        <is>
          <t>SCA</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18570-2022</t>
        </is>
      </c>
      <c r="B1367" s="1" t="n">
        <v>44687</v>
      </c>
      <c r="C1367" s="1" t="n">
        <v>45802</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18852-2022</t>
        </is>
      </c>
      <c r="B1368" s="1" t="n">
        <v>44690</v>
      </c>
      <c r="C1368" s="1" t="n">
        <v>45802</v>
      </c>
      <c r="D1368" t="inlineStr">
        <is>
          <t>VÄSTERNORRLANDS LÄN</t>
        </is>
      </c>
      <c r="E1368" t="inlineStr">
        <is>
          <t>SOLLEFTEÅ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19055-2022</t>
        </is>
      </c>
      <c r="B1369" s="1" t="n">
        <v>44691</v>
      </c>
      <c r="C1369" s="1" t="n">
        <v>45802</v>
      </c>
      <c r="D1369" t="inlineStr">
        <is>
          <t>VÄSTERNORRLANDS LÄN</t>
        </is>
      </c>
      <c r="E1369" t="inlineStr">
        <is>
          <t>SOLLEFTEÅ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19051-2022</t>
        </is>
      </c>
      <c r="B1370" s="1" t="n">
        <v>44691</v>
      </c>
      <c r="C1370" s="1" t="n">
        <v>45802</v>
      </c>
      <c r="D1370" t="inlineStr">
        <is>
          <t>VÄSTERNORRLANDS LÄN</t>
        </is>
      </c>
      <c r="E1370" t="inlineStr">
        <is>
          <t>SOLLEFTEÅ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19053-2022</t>
        </is>
      </c>
      <c r="B1371" s="1" t="n">
        <v>44691</v>
      </c>
      <c r="C1371" s="1" t="n">
        <v>45802</v>
      </c>
      <c r="D1371" t="inlineStr">
        <is>
          <t>VÄSTERNORRLANDS LÄN</t>
        </is>
      </c>
      <c r="E1371" t="inlineStr">
        <is>
          <t>SOLLEFTEÅ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19203-2022</t>
        </is>
      </c>
      <c r="B1372" s="1" t="n">
        <v>44692</v>
      </c>
      <c r="C1372" s="1" t="n">
        <v>45802</v>
      </c>
      <c r="D1372" t="inlineStr">
        <is>
          <t>VÄSTERNORRLANDS LÄN</t>
        </is>
      </c>
      <c r="E1372" t="inlineStr">
        <is>
          <t>SOLLEFTEÅ</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19208-2022</t>
        </is>
      </c>
      <c r="B1373" s="1" t="n">
        <v>44691</v>
      </c>
      <c r="C1373" s="1" t="n">
        <v>45802</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19295-2022</t>
        </is>
      </c>
      <c r="B1374" s="1" t="n">
        <v>44692</v>
      </c>
      <c r="C1374" s="1" t="n">
        <v>45802</v>
      </c>
      <c r="D1374" t="inlineStr">
        <is>
          <t>VÄSTERNORRLANDS LÄN</t>
        </is>
      </c>
      <c r="E1374" t="inlineStr">
        <is>
          <t>SOLLEFTEÅ</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19414-2022</t>
        </is>
      </c>
      <c r="B1375" s="1" t="n">
        <v>44693</v>
      </c>
      <c r="C1375" s="1" t="n">
        <v>45802</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19416-2022</t>
        </is>
      </c>
      <c r="B1376" s="1" t="n">
        <v>44693</v>
      </c>
      <c r="C1376" s="1" t="n">
        <v>45802</v>
      </c>
      <c r="D1376" t="inlineStr">
        <is>
          <t>VÄSTERNORRLANDS LÄN</t>
        </is>
      </c>
      <c r="E1376" t="inlineStr">
        <is>
          <t>SOLLEFTEÅ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19508-2022</t>
        </is>
      </c>
      <c r="B1377" s="1" t="n">
        <v>44693</v>
      </c>
      <c r="C1377" s="1" t="n">
        <v>45802</v>
      </c>
      <c r="D1377" t="inlineStr">
        <is>
          <t>VÄSTERNORRLANDS LÄN</t>
        </is>
      </c>
      <c r="E1377" t="inlineStr">
        <is>
          <t>SOLLEFTEÅ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19585-2022</t>
        </is>
      </c>
      <c r="B1378" s="1" t="n">
        <v>44693</v>
      </c>
      <c r="C1378" s="1" t="n">
        <v>45802</v>
      </c>
      <c r="D1378" t="inlineStr">
        <is>
          <t>VÄSTERNORRLANDS LÄN</t>
        </is>
      </c>
      <c r="E1378" t="inlineStr">
        <is>
          <t>SOLLEFTEÅ</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19583-2022</t>
        </is>
      </c>
      <c r="B1379" s="1" t="n">
        <v>44693</v>
      </c>
      <c r="C1379" s="1" t="n">
        <v>45802</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19593-2022</t>
        </is>
      </c>
      <c r="B1380" s="1" t="n">
        <v>44694</v>
      </c>
      <c r="C1380" s="1" t="n">
        <v>45802</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19588-2022</t>
        </is>
      </c>
      <c r="B1381" s="1" t="n">
        <v>44694</v>
      </c>
      <c r="C1381" s="1" t="n">
        <v>45802</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19595-2022</t>
        </is>
      </c>
      <c r="B1382" s="1" t="n">
        <v>44693</v>
      </c>
      <c r="C1382" s="1" t="n">
        <v>45802</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19594-2022</t>
        </is>
      </c>
      <c r="B1383" s="1" t="n">
        <v>44694</v>
      </c>
      <c r="C1383" s="1" t="n">
        <v>45802</v>
      </c>
      <c r="D1383" t="inlineStr">
        <is>
          <t>VÄSTERNORRLANDS LÄN</t>
        </is>
      </c>
      <c r="E1383" t="inlineStr">
        <is>
          <t>SOLLEFTEÅ</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19825-2022</t>
        </is>
      </c>
      <c r="B1384" s="1" t="n">
        <v>44695</v>
      </c>
      <c r="C1384" s="1" t="n">
        <v>45802</v>
      </c>
      <c r="D1384" t="inlineStr">
        <is>
          <t>VÄSTERNORRLANDS LÄN</t>
        </is>
      </c>
      <c r="E1384" t="inlineStr">
        <is>
          <t>SOLLEFTEÅ</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19813-2022</t>
        </is>
      </c>
      <c r="B1385" s="1" t="n">
        <v>44695</v>
      </c>
      <c r="C1385" s="1" t="n">
        <v>45802</v>
      </c>
      <c r="D1385" t="inlineStr">
        <is>
          <t>VÄSTERNORRLANDS LÄN</t>
        </is>
      </c>
      <c r="E1385" t="inlineStr">
        <is>
          <t>SOLLEFTEÅ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19814-2022</t>
        </is>
      </c>
      <c r="B1386" s="1" t="n">
        <v>44695</v>
      </c>
      <c r="C1386" s="1" t="n">
        <v>45802</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20061-2022</t>
        </is>
      </c>
      <c r="B1387" s="1" t="n">
        <v>44698</v>
      </c>
      <c r="C1387" s="1" t="n">
        <v>45802</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20062-2022</t>
        </is>
      </c>
      <c r="B1388" s="1" t="n">
        <v>44697</v>
      </c>
      <c r="C1388" s="1" t="n">
        <v>45802</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20296-2022</t>
        </is>
      </c>
      <c r="B1389" s="1" t="n">
        <v>44698</v>
      </c>
      <c r="C1389" s="1" t="n">
        <v>45802</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20551-2022</t>
        </is>
      </c>
      <c r="B1390" s="1" t="n">
        <v>44699</v>
      </c>
      <c r="C1390" s="1" t="n">
        <v>45802</v>
      </c>
      <c r="D1390" t="inlineStr">
        <is>
          <t>VÄSTERNORRLANDS LÄN</t>
        </is>
      </c>
      <c r="E1390" t="inlineStr">
        <is>
          <t>SOLLEFTEÅ</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20699-2022</t>
        </is>
      </c>
      <c r="B1391" s="1" t="n">
        <v>44701</v>
      </c>
      <c r="C1391" s="1" t="n">
        <v>45802</v>
      </c>
      <c r="D1391" t="inlineStr">
        <is>
          <t>VÄSTERNORRLANDS LÄN</t>
        </is>
      </c>
      <c r="E1391" t="inlineStr">
        <is>
          <t>SOLLEFTEÅ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20704-2022</t>
        </is>
      </c>
      <c r="B1392" s="1" t="n">
        <v>44700</v>
      </c>
      <c r="C1392" s="1" t="n">
        <v>45802</v>
      </c>
      <c r="D1392" t="inlineStr">
        <is>
          <t>VÄSTERNORRLANDS LÄN</t>
        </is>
      </c>
      <c r="E1392" t="inlineStr">
        <is>
          <t>SOLLEFTEÅ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20702-2022</t>
        </is>
      </c>
      <c r="B1393" s="1" t="n">
        <v>44701</v>
      </c>
      <c r="C1393" s="1" t="n">
        <v>45802</v>
      </c>
      <c r="D1393" t="inlineStr">
        <is>
          <t>VÄSTERNORRLANDS LÄN</t>
        </is>
      </c>
      <c r="E1393" t="inlineStr">
        <is>
          <t>SOLLEFTEÅ</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20703-2022</t>
        </is>
      </c>
      <c r="B1394" s="1" t="n">
        <v>44701</v>
      </c>
      <c r="C1394" s="1" t="n">
        <v>45802</v>
      </c>
      <c r="D1394" t="inlineStr">
        <is>
          <t>VÄSTERNORRLANDS LÄN</t>
        </is>
      </c>
      <c r="E1394" t="inlineStr">
        <is>
          <t>SOLLEFTEÅ</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20724-2022</t>
        </is>
      </c>
      <c r="B1395" s="1" t="n">
        <v>44700</v>
      </c>
      <c r="C1395" s="1" t="n">
        <v>45802</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20738-2022</t>
        </is>
      </c>
      <c r="B1396" s="1" t="n">
        <v>44700</v>
      </c>
      <c r="C1396" s="1" t="n">
        <v>45802</v>
      </c>
      <c r="D1396" t="inlineStr">
        <is>
          <t>VÄSTERNORRLANDS LÄN</t>
        </is>
      </c>
      <c r="E1396" t="inlineStr">
        <is>
          <t>SOLLEFTEÅ</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20955-2022</t>
        </is>
      </c>
      <c r="B1397" s="1" t="n">
        <v>44702</v>
      </c>
      <c r="C1397" s="1" t="n">
        <v>45802</v>
      </c>
      <c r="D1397" t="inlineStr">
        <is>
          <t>VÄSTERNORRLANDS LÄN</t>
        </is>
      </c>
      <c r="E1397" t="inlineStr">
        <is>
          <t>SOLLEFTEÅ</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20950-2022</t>
        </is>
      </c>
      <c r="B1398" s="1" t="n">
        <v>44701</v>
      </c>
      <c r="C1398" s="1" t="n">
        <v>45802</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20954-2022</t>
        </is>
      </c>
      <c r="B1399" s="1" t="n">
        <v>44702</v>
      </c>
      <c r="C1399" s="1" t="n">
        <v>45802</v>
      </c>
      <c r="D1399" t="inlineStr">
        <is>
          <t>VÄSTERNORRLANDS LÄN</t>
        </is>
      </c>
      <c r="E1399" t="inlineStr">
        <is>
          <t>SOLLEFTEÅ</t>
        </is>
      </c>
      <c r="F1399" t="inlineStr">
        <is>
          <t>SCA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20951-2022</t>
        </is>
      </c>
      <c r="B1400" s="1" t="n">
        <v>44701</v>
      </c>
      <c r="C1400" s="1" t="n">
        <v>45802</v>
      </c>
      <c r="D1400" t="inlineStr">
        <is>
          <t>VÄSTERNORRLANDS LÄN</t>
        </is>
      </c>
      <c r="E1400" t="inlineStr">
        <is>
          <t>SOLLEFTEÅ</t>
        </is>
      </c>
      <c r="F1400" t="inlineStr">
        <is>
          <t>SCA</t>
        </is>
      </c>
      <c r="G1400" t="n">
        <v>11.2</v>
      </c>
      <c r="H1400" t="n">
        <v>0</v>
      </c>
      <c r="I1400" t="n">
        <v>0</v>
      </c>
      <c r="J1400" t="n">
        <v>0</v>
      </c>
      <c r="K1400" t="n">
        <v>0</v>
      </c>
      <c r="L1400" t="n">
        <v>0</v>
      </c>
      <c r="M1400" t="n">
        <v>0</v>
      </c>
      <c r="N1400" t="n">
        <v>0</v>
      </c>
      <c r="O1400" t="n">
        <v>0</v>
      </c>
      <c r="P1400" t="n">
        <v>0</v>
      </c>
      <c r="Q1400" t="n">
        <v>0</v>
      </c>
      <c r="R1400" s="2" t="inlineStr"/>
    </row>
    <row r="1401" ht="15" customHeight="1">
      <c r="A1401" t="inlineStr">
        <is>
          <t>A 20942-2022</t>
        </is>
      </c>
      <c r="B1401" s="1" t="n">
        <v>44701</v>
      </c>
      <c r="C1401" s="1" t="n">
        <v>45802</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20996-2022</t>
        </is>
      </c>
      <c r="B1402" s="1" t="n">
        <v>44703</v>
      </c>
      <c r="C1402" s="1" t="n">
        <v>45802</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20994-2022</t>
        </is>
      </c>
      <c r="B1403" s="1" t="n">
        <v>44703</v>
      </c>
      <c r="C1403" s="1" t="n">
        <v>45802</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21050-2022</t>
        </is>
      </c>
      <c r="B1404" s="1" t="n">
        <v>44704</v>
      </c>
      <c r="C1404" s="1" t="n">
        <v>45802</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21191-2022</t>
        </is>
      </c>
      <c r="B1405" s="1" t="n">
        <v>44705</v>
      </c>
      <c r="C1405" s="1" t="n">
        <v>45802</v>
      </c>
      <c r="D1405" t="inlineStr">
        <is>
          <t>VÄSTERNORRLANDS LÄN</t>
        </is>
      </c>
      <c r="E1405" t="inlineStr">
        <is>
          <t>SOLLEFTEÅ</t>
        </is>
      </c>
      <c r="F1405" t="inlineStr">
        <is>
          <t>SCA</t>
        </is>
      </c>
      <c r="G1405" t="n">
        <v>26.5</v>
      </c>
      <c r="H1405" t="n">
        <v>0</v>
      </c>
      <c r="I1405" t="n">
        <v>0</v>
      </c>
      <c r="J1405" t="n">
        <v>0</v>
      </c>
      <c r="K1405" t="n">
        <v>0</v>
      </c>
      <c r="L1405" t="n">
        <v>0</v>
      </c>
      <c r="M1405" t="n">
        <v>0</v>
      </c>
      <c r="N1405" t="n">
        <v>0</v>
      </c>
      <c r="O1405" t="n">
        <v>0</v>
      </c>
      <c r="P1405" t="n">
        <v>0</v>
      </c>
      <c r="Q1405" t="n">
        <v>0</v>
      </c>
      <c r="R1405" s="2" t="inlineStr"/>
    </row>
    <row r="1406" ht="15" customHeight="1">
      <c r="A1406" t="inlineStr">
        <is>
          <t>A 21210-2022</t>
        </is>
      </c>
      <c r="B1406" s="1" t="n">
        <v>44705</v>
      </c>
      <c r="C1406" s="1" t="n">
        <v>45802</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21404-2022</t>
        </is>
      </c>
      <c r="B1407" s="1" t="n">
        <v>44706</v>
      </c>
      <c r="C1407" s="1" t="n">
        <v>45802</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21582-2022</t>
        </is>
      </c>
      <c r="B1408" s="1" t="n">
        <v>44706</v>
      </c>
      <c r="C1408" s="1" t="n">
        <v>45802</v>
      </c>
      <c r="D1408" t="inlineStr">
        <is>
          <t>VÄSTERNORRLANDS LÄN</t>
        </is>
      </c>
      <c r="E1408" t="inlineStr">
        <is>
          <t>SOLLEFTEÅ</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21637-2022</t>
        </is>
      </c>
      <c r="B1409" s="1" t="n">
        <v>44707</v>
      </c>
      <c r="C1409" s="1" t="n">
        <v>45802</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21636-2022</t>
        </is>
      </c>
      <c r="B1410" s="1" t="n">
        <v>44707</v>
      </c>
      <c r="C1410" s="1" t="n">
        <v>45802</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21635-2022</t>
        </is>
      </c>
      <c r="B1411" s="1" t="n">
        <v>44707</v>
      </c>
      <c r="C1411" s="1" t="n">
        <v>45802</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21713-2022</t>
        </is>
      </c>
      <c r="B1412" s="1" t="n">
        <v>44708</v>
      </c>
      <c r="C1412" s="1" t="n">
        <v>45802</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21714-2022</t>
        </is>
      </c>
      <c r="B1413" s="1" t="n">
        <v>44708</v>
      </c>
      <c r="C1413" s="1" t="n">
        <v>45802</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21715-2022</t>
        </is>
      </c>
      <c r="B1414" s="1" t="n">
        <v>44708</v>
      </c>
      <c r="C1414" s="1" t="n">
        <v>45802</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21711-2022</t>
        </is>
      </c>
      <c r="B1415" s="1" t="n">
        <v>44707</v>
      </c>
      <c r="C1415" s="1" t="n">
        <v>45802</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21807-2022</t>
        </is>
      </c>
      <c r="B1416" s="1" t="n">
        <v>44708</v>
      </c>
      <c r="C1416" s="1" t="n">
        <v>45802</v>
      </c>
      <c r="D1416" t="inlineStr">
        <is>
          <t>VÄSTERNORRLANDS LÄN</t>
        </is>
      </c>
      <c r="E1416" t="inlineStr">
        <is>
          <t>SOLLEFTEÅ</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22101-2022</t>
        </is>
      </c>
      <c r="B1417" s="1" t="n">
        <v>44712</v>
      </c>
      <c r="C1417" s="1" t="n">
        <v>45802</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22087-2022</t>
        </is>
      </c>
      <c r="B1418" s="1" t="n">
        <v>44712</v>
      </c>
      <c r="C1418" s="1" t="n">
        <v>45802</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22103-2022</t>
        </is>
      </c>
      <c r="B1419" s="1" t="n">
        <v>44712</v>
      </c>
      <c r="C1419" s="1" t="n">
        <v>45802</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22330-2022</t>
        </is>
      </c>
      <c r="B1420" s="1" t="n">
        <v>44712</v>
      </c>
      <c r="C1420" s="1" t="n">
        <v>45802</v>
      </c>
      <c r="D1420" t="inlineStr">
        <is>
          <t>VÄSTERNORRLANDS LÄN</t>
        </is>
      </c>
      <c r="E1420" t="inlineStr">
        <is>
          <t>SOLLEFTEÅ</t>
        </is>
      </c>
      <c r="F1420" t="inlineStr">
        <is>
          <t>SCA</t>
        </is>
      </c>
      <c r="G1420" t="n">
        <v>21.9</v>
      </c>
      <c r="H1420" t="n">
        <v>0</v>
      </c>
      <c r="I1420" t="n">
        <v>0</v>
      </c>
      <c r="J1420" t="n">
        <v>0</v>
      </c>
      <c r="K1420" t="n">
        <v>0</v>
      </c>
      <c r="L1420" t="n">
        <v>0</v>
      </c>
      <c r="M1420" t="n">
        <v>0</v>
      </c>
      <c r="N1420" t="n">
        <v>0</v>
      </c>
      <c r="O1420" t="n">
        <v>0</v>
      </c>
      <c r="P1420" t="n">
        <v>0</v>
      </c>
      <c r="Q1420" t="n">
        <v>0</v>
      </c>
      <c r="R1420" s="2" t="inlineStr"/>
    </row>
    <row r="1421" ht="15" customHeight="1">
      <c r="A1421" t="inlineStr">
        <is>
          <t>A 22341-2022</t>
        </is>
      </c>
      <c r="B1421" s="1" t="n">
        <v>44713</v>
      </c>
      <c r="C1421" s="1" t="n">
        <v>45802</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22342-2022</t>
        </is>
      </c>
      <c r="B1422" s="1" t="n">
        <v>44713</v>
      </c>
      <c r="C1422" s="1" t="n">
        <v>45802</v>
      </c>
      <c r="D1422" t="inlineStr">
        <is>
          <t>VÄSTERNORRLANDS LÄN</t>
        </is>
      </c>
      <c r="E1422" t="inlineStr">
        <is>
          <t>SOLLEFTEÅ</t>
        </is>
      </c>
      <c r="F1422" t="inlineStr">
        <is>
          <t>SCA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22343-2022</t>
        </is>
      </c>
      <c r="B1423" s="1" t="n">
        <v>44713</v>
      </c>
      <c r="C1423" s="1" t="n">
        <v>45802</v>
      </c>
      <c r="D1423" t="inlineStr">
        <is>
          <t>VÄSTERNORRLANDS LÄN</t>
        </is>
      </c>
      <c r="E1423" t="inlineStr">
        <is>
          <t>SOLLEFTEÅ</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22664-2022</t>
        </is>
      </c>
      <c r="B1424" s="1" t="n">
        <v>44714</v>
      </c>
      <c r="C1424" s="1" t="n">
        <v>45802</v>
      </c>
      <c r="D1424" t="inlineStr">
        <is>
          <t>VÄSTERNORRLANDS LÄN</t>
        </is>
      </c>
      <c r="E1424" t="inlineStr">
        <is>
          <t>SOLLEFTEÅ</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22762-2022</t>
        </is>
      </c>
      <c r="B1425" s="1" t="n">
        <v>44715</v>
      </c>
      <c r="C1425" s="1" t="n">
        <v>45802</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22956-2022</t>
        </is>
      </c>
      <c r="B1426" s="1" t="n">
        <v>44716</v>
      </c>
      <c r="C1426" s="1" t="n">
        <v>45802</v>
      </c>
      <c r="D1426" t="inlineStr">
        <is>
          <t>VÄSTERNORRLANDS LÄN</t>
        </is>
      </c>
      <c r="E1426" t="inlineStr">
        <is>
          <t>SOLLEFTEÅ</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22952-2022</t>
        </is>
      </c>
      <c r="B1427" s="1" t="n">
        <v>44716</v>
      </c>
      <c r="C1427" s="1" t="n">
        <v>45802</v>
      </c>
      <c r="D1427" t="inlineStr">
        <is>
          <t>VÄSTERNORRLANDS LÄN</t>
        </is>
      </c>
      <c r="E1427" t="inlineStr">
        <is>
          <t>SOLLEFTEÅ</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22962-2022</t>
        </is>
      </c>
      <c r="B1428" s="1" t="n">
        <v>44715</v>
      </c>
      <c r="C1428" s="1" t="n">
        <v>45802</v>
      </c>
      <c r="D1428" t="inlineStr">
        <is>
          <t>VÄSTERNORRLANDS LÄN</t>
        </is>
      </c>
      <c r="E1428" t="inlineStr">
        <is>
          <t>SOLLEFTEÅ</t>
        </is>
      </c>
      <c r="F1428" t="inlineStr">
        <is>
          <t>SCA</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23111-2022</t>
        </is>
      </c>
      <c r="B1429" s="1" t="n">
        <v>44720</v>
      </c>
      <c r="C1429" s="1" t="n">
        <v>45802</v>
      </c>
      <c r="D1429" t="inlineStr">
        <is>
          <t>VÄSTERNORRLANDS LÄN</t>
        </is>
      </c>
      <c r="E1429" t="inlineStr">
        <is>
          <t>SOLLEFTEÅ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23230-2022</t>
        </is>
      </c>
      <c r="B1430" s="1" t="n">
        <v>44720</v>
      </c>
      <c r="C1430" s="1" t="n">
        <v>45802</v>
      </c>
      <c r="D1430" t="inlineStr">
        <is>
          <t>VÄSTERNORRLANDS LÄN</t>
        </is>
      </c>
      <c r="E1430" t="inlineStr">
        <is>
          <t>SOLLEFTEÅ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23282-2022</t>
        </is>
      </c>
      <c r="B1431" s="1" t="n">
        <v>44720</v>
      </c>
      <c r="C1431" s="1" t="n">
        <v>45802</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23436-2022</t>
        </is>
      </c>
      <c r="B1432" s="1" t="n">
        <v>44720</v>
      </c>
      <c r="C1432" s="1" t="n">
        <v>45802</v>
      </c>
      <c r="D1432" t="inlineStr">
        <is>
          <t>VÄSTERNORRLANDS LÄN</t>
        </is>
      </c>
      <c r="E1432" t="inlineStr">
        <is>
          <t>SOLLEFTEÅ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23445-2022</t>
        </is>
      </c>
      <c r="B1433" s="1" t="n">
        <v>44721</v>
      </c>
      <c r="C1433" s="1" t="n">
        <v>45802</v>
      </c>
      <c r="D1433" t="inlineStr">
        <is>
          <t>VÄSTERNORRLANDS LÄN</t>
        </is>
      </c>
      <c r="E1433" t="inlineStr">
        <is>
          <t>SOLLEFTEÅ</t>
        </is>
      </c>
      <c r="F1433" t="inlineStr">
        <is>
          <t>SCA</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23447-2022</t>
        </is>
      </c>
      <c r="B1434" s="1" t="n">
        <v>44721</v>
      </c>
      <c r="C1434" s="1" t="n">
        <v>45802</v>
      </c>
      <c r="D1434" t="inlineStr">
        <is>
          <t>VÄSTERNORRLANDS LÄN</t>
        </is>
      </c>
      <c r="E1434" t="inlineStr">
        <is>
          <t>SOLLEFTEÅ</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23450-2022</t>
        </is>
      </c>
      <c r="B1435" s="1" t="n">
        <v>44720</v>
      </c>
      <c r="C1435" s="1" t="n">
        <v>45802</v>
      </c>
      <c r="D1435" t="inlineStr">
        <is>
          <t>VÄSTERNORRLANDS LÄN</t>
        </is>
      </c>
      <c r="E1435" t="inlineStr">
        <is>
          <t>SOLLEFTEÅ</t>
        </is>
      </c>
      <c r="F1435" t="inlineStr">
        <is>
          <t>SCA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24008-2022</t>
        </is>
      </c>
      <c r="B1436" s="1" t="n">
        <v>44723</v>
      </c>
      <c r="C1436" s="1" t="n">
        <v>45802</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24024-2022</t>
        </is>
      </c>
      <c r="B1437" s="1" t="n">
        <v>44723</v>
      </c>
      <c r="C1437" s="1" t="n">
        <v>45802</v>
      </c>
      <c r="D1437" t="inlineStr">
        <is>
          <t>VÄSTERNORRLANDS LÄN</t>
        </is>
      </c>
      <c r="E1437" t="inlineStr">
        <is>
          <t>SOLLEFTEÅ</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24322-2022</t>
        </is>
      </c>
      <c r="B1438" s="1" t="n">
        <v>44726</v>
      </c>
      <c r="C1438" s="1" t="n">
        <v>45802</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24723-2022</t>
        </is>
      </c>
      <c r="B1439" s="1" t="n">
        <v>44728</v>
      </c>
      <c r="C1439" s="1" t="n">
        <v>45802</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24739-2022</t>
        </is>
      </c>
      <c r="B1440" s="1" t="n">
        <v>44728</v>
      </c>
      <c r="C1440" s="1" t="n">
        <v>45802</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24734-2022</t>
        </is>
      </c>
      <c r="B1441" s="1" t="n">
        <v>44728</v>
      </c>
      <c r="C1441" s="1" t="n">
        <v>45802</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24735-2022</t>
        </is>
      </c>
      <c r="B1442" s="1" t="n">
        <v>44728</v>
      </c>
      <c r="C1442" s="1" t="n">
        <v>45802</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24721-2022</t>
        </is>
      </c>
      <c r="B1443" s="1" t="n">
        <v>44728</v>
      </c>
      <c r="C1443" s="1" t="n">
        <v>45802</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24737-2022</t>
        </is>
      </c>
      <c r="B1444" s="1" t="n">
        <v>44728</v>
      </c>
      <c r="C1444" s="1" t="n">
        <v>45802</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25019-2022</t>
        </is>
      </c>
      <c r="B1445" s="1" t="n">
        <v>44728</v>
      </c>
      <c r="C1445" s="1" t="n">
        <v>45802</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25024-2022</t>
        </is>
      </c>
      <c r="B1446" s="1" t="n">
        <v>44729</v>
      </c>
      <c r="C1446" s="1" t="n">
        <v>45802</v>
      </c>
      <c r="D1446" t="inlineStr">
        <is>
          <t>VÄSTERNORRLANDS LÄN</t>
        </is>
      </c>
      <c r="E1446" t="inlineStr">
        <is>
          <t>SOLLEFTEÅ</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25026-2022</t>
        </is>
      </c>
      <c r="B1447" s="1" t="n">
        <v>44729</v>
      </c>
      <c r="C1447" s="1" t="n">
        <v>45802</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25017-2022</t>
        </is>
      </c>
      <c r="B1448" s="1" t="n">
        <v>44729</v>
      </c>
      <c r="C1448" s="1" t="n">
        <v>45802</v>
      </c>
      <c r="D1448" t="inlineStr">
        <is>
          <t>VÄSTERNORRLANDS LÄN</t>
        </is>
      </c>
      <c r="E1448" t="inlineStr">
        <is>
          <t>SOLLEFTEÅ</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25295-2022</t>
        </is>
      </c>
      <c r="B1449" s="1" t="n">
        <v>44731</v>
      </c>
      <c r="C1449" s="1" t="n">
        <v>45802</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25339-2022</t>
        </is>
      </c>
      <c r="B1450" s="1" t="n">
        <v>44732</v>
      </c>
      <c r="C1450" s="1" t="n">
        <v>45802</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25338-2022</t>
        </is>
      </c>
      <c r="B1451" s="1" t="n">
        <v>44731</v>
      </c>
      <c r="C1451" s="1" t="n">
        <v>45802</v>
      </c>
      <c r="D1451" t="inlineStr">
        <is>
          <t>VÄSTERNORRLANDS LÄN</t>
        </is>
      </c>
      <c r="E1451" t="inlineStr">
        <is>
          <t>SOLLEFTEÅ</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25341-2022</t>
        </is>
      </c>
      <c r="B1452" s="1" t="n">
        <v>44731</v>
      </c>
      <c r="C1452" s="1" t="n">
        <v>45802</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26407-2022</t>
        </is>
      </c>
      <c r="B1453" s="1" t="n">
        <v>44735</v>
      </c>
      <c r="C1453" s="1" t="n">
        <v>45802</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26416-2022</t>
        </is>
      </c>
      <c r="B1454" s="1" t="n">
        <v>44736</v>
      </c>
      <c r="C1454" s="1" t="n">
        <v>45802</v>
      </c>
      <c r="D1454" t="inlineStr">
        <is>
          <t>VÄSTERNORRLANDS LÄN</t>
        </is>
      </c>
      <c r="E1454" t="inlineStr">
        <is>
          <t>SOLLEFTEÅ</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26415-2022</t>
        </is>
      </c>
      <c r="B1455" s="1" t="n">
        <v>44735</v>
      </c>
      <c r="C1455" s="1" t="n">
        <v>45802</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26435-2022</t>
        </is>
      </c>
      <c r="B1456" s="1" t="n">
        <v>44737</v>
      </c>
      <c r="C1456" s="1" t="n">
        <v>45802</v>
      </c>
      <c r="D1456" t="inlineStr">
        <is>
          <t>VÄSTERNORRLANDS LÄN</t>
        </is>
      </c>
      <c r="E1456" t="inlineStr">
        <is>
          <t>SOLLEFTEÅ</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26732-2022</t>
        </is>
      </c>
      <c r="B1457" s="1" t="n">
        <v>44740</v>
      </c>
      <c r="C1457" s="1" t="n">
        <v>45802</v>
      </c>
      <c r="D1457" t="inlineStr">
        <is>
          <t>VÄSTERNORRLANDS LÄN</t>
        </is>
      </c>
      <c r="E1457" t="inlineStr">
        <is>
          <t>SOLLEFTEÅ</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26744-2022</t>
        </is>
      </c>
      <c r="B1458" s="1" t="n">
        <v>44739</v>
      </c>
      <c r="C1458" s="1" t="n">
        <v>45802</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26736-2022</t>
        </is>
      </c>
      <c r="B1459" s="1" t="n">
        <v>44740</v>
      </c>
      <c r="C1459" s="1" t="n">
        <v>45802</v>
      </c>
      <c r="D1459" t="inlineStr">
        <is>
          <t>VÄSTERNORRLANDS LÄN</t>
        </is>
      </c>
      <c r="E1459" t="inlineStr">
        <is>
          <t>SOLLEFTEÅ</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27016-2022</t>
        </is>
      </c>
      <c r="B1460" s="1" t="n">
        <v>44741</v>
      </c>
      <c r="C1460" s="1" t="n">
        <v>45802</v>
      </c>
      <c r="D1460" t="inlineStr">
        <is>
          <t>VÄSTERNORRLANDS LÄN</t>
        </is>
      </c>
      <c r="E1460" t="inlineStr">
        <is>
          <t>SOLLEFTEÅ</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27019-2022</t>
        </is>
      </c>
      <c r="B1461" s="1" t="n">
        <v>44741</v>
      </c>
      <c r="C1461" s="1" t="n">
        <v>45802</v>
      </c>
      <c r="D1461" t="inlineStr">
        <is>
          <t>VÄSTERNORRLANDS LÄN</t>
        </is>
      </c>
      <c r="E1461" t="inlineStr">
        <is>
          <t>SOLLEFTEÅ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27012-2022</t>
        </is>
      </c>
      <c r="B1462" s="1" t="n">
        <v>44740</v>
      </c>
      <c r="C1462" s="1" t="n">
        <v>45802</v>
      </c>
      <c r="D1462" t="inlineStr">
        <is>
          <t>VÄSTERNORRLANDS LÄN</t>
        </is>
      </c>
      <c r="E1462" t="inlineStr">
        <is>
          <t>SOLLEFTEÅ</t>
        </is>
      </c>
      <c r="F1462" t="inlineStr">
        <is>
          <t>SCA</t>
        </is>
      </c>
      <c r="G1462" t="n">
        <v>19.8</v>
      </c>
      <c r="H1462" t="n">
        <v>0</v>
      </c>
      <c r="I1462" t="n">
        <v>0</v>
      </c>
      <c r="J1462" t="n">
        <v>0</v>
      </c>
      <c r="K1462" t="n">
        <v>0</v>
      </c>
      <c r="L1462" t="n">
        <v>0</v>
      </c>
      <c r="M1462" t="n">
        <v>0</v>
      </c>
      <c r="N1462" t="n">
        <v>0</v>
      </c>
      <c r="O1462" t="n">
        <v>0</v>
      </c>
      <c r="P1462" t="n">
        <v>0</v>
      </c>
      <c r="Q1462" t="n">
        <v>0</v>
      </c>
      <c r="R1462" s="2" t="inlineStr"/>
    </row>
    <row r="1463" ht="15" customHeight="1">
      <c r="A1463" t="inlineStr">
        <is>
          <t>A 27020-2022</t>
        </is>
      </c>
      <c r="B1463" s="1" t="n">
        <v>44741</v>
      </c>
      <c r="C1463" s="1" t="n">
        <v>45802</v>
      </c>
      <c r="D1463" t="inlineStr">
        <is>
          <t>VÄSTERNORRLANDS LÄN</t>
        </is>
      </c>
      <c r="E1463" t="inlineStr">
        <is>
          <t>SOLLEFTEÅ</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27024-2022</t>
        </is>
      </c>
      <c r="B1464" s="1" t="n">
        <v>44741</v>
      </c>
      <c r="C1464" s="1" t="n">
        <v>45802</v>
      </c>
      <c r="D1464" t="inlineStr">
        <is>
          <t>VÄSTERNORRLANDS LÄN</t>
        </is>
      </c>
      <c r="E1464" t="inlineStr">
        <is>
          <t>SOLLEFTEÅ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27023-2022</t>
        </is>
      </c>
      <c r="B1465" s="1" t="n">
        <v>44741</v>
      </c>
      <c r="C1465" s="1" t="n">
        <v>45802</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27018-2022</t>
        </is>
      </c>
      <c r="B1466" s="1" t="n">
        <v>44740</v>
      </c>
      <c r="C1466" s="1" t="n">
        <v>45802</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27022-2022</t>
        </is>
      </c>
      <c r="B1467" s="1" t="n">
        <v>44741</v>
      </c>
      <c r="C1467" s="1" t="n">
        <v>45802</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27082-2022</t>
        </is>
      </c>
      <c r="B1468" s="1" t="n">
        <v>44741</v>
      </c>
      <c r="C1468" s="1" t="n">
        <v>45802</v>
      </c>
      <c r="D1468" t="inlineStr">
        <is>
          <t>VÄSTERNORRLANDS LÄN</t>
        </is>
      </c>
      <c r="E1468" t="inlineStr">
        <is>
          <t>SOLLEFTEÅ</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27283-2022</t>
        </is>
      </c>
      <c r="B1469" s="1" t="n">
        <v>44742</v>
      </c>
      <c r="C1469" s="1" t="n">
        <v>45802</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27282-2022</t>
        </is>
      </c>
      <c r="B1470" s="1" t="n">
        <v>44741</v>
      </c>
      <c r="C1470" s="1" t="n">
        <v>45802</v>
      </c>
      <c r="D1470" t="inlineStr">
        <is>
          <t>VÄSTERNORRLANDS LÄN</t>
        </is>
      </c>
      <c r="E1470" t="inlineStr">
        <is>
          <t>SOLLEFTEÅ</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27573-2022</t>
        </is>
      </c>
      <c r="B1471" s="1" t="n">
        <v>44743</v>
      </c>
      <c r="C1471" s="1" t="n">
        <v>45802</v>
      </c>
      <c r="D1471" t="inlineStr">
        <is>
          <t>VÄSTERNORRLANDS LÄN</t>
        </is>
      </c>
      <c r="E1471" t="inlineStr">
        <is>
          <t>SOLLEFTEÅ</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27572-2022</t>
        </is>
      </c>
      <c r="B1472" s="1" t="n">
        <v>44743</v>
      </c>
      <c r="C1472" s="1" t="n">
        <v>45802</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27603-2022</t>
        </is>
      </c>
      <c r="B1473" s="1" t="n">
        <v>44743</v>
      </c>
      <c r="C1473" s="1" t="n">
        <v>45802</v>
      </c>
      <c r="D1473" t="inlineStr">
        <is>
          <t>VÄSTERNORRLANDS LÄN</t>
        </is>
      </c>
      <c r="E1473" t="inlineStr">
        <is>
          <t>SOLLEFTEÅ</t>
        </is>
      </c>
      <c r="F1473" t="inlineStr">
        <is>
          <t>SCA</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27593-2022</t>
        </is>
      </c>
      <c r="B1474" s="1" t="n">
        <v>44742</v>
      </c>
      <c r="C1474" s="1" t="n">
        <v>45802</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27926-2022</t>
        </is>
      </c>
      <c r="B1475" s="1" t="n">
        <v>44743</v>
      </c>
      <c r="C1475" s="1" t="n">
        <v>45802</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27943-2022</t>
        </is>
      </c>
      <c r="B1476" s="1" t="n">
        <v>44743</v>
      </c>
      <c r="C1476" s="1" t="n">
        <v>45802</v>
      </c>
      <c r="D1476" t="inlineStr">
        <is>
          <t>VÄSTERNORRLANDS LÄN</t>
        </is>
      </c>
      <c r="E1476" t="inlineStr">
        <is>
          <t>SOLLEFTEÅ</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28293-2022</t>
        </is>
      </c>
      <c r="B1477" s="1" t="n">
        <v>44747</v>
      </c>
      <c r="C1477" s="1" t="n">
        <v>45802</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28700-2022</t>
        </is>
      </c>
      <c r="B1478" s="1" t="n">
        <v>44748</v>
      </c>
      <c r="C1478" s="1" t="n">
        <v>45802</v>
      </c>
      <c r="D1478" t="inlineStr">
        <is>
          <t>VÄSTERNORRLANDS LÄN</t>
        </is>
      </c>
      <c r="E1478" t="inlineStr">
        <is>
          <t>SOLLEFTEÅ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28729-2022</t>
        </is>
      </c>
      <c r="B1479" s="1" t="n">
        <v>44748</v>
      </c>
      <c r="C1479" s="1" t="n">
        <v>45802</v>
      </c>
      <c r="D1479" t="inlineStr">
        <is>
          <t>VÄSTERNORRLANDS LÄN</t>
        </is>
      </c>
      <c r="E1479" t="inlineStr">
        <is>
          <t>SOLLEFTEÅ</t>
        </is>
      </c>
      <c r="F1479" t="inlineStr">
        <is>
          <t>SCA</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28730-2022</t>
        </is>
      </c>
      <c r="B1480" s="1" t="n">
        <v>44748</v>
      </c>
      <c r="C1480" s="1" t="n">
        <v>45802</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28828-2022</t>
        </is>
      </c>
      <c r="B1481" s="1" t="n">
        <v>44749</v>
      </c>
      <c r="C1481" s="1" t="n">
        <v>45802</v>
      </c>
      <c r="D1481" t="inlineStr">
        <is>
          <t>VÄSTERNORRLANDS LÄN</t>
        </is>
      </c>
      <c r="E1481" t="inlineStr">
        <is>
          <t>SOLLEFTEÅ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28893-2022</t>
        </is>
      </c>
      <c r="B1482" s="1" t="n">
        <v>44749</v>
      </c>
      <c r="C1482" s="1" t="n">
        <v>45802</v>
      </c>
      <c r="D1482" t="inlineStr">
        <is>
          <t>VÄSTERNORRLANDS LÄN</t>
        </is>
      </c>
      <c r="E1482" t="inlineStr">
        <is>
          <t>SOLLEFTEÅ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28909-2022</t>
        </is>
      </c>
      <c r="B1483" s="1" t="n">
        <v>44749</v>
      </c>
      <c r="C1483" s="1" t="n">
        <v>45802</v>
      </c>
      <c r="D1483" t="inlineStr">
        <is>
          <t>VÄSTERNORRLANDS LÄN</t>
        </is>
      </c>
      <c r="E1483" t="inlineStr">
        <is>
          <t>SOLLEFTEÅ</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28896-2022</t>
        </is>
      </c>
      <c r="B1484" s="1" t="n">
        <v>44749</v>
      </c>
      <c r="C1484" s="1" t="n">
        <v>45802</v>
      </c>
      <c r="D1484" t="inlineStr">
        <is>
          <t>VÄSTERNORRLANDS LÄN</t>
        </is>
      </c>
      <c r="E1484" t="inlineStr">
        <is>
          <t>SOLLEFTEÅ</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28903-2022</t>
        </is>
      </c>
      <c r="B1485" s="1" t="n">
        <v>44749</v>
      </c>
      <c r="C1485" s="1" t="n">
        <v>45802</v>
      </c>
      <c r="D1485" t="inlineStr">
        <is>
          <t>VÄSTERNORRLANDS LÄN</t>
        </is>
      </c>
      <c r="E1485" t="inlineStr">
        <is>
          <t>SOLLEFTEÅ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28973-2022</t>
        </is>
      </c>
      <c r="B1486" s="1" t="n">
        <v>44749</v>
      </c>
      <c r="C1486" s="1" t="n">
        <v>45802</v>
      </c>
      <c r="D1486" t="inlineStr">
        <is>
          <t>VÄSTERNORRLANDS LÄN</t>
        </is>
      </c>
      <c r="E1486" t="inlineStr">
        <is>
          <t>SOLLEFTEÅ</t>
        </is>
      </c>
      <c r="F1486" t="inlineStr">
        <is>
          <t>Holmen skog AB</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29290-2022</t>
        </is>
      </c>
      <c r="B1487" s="1" t="n">
        <v>44750</v>
      </c>
      <c r="C1487" s="1" t="n">
        <v>45802</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29294-2022</t>
        </is>
      </c>
      <c r="B1488" s="1" t="n">
        <v>44751</v>
      </c>
      <c r="C1488" s="1" t="n">
        <v>45802</v>
      </c>
      <c r="D1488" t="inlineStr">
        <is>
          <t>VÄSTERNORRLANDS LÄN</t>
        </is>
      </c>
      <c r="E1488" t="inlineStr">
        <is>
          <t>SOLLEFTEÅ</t>
        </is>
      </c>
      <c r="F1488" t="inlineStr">
        <is>
          <t>SCA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29300-2022</t>
        </is>
      </c>
      <c r="B1489" s="1" t="n">
        <v>44750</v>
      </c>
      <c r="C1489" s="1" t="n">
        <v>45802</v>
      </c>
      <c r="D1489" t="inlineStr">
        <is>
          <t>VÄSTERNORRLANDS LÄN</t>
        </is>
      </c>
      <c r="E1489" t="inlineStr">
        <is>
          <t>SOLLEFTEÅ</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29292-2022</t>
        </is>
      </c>
      <c r="B1490" s="1" t="n">
        <v>44750</v>
      </c>
      <c r="C1490" s="1" t="n">
        <v>45802</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29538-2022</t>
        </is>
      </c>
      <c r="B1491" s="1" t="n">
        <v>44754</v>
      </c>
      <c r="C1491" s="1" t="n">
        <v>45802</v>
      </c>
      <c r="D1491" t="inlineStr">
        <is>
          <t>VÄSTERNORRLANDS LÄN</t>
        </is>
      </c>
      <c r="E1491" t="inlineStr">
        <is>
          <t>SOLLEFTEÅ</t>
        </is>
      </c>
      <c r="F1491" t="inlineStr">
        <is>
          <t>SCA</t>
        </is>
      </c>
      <c r="G1491" t="n">
        <v>20.2</v>
      </c>
      <c r="H1491" t="n">
        <v>0</v>
      </c>
      <c r="I1491" t="n">
        <v>0</v>
      </c>
      <c r="J1491" t="n">
        <v>0</v>
      </c>
      <c r="K1491" t="n">
        <v>0</v>
      </c>
      <c r="L1491" t="n">
        <v>0</v>
      </c>
      <c r="M1491" t="n">
        <v>0</v>
      </c>
      <c r="N1491" t="n">
        <v>0</v>
      </c>
      <c r="O1491" t="n">
        <v>0</v>
      </c>
      <c r="P1491" t="n">
        <v>0</v>
      </c>
      <c r="Q1491" t="n">
        <v>0</v>
      </c>
      <c r="R1491" s="2" t="inlineStr"/>
    </row>
    <row r="1492" ht="15" customHeight="1">
      <c r="A1492" t="inlineStr">
        <is>
          <t>A 29842-2022</t>
        </is>
      </c>
      <c r="B1492" s="1" t="n">
        <v>44756</v>
      </c>
      <c r="C1492" s="1" t="n">
        <v>45802</v>
      </c>
      <c r="D1492" t="inlineStr">
        <is>
          <t>VÄSTERNORRLANDS LÄN</t>
        </is>
      </c>
      <c r="E1492" t="inlineStr">
        <is>
          <t>SOLLEFTEÅ</t>
        </is>
      </c>
      <c r="F1492" t="inlineStr">
        <is>
          <t>Holmen skog AB</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30032-2022</t>
        </is>
      </c>
      <c r="B1493" s="1" t="n">
        <v>44756</v>
      </c>
      <c r="C1493" s="1" t="n">
        <v>45802</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30041-2022</t>
        </is>
      </c>
      <c r="B1494" s="1" t="n">
        <v>44756</v>
      </c>
      <c r="C1494" s="1" t="n">
        <v>45802</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30045-2022</t>
        </is>
      </c>
      <c r="B1495" s="1" t="n">
        <v>44756</v>
      </c>
      <c r="C1495" s="1" t="n">
        <v>45802</v>
      </c>
      <c r="D1495" t="inlineStr">
        <is>
          <t>VÄSTERNORRLANDS LÄN</t>
        </is>
      </c>
      <c r="E1495" t="inlineStr">
        <is>
          <t>SOLLEFTEÅ</t>
        </is>
      </c>
      <c r="F1495" t="inlineStr">
        <is>
          <t>SCA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30013-2022</t>
        </is>
      </c>
      <c r="B1496" s="1" t="n">
        <v>44756</v>
      </c>
      <c r="C1496" s="1" t="n">
        <v>45802</v>
      </c>
      <c r="D1496" t="inlineStr">
        <is>
          <t>VÄSTERNORRLANDS LÄN</t>
        </is>
      </c>
      <c r="E1496" t="inlineStr">
        <is>
          <t>SOLLEFTEÅ</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30033-2022</t>
        </is>
      </c>
      <c r="B1497" s="1" t="n">
        <v>44756</v>
      </c>
      <c r="C1497" s="1" t="n">
        <v>45802</v>
      </c>
      <c r="D1497" t="inlineStr">
        <is>
          <t>VÄSTERNORRLANDS LÄN</t>
        </is>
      </c>
      <c r="E1497" t="inlineStr">
        <is>
          <t>SOLLEFTEÅ</t>
        </is>
      </c>
      <c r="F1497" t="inlineStr">
        <is>
          <t>SCA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30040-2022</t>
        </is>
      </c>
      <c r="B1498" s="1" t="n">
        <v>44757</v>
      </c>
      <c r="C1498" s="1" t="n">
        <v>45802</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30034-2022</t>
        </is>
      </c>
      <c r="B1499" s="1" t="n">
        <v>44757</v>
      </c>
      <c r="C1499" s="1" t="n">
        <v>45802</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30039-2022</t>
        </is>
      </c>
      <c r="B1500" s="1" t="n">
        <v>44757</v>
      </c>
      <c r="C1500" s="1" t="n">
        <v>45802</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30043-2022</t>
        </is>
      </c>
      <c r="B1501" s="1" t="n">
        <v>44756</v>
      </c>
      <c r="C1501" s="1" t="n">
        <v>45802</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30238-2022</t>
        </is>
      </c>
      <c r="B1502" s="1" t="n">
        <v>44757</v>
      </c>
      <c r="C1502" s="1" t="n">
        <v>45802</v>
      </c>
      <c r="D1502" t="inlineStr">
        <is>
          <t>VÄSTERNORRLANDS LÄN</t>
        </is>
      </c>
      <c r="E1502" t="inlineStr">
        <is>
          <t>SOLLEFTEÅ</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30239-2022</t>
        </is>
      </c>
      <c r="B1503" s="1" t="n">
        <v>44758</v>
      </c>
      <c r="C1503" s="1" t="n">
        <v>45802</v>
      </c>
      <c r="D1503" t="inlineStr">
        <is>
          <t>VÄSTERNORRLANDS LÄN</t>
        </is>
      </c>
      <c r="E1503" t="inlineStr">
        <is>
          <t>SOLLEFTEÅ</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30237-2022</t>
        </is>
      </c>
      <c r="B1504" s="1" t="n">
        <v>44758</v>
      </c>
      <c r="C1504" s="1" t="n">
        <v>45802</v>
      </c>
      <c r="D1504" t="inlineStr">
        <is>
          <t>VÄSTERNORRLANDS LÄN</t>
        </is>
      </c>
      <c r="E1504" t="inlineStr">
        <is>
          <t>SOLLEFTEÅ</t>
        </is>
      </c>
      <c r="F1504" t="inlineStr">
        <is>
          <t>SCA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30236-2022</t>
        </is>
      </c>
      <c r="B1505" s="1" t="n">
        <v>44757</v>
      </c>
      <c r="C1505" s="1" t="n">
        <v>45802</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30240-2022</t>
        </is>
      </c>
      <c r="B1506" s="1" t="n">
        <v>44757</v>
      </c>
      <c r="C1506" s="1" t="n">
        <v>45802</v>
      </c>
      <c r="D1506" t="inlineStr">
        <is>
          <t>VÄSTERNORRLANDS LÄN</t>
        </is>
      </c>
      <c r="E1506" t="inlineStr">
        <is>
          <t>SOLLEFTEÅ</t>
        </is>
      </c>
      <c r="F1506" t="inlineStr">
        <is>
          <t>SCA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30606-2022</t>
        </is>
      </c>
      <c r="B1507" s="1" t="n">
        <v>44763</v>
      </c>
      <c r="C1507" s="1" t="n">
        <v>45802</v>
      </c>
      <c r="D1507" t="inlineStr">
        <is>
          <t>VÄSTERNORRLANDS LÄN</t>
        </is>
      </c>
      <c r="E1507" t="inlineStr">
        <is>
          <t>SOLLEFTEÅ</t>
        </is>
      </c>
      <c r="F1507" t="inlineStr">
        <is>
          <t>SCA</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30805-2022</t>
        </is>
      </c>
      <c r="B1508" s="1" t="n">
        <v>44765</v>
      </c>
      <c r="C1508" s="1" t="n">
        <v>45802</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30936-2022</t>
        </is>
      </c>
      <c r="B1509" s="1" t="n">
        <v>44768</v>
      </c>
      <c r="C1509" s="1" t="n">
        <v>45802</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30937-2022</t>
        </is>
      </c>
      <c r="B1510" s="1" t="n">
        <v>44768</v>
      </c>
      <c r="C1510" s="1" t="n">
        <v>45802</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31005-2022</t>
        </is>
      </c>
      <c r="B1511" s="1" t="n">
        <v>44768</v>
      </c>
      <c r="C1511" s="1" t="n">
        <v>45802</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31444-2022</t>
        </is>
      </c>
      <c r="B1512" s="1" t="n">
        <v>44774</v>
      </c>
      <c r="C1512" s="1" t="n">
        <v>45802</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31453-2022</t>
        </is>
      </c>
      <c r="B1513" s="1" t="n">
        <v>44775</v>
      </c>
      <c r="C1513" s="1" t="n">
        <v>45802</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31474-2022</t>
        </is>
      </c>
      <c r="B1514" s="1" t="n">
        <v>44775</v>
      </c>
      <c r="C1514" s="1" t="n">
        <v>45802</v>
      </c>
      <c r="D1514" t="inlineStr">
        <is>
          <t>VÄSTERNORRLANDS LÄN</t>
        </is>
      </c>
      <c r="E1514" t="inlineStr">
        <is>
          <t>SOLLEFTEÅ</t>
        </is>
      </c>
      <c r="F1514" t="inlineStr">
        <is>
          <t>SCA</t>
        </is>
      </c>
      <c r="G1514" t="n">
        <v>28.3</v>
      </c>
      <c r="H1514" t="n">
        <v>0</v>
      </c>
      <c r="I1514" t="n">
        <v>0</v>
      </c>
      <c r="J1514" t="n">
        <v>0</v>
      </c>
      <c r="K1514" t="n">
        <v>0</v>
      </c>
      <c r="L1514" t="n">
        <v>0</v>
      </c>
      <c r="M1514" t="n">
        <v>0</v>
      </c>
      <c r="N1514" t="n">
        <v>0</v>
      </c>
      <c r="O1514" t="n">
        <v>0</v>
      </c>
      <c r="P1514" t="n">
        <v>0</v>
      </c>
      <c r="Q1514" t="n">
        <v>0</v>
      </c>
      <c r="R1514" s="2" t="inlineStr"/>
    </row>
    <row r="1515" ht="15" customHeight="1">
      <c r="A1515" t="inlineStr">
        <is>
          <t>A 31440-2022</t>
        </is>
      </c>
      <c r="B1515" s="1" t="n">
        <v>44775</v>
      </c>
      <c r="C1515" s="1" t="n">
        <v>45802</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31464-2022</t>
        </is>
      </c>
      <c r="B1516" s="1" t="n">
        <v>44774</v>
      </c>
      <c r="C1516" s="1" t="n">
        <v>45802</v>
      </c>
      <c r="D1516" t="inlineStr">
        <is>
          <t>VÄSTERNORRLANDS LÄN</t>
        </is>
      </c>
      <c r="E1516" t="inlineStr">
        <is>
          <t>SOLLEFTEÅ</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31452-2022</t>
        </is>
      </c>
      <c r="B1517" s="1" t="n">
        <v>44775</v>
      </c>
      <c r="C1517" s="1" t="n">
        <v>45802</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31490-2022</t>
        </is>
      </c>
      <c r="B1518" s="1" t="n">
        <v>44775</v>
      </c>
      <c r="C1518" s="1" t="n">
        <v>45802</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31451-2022</t>
        </is>
      </c>
      <c r="B1519" s="1" t="n">
        <v>44775</v>
      </c>
      <c r="C1519" s="1" t="n">
        <v>45802</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31482-2022</t>
        </is>
      </c>
      <c r="B1520" s="1" t="n">
        <v>44775</v>
      </c>
      <c r="C1520" s="1" t="n">
        <v>45802</v>
      </c>
      <c r="D1520" t="inlineStr">
        <is>
          <t>VÄSTERNORRLANDS LÄN</t>
        </is>
      </c>
      <c r="E1520" t="inlineStr">
        <is>
          <t>SOLLEFTEÅ</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31588-2022</t>
        </is>
      </c>
      <c r="B1521" s="1" t="n">
        <v>44775</v>
      </c>
      <c r="C1521" s="1" t="n">
        <v>45802</v>
      </c>
      <c r="D1521" t="inlineStr">
        <is>
          <t>VÄSTERNORRLANDS LÄN</t>
        </is>
      </c>
      <c r="E1521" t="inlineStr">
        <is>
          <t>SOLLEFTEÅ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31646-2022</t>
        </is>
      </c>
      <c r="B1522" s="1" t="n">
        <v>44776</v>
      </c>
      <c r="C1522" s="1" t="n">
        <v>45802</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31672-2022</t>
        </is>
      </c>
      <c r="B1523" s="1" t="n">
        <v>44776</v>
      </c>
      <c r="C1523" s="1" t="n">
        <v>45802</v>
      </c>
      <c r="D1523" t="inlineStr">
        <is>
          <t>VÄSTERNORRLANDS LÄN</t>
        </is>
      </c>
      <c r="E1523" t="inlineStr">
        <is>
          <t>SOLLEFTEÅ</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31856-2022</t>
        </is>
      </c>
      <c r="B1524" s="1" t="n">
        <v>44776</v>
      </c>
      <c r="C1524" s="1" t="n">
        <v>45802</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31968-2022</t>
        </is>
      </c>
      <c r="B1525" s="1" t="n">
        <v>44778</v>
      </c>
      <c r="C1525" s="1" t="n">
        <v>45802</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31967-2022</t>
        </is>
      </c>
      <c r="B1526" s="1" t="n">
        <v>44778</v>
      </c>
      <c r="C1526" s="1" t="n">
        <v>45802</v>
      </c>
      <c r="D1526" t="inlineStr">
        <is>
          <t>VÄSTERNORRLANDS LÄN</t>
        </is>
      </c>
      <c r="E1526" t="inlineStr">
        <is>
          <t>SOLLEFTEÅ</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31965-2022</t>
        </is>
      </c>
      <c r="B1527" s="1" t="n">
        <v>44778</v>
      </c>
      <c r="C1527" s="1" t="n">
        <v>45802</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31966-2022</t>
        </is>
      </c>
      <c r="B1528" s="1" t="n">
        <v>44778</v>
      </c>
      <c r="C1528" s="1" t="n">
        <v>45802</v>
      </c>
      <c r="D1528" t="inlineStr">
        <is>
          <t>VÄSTERNORRLANDS LÄN</t>
        </is>
      </c>
      <c r="E1528" t="inlineStr">
        <is>
          <t>SOLLEFTEÅ</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32127-2022</t>
        </is>
      </c>
      <c r="B1529" s="1" t="n">
        <v>44779</v>
      </c>
      <c r="C1529" s="1" t="n">
        <v>45802</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32129-2022</t>
        </is>
      </c>
      <c r="B1530" s="1" t="n">
        <v>44779</v>
      </c>
      <c r="C1530" s="1" t="n">
        <v>45802</v>
      </c>
      <c r="D1530" t="inlineStr">
        <is>
          <t>VÄSTERNORRLANDS LÄN</t>
        </is>
      </c>
      <c r="E1530" t="inlineStr">
        <is>
          <t>SOLLEFTEÅ</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32126-2022</t>
        </is>
      </c>
      <c r="B1531" s="1" t="n">
        <v>44778</v>
      </c>
      <c r="C1531" s="1" t="n">
        <v>45802</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32130-2022</t>
        </is>
      </c>
      <c r="B1532" s="1" t="n">
        <v>44779</v>
      </c>
      <c r="C1532" s="1" t="n">
        <v>45802</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32453-2022</t>
        </is>
      </c>
      <c r="B1533" s="1" t="n">
        <v>44782</v>
      </c>
      <c r="C1533" s="1" t="n">
        <v>45802</v>
      </c>
      <c r="D1533" t="inlineStr">
        <is>
          <t>VÄSTERNORRLANDS LÄN</t>
        </is>
      </c>
      <c r="E1533" t="inlineStr">
        <is>
          <t>SOLLEFTEÅ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32531-2022</t>
        </is>
      </c>
      <c r="B1534" s="1" t="n">
        <v>44783</v>
      </c>
      <c r="C1534" s="1" t="n">
        <v>45802</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32779-2022</t>
        </is>
      </c>
      <c r="B1535" s="1" t="n">
        <v>44784</v>
      </c>
      <c r="C1535" s="1" t="n">
        <v>45802</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32969-2022</t>
        </is>
      </c>
      <c r="B1536" s="1" t="n">
        <v>44785</v>
      </c>
      <c r="C1536" s="1" t="n">
        <v>45802</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33056-2022</t>
        </is>
      </c>
      <c r="B1537" s="1" t="n">
        <v>44785</v>
      </c>
      <c r="C1537" s="1" t="n">
        <v>45802</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33083-2022</t>
        </is>
      </c>
      <c r="B1538" s="1" t="n">
        <v>44785</v>
      </c>
      <c r="C1538" s="1" t="n">
        <v>45802</v>
      </c>
      <c r="D1538" t="inlineStr">
        <is>
          <t>VÄSTERNORRLANDS LÄN</t>
        </is>
      </c>
      <c r="E1538" t="inlineStr">
        <is>
          <t>SOLLEFTEÅ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33077-2022</t>
        </is>
      </c>
      <c r="B1539" s="1" t="n">
        <v>44785</v>
      </c>
      <c r="C1539" s="1" t="n">
        <v>45802</v>
      </c>
      <c r="D1539" t="inlineStr">
        <is>
          <t>VÄSTERNORRLANDS LÄN</t>
        </is>
      </c>
      <c r="E1539" t="inlineStr">
        <is>
          <t>SOLLEFTEÅ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33226-2022</t>
        </is>
      </c>
      <c r="B1540" s="1" t="n">
        <v>44786</v>
      </c>
      <c r="C1540" s="1" t="n">
        <v>45802</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33505-2022</t>
        </is>
      </c>
      <c r="B1541" s="1" t="n">
        <v>44789</v>
      </c>
      <c r="C1541" s="1" t="n">
        <v>45802</v>
      </c>
      <c r="D1541" t="inlineStr">
        <is>
          <t>VÄSTERNORRLANDS LÄN</t>
        </is>
      </c>
      <c r="E1541" t="inlineStr">
        <is>
          <t>SOLLEFTEÅ</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33519-2022</t>
        </is>
      </c>
      <c r="B1542" s="1" t="n">
        <v>44789</v>
      </c>
      <c r="C1542" s="1" t="n">
        <v>45802</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33528-2022</t>
        </is>
      </c>
      <c r="B1543" s="1" t="n">
        <v>44788</v>
      </c>
      <c r="C1543" s="1" t="n">
        <v>45802</v>
      </c>
      <c r="D1543" t="inlineStr">
        <is>
          <t>VÄSTERNORRLANDS LÄN</t>
        </is>
      </c>
      <c r="E1543" t="inlineStr">
        <is>
          <t>SOLLEFTEÅ</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33734-2022</t>
        </is>
      </c>
      <c r="B1544" s="1" t="n">
        <v>44790</v>
      </c>
      <c r="C1544" s="1" t="n">
        <v>45802</v>
      </c>
      <c r="D1544" t="inlineStr">
        <is>
          <t>VÄSTERNORRLANDS LÄN</t>
        </is>
      </c>
      <c r="E1544" t="inlineStr">
        <is>
          <t>SOLLEFTEÅ</t>
        </is>
      </c>
      <c r="F1544" t="inlineStr">
        <is>
          <t>SCA</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33990-2022</t>
        </is>
      </c>
      <c r="B1545" s="1" t="n">
        <v>44790</v>
      </c>
      <c r="C1545" s="1" t="n">
        <v>45802</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33995-2022</t>
        </is>
      </c>
      <c r="B1546" s="1" t="n">
        <v>44791</v>
      </c>
      <c r="C1546" s="1" t="n">
        <v>45802</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33994-2022</t>
        </is>
      </c>
      <c r="B1547" s="1" t="n">
        <v>44791</v>
      </c>
      <c r="C1547" s="1" t="n">
        <v>45802</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34242-2022</t>
        </is>
      </c>
      <c r="B1548" s="1" t="n">
        <v>44792</v>
      </c>
      <c r="C1548" s="1" t="n">
        <v>45802</v>
      </c>
      <c r="D1548" t="inlineStr">
        <is>
          <t>VÄSTERNORRLANDS LÄN</t>
        </is>
      </c>
      <c r="E1548" t="inlineStr">
        <is>
          <t>SOLLEFTEÅ</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34252-2022</t>
        </is>
      </c>
      <c r="B1549" s="1" t="n">
        <v>44792</v>
      </c>
      <c r="C1549" s="1" t="n">
        <v>45802</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34267-2022</t>
        </is>
      </c>
      <c r="B1550" s="1" t="n">
        <v>44792</v>
      </c>
      <c r="C1550" s="1" t="n">
        <v>45802</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34281-2022</t>
        </is>
      </c>
      <c r="B1551" s="1" t="n">
        <v>44791</v>
      </c>
      <c r="C1551" s="1" t="n">
        <v>45802</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34518-2022</t>
        </is>
      </c>
      <c r="B1552" s="1" t="n">
        <v>44793</v>
      </c>
      <c r="C1552" s="1" t="n">
        <v>45802</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34517-2022</t>
        </is>
      </c>
      <c r="B1553" s="1" t="n">
        <v>44793</v>
      </c>
      <c r="C1553" s="1" t="n">
        <v>45802</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34527-2022</t>
        </is>
      </c>
      <c r="B1554" s="1" t="n">
        <v>44793</v>
      </c>
      <c r="C1554" s="1" t="n">
        <v>45802</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34534-2022</t>
        </is>
      </c>
      <c r="B1555" s="1" t="n">
        <v>44793</v>
      </c>
      <c r="C1555" s="1" t="n">
        <v>45802</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34516-2022</t>
        </is>
      </c>
      <c r="B1556" s="1" t="n">
        <v>44792</v>
      </c>
      <c r="C1556" s="1" t="n">
        <v>45802</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34648-2022</t>
        </is>
      </c>
      <c r="B1557" s="1" t="n">
        <v>44792</v>
      </c>
      <c r="C1557" s="1" t="n">
        <v>45802</v>
      </c>
      <c r="D1557" t="inlineStr">
        <is>
          <t>VÄSTERNORRLANDS LÄN</t>
        </is>
      </c>
      <c r="E1557" t="inlineStr">
        <is>
          <t>SOLLEFTEÅ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34549-2022</t>
        </is>
      </c>
      <c r="B1558" s="1" t="n">
        <v>44793</v>
      </c>
      <c r="C1558" s="1" t="n">
        <v>45802</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34542-2022</t>
        </is>
      </c>
      <c r="B1559" s="1" t="n">
        <v>44793</v>
      </c>
      <c r="C1559" s="1" t="n">
        <v>45802</v>
      </c>
      <c r="D1559" t="inlineStr">
        <is>
          <t>VÄSTERNORRLANDS LÄN</t>
        </is>
      </c>
      <c r="E1559" t="inlineStr">
        <is>
          <t>SOLLEFTEÅ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34543-2022</t>
        </is>
      </c>
      <c r="B1560" s="1" t="n">
        <v>44793</v>
      </c>
      <c r="C1560" s="1" t="n">
        <v>45802</v>
      </c>
      <c r="D1560" t="inlineStr">
        <is>
          <t>VÄSTERNORRLANDS LÄN</t>
        </is>
      </c>
      <c r="E1560" t="inlineStr">
        <is>
          <t>SOLLEFTEÅ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34552-2022</t>
        </is>
      </c>
      <c r="B1561" s="1" t="n">
        <v>44794</v>
      </c>
      <c r="C1561" s="1" t="n">
        <v>45802</v>
      </c>
      <c r="D1561" t="inlineStr">
        <is>
          <t>VÄSTERNORRLANDS LÄN</t>
        </is>
      </c>
      <c r="E1561" t="inlineStr">
        <is>
          <t>SOLLEFTEÅ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34804-2022</t>
        </is>
      </c>
      <c r="B1562" s="1" t="n">
        <v>44796</v>
      </c>
      <c r="C1562" s="1" t="n">
        <v>45802</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35019-2022</t>
        </is>
      </c>
      <c r="B1563" s="1" t="n">
        <v>44797</v>
      </c>
      <c r="C1563" s="1" t="n">
        <v>45802</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35229-2022</t>
        </is>
      </c>
      <c r="B1564" s="1" t="n">
        <v>44798</v>
      </c>
      <c r="C1564" s="1" t="n">
        <v>45802</v>
      </c>
      <c r="D1564" t="inlineStr">
        <is>
          <t>VÄSTERNORRLANDS LÄN</t>
        </is>
      </c>
      <c r="E1564" t="inlineStr">
        <is>
          <t>SOLLEFTEÅ</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35747-2022</t>
        </is>
      </c>
      <c r="B1565" s="1" t="n">
        <v>44799</v>
      </c>
      <c r="C1565" s="1" t="n">
        <v>45802</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35797-2022</t>
        </is>
      </c>
      <c r="B1566" s="1" t="n">
        <v>44802</v>
      </c>
      <c r="C1566" s="1" t="n">
        <v>45802</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36080-2022</t>
        </is>
      </c>
      <c r="B1567" s="1" t="n">
        <v>44803</v>
      </c>
      <c r="C1567" s="1" t="n">
        <v>45802</v>
      </c>
      <c r="D1567" t="inlineStr">
        <is>
          <t>VÄSTERNORRLANDS LÄN</t>
        </is>
      </c>
      <c r="E1567" t="inlineStr">
        <is>
          <t>SOLLEFTEÅ</t>
        </is>
      </c>
      <c r="F1567" t="inlineStr">
        <is>
          <t>SCA</t>
        </is>
      </c>
      <c r="G1567" t="n">
        <v>78.2</v>
      </c>
      <c r="H1567" t="n">
        <v>0</v>
      </c>
      <c r="I1567" t="n">
        <v>0</v>
      </c>
      <c r="J1567" t="n">
        <v>0</v>
      </c>
      <c r="K1567" t="n">
        <v>0</v>
      </c>
      <c r="L1567" t="n">
        <v>0</v>
      </c>
      <c r="M1567" t="n">
        <v>0</v>
      </c>
      <c r="N1567" t="n">
        <v>0</v>
      </c>
      <c r="O1567" t="n">
        <v>0</v>
      </c>
      <c r="P1567" t="n">
        <v>0</v>
      </c>
      <c r="Q1567" t="n">
        <v>0</v>
      </c>
      <c r="R1567" s="2" t="inlineStr"/>
    </row>
    <row r="1568" ht="15" customHeight="1">
      <c r="A1568" t="inlineStr">
        <is>
          <t>A 36078-2022</t>
        </is>
      </c>
      <c r="B1568" s="1" t="n">
        <v>44803</v>
      </c>
      <c r="C1568" s="1" t="n">
        <v>45802</v>
      </c>
      <c r="D1568" t="inlineStr">
        <is>
          <t>VÄSTERNORRLANDS LÄN</t>
        </is>
      </c>
      <c r="E1568" t="inlineStr">
        <is>
          <t>SOLLEFTEÅ</t>
        </is>
      </c>
      <c r="F1568" t="inlineStr">
        <is>
          <t>SCA</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36368-2022</t>
        </is>
      </c>
      <c r="B1569" s="1" t="n">
        <v>44804</v>
      </c>
      <c r="C1569" s="1" t="n">
        <v>45802</v>
      </c>
      <c r="D1569" t="inlineStr">
        <is>
          <t>VÄSTERNORRLANDS LÄN</t>
        </is>
      </c>
      <c r="E1569" t="inlineStr">
        <is>
          <t>SOLLEFTEÅ</t>
        </is>
      </c>
      <c r="F1569" t="inlineStr">
        <is>
          <t>SCA</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36367-2022</t>
        </is>
      </c>
      <c r="B1570" s="1" t="n">
        <v>44804</v>
      </c>
      <c r="C1570" s="1" t="n">
        <v>45802</v>
      </c>
      <c r="D1570" t="inlineStr">
        <is>
          <t>VÄSTERNORRLANDS LÄN</t>
        </is>
      </c>
      <c r="E1570" t="inlineStr">
        <is>
          <t>SOLLEFTEÅ</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36688-2022</t>
        </is>
      </c>
      <c r="B1571" s="1" t="n">
        <v>44804</v>
      </c>
      <c r="C1571" s="1" t="n">
        <v>45802</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36681-2022</t>
        </is>
      </c>
      <c r="B1572" s="1" t="n">
        <v>44804</v>
      </c>
      <c r="C1572" s="1" t="n">
        <v>45802</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36926-2022</t>
        </is>
      </c>
      <c r="B1573" s="1" t="n">
        <v>44806</v>
      </c>
      <c r="C1573" s="1" t="n">
        <v>45802</v>
      </c>
      <c r="D1573" t="inlineStr">
        <is>
          <t>VÄSTERNORRLANDS LÄN</t>
        </is>
      </c>
      <c r="E1573" t="inlineStr">
        <is>
          <t>SOLLEFTEÅ</t>
        </is>
      </c>
      <c r="F1573" t="inlineStr">
        <is>
          <t>SCA</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37242-2022</t>
        </is>
      </c>
      <c r="B1574" s="1" t="n">
        <v>44807</v>
      </c>
      <c r="C1574" s="1" t="n">
        <v>45802</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37596-2022</t>
        </is>
      </c>
      <c r="B1575" s="1" t="n">
        <v>44810</v>
      </c>
      <c r="C1575" s="1" t="n">
        <v>45802</v>
      </c>
      <c r="D1575" t="inlineStr">
        <is>
          <t>VÄSTERNORRLANDS LÄN</t>
        </is>
      </c>
      <c r="E1575" t="inlineStr">
        <is>
          <t>SOLLEFTEÅ</t>
        </is>
      </c>
      <c r="F1575" t="inlineStr">
        <is>
          <t>Holmen skog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37597-2022</t>
        </is>
      </c>
      <c r="B1576" s="1" t="n">
        <v>44810</v>
      </c>
      <c r="C1576" s="1" t="n">
        <v>45802</v>
      </c>
      <c r="D1576" t="inlineStr">
        <is>
          <t>VÄSTERNORRLANDS LÄN</t>
        </is>
      </c>
      <c r="E1576" t="inlineStr">
        <is>
          <t>SOLLEFTEÅ</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37835-2022</t>
        </is>
      </c>
      <c r="B1577" s="1" t="n">
        <v>44810</v>
      </c>
      <c r="C1577" s="1" t="n">
        <v>45802</v>
      </c>
      <c r="D1577" t="inlineStr">
        <is>
          <t>VÄSTERNORRLANDS LÄN</t>
        </is>
      </c>
      <c r="E1577" t="inlineStr">
        <is>
          <t>SOLLEFTEÅ</t>
        </is>
      </c>
      <c r="F1577" t="inlineStr">
        <is>
          <t>SCA</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37826-2022</t>
        </is>
      </c>
      <c r="B1578" s="1" t="n">
        <v>44811</v>
      </c>
      <c r="C1578" s="1" t="n">
        <v>45802</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37840-2022</t>
        </is>
      </c>
      <c r="B1579" s="1" t="n">
        <v>44810</v>
      </c>
      <c r="C1579" s="1" t="n">
        <v>45802</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38096-2022</t>
        </is>
      </c>
      <c r="B1580" s="1" t="n">
        <v>44812</v>
      </c>
      <c r="C1580" s="1" t="n">
        <v>45802</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38095-2022</t>
        </is>
      </c>
      <c r="B1581" s="1" t="n">
        <v>44811</v>
      </c>
      <c r="C1581" s="1" t="n">
        <v>45802</v>
      </c>
      <c r="D1581" t="inlineStr">
        <is>
          <t>VÄSTERNORRLANDS LÄN</t>
        </is>
      </c>
      <c r="E1581" t="inlineStr">
        <is>
          <t>SOLLEFTEÅ</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37977-2022</t>
        </is>
      </c>
      <c r="B1582" s="1" t="n">
        <v>44811</v>
      </c>
      <c r="C1582" s="1" t="n">
        <v>45802</v>
      </c>
      <c r="D1582" t="inlineStr">
        <is>
          <t>VÄSTERNORRLANDS LÄN</t>
        </is>
      </c>
      <c r="E1582" t="inlineStr">
        <is>
          <t>SOLLEFTEÅ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38102-2022</t>
        </is>
      </c>
      <c r="B1583" s="1" t="n">
        <v>44811</v>
      </c>
      <c r="C1583" s="1" t="n">
        <v>45802</v>
      </c>
      <c r="D1583" t="inlineStr">
        <is>
          <t>VÄSTERNORRLANDS LÄN</t>
        </is>
      </c>
      <c r="E1583" t="inlineStr">
        <is>
          <t>SOLLEFTEÅ</t>
        </is>
      </c>
      <c r="F1583" t="inlineStr">
        <is>
          <t>SCA</t>
        </is>
      </c>
      <c r="G1583" t="n">
        <v>4.9</v>
      </c>
      <c r="H1583" t="n">
        <v>0</v>
      </c>
      <c r="I1583" t="n">
        <v>0</v>
      </c>
      <c r="J1583" t="n">
        <v>0</v>
      </c>
      <c r="K1583" t="n">
        <v>0</v>
      </c>
      <c r="L1583" t="n">
        <v>0</v>
      </c>
      <c r="M1583" t="n">
        <v>0</v>
      </c>
      <c r="N1583" t="n">
        <v>0</v>
      </c>
      <c r="O1583" t="n">
        <v>0</v>
      </c>
      <c r="P1583" t="n">
        <v>0</v>
      </c>
      <c r="Q1583" t="n">
        <v>0</v>
      </c>
      <c r="R1583" s="2" t="inlineStr"/>
      <c r="U1583">
        <f>HYPERLINK("https://klasma.github.io/Logging_2283/knärot/A 38102-2022 karta knärot.png", "A 38102-2022")</f>
        <v/>
      </c>
      <c r="V1583">
        <f>HYPERLINK("https://klasma.github.io/Logging_2283/klagomål/A 38102-2022 FSC-klagomål.docx", "A 38102-2022")</f>
        <v/>
      </c>
      <c r="W1583">
        <f>HYPERLINK("https://klasma.github.io/Logging_2283/klagomålsmail/A 38102-2022 FSC-klagomål mail.docx", "A 38102-2022")</f>
        <v/>
      </c>
      <c r="X1583">
        <f>HYPERLINK("https://klasma.github.io/Logging_2283/tillsyn/A 38102-2022 tillsynsbegäran.docx", "A 38102-2022")</f>
        <v/>
      </c>
      <c r="Y1583">
        <f>HYPERLINK("https://klasma.github.io/Logging_2283/tillsynsmail/A 38102-2022 tillsynsbegäran mail.docx", "A 38102-2022")</f>
        <v/>
      </c>
    </row>
    <row r="1584" ht="15" customHeight="1">
      <c r="A1584" t="inlineStr">
        <is>
          <t>A 38230-2022</t>
        </is>
      </c>
      <c r="B1584" s="1" t="n">
        <v>44812</v>
      </c>
      <c r="C1584" s="1" t="n">
        <v>45802</v>
      </c>
      <c r="D1584" t="inlineStr">
        <is>
          <t>VÄSTERNORRLANDS LÄN</t>
        </is>
      </c>
      <c r="E1584" t="inlineStr">
        <is>
          <t>SOLLEFTEÅ</t>
        </is>
      </c>
      <c r="F1584" t="inlineStr">
        <is>
          <t>Kommuner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38430-2022</t>
        </is>
      </c>
      <c r="B1585" s="1" t="n">
        <v>44812</v>
      </c>
      <c r="C1585" s="1" t="n">
        <v>45802</v>
      </c>
      <c r="D1585" t="inlineStr">
        <is>
          <t>VÄSTERNORRLANDS LÄN</t>
        </is>
      </c>
      <c r="E1585" t="inlineStr">
        <is>
          <t>SOLLEFTEÅ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38433-2022</t>
        </is>
      </c>
      <c r="B1586" s="1" t="n">
        <v>44812</v>
      </c>
      <c r="C1586" s="1" t="n">
        <v>45802</v>
      </c>
      <c r="D1586" t="inlineStr">
        <is>
          <t>VÄSTERNORRLANDS LÄN</t>
        </is>
      </c>
      <c r="E1586" t="inlineStr">
        <is>
          <t>SOLLEFTEÅ</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38312-2022</t>
        </is>
      </c>
      <c r="B1587" s="1" t="n">
        <v>44812</v>
      </c>
      <c r="C1587" s="1" t="n">
        <v>45802</v>
      </c>
      <c r="D1587" t="inlineStr">
        <is>
          <t>VÄSTERNORRLANDS LÄN</t>
        </is>
      </c>
      <c r="E1587" t="inlineStr">
        <is>
          <t>SOLLEFTEÅ</t>
        </is>
      </c>
      <c r="F1587" t="inlineStr">
        <is>
          <t>Holmen skog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38428-2022</t>
        </is>
      </c>
      <c r="B1588" s="1" t="n">
        <v>44812</v>
      </c>
      <c r="C1588" s="1" t="n">
        <v>45802</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38432-2022</t>
        </is>
      </c>
      <c r="B1589" s="1" t="n">
        <v>44812</v>
      </c>
      <c r="C1589" s="1" t="n">
        <v>45802</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38663-2022</t>
        </is>
      </c>
      <c r="B1590" s="1" t="n">
        <v>44814</v>
      </c>
      <c r="C1590" s="1" t="n">
        <v>45802</v>
      </c>
      <c r="D1590" t="inlineStr">
        <is>
          <t>VÄSTERNORRLANDS LÄN</t>
        </is>
      </c>
      <c r="E1590" t="inlineStr">
        <is>
          <t>SOLLEFTEÅ</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39006-2022</t>
        </is>
      </c>
      <c r="B1591" s="1" t="n">
        <v>44817</v>
      </c>
      <c r="C1591" s="1" t="n">
        <v>45802</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39012-2022</t>
        </is>
      </c>
      <c r="B1592" s="1" t="n">
        <v>44816</v>
      </c>
      <c r="C1592" s="1" t="n">
        <v>45802</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39384-2022</t>
        </is>
      </c>
      <c r="B1593" s="1" t="n">
        <v>44818</v>
      </c>
      <c r="C1593" s="1" t="n">
        <v>45802</v>
      </c>
      <c r="D1593" t="inlineStr">
        <is>
          <t>VÄSTERNORRLANDS LÄN</t>
        </is>
      </c>
      <c r="E1593" t="inlineStr">
        <is>
          <t>SOLLEFTEÅ</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39372-2022</t>
        </is>
      </c>
      <c r="B1594" s="1" t="n">
        <v>44818</v>
      </c>
      <c r="C1594" s="1" t="n">
        <v>45802</v>
      </c>
      <c r="D1594" t="inlineStr">
        <is>
          <t>VÄSTERNORRLANDS LÄN</t>
        </is>
      </c>
      <c r="E1594" t="inlineStr">
        <is>
          <t>SOLLEFTEÅ</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39371-2022</t>
        </is>
      </c>
      <c r="B1595" s="1" t="n">
        <v>44818</v>
      </c>
      <c r="C1595" s="1" t="n">
        <v>45802</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39688-2022</t>
        </is>
      </c>
      <c r="B1596" s="1" t="n">
        <v>44818</v>
      </c>
      <c r="C1596" s="1" t="n">
        <v>45802</v>
      </c>
      <c r="D1596" t="inlineStr">
        <is>
          <t>VÄSTERNORRLANDS LÄN</t>
        </is>
      </c>
      <c r="E1596" t="inlineStr">
        <is>
          <t>SOLLEFTEÅ</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39699-2022</t>
        </is>
      </c>
      <c r="B1597" s="1" t="n">
        <v>44819</v>
      </c>
      <c r="C1597" s="1" t="n">
        <v>45802</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39944-2022</t>
        </is>
      </c>
      <c r="B1598" s="1" t="n">
        <v>44819</v>
      </c>
      <c r="C1598" s="1" t="n">
        <v>45802</v>
      </c>
      <c r="D1598" t="inlineStr">
        <is>
          <t>VÄSTERNORRLANDS LÄN</t>
        </is>
      </c>
      <c r="E1598" t="inlineStr">
        <is>
          <t>SOLLEFTEÅ</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39942-2022</t>
        </is>
      </c>
      <c r="B1599" s="1" t="n">
        <v>44820</v>
      </c>
      <c r="C1599" s="1" t="n">
        <v>45802</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39947-2022</t>
        </is>
      </c>
      <c r="B1600" s="1" t="n">
        <v>44819</v>
      </c>
      <c r="C1600" s="1" t="n">
        <v>45802</v>
      </c>
      <c r="D1600" t="inlineStr">
        <is>
          <t>VÄSTERNORRLANDS LÄN</t>
        </is>
      </c>
      <c r="E1600" t="inlineStr">
        <is>
          <t>SOLLEFTEÅ</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39943-2022</t>
        </is>
      </c>
      <c r="B1601" s="1" t="n">
        <v>44820</v>
      </c>
      <c r="C1601" s="1" t="n">
        <v>45802</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39951-2022</t>
        </is>
      </c>
      <c r="B1602" s="1" t="n">
        <v>44820</v>
      </c>
      <c r="C1602" s="1" t="n">
        <v>45802</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39934-2022</t>
        </is>
      </c>
      <c r="B1603" s="1" t="n">
        <v>44820</v>
      </c>
      <c r="C1603" s="1" t="n">
        <v>45802</v>
      </c>
      <c r="D1603" t="inlineStr">
        <is>
          <t>VÄSTERNORRLANDS LÄN</t>
        </is>
      </c>
      <c r="E1603" t="inlineStr">
        <is>
          <t>SOLLEFTEÅ</t>
        </is>
      </c>
      <c r="F1603" t="inlineStr">
        <is>
          <t>SCA</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39946-2022</t>
        </is>
      </c>
      <c r="B1604" s="1" t="n">
        <v>44819</v>
      </c>
      <c r="C1604" s="1" t="n">
        <v>45802</v>
      </c>
      <c r="D1604" t="inlineStr">
        <is>
          <t>VÄSTERNORRLANDS LÄN</t>
        </is>
      </c>
      <c r="E1604" t="inlineStr">
        <is>
          <t>SOLLEFTEÅ</t>
        </is>
      </c>
      <c r="F1604" t="inlineStr">
        <is>
          <t>SCA</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40608-2022</t>
        </is>
      </c>
      <c r="B1605" s="1" t="n">
        <v>44824</v>
      </c>
      <c r="C1605" s="1" t="n">
        <v>45802</v>
      </c>
      <c r="D1605" t="inlineStr">
        <is>
          <t>VÄSTERNORRLANDS LÄN</t>
        </is>
      </c>
      <c r="E1605" t="inlineStr">
        <is>
          <t>SOLLEFTEÅ</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40609-2022</t>
        </is>
      </c>
      <c r="B1606" s="1" t="n">
        <v>44824</v>
      </c>
      <c r="C1606" s="1" t="n">
        <v>45802</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40610-2022</t>
        </is>
      </c>
      <c r="B1607" s="1" t="n">
        <v>44824</v>
      </c>
      <c r="C1607" s="1" t="n">
        <v>45802</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40599-2022</t>
        </is>
      </c>
      <c r="B1608" s="1" t="n">
        <v>44824</v>
      </c>
      <c r="C1608" s="1" t="n">
        <v>45802</v>
      </c>
      <c r="D1608" t="inlineStr">
        <is>
          <t>VÄSTERNORRLANDS LÄN</t>
        </is>
      </c>
      <c r="E1608" t="inlineStr">
        <is>
          <t>SOLLEFTEÅ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40611-2022</t>
        </is>
      </c>
      <c r="B1609" s="1" t="n">
        <v>44824</v>
      </c>
      <c r="C1609" s="1" t="n">
        <v>45802</v>
      </c>
      <c r="D1609" t="inlineStr">
        <is>
          <t>VÄSTERNORRLANDS LÄN</t>
        </is>
      </c>
      <c r="E1609" t="inlineStr">
        <is>
          <t>SOLLEFTEÅ</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40832-2022</t>
        </is>
      </c>
      <c r="B1610" s="1" t="n">
        <v>44825</v>
      </c>
      <c r="C1610" s="1" t="n">
        <v>45802</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41187-2022</t>
        </is>
      </c>
      <c r="B1611" s="1" t="n">
        <v>44826</v>
      </c>
      <c r="C1611" s="1" t="n">
        <v>45802</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41192-2022</t>
        </is>
      </c>
      <c r="B1612" s="1" t="n">
        <v>44826</v>
      </c>
      <c r="C1612" s="1" t="n">
        <v>45802</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41168-2022</t>
        </is>
      </c>
      <c r="B1613" s="1" t="n">
        <v>44826</v>
      </c>
      <c r="C1613" s="1" t="n">
        <v>45802</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41172-2022</t>
        </is>
      </c>
      <c r="B1614" s="1" t="n">
        <v>44826</v>
      </c>
      <c r="C1614" s="1" t="n">
        <v>45802</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41176-2022</t>
        </is>
      </c>
      <c r="B1615" s="1" t="n">
        <v>44826</v>
      </c>
      <c r="C1615" s="1" t="n">
        <v>45802</v>
      </c>
      <c r="D1615" t="inlineStr">
        <is>
          <t>VÄSTERNORRLANDS LÄN</t>
        </is>
      </c>
      <c r="E1615" t="inlineStr">
        <is>
          <t>SOLLEFTEÅ</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41189-2022</t>
        </is>
      </c>
      <c r="B1616" s="1" t="n">
        <v>44826</v>
      </c>
      <c r="C1616" s="1" t="n">
        <v>45802</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41196-2022</t>
        </is>
      </c>
      <c r="B1617" s="1" t="n">
        <v>44826</v>
      </c>
      <c r="C1617" s="1" t="n">
        <v>45802</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41195-2022</t>
        </is>
      </c>
      <c r="B1618" s="1" t="n">
        <v>44826</v>
      </c>
      <c r="C1618" s="1" t="n">
        <v>45802</v>
      </c>
      <c r="D1618" t="inlineStr">
        <is>
          <t>VÄSTERNORRLANDS LÄN</t>
        </is>
      </c>
      <c r="E1618" t="inlineStr">
        <is>
          <t>SOLLEFTEÅ</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41456-2022</t>
        </is>
      </c>
      <c r="B1619" s="1" t="n">
        <v>44826</v>
      </c>
      <c r="C1619" s="1" t="n">
        <v>45802</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41463-2022</t>
        </is>
      </c>
      <c r="B1620" s="1" t="n">
        <v>44827</v>
      </c>
      <c r="C1620" s="1" t="n">
        <v>45802</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41475-2022</t>
        </is>
      </c>
      <c r="B1621" s="1" t="n">
        <v>44826</v>
      </c>
      <c r="C1621" s="1" t="n">
        <v>45802</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41481-2022</t>
        </is>
      </c>
      <c r="B1622" s="1" t="n">
        <v>44827</v>
      </c>
      <c r="C1622" s="1" t="n">
        <v>45802</v>
      </c>
      <c r="D1622" t="inlineStr">
        <is>
          <t>VÄSTERNORRLANDS LÄN</t>
        </is>
      </c>
      <c r="E1622" t="inlineStr">
        <is>
          <t>SOLLEFTEÅ</t>
        </is>
      </c>
      <c r="F1622" t="inlineStr">
        <is>
          <t>SCA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41478-2022</t>
        </is>
      </c>
      <c r="B1623" s="1" t="n">
        <v>44827</v>
      </c>
      <c r="C1623" s="1" t="n">
        <v>45802</v>
      </c>
      <c r="D1623" t="inlineStr">
        <is>
          <t>VÄSTERNORRLANDS LÄN</t>
        </is>
      </c>
      <c r="E1623" t="inlineStr">
        <is>
          <t>SOLLEFTEÅ</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41486-2022</t>
        </is>
      </c>
      <c r="B1624" s="1" t="n">
        <v>44827</v>
      </c>
      <c r="C1624" s="1" t="n">
        <v>45802</v>
      </c>
      <c r="D1624" t="inlineStr">
        <is>
          <t>VÄSTERNORRLANDS LÄN</t>
        </is>
      </c>
      <c r="E1624" t="inlineStr">
        <is>
          <t>SOLLEFTEÅ</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41455-2022</t>
        </is>
      </c>
      <c r="B1625" s="1" t="n">
        <v>44826</v>
      </c>
      <c r="C1625" s="1" t="n">
        <v>45802</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41474-2022</t>
        </is>
      </c>
      <c r="B1626" s="1" t="n">
        <v>44827</v>
      </c>
      <c r="C1626" s="1" t="n">
        <v>45802</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41480-2022</t>
        </is>
      </c>
      <c r="B1627" s="1" t="n">
        <v>44827</v>
      </c>
      <c r="C1627" s="1" t="n">
        <v>45802</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41488-2022</t>
        </is>
      </c>
      <c r="B1628" s="1" t="n">
        <v>44826</v>
      </c>
      <c r="C1628" s="1" t="n">
        <v>45802</v>
      </c>
      <c r="D1628" t="inlineStr">
        <is>
          <t>VÄSTERNORRLANDS LÄN</t>
        </is>
      </c>
      <c r="E1628" t="inlineStr">
        <is>
          <t>SOLLEFTEÅ</t>
        </is>
      </c>
      <c r="F1628" t="inlineStr">
        <is>
          <t>SCA</t>
        </is>
      </c>
      <c r="G1628" t="n">
        <v>14.7</v>
      </c>
      <c r="H1628" t="n">
        <v>0</v>
      </c>
      <c r="I1628" t="n">
        <v>0</v>
      </c>
      <c r="J1628" t="n">
        <v>0</v>
      </c>
      <c r="K1628" t="n">
        <v>0</v>
      </c>
      <c r="L1628" t="n">
        <v>0</v>
      </c>
      <c r="M1628" t="n">
        <v>0</v>
      </c>
      <c r="N1628" t="n">
        <v>0</v>
      </c>
      <c r="O1628" t="n">
        <v>0</v>
      </c>
      <c r="P1628" t="n">
        <v>0</v>
      </c>
      <c r="Q1628" t="n">
        <v>0</v>
      </c>
      <c r="R1628" s="2" t="inlineStr"/>
    </row>
    <row r="1629" ht="15" customHeight="1">
      <c r="A1629" t="inlineStr">
        <is>
          <t>A 41487-2022</t>
        </is>
      </c>
      <c r="B1629" s="1" t="n">
        <v>44827</v>
      </c>
      <c r="C1629" s="1" t="n">
        <v>45802</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41479-2022</t>
        </is>
      </c>
      <c r="B1630" s="1" t="n">
        <v>44827</v>
      </c>
      <c r="C1630" s="1" t="n">
        <v>45802</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41813-2022</t>
        </is>
      </c>
      <c r="B1631" s="1" t="n">
        <v>44828</v>
      </c>
      <c r="C1631" s="1" t="n">
        <v>45802</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42272-2022</t>
        </is>
      </c>
      <c r="B1632" s="1" t="n">
        <v>44831</v>
      </c>
      <c r="C1632" s="1" t="n">
        <v>45802</v>
      </c>
      <c r="D1632" t="inlineStr">
        <is>
          <t>VÄSTERNORRLANDS LÄN</t>
        </is>
      </c>
      <c r="E1632" t="inlineStr">
        <is>
          <t>SOLLEFTEÅ</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42299-2022</t>
        </is>
      </c>
      <c r="B1633" s="1" t="n">
        <v>44830</v>
      </c>
      <c r="C1633" s="1" t="n">
        <v>45802</v>
      </c>
      <c r="D1633" t="inlineStr">
        <is>
          <t>VÄSTERNORRLANDS LÄN</t>
        </is>
      </c>
      <c r="E1633" t="inlineStr">
        <is>
          <t>SOLLEFTEÅ</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42303-2022</t>
        </is>
      </c>
      <c r="B1634" s="1" t="n">
        <v>44831</v>
      </c>
      <c r="C1634" s="1" t="n">
        <v>45802</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42275-2022</t>
        </is>
      </c>
      <c r="B1635" s="1" t="n">
        <v>44830</v>
      </c>
      <c r="C1635" s="1" t="n">
        <v>45802</v>
      </c>
      <c r="D1635" t="inlineStr">
        <is>
          <t>VÄSTERNORRLANDS LÄN</t>
        </is>
      </c>
      <c r="E1635" t="inlineStr">
        <is>
          <t>SOLLEFTEÅ</t>
        </is>
      </c>
      <c r="F1635" t="inlineStr">
        <is>
          <t>SCA</t>
        </is>
      </c>
      <c r="G1635" t="n">
        <v>26.9</v>
      </c>
      <c r="H1635" t="n">
        <v>0</v>
      </c>
      <c r="I1635" t="n">
        <v>0</v>
      </c>
      <c r="J1635" t="n">
        <v>0</v>
      </c>
      <c r="K1635" t="n">
        <v>0</v>
      </c>
      <c r="L1635" t="n">
        <v>0</v>
      </c>
      <c r="M1635" t="n">
        <v>0</v>
      </c>
      <c r="N1635" t="n">
        <v>0</v>
      </c>
      <c r="O1635" t="n">
        <v>0</v>
      </c>
      <c r="P1635" t="n">
        <v>0</v>
      </c>
      <c r="Q1635" t="n">
        <v>0</v>
      </c>
      <c r="R1635" s="2" t="inlineStr"/>
    </row>
    <row r="1636" ht="15" customHeight="1">
      <c r="A1636" t="inlineStr">
        <is>
          <t>A 42300-2022</t>
        </is>
      </c>
      <c r="B1636" s="1" t="n">
        <v>44831</v>
      </c>
      <c r="C1636" s="1" t="n">
        <v>45802</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42302-2022</t>
        </is>
      </c>
      <c r="B1637" s="1" t="n">
        <v>44830</v>
      </c>
      <c r="C1637" s="1" t="n">
        <v>45802</v>
      </c>
      <c r="D1637" t="inlineStr">
        <is>
          <t>VÄSTERNORRLANDS LÄN</t>
        </is>
      </c>
      <c r="E1637" t="inlineStr">
        <is>
          <t>SOLLEFTEÅ</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42482-2022</t>
        </is>
      </c>
      <c r="B1638" s="1" t="n">
        <v>44831</v>
      </c>
      <c r="C1638" s="1" t="n">
        <v>45802</v>
      </c>
      <c r="D1638" t="inlineStr">
        <is>
          <t>VÄSTERNORRLANDS LÄN</t>
        </is>
      </c>
      <c r="E1638" t="inlineStr">
        <is>
          <t>SOLLEFTEÅ</t>
        </is>
      </c>
      <c r="F1638" t="inlineStr">
        <is>
          <t>Holmen skog AB</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42430-2022</t>
        </is>
      </c>
      <c r="B1639" s="1" t="n">
        <v>44831</v>
      </c>
      <c r="C1639" s="1" t="n">
        <v>45802</v>
      </c>
      <c r="D1639" t="inlineStr">
        <is>
          <t>VÄSTERNORRLANDS LÄN</t>
        </is>
      </c>
      <c r="E1639" t="inlineStr">
        <is>
          <t>SOLLEFTEÅ</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42634-2022</t>
        </is>
      </c>
      <c r="B1640" s="1" t="n">
        <v>44832</v>
      </c>
      <c r="C1640" s="1" t="n">
        <v>45802</v>
      </c>
      <c r="D1640" t="inlineStr">
        <is>
          <t>VÄSTERNORRLANDS LÄN</t>
        </is>
      </c>
      <c r="E1640" t="inlineStr">
        <is>
          <t>SOLLEFTEÅ</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42663-2022</t>
        </is>
      </c>
      <c r="B1641" s="1" t="n">
        <v>44831</v>
      </c>
      <c r="C1641" s="1" t="n">
        <v>45802</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42664-2022</t>
        </is>
      </c>
      <c r="B1642" s="1" t="n">
        <v>44831</v>
      </c>
      <c r="C1642" s="1" t="n">
        <v>45802</v>
      </c>
      <c r="D1642" t="inlineStr">
        <is>
          <t>VÄSTERNORRLANDS LÄN</t>
        </is>
      </c>
      <c r="E1642" t="inlineStr">
        <is>
          <t>SOLLEFTEÅ</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42654-2022</t>
        </is>
      </c>
      <c r="B1643" s="1" t="n">
        <v>44832</v>
      </c>
      <c r="C1643" s="1" t="n">
        <v>45802</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42771-2022</t>
        </is>
      </c>
      <c r="B1644" s="1" t="n">
        <v>44832</v>
      </c>
      <c r="C1644" s="1" t="n">
        <v>45802</v>
      </c>
      <c r="D1644" t="inlineStr">
        <is>
          <t>VÄSTERNORRLANDS LÄN</t>
        </is>
      </c>
      <c r="E1644" t="inlineStr">
        <is>
          <t>SOLLEFTEÅ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42755-2022</t>
        </is>
      </c>
      <c r="B1645" s="1" t="n">
        <v>44832</v>
      </c>
      <c r="C1645" s="1" t="n">
        <v>45802</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42885-2022</t>
        </is>
      </c>
      <c r="B1646" s="1" t="n">
        <v>44833</v>
      </c>
      <c r="C1646" s="1" t="n">
        <v>45802</v>
      </c>
      <c r="D1646" t="inlineStr">
        <is>
          <t>VÄSTERNORRLANDS LÄN</t>
        </is>
      </c>
      <c r="E1646" t="inlineStr">
        <is>
          <t>SOLLEFTEÅ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42891-2022</t>
        </is>
      </c>
      <c r="B1647" s="1" t="n">
        <v>44833</v>
      </c>
      <c r="C1647" s="1" t="n">
        <v>45802</v>
      </c>
      <c r="D1647" t="inlineStr">
        <is>
          <t>VÄSTERNORRLANDS LÄN</t>
        </is>
      </c>
      <c r="E1647" t="inlineStr">
        <is>
          <t>SOLLEFTEÅ</t>
        </is>
      </c>
      <c r="F1647" t="inlineStr">
        <is>
          <t>SCA</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43035-2022</t>
        </is>
      </c>
      <c r="B1648" s="1" t="n">
        <v>44833</v>
      </c>
      <c r="C1648" s="1" t="n">
        <v>45802</v>
      </c>
      <c r="D1648" t="inlineStr">
        <is>
          <t>VÄSTERNORRLANDS LÄN</t>
        </is>
      </c>
      <c r="E1648" t="inlineStr">
        <is>
          <t>SOLLEFTEÅ</t>
        </is>
      </c>
      <c r="F1648" t="inlineStr">
        <is>
          <t>Kommuner</t>
        </is>
      </c>
      <c r="G1648" t="n">
        <v>19.8</v>
      </c>
      <c r="H1648" t="n">
        <v>0</v>
      </c>
      <c r="I1648" t="n">
        <v>0</v>
      </c>
      <c r="J1648" t="n">
        <v>0</v>
      </c>
      <c r="K1648" t="n">
        <v>0</v>
      </c>
      <c r="L1648" t="n">
        <v>0</v>
      </c>
      <c r="M1648" t="n">
        <v>0</v>
      </c>
      <c r="N1648" t="n">
        <v>0</v>
      </c>
      <c r="O1648" t="n">
        <v>0</v>
      </c>
      <c r="P1648" t="n">
        <v>0</v>
      </c>
      <c r="Q1648" t="n">
        <v>0</v>
      </c>
      <c r="R1648" s="2" t="inlineStr"/>
    </row>
    <row r="1649" ht="15" customHeight="1">
      <c r="A1649" t="inlineStr">
        <is>
          <t>A 43130-2022</t>
        </is>
      </c>
      <c r="B1649" s="1" t="n">
        <v>44833</v>
      </c>
      <c r="C1649" s="1" t="n">
        <v>45802</v>
      </c>
      <c r="D1649" t="inlineStr">
        <is>
          <t>VÄSTERNORRLANDS LÄN</t>
        </is>
      </c>
      <c r="E1649" t="inlineStr">
        <is>
          <t>SOLLEFTEÅ</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43137-2022</t>
        </is>
      </c>
      <c r="B1650" s="1" t="n">
        <v>44834</v>
      </c>
      <c r="C1650" s="1" t="n">
        <v>45802</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43124-2022</t>
        </is>
      </c>
      <c r="B1651" s="1" t="n">
        <v>44834</v>
      </c>
      <c r="C1651" s="1" t="n">
        <v>45802</v>
      </c>
      <c r="D1651" t="inlineStr">
        <is>
          <t>VÄSTERNORRLANDS LÄN</t>
        </is>
      </c>
      <c r="E1651" t="inlineStr">
        <is>
          <t>SOLLEFTEÅ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43122-2022</t>
        </is>
      </c>
      <c r="B1652" s="1" t="n">
        <v>44834</v>
      </c>
      <c r="C1652" s="1" t="n">
        <v>45802</v>
      </c>
      <c r="D1652" t="inlineStr">
        <is>
          <t>VÄSTERNORRLANDS LÄN</t>
        </is>
      </c>
      <c r="E1652" t="inlineStr">
        <is>
          <t>SOLLEFTEÅ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43148-2022</t>
        </is>
      </c>
      <c r="B1653" s="1" t="n">
        <v>44834</v>
      </c>
      <c r="C1653" s="1" t="n">
        <v>45802</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43149-2022</t>
        </is>
      </c>
      <c r="B1654" s="1" t="n">
        <v>44834</v>
      </c>
      <c r="C1654" s="1" t="n">
        <v>45802</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43442-2022</t>
        </is>
      </c>
      <c r="B1655" s="1" t="n">
        <v>44834</v>
      </c>
      <c r="C1655" s="1" t="n">
        <v>45802</v>
      </c>
      <c r="D1655" t="inlineStr">
        <is>
          <t>VÄSTERNORRLANDS LÄN</t>
        </is>
      </c>
      <c r="E1655" t="inlineStr">
        <is>
          <t>SOLLEFTEÅ</t>
        </is>
      </c>
      <c r="F1655" t="inlineStr">
        <is>
          <t>Kyrkan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43469-2022</t>
        </is>
      </c>
      <c r="B1656" s="1" t="n">
        <v>44836</v>
      </c>
      <c r="C1656" s="1" t="n">
        <v>45802</v>
      </c>
      <c r="D1656" t="inlineStr">
        <is>
          <t>VÄSTERNORRLANDS LÄN</t>
        </is>
      </c>
      <c r="E1656" t="inlineStr">
        <is>
          <t>SOLLEFTEÅ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43774-2022</t>
        </is>
      </c>
      <c r="B1657" s="1" t="n">
        <v>44837</v>
      </c>
      <c r="C1657" s="1" t="n">
        <v>45802</v>
      </c>
      <c r="D1657" t="inlineStr">
        <is>
          <t>VÄSTERNORRLANDS LÄN</t>
        </is>
      </c>
      <c r="E1657" t="inlineStr">
        <is>
          <t>SOLLEFTEÅ</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43772-2022</t>
        </is>
      </c>
      <c r="B1658" s="1" t="n">
        <v>44837</v>
      </c>
      <c r="C1658" s="1" t="n">
        <v>45802</v>
      </c>
      <c r="D1658" t="inlineStr">
        <is>
          <t>VÄSTERNORRLANDS LÄN</t>
        </is>
      </c>
      <c r="E1658" t="inlineStr">
        <is>
          <t>SOLLEFTEÅ</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43762-2022</t>
        </is>
      </c>
      <c r="B1659" s="1" t="n">
        <v>44838</v>
      </c>
      <c r="C1659" s="1" t="n">
        <v>45802</v>
      </c>
      <c r="D1659" t="inlineStr">
        <is>
          <t>VÄSTERNORRLANDS LÄN</t>
        </is>
      </c>
      <c r="E1659" t="inlineStr">
        <is>
          <t>SOLLEFTEÅ</t>
        </is>
      </c>
      <c r="F1659" t="inlineStr">
        <is>
          <t>Kyrkan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43766-2022</t>
        </is>
      </c>
      <c r="B1660" s="1" t="n">
        <v>44838</v>
      </c>
      <c r="C1660" s="1" t="n">
        <v>45802</v>
      </c>
      <c r="D1660" t="inlineStr">
        <is>
          <t>VÄSTERNORRLANDS LÄN</t>
        </is>
      </c>
      <c r="E1660" t="inlineStr">
        <is>
          <t>SOLLEFTEÅ</t>
        </is>
      </c>
      <c r="F1660" t="inlineStr">
        <is>
          <t>Kyrkan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43782-2022</t>
        </is>
      </c>
      <c r="B1661" s="1" t="n">
        <v>44838</v>
      </c>
      <c r="C1661" s="1" t="n">
        <v>45802</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43786-2022</t>
        </is>
      </c>
      <c r="B1662" s="1" t="n">
        <v>44837</v>
      </c>
      <c r="C1662" s="1" t="n">
        <v>45802</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44042-2022</t>
        </is>
      </c>
      <c r="B1663" s="1" t="n">
        <v>44839</v>
      </c>
      <c r="C1663" s="1" t="n">
        <v>45802</v>
      </c>
      <c r="D1663" t="inlineStr">
        <is>
          <t>VÄSTERNORRLANDS LÄN</t>
        </is>
      </c>
      <c r="E1663" t="inlineStr">
        <is>
          <t>SOLLEFTEÅ</t>
        </is>
      </c>
      <c r="F1663" t="inlineStr">
        <is>
          <t>SCA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44285-2022</t>
        </is>
      </c>
      <c r="B1664" s="1" t="n">
        <v>44839</v>
      </c>
      <c r="C1664" s="1" t="n">
        <v>45802</v>
      </c>
      <c r="D1664" t="inlineStr">
        <is>
          <t>VÄSTERNORRLANDS LÄN</t>
        </is>
      </c>
      <c r="E1664" t="inlineStr">
        <is>
          <t>SOLLEFTEÅ</t>
        </is>
      </c>
      <c r="F1664" t="inlineStr">
        <is>
          <t>Holmen skog AB</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44438-2022</t>
        </is>
      </c>
      <c r="B1665" s="1" t="n">
        <v>44840</v>
      </c>
      <c r="C1665" s="1" t="n">
        <v>45802</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44454-2022</t>
        </is>
      </c>
      <c r="B1666" s="1" t="n">
        <v>44840</v>
      </c>
      <c r="C1666" s="1" t="n">
        <v>45802</v>
      </c>
      <c r="D1666" t="inlineStr">
        <is>
          <t>VÄSTERNORRLANDS LÄN</t>
        </is>
      </c>
      <c r="E1666" t="inlineStr">
        <is>
          <t>SOLLEFTEÅ</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44208-2022</t>
        </is>
      </c>
      <c r="B1667" s="1" t="n">
        <v>44839</v>
      </c>
      <c r="C1667" s="1" t="n">
        <v>45802</v>
      </c>
      <c r="D1667" t="inlineStr">
        <is>
          <t>VÄSTERNORRLANDS LÄN</t>
        </is>
      </c>
      <c r="E1667" t="inlineStr">
        <is>
          <t>SOLLEFTEÅ</t>
        </is>
      </c>
      <c r="F1667" t="inlineStr">
        <is>
          <t>Holmen skog AB</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44755-2022</t>
        </is>
      </c>
      <c r="B1668" s="1" t="n">
        <v>44841</v>
      </c>
      <c r="C1668" s="1" t="n">
        <v>45802</v>
      </c>
      <c r="D1668" t="inlineStr">
        <is>
          <t>VÄSTERNORRLANDS LÄN</t>
        </is>
      </c>
      <c r="E1668" t="inlineStr">
        <is>
          <t>SOLLEFTEÅ</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44762-2022</t>
        </is>
      </c>
      <c r="B1669" s="1" t="n">
        <v>44840</v>
      </c>
      <c r="C1669" s="1" t="n">
        <v>45802</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44761-2022</t>
        </is>
      </c>
      <c r="B1670" s="1" t="n">
        <v>44840</v>
      </c>
      <c r="C1670" s="1" t="n">
        <v>45802</v>
      </c>
      <c r="D1670" t="inlineStr">
        <is>
          <t>VÄSTERNORRLANDS LÄN</t>
        </is>
      </c>
      <c r="E1670" t="inlineStr">
        <is>
          <t>SOLLEFTEÅ</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44805-2022</t>
        </is>
      </c>
      <c r="B1671" s="1" t="n">
        <v>44841</v>
      </c>
      <c r="C1671" s="1" t="n">
        <v>45802</v>
      </c>
      <c r="D1671" t="inlineStr">
        <is>
          <t>VÄSTERNORRLANDS LÄN</t>
        </is>
      </c>
      <c r="E1671" t="inlineStr">
        <is>
          <t>SOLLEFTEÅ</t>
        </is>
      </c>
      <c r="F1671" t="inlineStr">
        <is>
          <t>Holmen skog AB</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45119-2022</t>
        </is>
      </c>
      <c r="B1672" s="1" t="n">
        <v>44843</v>
      </c>
      <c r="C1672" s="1" t="n">
        <v>45802</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45117-2022</t>
        </is>
      </c>
      <c r="B1673" s="1" t="n">
        <v>44844</v>
      </c>
      <c r="C1673" s="1" t="n">
        <v>45802</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45121-2022</t>
        </is>
      </c>
      <c r="B1674" s="1" t="n">
        <v>44844</v>
      </c>
      <c r="C1674" s="1" t="n">
        <v>45802</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45120-2022</t>
        </is>
      </c>
      <c r="B1675" s="1" t="n">
        <v>44843</v>
      </c>
      <c r="C1675" s="1" t="n">
        <v>45802</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45118-2022</t>
        </is>
      </c>
      <c r="B1676" s="1" t="n">
        <v>44843</v>
      </c>
      <c r="C1676" s="1" t="n">
        <v>45802</v>
      </c>
      <c r="D1676" t="inlineStr">
        <is>
          <t>VÄSTERNORRLANDS LÄN</t>
        </is>
      </c>
      <c r="E1676" t="inlineStr">
        <is>
          <t>SOLLEFTEÅ</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45419-2022</t>
        </is>
      </c>
      <c r="B1677" s="1" t="n">
        <v>44844</v>
      </c>
      <c r="C1677" s="1" t="n">
        <v>45802</v>
      </c>
      <c r="D1677" t="inlineStr">
        <is>
          <t>VÄSTERNORRLANDS LÄN</t>
        </is>
      </c>
      <c r="E1677" t="inlineStr">
        <is>
          <t>SOLLEFTEÅ</t>
        </is>
      </c>
      <c r="G1677" t="n">
        <v>12.7</v>
      </c>
      <c r="H1677" t="n">
        <v>0</v>
      </c>
      <c r="I1677" t="n">
        <v>0</v>
      </c>
      <c r="J1677" t="n">
        <v>0</v>
      </c>
      <c r="K1677" t="n">
        <v>0</v>
      </c>
      <c r="L1677" t="n">
        <v>0</v>
      </c>
      <c r="M1677" t="n">
        <v>0</v>
      </c>
      <c r="N1677" t="n">
        <v>0</v>
      </c>
      <c r="O1677" t="n">
        <v>0</v>
      </c>
      <c r="P1677" t="n">
        <v>0</v>
      </c>
      <c r="Q1677" t="n">
        <v>0</v>
      </c>
      <c r="R1677" s="2" t="inlineStr"/>
    </row>
    <row r="1678" ht="15" customHeight="1">
      <c r="A1678" t="inlineStr">
        <is>
          <t>A 45423-2022</t>
        </is>
      </c>
      <c r="B1678" s="1" t="n">
        <v>44845</v>
      </c>
      <c r="C1678" s="1" t="n">
        <v>45802</v>
      </c>
      <c r="D1678" t="inlineStr">
        <is>
          <t>VÄSTERNORRLANDS LÄN</t>
        </is>
      </c>
      <c r="E1678" t="inlineStr">
        <is>
          <t>SOLLEFTEÅ</t>
        </is>
      </c>
      <c r="F1678" t="inlineStr">
        <is>
          <t>SCA</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46130-2022</t>
        </is>
      </c>
      <c r="B1679" s="1" t="n">
        <v>44844</v>
      </c>
      <c r="C1679" s="1" t="n">
        <v>45802</v>
      </c>
      <c r="D1679" t="inlineStr">
        <is>
          <t>VÄSTERNORRLANDS LÄN</t>
        </is>
      </c>
      <c r="E1679" t="inlineStr">
        <is>
          <t>SOLLEFTEÅ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45719-2022</t>
        </is>
      </c>
      <c r="B1680" s="1" t="n">
        <v>44846</v>
      </c>
      <c r="C1680" s="1" t="n">
        <v>45802</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46039-2022</t>
        </is>
      </c>
      <c r="B1681" s="1" t="n">
        <v>44847</v>
      </c>
      <c r="C1681" s="1" t="n">
        <v>45802</v>
      </c>
      <c r="D1681" t="inlineStr">
        <is>
          <t>VÄSTERNORRLANDS LÄN</t>
        </is>
      </c>
      <c r="E1681" t="inlineStr">
        <is>
          <t>SOLLEFTEÅ</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46032-2022</t>
        </is>
      </c>
      <c r="B1682" s="1" t="n">
        <v>44846</v>
      </c>
      <c r="C1682" s="1" t="n">
        <v>45802</v>
      </c>
      <c r="D1682" t="inlineStr">
        <is>
          <t>VÄSTERNORRLANDS LÄN</t>
        </is>
      </c>
      <c r="E1682" t="inlineStr">
        <is>
          <t>SOLLEFTEÅ</t>
        </is>
      </c>
      <c r="F1682" t="inlineStr">
        <is>
          <t>SCA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46036-2022</t>
        </is>
      </c>
      <c r="B1683" s="1" t="n">
        <v>44846</v>
      </c>
      <c r="C1683" s="1" t="n">
        <v>45802</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46052-2022</t>
        </is>
      </c>
      <c r="B1684" s="1" t="n">
        <v>44846</v>
      </c>
      <c r="C1684" s="1" t="n">
        <v>45802</v>
      </c>
      <c r="D1684" t="inlineStr">
        <is>
          <t>VÄSTERNORRLANDS LÄN</t>
        </is>
      </c>
      <c r="E1684" t="inlineStr">
        <is>
          <t>SOLLEFTEÅ</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46053-2022</t>
        </is>
      </c>
      <c r="B1685" s="1" t="n">
        <v>44846</v>
      </c>
      <c r="C1685" s="1" t="n">
        <v>45802</v>
      </c>
      <c r="D1685" t="inlineStr">
        <is>
          <t>VÄSTERNORRLANDS LÄN</t>
        </is>
      </c>
      <c r="E1685" t="inlineStr">
        <is>
          <t>SOLLEFTEÅ</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46324-2022</t>
        </is>
      </c>
      <c r="B1686" s="1" t="n">
        <v>44847</v>
      </c>
      <c r="C1686" s="1" t="n">
        <v>45802</v>
      </c>
      <c r="D1686" t="inlineStr">
        <is>
          <t>VÄSTERNORRLANDS LÄN</t>
        </is>
      </c>
      <c r="E1686" t="inlineStr">
        <is>
          <t>SOLLEFTEÅ</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46626-2022</t>
        </is>
      </c>
      <c r="B1687" s="1" t="n">
        <v>44848</v>
      </c>
      <c r="C1687" s="1" t="n">
        <v>45802</v>
      </c>
      <c r="D1687" t="inlineStr">
        <is>
          <t>VÄSTERNORRLANDS LÄN</t>
        </is>
      </c>
      <c r="E1687" t="inlineStr">
        <is>
          <t>SOLLEFTEÅ</t>
        </is>
      </c>
      <c r="F1687" t="inlineStr">
        <is>
          <t>SCA</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46616-2022</t>
        </is>
      </c>
      <c r="B1688" s="1" t="n">
        <v>44848</v>
      </c>
      <c r="C1688" s="1" t="n">
        <v>45802</v>
      </c>
      <c r="D1688" t="inlineStr">
        <is>
          <t>VÄSTERNORRLANDS LÄN</t>
        </is>
      </c>
      <c r="E1688" t="inlineStr">
        <is>
          <t>SOLLEFTEÅ</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46664-2022</t>
        </is>
      </c>
      <c r="B1689" s="1" t="n">
        <v>44851</v>
      </c>
      <c r="C1689" s="1" t="n">
        <v>45802</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46871-2022</t>
        </is>
      </c>
      <c r="B1690" s="1" t="n">
        <v>44851</v>
      </c>
      <c r="C1690" s="1" t="n">
        <v>45802</v>
      </c>
      <c r="D1690" t="inlineStr">
        <is>
          <t>VÄSTERNORRLANDS LÄN</t>
        </is>
      </c>
      <c r="E1690" t="inlineStr">
        <is>
          <t>SOLLEFTEÅ</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46880-2022</t>
        </is>
      </c>
      <c r="B1691" s="1" t="n">
        <v>44851</v>
      </c>
      <c r="C1691" s="1" t="n">
        <v>45802</v>
      </c>
      <c r="D1691" t="inlineStr">
        <is>
          <t>VÄSTERNORRLANDS LÄN</t>
        </is>
      </c>
      <c r="E1691" t="inlineStr">
        <is>
          <t>SOLLEFTEÅ</t>
        </is>
      </c>
      <c r="F1691" t="inlineStr">
        <is>
          <t>Kyrkan</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46986-2022</t>
        </is>
      </c>
      <c r="B1692" s="1" t="n">
        <v>44851</v>
      </c>
      <c r="C1692" s="1" t="n">
        <v>45802</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46985-2022</t>
        </is>
      </c>
      <c r="B1693" s="1" t="n">
        <v>44851</v>
      </c>
      <c r="C1693" s="1" t="n">
        <v>45802</v>
      </c>
      <c r="D1693" t="inlineStr">
        <is>
          <t>VÄSTERNORRLANDS LÄN</t>
        </is>
      </c>
      <c r="E1693" t="inlineStr">
        <is>
          <t>SOLLEFTEÅ</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47250-2022</t>
        </is>
      </c>
      <c r="B1694" s="1" t="n">
        <v>44852</v>
      </c>
      <c r="C1694" s="1" t="n">
        <v>45802</v>
      </c>
      <c r="D1694" t="inlineStr">
        <is>
          <t>VÄSTERNORRLANDS LÄN</t>
        </is>
      </c>
      <c r="E1694" t="inlineStr">
        <is>
          <t>SOLLEFTEÅ</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47268-2022</t>
        </is>
      </c>
      <c r="B1695" s="1" t="n">
        <v>44853</v>
      </c>
      <c r="C1695" s="1" t="n">
        <v>45802</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47269-2022</t>
        </is>
      </c>
      <c r="B1696" s="1" t="n">
        <v>44853</v>
      </c>
      <c r="C1696" s="1" t="n">
        <v>45802</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47272-2022</t>
        </is>
      </c>
      <c r="B1697" s="1" t="n">
        <v>44853</v>
      </c>
      <c r="C1697" s="1" t="n">
        <v>45802</v>
      </c>
      <c r="D1697" t="inlineStr">
        <is>
          <t>VÄSTERNORRLANDS LÄN</t>
        </is>
      </c>
      <c r="E1697" t="inlineStr">
        <is>
          <t>SOLLEFTEÅ</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47564-2022</t>
        </is>
      </c>
      <c r="B1698" s="1" t="n">
        <v>44854</v>
      </c>
      <c r="C1698" s="1" t="n">
        <v>45802</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47580-2022</t>
        </is>
      </c>
      <c r="B1699" s="1" t="n">
        <v>44854</v>
      </c>
      <c r="C1699" s="1" t="n">
        <v>45802</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47787-2022</t>
        </is>
      </c>
      <c r="B1700" s="1" t="n">
        <v>44855</v>
      </c>
      <c r="C1700" s="1" t="n">
        <v>45802</v>
      </c>
      <c r="D1700" t="inlineStr">
        <is>
          <t>VÄSTERNORRLANDS LÄN</t>
        </is>
      </c>
      <c r="E1700" t="inlineStr">
        <is>
          <t>SOLLEFTEÅ</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47814-2022</t>
        </is>
      </c>
      <c r="B1701" s="1" t="n">
        <v>44855</v>
      </c>
      <c r="C1701" s="1" t="n">
        <v>45802</v>
      </c>
      <c r="D1701" t="inlineStr">
        <is>
          <t>VÄSTERNORRLANDS LÄN</t>
        </is>
      </c>
      <c r="E1701" t="inlineStr">
        <is>
          <t>SOLLEFTEÅ</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47812-2022</t>
        </is>
      </c>
      <c r="B1702" s="1" t="n">
        <v>44855</v>
      </c>
      <c r="C1702" s="1" t="n">
        <v>45802</v>
      </c>
      <c r="D1702" t="inlineStr">
        <is>
          <t>VÄSTERNORRLANDS LÄN</t>
        </is>
      </c>
      <c r="E1702" t="inlineStr">
        <is>
          <t>SOLLEFTEÅ</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47875-2022</t>
        </is>
      </c>
      <c r="B1703" s="1" t="n">
        <v>44855</v>
      </c>
      <c r="C1703" s="1" t="n">
        <v>45802</v>
      </c>
      <c r="D1703" t="inlineStr">
        <is>
          <t>VÄSTERNORRLANDS LÄN</t>
        </is>
      </c>
      <c r="E1703" t="inlineStr">
        <is>
          <t>SOLLEFTEÅ</t>
        </is>
      </c>
      <c r="F1703" t="inlineStr">
        <is>
          <t>Holmen skog AB</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48056-2022</t>
        </is>
      </c>
      <c r="B1704" s="1" t="n">
        <v>44856</v>
      </c>
      <c r="C1704" s="1" t="n">
        <v>45802</v>
      </c>
      <c r="D1704" t="inlineStr">
        <is>
          <t>VÄSTERNORRLANDS LÄN</t>
        </is>
      </c>
      <c r="E1704" t="inlineStr">
        <is>
          <t>SOLLEFTEÅ</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48064-2022</t>
        </is>
      </c>
      <c r="B1705" s="1" t="n">
        <v>44856</v>
      </c>
      <c r="C1705" s="1" t="n">
        <v>45802</v>
      </c>
      <c r="D1705" t="inlineStr">
        <is>
          <t>VÄSTERNORRLANDS LÄN</t>
        </is>
      </c>
      <c r="E1705" t="inlineStr">
        <is>
          <t>SOLLEFTEÅ</t>
        </is>
      </c>
      <c r="F1705" t="inlineStr">
        <is>
          <t>SCA</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48067-2022</t>
        </is>
      </c>
      <c r="B1706" s="1" t="n">
        <v>44855</v>
      </c>
      <c r="C1706" s="1" t="n">
        <v>45802</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48062-2022</t>
        </is>
      </c>
      <c r="B1707" s="1" t="n">
        <v>44856</v>
      </c>
      <c r="C1707" s="1" t="n">
        <v>45802</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47826-2022</t>
        </is>
      </c>
      <c r="B1708" s="1" t="n">
        <v>44855</v>
      </c>
      <c r="C1708" s="1" t="n">
        <v>45802</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48057-2022</t>
        </is>
      </c>
      <c r="B1709" s="1" t="n">
        <v>44856</v>
      </c>
      <c r="C1709" s="1" t="n">
        <v>45802</v>
      </c>
      <c r="D1709" t="inlineStr">
        <is>
          <t>VÄSTERNORRLANDS LÄN</t>
        </is>
      </c>
      <c r="E1709" t="inlineStr">
        <is>
          <t>SOLLEFTEÅ</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48065-2022</t>
        </is>
      </c>
      <c r="B1710" s="1" t="n">
        <v>44856</v>
      </c>
      <c r="C1710" s="1" t="n">
        <v>45802</v>
      </c>
      <c r="D1710" t="inlineStr">
        <is>
          <t>VÄSTERNORRLANDS LÄN</t>
        </is>
      </c>
      <c r="E1710" t="inlineStr">
        <is>
          <t>SOLLEFTEÅ</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48738-2022</t>
        </is>
      </c>
      <c r="B1711" s="1" t="n">
        <v>44855</v>
      </c>
      <c r="C1711" s="1" t="n">
        <v>45802</v>
      </c>
      <c r="D1711" t="inlineStr">
        <is>
          <t>VÄSTERNORRLANDS LÄN</t>
        </is>
      </c>
      <c r="E1711" t="inlineStr">
        <is>
          <t>SOLLEFTEÅ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48240-2022</t>
        </is>
      </c>
      <c r="B1712" s="1" t="n">
        <v>44858</v>
      </c>
      <c r="C1712" s="1" t="n">
        <v>45802</v>
      </c>
      <c r="D1712" t="inlineStr">
        <is>
          <t>VÄSTERNORRLANDS LÄN</t>
        </is>
      </c>
      <c r="E1712" t="inlineStr">
        <is>
          <t>SOLLEFTEÅ</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48511-2022</t>
        </is>
      </c>
      <c r="B1713" s="1" t="n">
        <v>44859</v>
      </c>
      <c r="C1713" s="1" t="n">
        <v>45802</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48512-2022</t>
        </is>
      </c>
      <c r="B1714" s="1" t="n">
        <v>44859</v>
      </c>
      <c r="C1714" s="1" t="n">
        <v>45802</v>
      </c>
      <c r="D1714" t="inlineStr">
        <is>
          <t>VÄSTERNORRLANDS LÄN</t>
        </is>
      </c>
      <c r="E1714" t="inlineStr">
        <is>
          <t>SOLLEFTEÅ</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48519-2022</t>
        </is>
      </c>
      <c r="B1715" s="1" t="n">
        <v>44858</v>
      </c>
      <c r="C1715" s="1" t="n">
        <v>45802</v>
      </c>
      <c r="D1715" t="inlineStr">
        <is>
          <t>VÄSTERNORRLANDS LÄN</t>
        </is>
      </c>
      <c r="E1715" t="inlineStr">
        <is>
          <t>SOLLEFTEÅ</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48296-2022</t>
        </is>
      </c>
      <c r="B1716" s="1" t="n">
        <v>44858</v>
      </c>
      <c r="C1716" s="1" t="n">
        <v>45802</v>
      </c>
      <c r="D1716" t="inlineStr">
        <is>
          <t>VÄSTERNORRLANDS LÄN</t>
        </is>
      </c>
      <c r="E1716" t="inlineStr">
        <is>
          <t>SOLLEFTEÅ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48510-2022</t>
        </is>
      </c>
      <c r="B1717" s="1" t="n">
        <v>44858</v>
      </c>
      <c r="C1717" s="1" t="n">
        <v>45802</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48535-2022</t>
        </is>
      </c>
      <c r="B1718" s="1" t="n">
        <v>44859</v>
      </c>
      <c r="C1718" s="1" t="n">
        <v>45802</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48513-2022</t>
        </is>
      </c>
      <c r="B1719" s="1" t="n">
        <v>44859</v>
      </c>
      <c r="C1719" s="1" t="n">
        <v>45802</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48905-2022</t>
        </is>
      </c>
      <c r="B1720" s="1" t="n">
        <v>44859</v>
      </c>
      <c r="C1720" s="1" t="n">
        <v>45802</v>
      </c>
      <c r="D1720" t="inlineStr">
        <is>
          <t>VÄSTERNORRLANDS LÄN</t>
        </is>
      </c>
      <c r="E1720" t="inlineStr">
        <is>
          <t>SOLLEFTEÅ</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48915-2022</t>
        </is>
      </c>
      <c r="B1721" s="1" t="n">
        <v>44860</v>
      </c>
      <c r="C1721" s="1" t="n">
        <v>45802</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48919-2022</t>
        </is>
      </c>
      <c r="B1722" s="1" t="n">
        <v>44859</v>
      </c>
      <c r="C1722" s="1" t="n">
        <v>45802</v>
      </c>
      <c r="D1722" t="inlineStr">
        <is>
          <t>VÄSTERNORRLANDS LÄN</t>
        </is>
      </c>
      <c r="E1722" t="inlineStr">
        <is>
          <t>SOLLEFTEÅ</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48901-2022</t>
        </is>
      </c>
      <c r="B1723" s="1" t="n">
        <v>44860</v>
      </c>
      <c r="C1723" s="1" t="n">
        <v>45802</v>
      </c>
      <c r="D1723" t="inlineStr">
        <is>
          <t>VÄSTERNORRLANDS LÄN</t>
        </is>
      </c>
      <c r="E1723" t="inlineStr">
        <is>
          <t>SOLLEFTEÅ</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48913-2022</t>
        </is>
      </c>
      <c r="B1724" s="1" t="n">
        <v>44860</v>
      </c>
      <c r="C1724" s="1" t="n">
        <v>45802</v>
      </c>
      <c r="D1724" t="inlineStr">
        <is>
          <t>VÄSTERNORRLANDS LÄN</t>
        </is>
      </c>
      <c r="E1724" t="inlineStr">
        <is>
          <t>SOLLEFTEÅ</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48923-2022</t>
        </is>
      </c>
      <c r="B1725" s="1" t="n">
        <v>44860</v>
      </c>
      <c r="C1725" s="1" t="n">
        <v>45802</v>
      </c>
      <c r="D1725" t="inlineStr">
        <is>
          <t>VÄSTERNORRLANDS LÄN</t>
        </is>
      </c>
      <c r="E1725" t="inlineStr">
        <is>
          <t>SOLLEFTEÅ</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48902-2022</t>
        </is>
      </c>
      <c r="B1726" s="1" t="n">
        <v>44859</v>
      </c>
      <c r="C1726" s="1" t="n">
        <v>45802</v>
      </c>
      <c r="D1726" t="inlineStr">
        <is>
          <t>VÄSTERNORRLANDS LÄN</t>
        </is>
      </c>
      <c r="E1726" t="inlineStr">
        <is>
          <t>SOLLEFTEÅ</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48914-2022</t>
        </is>
      </c>
      <c r="B1727" s="1" t="n">
        <v>44860</v>
      </c>
      <c r="C1727" s="1" t="n">
        <v>45802</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49694-2022</t>
        </is>
      </c>
      <c r="B1728" s="1" t="n">
        <v>44859</v>
      </c>
      <c r="C1728" s="1" t="n">
        <v>45802</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49708-2022</t>
        </is>
      </c>
      <c r="B1729" s="1" t="n">
        <v>44859</v>
      </c>
      <c r="C1729" s="1" t="n">
        <v>45802</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49176-2022</t>
        </is>
      </c>
      <c r="B1730" s="1" t="n">
        <v>44861</v>
      </c>
      <c r="C1730" s="1" t="n">
        <v>45802</v>
      </c>
      <c r="D1730" t="inlineStr">
        <is>
          <t>VÄSTERNORRLANDS LÄN</t>
        </is>
      </c>
      <c r="E1730" t="inlineStr">
        <is>
          <t>SOLLEFTEÅ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49181-2022</t>
        </is>
      </c>
      <c r="B1731" s="1" t="n">
        <v>44861</v>
      </c>
      <c r="C1731" s="1" t="n">
        <v>45802</v>
      </c>
      <c r="D1731" t="inlineStr">
        <is>
          <t>VÄSTERNORRLANDS LÄN</t>
        </is>
      </c>
      <c r="E1731" t="inlineStr">
        <is>
          <t>SOLLEFTEÅ</t>
        </is>
      </c>
      <c r="F1731" t="inlineStr">
        <is>
          <t>SCA</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49170-2022</t>
        </is>
      </c>
      <c r="B1732" s="1" t="n">
        <v>44861</v>
      </c>
      <c r="C1732" s="1" t="n">
        <v>45802</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49198-2022</t>
        </is>
      </c>
      <c r="B1733" s="1" t="n">
        <v>44860</v>
      </c>
      <c r="C1733" s="1" t="n">
        <v>45802</v>
      </c>
      <c r="D1733" t="inlineStr">
        <is>
          <t>VÄSTERNORRLANDS LÄN</t>
        </is>
      </c>
      <c r="E1733" t="inlineStr">
        <is>
          <t>SOLLEFTEÅ</t>
        </is>
      </c>
      <c r="F1733" t="inlineStr">
        <is>
          <t>SCA</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49177-2022</t>
        </is>
      </c>
      <c r="B1734" s="1" t="n">
        <v>44861</v>
      </c>
      <c r="C1734" s="1" t="n">
        <v>45802</v>
      </c>
      <c r="D1734" t="inlineStr">
        <is>
          <t>VÄSTERNORRLANDS LÄN</t>
        </is>
      </c>
      <c r="E1734" t="inlineStr">
        <is>
          <t>SOLLEFTEÅ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49171-2022</t>
        </is>
      </c>
      <c r="B1735" s="1" t="n">
        <v>44861</v>
      </c>
      <c r="C1735" s="1" t="n">
        <v>45802</v>
      </c>
      <c r="D1735" t="inlineStr">
        <is>
          <t>VÄSTERNORRLANDS LÄN</t>
        </is>
      </c>
      <c r="E1735" t="inlineStr">
        <is>
          <t>SOLLEFTEÅ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49175-2022</t>
        </is>
      </c>
      <c r="B1736" s="1" t="n">
        <v>44861</v>
      </c>
      <c r="C1736" s="1" t="n">
        <v>45802</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49200-2022</t>
        </is>
      </c>
      <c r="B1737" s="1" t="n">
        <v>44861</v>
      </c>
      <c r="C1737" s="1" t="n">
        <v>45802</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49520-2022</t>
        </is>
      </c>
      <c r="B1738" s="1" t="n">
        <v>44862</v>
      </c>
      <c r="C1738" s="1" t="n">
        <v>45802</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49513-2022</t>
        </is>
      </c>
      <c r="B1739" s="1" t="n">
        <v>44862</v>
      </c>
      <c r="C1739" s="1" t="n">
        <v>45802</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49512-2022</t>
        </is>
      </c>
      <c r="B1740" s="1" t="n">
        <v>44861</v>
      </c>
      <c r="C1740" s="1" t="n">
        <v>45802</v>
      </c>
      <c r="D1740" t="inlineStr">
        <is>
          <t>VÄSTERNORRLANDS LÄN</t>
        </is>
      </c>
      <c r="E1740" t="inlineStr">
        <is>
          <t>SOLLEFTEÅ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49521-2022</t>
        </is>
      </c>
      <c r="B1741" s="1" t="n">
        <v>44861</v>
      </c>
      <c r="C1741" s="1" t="n">
        <v>45802</v>
      </c>
      <c r="D1741" t="inlineStr">
        <is>
          <t>VÄSTERNORRLANDS LÄN</t>
        </is>
      </c>
      <c r="E1741" t="inlineStr">
        <is>
          <t>SOLLEFTEÅ</t>
        </is>
      </c>
      <c r="F1741" t="inlineStr">
        <is>
          <t>SCA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49538-2022</t>
        </is>
      </c>
      <c r="B1742" s="1" t="n">
        <v>44861</v>
      </c>
      <c r="C1742" s="1" t="n">
        <v>45802</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49665-2022</t>
        </is>
      </c>
      <c r="B1743" s="1" t="n">
        <v>44862</v>
      </c>
      <c r="C1743" s="1" t="n">
        <v>45802</v>
      </c>
      <c r="D1743" t="inlineStr">
        <is>
          <t>VÄSTERNORRLANDS LÄN</t>
        </is>
      </c>
      <c r="E1743" t="inlineStr">
        <is>
          <t>SOLLEFTEÅ</t>
        </is>
      </c>
      <c r="F1743" t="inlineStr">
        <is>
          <t>Holmen skog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49860-2022</t>
        </is>
      </c>
      <c r="B1744" s="1" t="n">
        <v>44862</v>
      </c>
      <c r="C1744" s="1" t="n">
        <v>45802</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49866-2022</t>
        </is>
      </c>
      <c r="B1745" s="1" t="n">
        <v>44863</v>
      </c>
      <c r="C1745" s="1" t="n">
        <v>45802</v>
      </c>
      <c r="D1745" t="inlineStr">
        <is>
          <t>VÄSTERNORRLANDS LÄN</t>
        </is>
      </c>
      <c r="E1745" t="inlineStr">
        <is>
          <t>SOLLEFTEÅ</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50813-2022</t>
        </is>
      </c>
      <c r="B1746" s="1" t="n">
        <v>44862</v>
      </c>
      <c r="C1746" s="1" t="n">
        <v>45802</v>
      </c>
      <c r="D1746" t="inlineStr">
        <is>
          <t>VÄSTERNORRLANDS LÄN</t>
        </is>
      </c>
      <c r="E1746" t="inlineStr">
        <is>
          <t>SOLLEFTEÅ</t>
        </is>
      </c>
      <c r="F1746" t="inlineStr">
        <is>
          <t>Övriga statliga verk och myndigheter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50825-2022</t>
        </is>
      </c>
      <c r="B1747" s="1" t="n">
        <v>44862</v>
      </c>
      <c r="C1747" s="1" t="n">
        <v>45802</v>
      </c>
      <c r="D1747" t="inlineStr">
        <is>
          <t>VÄSTERNORRLANDS LÄN</t>
        </is>
      </c>
      <c r="E1747" t="inlineStr">
        <is>
          <t>SOLLEFTEÅ</t>
        </is>
      </c>
      <c r="F1747" t="inlineStr">
        <is>
          <t>Övriga statliga verk och myndigheter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49911-2022</t>
        </is>
      </c>
      <c r="B1748" s="1" t="n">
        <v>44865</v>
      </c>
      <c r="C1748" s="1" t="n">
        <v>45802</v>
      </c>
      <c r="D1748" t="inlineStr">
        <is>
          <t>VÄSTERNORRLANDS LÄN</t>
        </is>
      </c>
      <c r="E1748" t="inlineStr">
        <is>
          <t>SOLLEFTEÅ</t>
        </is>
      </c>
      <c r="F1748" t="inlineStr">
        <is>
          <t>Holmen skog AB</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50318-2022</t>
        </is>
      </c>
      <c r="B1749" s="1" t="n">
        <v>44865</v>
      </c>
      <c r="C1749" s="1" t="n">
        <v>45802</v>
      </c>
      <c r="D1749" t="inlineStr">
        <is>
          <t>VÄSTERNORRLANDS LÄN</t>
        </is>
      </c>
      <c r="E1749" t="inlineStr">
        <is>
          <t>SOLLEFTEÅ</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51080-2022</t>
        </is>
      </c>
      <c r="B1750" s="1" t="n">
        <v>44865</v>
      </c>
      <c r="C1750" s="1" t="n">
        <v>45802</v>
      </c>
      <c r="D1750" t="inlineStr">
        <is>
          <t>VÄSTERNORRLANDS LÄN</t>
        </is>
      </c>
      <c r="E1750" t="inlineStr">
        <is>
          <t>SOLLEFTEÅ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50641-2022</t>
        </is>
      </c>
      <c r="B1751" s="1" t="n">
        <v>44866</v>
      </c>
      <c r="C1751" s="1" t="n">
        <v>45802</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50642-2022</t>
        </is>
      </c>
      <c r="B1752" s="1" t="n">
        <v>44866</v>
      </c>
      <c r="C1752" s="1" t="n">
        <v>45802</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50655-2022</t>
        </is>
      </c>
      <c r="B1753" s="1" t="n">
        <v>44866</v>
      </c>
      <c r="C1753" s="1" t="n">
        <v>45802</v>
      </c>
      <c r="D1753" t="inlineStr">
        <is>
          <t>VÄSTERNORRLANDS LÄN</t>
        </is>
      </c>
      <c r="E1753" t="inlineStr">
        <is>
          <t>SOLLEFTEÅ</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50656-2022</t>
        </is>
      </c>
      <c r="B1754" s="1" t="n">
        <v>44866</v>
      </c>
      <c r="C1754" s="1" t="n">
        <v>45802</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50662-2022</t>
        </is>
      </c>
      <c r="B1755" s="1" t="n">
        <v>44866</v>
      </c>
      <c r="C1755" s="1" t="n">
        <v>45802</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51249-2022</t>
        </is>
      </c>
      <c r="B1756" s="1" t="n">
        <v>44866</v>
      </c>
      <c r="C1756" s="1" t="n">
        <v>45802</v>
      </c>
      <c r="D1756" t="inlineStr">
        <is>
          <t>VÄSTERNORRLANDS LÄN</t>
        </is>
      </c>
      <c r="E1756" t="inlineStr">
        <is>
          <t>SOLLEFTEÅ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51006-2022</t>
        </is>
      </c>
      <c r="B1757" s="1" t="n">
        <v>44867</v>
      </c>
      <c r="C1757" s="1" t="n">
        <v>45802</v>
      </c>
      <c r="D1757" t="inlineStr">
        <is>
          <t>VÄSTERNORRLANDS LÄN</t>
        </is>
      </c>
      <c r="E1757" t="inlineStr">
        <is>
          <t>SOLLEFTEÅ</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51317-2022</t>
        </is>
      </c>
      <c r="B1758" s="1" t="n">
        <v>44868</v>
      </c>
      <c r="C1758" s="1" t="n">
        <v>45802</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51314-2022</t>
        </is>
      </c>
      <c r="B1759" s="1" t="n">
        <v>44868</v>
      </c>
      <c r="C1759" s="1" t="n">
        <v>45802</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51544-2022</t>
        </is>
      </c>
      <c r="B1760" s="1" t="n">
        <v>44869</v>
      </c>
      <c r="C1760" s="1" t="n">
        <v>45802</v>
      </c>
      <c r="D1760" t="inlineStr">
        <is>
          <t>VÄSTERNORRLANDS LÄN</t>
        </is>
      </c>
      <c r="E1760" t="inlineStr">
        <is>
          <t>SOLLEFTEÅ</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51541-2022</t>
        </is>
      </c>
      <c r="B1761" s="1" t="n">
        <v>44869</v>
      </c>
      <c r="C1761" s="1" t="n">
        <v>45802</v>
      </c>
      <c r="D1761" t="inlineStr">
        <is>
          <t>VÄSTERNORRLANDS LÄN</t>
        </is>
      </c>
      <c r="E1761" t="inlineStr">
        <is>
          <t>SOLLEFTEÅ</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51543-2022</t>
        </is>
      </c>
      <c r="B1762" s="1" t="n">
        <v>44869</v>
      </c>
      <c r="C1762" s="1" t="n">
        <v>45802</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51739-2022</t>
        </is>
      </c>
      <c r="B1763" s="1" t="n">
        <v>44872</v>
      </c>
      <c r="C1763" s="1" t="n">
        <v>45802</v>
      </c>
      <c r="D1763" t="inlineStr">
        <is>
          <t>VÄSTERNORRLANDS LÄN</t>
        </is>
      </c>
      <c r="E1763" t="inlineStr">
        <is>
          <t>SOLLEFTEÅ</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52013-2022</t>
        </is>
      </c>
      <c r="B1764" s="1" t="n">
        <v>44872</v>
      </c>
      <c r="C1764" s="1" t="n">
        <v>45802</v>
      </c>
      <c r="D1764" t="inlineStr">
        <is>
          <t>VÄSTERNORRLANDS LÄN</t>
        </is>
      </c>
      <c r="E1764" t="inlineStr">
        <is>
          <t>SOLLEFTEÅ</t>
        </is>
      </c>
      <c r="F1764" t="inlineStr">
        <is>
          <t>SCA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52034-2022</t>
        </is>
      </c>
      <c r="B1765" s="1" t="n">
        <v>44872</v>
      </c>
      <c r="C1765" s="1" t="n">
        <v>45802</v>
      </c>
      <c r="D1765" t="inlineStr">
        <is>
          <t>VÄSTERNORRLANDS LÄN</t>
        </is>
      </c>
      <c r="E1765" t="inlineStr">
        <is>
          <t>SOLLEFTEÅ</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52040-2022</t>
        </is>
      </c>
      <c r="B1766" s="1" t="n">
        <v>44872</v>
      </c>
      <c r="C1766" s="1" t="n">
        <v>45802</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52035-2022</t>
        </is>
      </c>
      <c r="B1767" s="1" t="n">
        <v>44872</v>
      </c>
      <c r="C1767" s="1" t="n">
        <v>45802</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52039-2022</t>
        </is>
      </c>
      <c r="B1768" s="1" t="n">
        <v>44872</v>
      </c>
      <c r="C1768" s="1" t="n">
        <v>45802</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53128-2022</t>
        </is>
      </c>
      <c r="B1769" s="1" t="n">
        <v>44873</v>
      </c>
      <c r="C1769" s="1" t="n">
        <v>45802</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53123-2022</t>
        </is>
      </c>
      <c r="B1770" s="1" t="n">
        <v>44873</v>
      </c>
      <c r="C1770" s="1" t="n">
        <v>45802</v>
      </c>
      <c r="D1770" t="inlineStr">
        <is>
          <t>VÄSTERNORRLANDS LÄN</t>
        </is>
      </c>
      <c r="E1770" t="inlineStr">
        <is>
          <t>SOLLEFTEÅ</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52549-2022</t>
        </is>
      </c>
      <c r="B1771" s="1" t="n">
        <v>44874</v>
      </c>
      <c r="C1771" s="1" t="n">
        <v>45802</v>
      </c>
      <c r="D1771" t="inlineStr">
        <is>
          <t>VÄSTERNORRLANDS LÄN</t>
        </is>
      </c>
      <c r="E1771" t="inlineStr">
        <is>
          <t>SOLLEFTEÅ</t>
        </is>
      </c>
      <c r="F1771" t="inlineStr">
        <is>
          <t>Holmen skog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52735-2022</t>
        </is>
      </c>
      <c r="B1772" s="1" t="n">
        <v>44874</v>
      </c>
      <c r="C1772" s="1" t="n">
        <v>45802</v>
      </c>
      <c r="D1772" t="inlineStr">
        <is>
          <t>VÄSTERNORRLANDS LÄN</t>
        </is>
      </c>
      <c r="E1772" t="inlineStr">
        <is>
          <t>SOLLEFTEÅ</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52595-2022</t>
        </is>
      </c>
      <c r="B1773" s="1" t="n">
        <v>44874</v>
      </c>
      <c r="C1773" s="1" t="n">
        <v>45802</v>
      </c>
      <c r="D1773" t="inlineStr">
        <is>
          <t>VÄSTERNORRLANDS LÄN</t>
        </is>
      </c>
      <c r="E1773" t="inlineStr">
        <is>
          <t>SOLLEFTEÅ</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52717-2022</t>
        </is>
      </c>
      <c r="B1774" s="1" t="n">
        <v>44874</v>
      </c>
      <c r="C1774" s="1" t="n">
        <v>45802</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52718-2022</t>
        </is>
      </c>
      <c r="B1775" s="1" t="n">
        <v>44874</v>
      </c>
      <c r="C1775" s="1" t="n">
        <v>45802</v>
      </c>
      <c r="D1775" t="inlineStr">
        <is>
          <t>VÄSTERNORRLANDS LÄN</t>
        </is>
      </c>
      <c r="E1775" t="inlineStr">
        <is>
          <t>SOLLEFTEÅ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53012-2022</t>
        </is>
      </c>
      <c r="B1776" s="1" t="n">
        <v>44875</v>
      </c>
      <c r="C1776" s="1" t="n">
        <v>45802</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52777-2022</t>
        </is>
      </c>
      <c r="B1777" s="1" t="n">
        <v>44875</v>
      </c>
      <c r="C1777" s="1" t="n">
        <v>45802</v>
      </c>
      <c r="D1777" t="inlineStr">
        <is>
          <t>VÄSTERNORRLANDS LÄN</t>
        </is>
      </c>
      <c r="E1777" t="inlineStr">
        <is>
          <t>SOLLEFTEÅ</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53000-2022</t>
        </is>
      </c>
      <c r="B1778" s="1" t="n">
        <v>44875</v>
      </c>
      <c r="C1778" s="1" t="n">
        <v>45802</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53011-2022</t>
        </is>
      </c>
      <c r="B1779" s="1" t="n">
        <v>44875</v>
      </c>
      <c r="C1779" s="1" t="n">
        <v>45802</v>
      </c>
      <c r="D1779" t="inlineStr">
        <is>
          <t>VÄSTERNORRLANDS LÄN</t>
        </is>
      </c>
      <c r="E1779" t="inlineStr">
        <is>
          <t>SOLLEFTEÅ</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53669-2022</t>
        </is>
      </c>
      <c r="B1780" s="1" t="n">
        <v>44879</v>
      </c>
      <c r="C1780" s="1" t="n">
        <v>45802</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53933-2022</t>
        </is>
      </c>
      <c r="B1781" s="1" t="n">
        <v>44880</v>
      </c>
      <c r="C1781" s="1" t="n">
        <v>45802</v>
      </c>
      <c r="D1781" t="inlineStr">
        <is>
          <t>VÄSTERNORRLANDS LÄN</t>
        </is>
      </c>
      <c r="E1781" t="inlineStr">
        <is>
          <t>SOLLEFTEÅ</t>
        </is>
      </c>
      <c r="F1781" t="inlineStr">
        <is>
          <t>SCA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53929-2022</t>
        </is>
      </c>
      <c r="B1782" s="1" t="n">
        <v>44880</v>
      </c>
      <c r="C1782" s="1" t="n">
        <v>45802</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53944-2022</t>
        </is>
      </c>
      <c r="B1783" s="1" t="n">
        <v>44880</v>
      </c>
      <c r="C1783" s="1" t="n">
        <v>45802</v>
      </c>
      <c r="D1783" t="inlineStr">
        <is>
          <t>VÄSTERNORRLANDS LÄN</t>
        </is>
      </c>
      <c r="E1783" t="inlineStr">
        <is>
          <t>SOLLEFTEÅ</t>
        </is>
      </c>
      <c r="F1783" t="inlineStr">
        <is>
          <t>SCA</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53947-2022</t>
        </is>
      </c>
      <c r="B1784" s="1" t="n">
        <v>44880</v>
      </c>
      <c r="C1784" s="1" t="n">
        <v>45802</v>
      </c>
      <c r="D1784" t="inlineStr">
        <is>
          <t>VÄSTERNORRLANDS LÄN</t>
        </is>
      </c>
      <c r="E1784" t="inlineStr">
        <is>
          <t>SOLLEFTEÅ</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53985-2022</t>
        </is>
      </c>
      <c r="B1785" s="1" t="n">
        <v>44881</v>
      </c>
      <c r="C1785" s="1" t="n">
        <v>45802</v>
      </c>
      <c r="D1785" t="inlineStr">
        <is>
          <t>VÄSTERNORRLANDS LÄN</t>
        </is>
      </c>
      <c r="E1785" t="inlineStr">
        <is>
          <t>SOLLEFTEÅ</t>
        </is>
      </c>
      <c r="F1785" t="inlineStr">
        <is>
          <t>Holmen skog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54256-2022</t>
        </is>
      </c>
      <c r="B1786" s="1" t="n">
        <v>44881</v>
      </c>
      <c r="C1786" s="1" t="n">
        <v>45802</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54242-2022</t>
        </is>
      </c>
      <c r="B1787" s="1" t="n">
        <v>44881</v>
      </c>
      <c r="C1787" s="1" t="n">
        <v>45802</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54249-2022</t>
        </is>
      </c>
      <c r="B1788" s="1" t="n">
        <v>44881</v>
      </c>
      <c r="C1788" s="1" t="n">
        <v>45802</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54255-2022</t>
        </is>
      </c>
      <c r="B1789" s="1" t="n">
        <v>44881</v>
      </c>
      <c r="C1789" s="1" t="n">
        <v>45802</v>
      </c>
      <c r="D1789" t="inlineStr">
        <is>
          <t>VÄSTERNORRLANDS LÄN</t>
        </is>
      </c>
      <c r="E1789" t="inlineStr">
        <is>
          <t>SOLLEFTEÅ</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54280-2022</t>
        </is>
      </c>
      <c r="B1790" s="1" t="n">
        <v>44882</v>
      </c>
      <c r="C1790" s="1" t="n">
        <v>45802</v>
      </c>
      <c r="D1790" t="inlineStr">
        <is>
          <t>VÄSTERNORRLANDS LÄN</t>
        </is>
      </c>
      <c r="E1790" t="inlineStr">
        <is>
          <t>SOLLEFTEÅ</t>
        </is>
      </c>
      <c r="F1790" t="inlineStr">
        <is>
          <t>Holmen skog AB</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54538-2022</t>
        </is>
      </c>
      <c r="B1791" s="1" t="n">
        <v>44882</v>
      </c>
      <c r="C1791" s="1" t="n">
        <v>45802</v>
      </c>
      <c r="D1791" t="inlineStr">
        <is>
          <t>VÄSTERNORRLANDS LÄN</t>
        </is>
      </c>
      <c r="E1791" t="inlineStr">
        <is>
          <t>SOLLEFTEÅ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54559-2022</t>
        </is>
      </c>
      <c r="B1792" s="1" t="n">
        <v>44882</v>
      </c>
      <c r="C1792" s="1" t="n">
        <v>45802</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54573-2022</t>
        </is>
      </c>
      <c r="B1793" s="1" t="n">
        <v>44882</v>
      </c>
      <c r="C1793" s="1" t="n">
        <v>45802</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54569-2022</t>
        </is>
      </c>
      <c r="B1794" s="1" t="n">
        <v>44882</v>
      </c>
      <c r="C1794" s="1" t="n">
        <v>45802</v>
      </c>
      <c r="D1794" t="inlineStr">
        <is>
          <t>VÄSTERNORRLANDS LÄN</t>
        </is>
      </c>
      <c r="E1794" t="inlineStr">
        <is>
          <t>SOLLEFTEÅ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55209-2022</t>
        </is>
      </c>
      <c r="B1795" s="1" t="n">
        <v>44887</v>
      </c>
      <c r="C1795" s="1" t="n">
        <v>45802</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55692-2022</t>
        </is>
      </c>
      <c r="B1796" s="1" t="n">
        <v>44888</v>
      </c>
      <c r="C1796" s="1" t="n">
        <v>45802</v>
      </c>
      <c r="D1796" t="inlineStr">
        <is>
          <t>VÄSTERNORRLANDS LÄN</t>
        </is>
      </c>
      <c r="E1796" t="inlineStr">
        <is>
          <t>SOLLEFTEÅ</t>
        </is>
      </c>
      <c r="F1796" t="inlineStr">
        <is>
          <t>Holmen skog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55898-2022</t>
        </is>
      </c>
      <c r="B1797" s="1" t="n">
        <v>44888</v>
      </c>
      <c r="C1797" s="1" t="n">
        <v>45802</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56176-2022</t>
        </is>
      </c>
      <c r="B1798" s="1" t="n">
        <v>44889</v>
      </c>
      <c r="C1798" s="1" t="n">
        <v>45802</v>
      </c>
      <c r="D1798" t="inlineStr">
        <is>
          <t>VÄSTERNORRLANDS LÄN</t>
        </is>
      </c>
      <c r="E1798" t="inlineStr">
        <is>
          <t>SOLLEFTEÅ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56175-2022</t>
        </is>
      </c>
      <c r="B1799" s="1" t="n">
        <v>44889</v>
      </c>
      <c r="C1799" s="1" t="n">
        <v>45802</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56184-2022</t>
        </is>
      </c>
      <c r="B1800" s="1" t="n">
        <v>44889</v>
      </c>
      <c r="C1800" s="1" t="n">
        <v>45802</v>
      </c>
      <c r="D1800" t="inlineStr">
        <is>
          <t>VÄSTERNORRLANDS LÄN</t>
        </is>
      </c>
      <c r="E1800" t="inlineStr">
        <is>
          <t>SOLLEFTEÅ</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56544-2022</t>
        </is>
      </c>
      <c r="B1801" s="1" t="n">
        <v>44893</v>
      </c>
      <c r="C1801" s="1" t="n">
        <v>45802</v>
      </c>
      <c r="D1801" t="inlineStr">
        <is>
          <t>VÄSTERNORRLANDS LÄN</t>
        </is>
      </c>
      <c r="E1801" t="inlineStr">
        <is>
          <t>SOLLEFTEÅ</t>
        </is>
      </c>
      <c r="F1801" t="inlineStr">
        <is>
          <t>Holmen skog AB</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57019-2022</t>
        </is>
      </c>
      <c r="B1802" s="1" t="n">
        <v>44895</v>
      </c>
      <c r="C1802" s="1" t="n">
        <v>45802</v>
      </c>
      <c r="D1802" t="inlineStr">
        <is>
          <t>VÄSTERNORRLANDS LÄN</t>
        </is>
      </c>
      <c r="E1802" t="inlineStr">
        <is>
          <t>SOLLEFTEÅ</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57020-2022</t>
        </is>
      </c>
      <c r="B1803" s="1" t="n">
        <v>44895</v>
      </c>
      <c r="C1803" s="1" t="n">
        <v>45802</v>
      </c>
      <c r="D1803" t="inlineStr">
        <is>
          <t>VÄSTERNORRLANDS LÄN</t>
        </is>
      </c>
      <c r="E1803" t="inlineStr">
        <is>
          <t>SOLLEFTEÅ</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57282-2022</t>
        </is>
      </c>
      <c r="B1804" s="1" t="n">
        <v>44895</v>
      </c>
      <c r="C1804" s="1" t="n">
        <v>45802</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57273-2022</t>
        </is>
      </c>
      <c r="B1805" s="1" t="n">
        <v>44895</v>
      </c>
      <c r="C1805" s="1" t="n">
        <v>45802</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58643-2022</t>
        </is>
      </c>
      <c r="B1806" s="1" t="n">
        <v>44895</v>
      </c>
      <c r="C1806" s="1" t="n">
        <v>45802</v>
      </c>
      <c r="D1806" t="inlineStr">
        <is>
          <t>VÄSTERNORRLANDS LÄN</t>
        </is>
      </c>
      <c r="E1806" t="inlineStr">
        <is>
          <t>SOLLEFTEÅ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58636-2022</t>
        </is>
      </c>
      <c r="B1807" s="1" t="n">
        <v>44895</v>
      </c>
      <c r="C1807" s="1" t="n">
        <v>45802</v>
      </c>
      <c r="D1807" t="inlineStr">
        <is>
          <t>VÄSTERNORRLANDS LÄN</t>
        </is>
      </c>
      <c r="E1807" t="inlineStr">
        <is>
          <t>SOLLEFTEÅ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58646-2022</t>
        </is>
      </c>
      <c r="B1808" s="1" t="n">
        <v>44895</v>
      </c>
      <c r="C1808" s="1" t="n">
        <v>45802</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57991-2022</t>
        </is>
      </c>
      <c r="B1809" s="1" t="n">
        <v>44900</v>
      </c>
      <c r="C1809" s="1" t="n">
        <v>45802</v>
      </c>
      <c r="D1809" t="inlineStr">
        <is>
          <t>VÄSTERNORRLANDS LÄN</t>
        </is>
      </c>
      <c r="E1809" t="inlineStr">
        <is>
          <t>SOLLEFTEÅ</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58173-2022</t>
        </is>
      </c>
      <c r="B1810" s="1" t="n">
        <v>44900</v>
      </c>
      <c r="C1810" s="1" t="n">
        <v>45802</v>
      </c>
      <c r="D1810" t="inlineStr">
        <is>
          <t>VÄSTERNORRLANDS LÄN</t>
        </is>
      </c>
      <c r="E1810" t="inlineStr">
        <is>
          <t>SOLLEFTEÅ</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58172-2022</t>
        </is>
      </c>
      <c r="B1811" s="1" t="n">
        <v>44900</v>
      </c>
      <c r="C1811" s="1" t="n">
        <v>45802</v>
      </c>
      <c r="D1811" t="inlineStr">
        <is>
          <t>VÄSTERNORRLANDS LÄN</t>
        </is>
      </c>
      <c r="E1811" t="inlineStr">
        <is>
          <t>SOLLEFTEÅ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58171-2022</t>
        </is>
      </c>
      <c r="B1812" s="1" t="n">
        <v>44900</v>
      </c>
      <c r="C1812" s="1" t="n">
        <v>45802</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58401-2022</t>
        </is>
      </c>
      <c r="B1813" s="1" t="n">
        <v>44901</v>
      </c>
      <c r="C1813" s="1" t="n">
        <v>45802</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58765-2022</t>
        </is>
      </c>
      <c r="B1814" s="1" t="n">
        <v>44903</v>
      </c>
      <c r="C1814" s="1" t="n">
        <v>45802</v>
      </c>
      <c r="D1814" t="inlineStr">
        <is>
          <t>VÄSTERNORRLANDS LÄN</t>
        </is>
      </c>
      <c r="E1814" t="inlineStr">
        <is>
          <t>SOLLEFTEÅ</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59036-2022</t>
        </is>
      </c>
      <c r="B1815" s="1" t="n">
        <v>44903</v>
      </c>
      <c r="C1815" s="1" t="n">
        <v>45802</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59038-2022</t>
        </is>
      </c>
      <c r="B1816" s="1" t="n">
        <v>44903</v>
      </c>
      <c r="C1816" s="1" t="n">
        <v>45802</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59037-2022</t>
        </is>
      </c>
      <c r="B1817" s="1" t="n">
        <v>44903</v>
      </c>
      <c r="C1817" s="1" t="n">
        <v>45802</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59371-2022</t>
        </is>
      </c>
      <c r="B1818" s="1" t="n">
        <v>44904</v>
      </c>
      <c r="C1818" s="1" t="n">
        <v>45802</v>
      </c>
      <c r="D1818" t="inlineStr">
        <is>
          <t>VÄSTERNORRLANDS LÄN</t>
        </is>
      </c>
      <c r="E1818" t="inlineStr">
        <is>
          <t>SOLLEFTEÅ</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60482-2022</t>
        </is>
      </c>
      <c r="B1819" s="1" t="n">
        <v>44904</v>
      </c>
      <c r="C1819" s="1" t="n">
        <v>45802</v>
      </c>
      <c r="D1819" t="inlineStr">
        <is>
          <t>VÄSTERNORRLANDS LÄN</t>
        </is>
      </c>
      <c r="E1819" t="inlineStr">
        <is>
          <t>SOLLEFTEÅ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60856-2022</t>
        </is>
      </c>
      <c r="B1820" s="1" t="n">
        <v>44907</v>
      </c>
      <c r="C1820" s="1" t="n">
        <v>45802</v>
      </c>
      <c r="D1820" t="inlineStr">
        <is>
          <t>VÄSTERNORRLANDS LÄN</t>
        </is>
      </c>
      <c r="E1820" t="inlineStr">
        <is>
          <t>SOLLEFTEÅ</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59647-2022</t>
        </is>
      </c>
      <c r="B1821" s="1" t="n">
        <v>44908</v>
      </c>
      <c r="C1821" s="1" t="n">
        <v>45802</v>
      </c>
      <c r="D1821" t="inlineStr">
        <is>
          <t>VÄSTERNORRLANDS LÄN</t>
        </is>
      </c>
      <c r="E1821" t="inlineStr">
        <is>
          <t>SOLLEFTEÅ</t>
        </is>
      </c>
      <c r="F1821" t="inlineStr">
        <is>
          <t>SCA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59908-2022</t>
        </is>
      </c>
      <c r="B1822" s="1" t="n">
        <v>44908</v>
      </c>
      <c r="C1822" s="1" t="n">
        <v>45802</v>
      </c>
      <c r="D1822" t="inlineStr">
        <is>
          <t>VÄSTERNORRLANDS LÄN</t>
        </is>
      </c>
      <c r="E1822" t="inlineStr">
        <is>
          <t>SOLLEFTEÅ</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59854-2022</t>
        </is>
      </c>
      <c r="B1823" s="1" t="n">
        <v>44908</v>
      </c>
      <c r="C1823" s="1" t="n">
        <v>45802</v>
      </c>
      <c r="D1823" t="inlineStr">
        <is>
          <t>VÄSTERNORRLANDS LÄN</t>
        </is>
      </c>
      <c r="E1823" t="inlineStr">
        <is>
          <t>SOLLEFTEÅ</t>
        </is>
      </c>
      <c r="F1823" t="inlineStr">
        <is>
          <t>Holmen skog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60170-2022</t>
        </is>
      </c>
      <c r="B1824" s="1" t="n">
        <v>44909</v>
      </c>
      <c r="C1824" s="1" t="n">
        <v>45802</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60169-2022</t>
        </is>
      </c>
      <c r="B1825" s="1" t="n">
        <v>44909</v>
      </c>
      <c r="C1825" s="1" t="n">
        <v>45802</v>
      </c>
      <c r="D1825" t="inlineStr">
        <is>
          <t>VÄSTERNORRLANDS LÄN</t>
        </is>
      </c>
      <c r="E1825" t="inlineStr">
        <is>
          <t>SOLLEFTEÅ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60171-2022</t>
        </is>
      </c>
      <c r="B1826" s="1" t="n">
        <v>44909</v>
      </c>
      <c r="C1826" s="1" t="n">
        <v>45802</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60168-2022</t>
        </is>
      </c>
      <c r="B1827" s="1" t="n">
        <v>44909</v>
      </c>
      <c r="C1827" s="1" t="n">
        <v>45802</v>
      </c>
      <c r="D1827" t="inlineStr">
        <is>
          <t>VÄSTERNORRLANDS LÄN</t>
        </is>
      </c>
      <c r="E1827" t="inlineStr">
        <is>
          <t>SOLLEFTEÅ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60338-2022</t>
        </is>
      </c>
      <c r="B1828" s="1" t="n">
        <v>44910</v>
      </c>
      <c r="C1828" s="1" t="n">
        <v>45802</v>
      </c>
      <c r="D1828" t="inlineStr">
        <is>
          <t>VÄSTERNORRLANDS LÄN</t>
        </is>
      </c>
      <c r="E1828" t="inlineStr">
        <is>
          <t>SOLLEFTEÅ</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60420-2022</t>
        </is>
      </c>
      <c r="B1829" s="1" t="n">
        <v>44910</v>
      </c>
      <c r="C1829" s="1" t="n">
        <v>45802</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61473-2022</t>
        </is>
      </c>
      <c r="B1830" s="1" t="n">
        <v>44910</v>
      </c>
      <c r="C1830" s="1" t="n">
        <v>45802</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61459-2022</t>
        </is>
      </c>
      <c r="B1831" s="1" t="n">
        <v>44910</v>
      </c>
      <c r="C1831" s="1" t="n">
        <v>45802</v>
      </c>
      <c r="D1831" t="inlineStr">
        <is>
          <t>VÄSTERNORRLANDS LÄN</t>
        </is>
      </c>
      <c r="E1831" t="inlineStr">
        <is>
          <t>SOLLEFTEÅ</t>
        </is>
      </c>
      <c r="G1831" t="n">
        <v>20.6</v>
      </c>
      <c r="H1831" t="n">
        <v>0</v>
      </c>
      <c r="I1831" t="n">
        <v>0</v>
      </c>
      <c r="J1831" t="n">
        <v>0</v>
      </c>
      <c r="K1831" t="n">
        <v>0</v>
      </c>
      <c r="L1831" t="n">
        <v>0</v>
      </c>
      <c r="M1831" t="n">
        <v>0</v>
      </c>
      <c r="N1831" t="n">
        <v>0</v>
      </c>
      <c r="O1831" t="n">
        <v>0</v>
      </c>
      <c r="P1831" t="n">
        <v>0</v>
      </c>
      <c r="Q1831" t="n">
        <v>0</v>
      </c>
      <c r="R1831" s="2" t="inlineStr"/>
    </row>
    <row r="1832" ht="15" customHeight="1">
      <c r="A1832" t="inlineStr">
        <is>
          <t>A 60665-2022</t>
        </is>
      </c>
      <c r="B1832" s="1" t="n">
        <v>44911</v>
      </c>
      <c r="C1832" s="1" t="n">
        <v>45802</v>
      </c>
      <c r="D1832" t="inlineStr">
        <is>
          <t>VÄSTERNORRLANDS LÄN</t>
        </is>
      </c>
      <c r="E1832" t="inlineStr">
        <is>
          <t>SOLLEFTEÅ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60664-2022</t>
        </is>
      </c>
      <c r="B1833" s="1" t="n">
        <v>44911</v>
      </c>
      <c r="C1833" s="1" t="n">
        <v>45802</v>
      </c>
      <c r="D1833" t="inlineStr">
        <is>
          <t>VÄSTERNORRLANDS LÄN</t>
        </is>
      </c>
      <c r="E1833" t="inlineStr">
        <is>
          <t>SOLLEFTEÅ</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60666-2022</t>
        </is>
      </c>
      <c r="B1834" s="1" t="n">
        <v>44911</v>
      </c>
      <c r="C1834" s="1" t="n">
        <v>45802</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61384-2022</t>
        </is>
      </c>
      <c r="B1835" s="1" t="n">
        <v>44915</v>
      </c>
      <c r="C1835" s="1" t="n">
        <v>45802</v>
      </c>
      <c r="D1835" t="inlineStr">
        <is>
          <t>VÄSTERNORRLANDS LÄN</t>
        </is>
      </c>
      <c r="E1835" t="inlineStr">
        <is>
          <t>SOLLEFTEÅ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61345-2022</t>
        </is>
      </c>
      <c r="B1836" s="1" t="n">
        <v>44915</v>
      </c>
      <c r="C1836" s="1" t="n">
        <v>45802</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61341-2022</t>
        </is>
      </c>
      <c r="B1837" s="1" t="n">
        <v>44915</v>
      </c>
      <c r="C1837" s="1" t="n">
        <v>45802</v>
      </c>
      <c r="D1837" t="inlineStr">
        <is>
          <t>VÄSTERNORRLANDS LÄN</t>
        </is>
      </c>
      <c r="E1837" t="inlineStr">
        <is>
          <t>SOLLEFTEÅ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61376-2022</t>
        </is>
      </c>
      <c r="B1838" s="1" t="n">
        <v>44915</v>
      </c>
      <c r="C1838" s="1" t="n">
        <v>45802</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61391-2022</t>
        </is>
      </c>
      <c r="B1839" s="1" t="n">
        <v>44915</v>
      </c>
      <c r="C1839" s="1" t="n">
        <v>45802</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61383-2022</t>
        </is>
      </c>
      <c r="B1840" s="1" t="n">
        <v>44915</v>
      </c>
      <c r="C1840" s="1" t="n">
        <v>45802</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62217-2022</t>
        </is>
      </c>
      <c r="B1841" s="1" t="n">
        <v>44916</v>
      </c>
      <c r="C1841" s="1" t="n">
        <v>45802</v>
      </c>
      <c r="D1841" t="inlineStr">
        <is>
          <t>VÄSTERNORRLANDS LÄN</t>
        </is>
      </c>
      <c r="E1841" t="inlineStr">
        <is>
          <t>SOLLEFTEÅ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61920-2022</t>
        </is>
      </c>
      <c r="B1842" s="1" t="n">
        <v>44917</v>
      </c>
      <c r="C1842" s="1" t="n">
        <v>45802</v>
      </c>
      <c r="D1842" t="inlineStr">
        <is>
          <t>VÄSTERNORRLANDS LÄN</t>
        </is>
      </c>
      <c r="E1842" t="inlineStr">
        <is>
          <t>SOLLEFTEÅ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61936-2022</t>
        </is>
      </c>
      <c r="B1843" s="1" t="n">
        <v>44917</v>
      </c>
      <c r="C1843" s="1" t="n">
        <v>45802</v>
      </c>
      <c r="D1843" t="inlineStr">
        <is>
          <t>VÄSTERNORRLANDS LÄN</t>
        </is>
      </c>
      <c r="E1843" t="inlineStr">
        <is>
          <t>SOLLEFTEÅ</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62662-2022</t>
        </is>
      </c>
      <c r="B1844" s="1" t="n">
        <v>44917</v>
      </c>
      <c r="C1844" s="1" t="n">
        <v>45802</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28-2023</t>
        </is>
      </c>
      <c r="B1845" s="1" t="n">
        <v>44918</v>
      </c>
      <c r="C1845" s="1" t="n">
        <v>45802</v>
      </c>
      <c r="D1845" t="inlineStr">
        <is>
          <t>VÄSTERNORRLANDS LÄN</t>
        </is>
      </c>
      <c r="E1845" t="inlineStr">
        <is>
          <t>SOLLEFTEÅ</t>
        </is>
      </c>
      <c r="G1845" t="n">
        <v>23.8</v>
      </c>
      <c r="H1845" t="n">
        <v>0</v>
      </c>
      <c r="I1845" t="n">
        <v>0</v>
      </c>
      <c r="J1845" t="n">
        <v>0</v>
      </c>
      <c r="K1845" t="n">
        <v>0</v>
      </c>
      <c r="L1845" t="n">
        <v>0</v>
      </c>
      <c r="M1845" t="n">
        <v>0</v>
      </c>
      <c r="N1845" t="n">
        <v>0</v>
      </c>
      <c r="O1845" t="n">
        <v>0</v>
      </c>
      <c r="P1845" t="n">
        <v>0</v>
      </c>
      <c r="Q1845" t="n">
        <v>0</v>
      </c>
      <c r="R1845" s="2" t="inlineStr"/>
    </row>
    <row r="1846" ht="15" customHeight="1">
      <c r="A1846" t="inlineStr">
        <is>
          <t>A 62262-2022</t>
        </is>
      </c>
      <c r="B1846" s="1" t="n">
        <v>44922</v>
      </c>
      <c r="C1846" s="1" t="n">
        <v>45802</v>
      </c>
      <c r="D1846" t="inlineStr">
        <is>
          <t>VÄSTERNORRLANDS LÄN</t>
        </is>
      </c>
      <c r="E1846" t="inlineStr">
        <is>
          <t>SOLLEFTEÅ</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62260-2022</t>
        </is>
      </c>
      <c r="B1847" s="1" t="n">
        <v>44922</v>
      </c>
      <c r="C1847" s="1" t="n">
        <v>45802</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192-2023</t>
        </is>
      </c>
      <c r="B1848" s="1" t="n">
        <v>44922</v>
      </c>
      <c r="C1848" s="1" t="n">
        <v>45802</v>
      </c>
      <c r="D1848" t="inlineStr">
        <is>
          <t>VÄSTERNORRLANDS LÄN</t>
        </is>
      </c>
      <c r="E1848" t="inlineStr">
        <is>
          <t>SOLLEFTEÅ</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62406-2022</t>
        </is>
      </c>
      <c r="B1849" s="1" t="n">
        <v>44923</v>
      </c>
      <c r="C1849" s="1" t="n">
        <v>45802</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62507-2022</t>
        </is>
      </c>
      <c r="B1850" s="1" t="n">
        <v>44924</v>
      </c>
      <c r="C1850" s="1" t="n">
        <v>45802</v>
      </c>
      <c r="D1850" t="inlineStr">
        <is>
          <t>VÄSTERNORRLANDS LÄN</t>
        </is>
      </c>
      <c r="E1850" t="inlineStr">
        <is>
          <t>SOLLEFTEÅ</t>
        </is>
      </c>
      <c r="F1850" t="inlineStr">
        <is>
          <t>Holmen skog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62745-2022</t>
        </is>
      </c>
      <c r="B1851" s="1" t="n">
        <v>44925</v>
      </c>
      <c r="C1851" s="1" t="n">
        <v>45802</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62750-2022</t>
        </is>
      </c>
      <c r="B1852" s="1" t="n">
        <v>44925</v>
      </c>
      <c r="C1852" s="1" t="n">
        <v>45802</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62710-2022</t>
        </is>
      </c>
      <c r="B1853" s="1" t="n">
        <v>44925</v>
      </c>
      <c r="C1853" s="1" t="n">
        <v>45802</v>
      </c>
      <c r="D1853" t="inlineStr">
        <is>
          <t>VÄSTERNORRLANDS LÄN</t>
        </is>
      </c>
      <c r="E1853" t="inlineStr">
        <is>
          <t>SOLLEFTEÅ</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279-2023</t>
        </is>
      </c>
      <c r="B1854" s="1" t="n">
        <v>44928</v>
      </c>
      <c r="C1854" s="1" t="n">
        <v>45802</v>
      </c>
      <c r="D1854" t="inlineStr">
        <is>
          <t>VÄSTERNORRLANDS LÄN</t>
        </is>
      </c>
      <c r="E1854" t="inlineStr">
        <is>
          <t>SOLLEFTEÅ</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282-2023</t>
        </is>
      </c>
      <c r="B1855" s="1" t="n">
        <v>44928</v>
      </c>
      <c r="C1855" s="1" t="n">
        <v>45802</v>
      </c>
      <c r="D1855" t="inlineStr">
        <is>
          <t>VÄSTERNORRLANDS LÄN</t>
        </is>
      </c>
      <c r="E1855" t="inlineStr">
        <is>
          <t>SOLLEFTEÅ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714-2023</t>
        </is>
      </c>
      <c r="B1856" s="1" t="n">
        <v>44930</v>
      </c>
      <c r="C1856" s="1" t="n">
        <v>45802</v>
      </c>
      <c r="D1856" t="inlineStr">
        <is>
          <t>VÄSTERNORRLANDS LÄN</t>
        </is>
      </c>
      <c r="E1856" t="inlineStr">
        <is>
          <t>SOLLEFTEÅ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918-2023</t>
        </is>
      </c>
      <c r="B1857" s="1" t="n">
        <v>44931</v>
      </c>
      <c r="C1857" s="1" t="n">
        <v>45802</v>
      </c>
      <c r="D1857" t="inlineStr">
        <is>
          <t>VÄSTERNORRLANDS LÄN</t>
        </is>
      </c>
      <c r="E1857" t="inlineStr">
        <is>
          <t>SOLLEFTEÅ</t>
        </is>
      </c>
      <c r="F1857" t="inlineStr">
        <is>
          <t>SCA</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965-2023</t>
        </is>
      </c>
      <c r="B1858" s="1" t="n">
        <v>44934</v>
      </c>
      <c r="C1858" s="1" t="n">
        <v>45802</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964-2023</t>
        </is>
      </c>
      <c r="B1859" s="1" t="n">
        <v>44934</v>
      </c>
      <c r="C1859" s="1" t="n">
        <v>45802</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1275-2023</t>
        </is>
      </c>
      <c r="B1860" s="1" t="n">
        <v>44936</v>
      </c>
      <c r="C1860" s="1" t="n">
        <v>45802</v>
      </c>
      <c r="D1860" t="inlineStr">
        <is>
          <t>VÄSTERNORRLANDS LÄN</t>
        </is>
      </c>
      <c r="E1860" t="inlineStr">
        <is>
          <t>SOLLEFTEÅ</t>
        </is>
      </c>
      <c r="G1860" t="n">
        <v>14.4</v>
      </c>
      <c r="H1860" t="n">
        <v>0</v>
      </c>
      <c r="I1860" t="n">
        <v>0</v>
      </c>
      <c r="J1860" t="n">
        <v>0</v>
      </c>
      <c r="K1860" t="n">
        <v>0</v>
      </c>
      <c r="L1860" t="n">
        <v>0</v>
      </c>
      <c r="M1860" t="n">
        <v>0</v>
      </c>
      <c r="N1860" t="n">
        <v>0</v>
      </c>
      <c r="O1860" t="n">
        <v>0</v>
      </c>
      <c r="P1860" t="n">
        <v>0</v>
      </c>
      <c r="Q1860" t="n">
        <v>0</v>
      </c>
      <c r="R1860" s="2" t="inlineStr"/>
    </row>
    <row r="1861" ht="15" customHeight="1">
      <c r="A1861" t="inlineStr">
        <is>
          <t>A 1803-2023</t>
        </is>
      </c>
      <c r="B1861" s="1" t="n">
        <v>44937</v>
      </c>
      <c r="C1861" s="1" t="n">
        <v>45802</v>
      </c>
      <c r="D1861" t="inlineStr">
        <is>
          <t>VÄSTERNORRLANDS LÄN</t>
        </is>
      </c>
      <c r="E1861" t="inlineStr">
        <is>
          <t>SOLLEFTEÅ</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1868-2023</t>
        </is>
      </c>
      <c r="B1862" s="1" t="n">
        <v>44938</v>
      </c>
      <c r="C1862" s="1" t="n">
        <v>45802</v>
      </c>
      <c r="D1862" t="inlineStr">
        <is>
          <t>VÄSTERNORRLANDS LÄN</t>
        </is>
      </c>
      <c r="E1862" t="inlineStr">
        <is>
          <t>SOLLEFTEÅ</t>
        </is>
      </c>
      <c r="F1862" t="inlineStr">
        <is>
          <t>SCA</t>
        </is>
      </c>
      <c r="G1862" t="n">
        <v>19.3</v>
      </c>
      <c r="H1862" t="n">
        <v>0</v>
      </c>
      <c r="I1862" t="n">
        <v>0</v>
      </c>
      <c r="J1862" t="n">
        <v>0</v>
      </c>
      <c r="K1862" t="n">
        <v>0</v>
      </c>
      <c r="L1862" t="n">
        <v>0</v>
      </c>
      <c r="M1862" t="n">
        <v>0</v>
      </c>
      <c r="N1862" t="n">
        <v>0</v>
      </c>
      <c r="O1862" t="n">
        <v>0</v>
      </c>
      <c r="P1862" t="n">
        <v>0</v>
      </c>
      <c r="Q1862" t="n">
        <v>0</v>
      </c>
      <c r="R1862" s="2" t="inlineStr"/>
    </row>
    <row r="1863" ht="15" customHeight="1">
      <c r="A1863" t="inlineStr">
        <is>
          <t>A 1874-2023</t>
        </is>
      </c>
      <c r="B1863" s="1" t="n">
        <v>44938</v>
      </c>
      <c r="C1863" s="1" t="n">
        <v>45802</v>
      </c>
      <c r="D1863" t="inlineStr">
        <is>
          <t>VÄSTERNORRLANDS LÄN</t>
        </is>
      </c>
      <c r="E1863" t="inlineStr">
        <is>
          <t>SOLLEFTEÅ</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2058-2023</t>
        </is>
      </c>
      <c r="B1864" s="1" t="n">
        <v>44938</v>
      </c>
      <c r="C1864" s="1" t="n">
        <v>45802</v>
      </c>
      <c r="D1864" t="inlineStr">
        <is>
          <t>VÄSTERNORRLANDS LÄN</t>
        </is>
      </c>
      <c r="E1864" t="inlineStr">
        <is>
          <t>SOLLEFTEÅ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2121-2023</t>
        </is>
      </c>
      <c r="B1865" s="1" t="n">
        <v>44939</v>
      </c>
      <c r="C1865" s="1" t="n">
        <v>45802</v>
      </c>
      <c r="D1865" t="inlineStr">
        <is>
          <t>VÄSTERNORRLANDS LÄN</t>
        </is>
      </c>
      <c r="E1865" t="inlineStr">
        <is>
          <t>SOLLEFTEÅ</t>
        </is>
      </c>
      <c r="F1865" t="inlineStr">
        <is>
          <t>SCA</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2119-2023</t>
        </is>
      </c>
      <c r="B1866" s="1" t="n">
        <v>44939</v>
      </c>
      <c r="C1866" s="1" t="n">
        <v>45802</v>
      </c>
      <c r="D1866" t="inlineStr">
        <is>
          <t>VÄSTERNORRLANDS LÄN</t>
        </is>
      </c>
      <c r="E1866" t="inlineStr">
        <is>
          <t>SOLLEFTEÅ</t>
        </is>
      </c>
      <c r="F1866" t="inlineStr">
        <is>
          <t>SCA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2132-2023</t>
        </is>
      </c>
      <c r="B1867" s="1" t="n">
        <v>44939</v>
      </c>
      <c r="C1867" s="1" t="n">
        <v>45802</v>
      </c>
      <c r="D1867" t="inlineStr">
        <is>
          <t>VÄSTERNORRLANDS LÄN</t>
        </is>
      </c>
      <c r="E1867" t="inlineStr">
        <is>
          <t>SOLLEFTEÅ</t>
        </is>
      </c>
      <c r="F1867" t="inlineStr">
        <is>
          <t>SCA</t>
        </is>
      </c>
      <c r="G1867" t="n">
        <v>19.4</v>
      </c>
      <c r="H1867" t="n">
        <v>0</v>
      </c>
      <c r="I1867" t="n">
        <v>0</v>
      </c>
      <c r="J1867" t="n">
        <v>0</v>
      </c>
      <c r="K1867" t="n">
        <v>0</v>
      </c>
      <c r="L1867" t="n">
        <v>0</v>
      </c>
      <c r="M1867" t="n">
        <v>0</v>
      </c>
      <c r="N1867" t="n">
        <v>0</v>
      </c>
      <c r="O1867" t="n">
        <v>0</v>
      </c>
      <c r="P1867" t="n">
        <v>0</v>
      </c>
      <c r="Q1867" t="n">
        <v>0</v>
      </c>
      <c r="R1867" s="2" t="inlineStr"/>
    </row>
    <row r="1868" ht="15" customHeight="1">
      <c r="A1868" t="inlineStr">
        <is>
          <t>A 2120-2023</t>
        </is>
      </c>
      <c r="B1868" s="1" t="n">
        <v>44939</v>
      </c>
      <c r="C1868" s="1" t="n">
        <v>45802</v>
      </c>
      <c r="D1868" t="inlineStr">
        <is>
          <t>VÄSTERNORRLANDS LÄN</t>
        </is>
      </c>
      <c r="E1868" t="inlineStr">
        <is>
          <t>SOLLEFTEÅ</t>
        </is>
      </c>
      <c r="F1868" t="inlineStr">
        <is>
          <t>SCA</t>
        </is>
      </c>
      <c r="G1868" t="n">
        <v>126.9</v>
      </c>
      <c r="H1868" t="n">
        <v>0</v>
      </c>
      <c r="I1868" t="n">
        <v>0</v>
      </c>
      <c r="J1868" t="n">
        <v>0</v>
      </c>
      <c r="K1868" t="n">
        <v>0</v>
      </c>
      <c r="L1868" t="n">
        <v>0</v>
      </c>
      <c r="M1868" t="n">
        <v>0</v>
      </c>
      <c r="N1868" t="n">
        <v>0</v>
      </c>
      <c r="O1868" t="n">
        <v>0</v>
      </c>
      <c r="P1868" t="n">
        <v>0</v>
      </c>
      <c r="Q1868" t="n">
        <v>0</v>
      </c>
      <c r="R1868" s="2" t="inlineStr"/>
    </row>
    <row r="1869" ht="15" customHeight="1">
      <c r="A1869" t="inlineStr">
        <is>
          <t>A 2114-2023</t>
        </is>
      </c>
      <c r="B1869" s="1" t="n">
        <v>44939</v>
      </c>
      <c r="C1869" s="1" t="n">
        <v>45802</v>
      </c>
      <c r="D1869" t="inlineStr">
        <is>
          <t>VÄSTERNORRLANDS LÄN</t>
        </is>
      </c>
      <c r="E1869" t="inlineStr">
        <is>
          <t>SOLLEFTEÅ</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2118-2023</t>
        </is>
      </c>
      <c r="B1870" s="1" t="n">
        <v>44939</v>
      </c>
      <c r="C1870" s="1" t="n">
        <v>45802</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2139-2023</t>
        </is>
      </c>
      <c r="B1871" s="1" t="n">
        <v>44940</v>
      </c>
      <c r="C1871" s="1" t="n">
        <v>45802</v>
      </c>
      <c r="D1871" t="inlineStr">
        <is>
          <t>VÄSTERNORRLANDS LÄN</t>
        </is>
      </c>
      <c r="E1871" t="inlineStr">
        <is>
          <t>SOLLEFTEÅ</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2183-2023</t>
        </is>
      </c>
      <c r="B1872" s="1" t="n">
        <v>44942</v>
      </c>
      <c r="C1872" s="1" t="n">
        <v>45802</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2408-2023</t>
        </is>
      </c>
      <c r="B1873" s="1" t="n">
        <v>44942</v>
      </c>
      <c r="C1873" s="1" t="n">
        <v>45802</v>
      </c>
      <c r="D1873" t="inlineStr">
        <is>
          <t>VÄSTERNORRLANDS LÄN</t>
        </is>
      </c>
      <c r="E1873" t="inlineStr">
        <is>
          <t>SOLLEFTEÅ</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2412-2023</t>
        </is>
      </c>
      <c r="B1874" s="1" t="n">
        <v>44942</v>
      </c>
      <c r="C1874" s="1" t="n">
        <v>45802</v>
      </c>
      <c r="D1874" t="inlineStr">
        <is>
          <t>VÄSTERNORRLANDS LÄN</t>
        </is>
      </c>
      <c r="E1874" t="inlineStr">
        <is>
          <t>SOLLEFTEÅ</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2597-2023</t>
        </is>
      </c>
      <c r="B1875" s="1" t="n">
        <v>44943</v>
      </c>
      <c r="C1875" s="1" t="n">
        <v>45802</v>
      </c>
      <c r="D1875" t="inlineStr">
        <is>
          <t>VÄSTERNORRLANDS LÄN</t>
        </is>
      </c>
      <c r="E1875" t="inlineStr">
        <is>
          <t>SOLLEFTEÅ</t>
        </is>
      </c>
      <c r="F1875" t="inlineStr">
        <is>
          <t>SCA</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2756-2023</t>
        </is>
      </c>
      <c r="B1876" s="1" t="n">
        <v>44943</v>
      </c>
      <c r="C1876" s="1" t="n">
        <v>45802</v>
      </c>
      <c r="D1876" t="inlineStr">
        <is>
          <t>VÄSTERNORRLANDS LÄN</t>
        </is>
      </c>
      <c r="E1876" t="inlineStr">
        <is>
          <t>SOLLEFTEÅ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2598-2023</t>
        </is>
      </c>
      <c r="B1877" s="1" t="n">
        <v>44943</v>
      </c>
      <c r="C1877" s="1" t="n">
        <v>45802</v>
      </c>
      <c r="D1877" t="inlineStr">
        <is>
          <t>VÄSTERNORRLANDS LÄN</t>
        </is>
      </c>
      <c r="E1877" t="inlineStr">
        <is>
          <t>SOLLEFTEÅ</t>
        </is>
      </c>
      <c r="F1877" t="inlineStr">
        <is>
          <t>SCA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2927-2023</t>
        </is>
      </c>
      <c r="B1878" s="1" t="n">
        <v>44945</v>
      </c>
      <c r="C1878" s="1" t="n">
        <v>45802</v>
      </c>
      <c r="D1878" t="inlineStr">
        <is>
          <t>VÄSTERNORRLANDS LÄN</t>
        </is>
      </c>
      <c r="E1878" t="inlineStr">
        <is>
          <t>SOLLEFTEÅ</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3019-2023</t>
        </is>
      </c>
      <c r="B1879" s="1" t="n">
        <v>44945</v>
      </c>
      <c r="C1879" s="1" t="n">
        <v>45802</v>
      </c>
      <c r="D1879" t="inlineStr">
        <is>
          <t>VÄSTERNORRLANDS LÄN</t>
        </is>
      </c>
      <c r="E1879" t="inlineStr">
        <is>
          <t>SOLLEFTEÅ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3319-2023</t>
        </is>
      </c>
      <c r="B1880" s="1" t="n">
        <v>44949</v>
      </c>
      <c r="C1880" s="1" t="n">
        <v>45802</v>
      </c>
      <c r="D1880" t="inlineStr">
        <is>
          <t>VÄSTERNORRLANDS LÄN</t>
        </is>
      </c>
      <c r="E1880" t="inlineStr">
        <is>
          <t>SOLLEFTEÅ</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3692-2023</t>
        </is>
      </c>
      <c r="B1881" s="1" t="n">
        <v>44950</v>
      </c>
      <c r="C1881" s="1" t="n">
        <v>45802</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3691-2023</t>
        </is>
      </c>
      <c r="B1882" s="1" t="n">
        <v>44950</v>
      </c>
      <c r="C1882" s="1" t="n">
        <v>45802</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3689-2023</t>
        </is>
      </c>
      <c r="B1883" s="1" t="n">
        <v>44950</v>
      </c>
      <c r="C1883" s="1" t="n">
        <v>45802</v>
      </c>
      <c r="D1883" t="inlineStr">
        <is>
          <t>VÄSTERNORRLANDS LÄN</t>
        </is>
      </c>
      <c r="E1883" t="inlineStr">
        <is>
          <t>SOLLEFTEÅ</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4154-2023</t>
        </is>
      </c>
      <c r="B1884" s="1" t="n">
        <v>44950</v>
      </c>
      <c r="C1884" s="1" t="n">
        <v>45802</v>
      </c>
      <c r="D1884" t="inlineStr">
        <is>
          <t>VÄSTERNORRLANDS LÄN</t>
        </is>
      </c>
      <c r="E1884" t="inlineStr">
        <is>
          <t>SOLLEFTEÅ</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4406-2023</t>
        </is>
      </c>
      <c r="B1885" s="1" t="n">
        <v>44951</v>
      </c>
      <c r="C1885" s="1" t="n">
        <v>45802</v>
      </c>
      <c r="D1885" t="inlineStr">
        <is>
          <t>VÄSTERNORRLANDS LÄN</t>
        </is>
      </c>
      <c r="E1885" t="inlineStr">
        <is>
          <t>SOLLEFTEÅ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4132-2023</t>
        </is>
      </c>
      <c r="B1886" s="1" t="n">
        <v>44952</v>
      </c>
      <c r="C1886" s="1" t="n">
        <v>45802</v>
      </c>
      <c r="D1886" t="inlineStr">
        <is>
          <t>VÄSTERNORRLANDS LÄN</t>
        </is>
      </c>
      <c r="E1886" t="inlineStr">
        <is>
          <t>SOLLEFTEÅ</t>
        </is>
      </c>
      <c r="F1886" t="inlineStr">
        <is>
          <t>SCA</t>
        </is>
      </c>
      <c r="G1886" t="n">
        <v>50.4</v>
      </c>
      <c r="H1886" t="n">
        <v>0</v>
      </c>
      <c r="I1886" t="n">
        <v>0</v>
      </c>
      <c r="J1886" t="n">
        <v>0</v>
      </c>
      <c r="K1886" t="n">
        <v>0</v>
      </c>
      <c r="L1886" t="n">
        <v>0</v>
      </c>
      <c r="M1886" t="n">
        <v>0</v>
      </c>
      <c r="N1886" t="n">
        <v>0</v>
      </c>
      <c r="O1886" t="n">
        <v>0</v>
      </c>
      <c r="P1886" t="n">
        <v>0</v>
      </c>
      <c r="Q1886" t="n">
        <v>0</v>
      </c>
      <c r="R1886" s="2" t="inlineStr"/>
    </row>
    <row r="1887" ht="15" customHeight="1">
      <c r="A1887" t="inlineStr">
        <is>
          <t>A 4138-2023</t>
        </is>
      </c>
      <c r="B1887" s="1" t="n">
        <v>44952</v>
      </c>
      <c r="C1887" s="1" t="n">
        <v>45802</v>
      </c>
      <c r="D1887" t="inlineStr">
        <is>
          <t>VÄSTERNORRLANDS LÄN</t>
        </is>
      </c>
      <c r="E1887" t="inlineStr">
        <is>
          <t>SOLLEFTEÅ</t>
        </is>
      </c>
      <c r="F1887" t="inlineStr">
        <is>
          <t>SCA</t>
        </is>
      </c>
      <c r="G1887" t="n">
        <v>70</v>
      </c>
      <c r="H1887" t="n">
        <v>0</v>
      </c>
      <c r="I1887" t="n">
        <v>0</v>
      </c>
      <c r="J1887" t="n">
        <v>0</v>
      </c>
      <c r="K1887" t="n">
        <v>0</v>
      </c>
      <c r="L1887" t="n">
        <v>0</v>
      </c>
      <c r="M1887" t="n">
        <v>0</v>
      </c>
      <c r="N1887" t="n">
        <v>0</v>
      </c>
      <c r="O1887" t="n">
        <v>0</v>
      </c>
      <c r="P1887" t="n">
        <v>0</v>
      </c>
      <c r="Q1887" t="n">
        <v>0</v>
      </c>
      <c r="R1887" s="2" t="inlineStr"/>
    </row>
    <row r="1888" ht="15" customHeight="1">
      <c r="A1888" t="inlineStr">
        <is>
          <t>A 4501-2023</t>
        </is>
      </c>
      <c r="B1888" s="1" t="n">
        <v>44952</v>
      </c>
      <c r="C1888" s="1" t="n">
        <v>45802</v>
      </c>
      <c r="D1888" t="inlineStr">
        <is>
          <t>VÄSTERNORRLANDS LÄN</t>
        </is>
      </c>
      <c r="E1888" t="inlineStr">
        <is>
          <t>SOLLEFTEÅ</t>
        </is>
      </c>
      <c r="F1888" t="inlineStr">
        <is>
          <t>Övriga Aktiebolag</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4613-2023</t>
        </is>
      </c>
      <c r="B1889" s="1" t="n">
        <v>44956</v>
      </c>
      <c r="C1889" s="1" t="n">
        <v>45802</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4611-2023</t>
        </is>
      </c>
      <c r="B1890" s="1" t="n">
        <v>44956</v>
      </c>
      <c r="C1890" s="1" t="n">
        <v>45802</v>
      </c>
      <c r="D1890" t="inlineStr">
        <is>
          <t>VÄSTERNORRLANDS LÄN</t>
        </is>
      </c>
      <c r="E1890" t="inlineStr">
        <is>
          <t>SOLLEFTEÅ</t>
        </is>
      </c>
      <c r="F1890" t="inlineStr">
        <is>
          <t>SCA</t>
        </is>
      </c>
      <c r="G1890" t="n">
        <v>19.2</v>
      </c>
      <c r="H1890" t="n">
        <v>0</v>
      </c>
      <c r="I1890" t="n">
        <v>0</v>
      </c>
      <c r="J1890" t="n">
        <v>0</v>
      </c>
      <c r="K1890" t="n">
        <v>0</v>
      </c>
      <c r="L1890" t="n">
        <v>0</v>
      </c>
      <c r="M1890" t="n">
        <v>0</v>
      </c>
      <c r="N1890" t="n">
        <v>0</v>
      </c>
      <c r="O1890" t="n">
        <v>0</v>
      </c>
      <c r="P1890" t="n">
        <v>0</v>
      </c>
      <c r="Q1890" t="n">
        <v>0</v>
      </c>
      <c r="R1890" s="2" t="inlineStr"/>
    </row>
    <row r="1891" ht="15" customHeight="1">
      <c r="A1891" t="inlineStr">
        <is>
          <t>A 4612-2023</t>
        </is>
      </c>
      <c r="B1891" s="1" t="n">
        <v>44956</v>
      </c>
      <c r="C1891" s="1" t="n">
        <v>45802</v>
      </c>
      <c r="D1891" t="inlineStr">
        <is>
          <t>VÄSTERNORRLANDS LÄN</t>
        </is>
      </c>
      <c r="E1891" t="inlineStr">
        <is>
          <t>SOLLEFTEÅ</t>
        </is>
      </c>
      <c r="F1891" t="inlineStr">
        <is>
          <t>SCA</t>
        </is>
      </c>
      <c r="G1891" t="n">
        <v>25.5</v>
      </c>
      <c r="H1891" t="n">
        <v>0</v>
      </c>
      <c r="I1891" t="n">
        <v>0</v>
      </c>
      <c r="J1891" t="n">
        <v>0</v>
      </c>
      <c r="K1891" t="n">
        <v>0</v>
      </c>
      <c r="L1891" t="n">
        <v>0</v>
      </c>
      <c r="M1891" t="n">
        <v>0</v>
      </c>
      <c r="N1891" t="n">
        <v>0</v>
      </c>
      <c r="O1891" t="n">
        <v>0</v>
      </c>
      <c r="P1891" t="n">
        <v>0</v>
      </c>
      <c r="Q1891" t="n">
        <v>0</v>
      </c>
      <c r="R1891" s="2" t="inlineStr"/>
    </row>
    <row r="1892" ht="15" customHeight="1">
      <c r="A1892" t="inlineStr">
        <is>
          <t>A 4623-2023</t>
        </is>
      </c>
      <c r="B1892" s="1" t="n">
        <v>44956</v>
      </c>
      <c r="C1892" s="1" t="n">
        <v>45802</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5001-2023</t>
        </is>
      </c>
      <c r="B1893" s="1" t="n">
        <v>44956</v>
      </c>
      <c r="C1893" s="1" t="n">
        <v>45802</v>
      </c>
      <c r="D1893" t="inlineStr">
        <is>
          <t>VÄSTERNORRLANDS LÄN</t>
        </is>
      </c>
      <c r="E1893" t="inlineStr">
        <is>
          <t>SOLLEFTEÅ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5168-2023</t>
        </is>
      </c>
      <c r="B1894" s="1" t="n">
        <v>44958</v>
      </c>
      <c r="C1894" s="1" t="n">
        <v>45802</v>
      </c>
      <c r="D1894" t="inlineStr">
        <is>
          <t>VÄSTERNORRLANDS LÄN</t>
        </is>
      </c>
      <c r="E1894" t="inlineStr">
        <is>
          <t>SOLLEFTEÅ</t>
        </is>
      </c>
      <c r="F1894" t="inlineStr">
        <is>
          <t>SCA</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5149-2023</t>
        </is>
      </c>
      <c r="B1895" s="1" t="n">
        <v>44958</v>
      </c>
      <c r="C1895" s="1" t="n">
        <v>45802</v>
      </c>
      <c r="D1895" t="inlineStr">
        <is>
          <t>VÄSTERNORRLANDS LÄN</t>
        </is>
      </c>
      <c r="E1895" t="inlineStr">
        <is>
          <t>SOLLEFTEÅ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5161-2023</t>
        </is>
      </c>
      <c r="B1896" s="1" t="n">
        <v>44958</v>
      </c>
      <c r="C1896" s="1" t="n">
        <v>45802</v>
      </c>
      <c r="D1896" t="inlineStr">
        <is>
          <t>VÄSTERNORRLANDS LÄN</t>
        </is>
      </c>
      <c r="E1896" t="inlineStr">
        <is>
          <t>SOLLEFTEÅ</t>
        </is>
      </c>
      <c r="F1896" t="inlineStr">
        <is>
          <t>SCA</t>
        </is>
      </c>
      <c r="G1896" t="n">
        <v>30.3</v>
      </c>
      <c r="H1896" t="n">
        <v>0</v>
      </c>
      <c r="I1896" t="n">
        <v>0</v>
      </c>
      <c r="J1896" t="n">
        <v>0</v>
      </c>
      <c r="K1896" t="n">
        <v>0</v>
      </c>
      <c r="L1896" t="n">
        <v>0</v>
      </c>
      <c r="M1896" t="n">
        <v>0</v>
      </c>
      <c r="N1896" t="n">
        <v>0</v>
      </c>
      <c r="O1896" t="n">
        <v>0</v>
      </c>
      <c r="P1896" t="n">
        <v>0</v>
      </c>
      <c r="Q1896" t="n">
        <v>0</v>
      </c>
      <c r="R1896" s="2" t="inlineStr"/>
    </row>
    <row r="1897" ht="15" customHeight="1">
      <c r="A1897" t="inlineStr">
        <is>
          <t>A 5166-2023</t>
        </is>
      </c>
      <c r="B1897" s="1" t="n">
        <v>44958</v>
      </c>
      <c r="C1897" s="1" t="n">
        <v>45802</v>
      </c>
      <c r="D1897" t="inlineStr">
        <is>
          <t>VÄSTERNORRLANDS LÄN</t>
        </is>
      </c>
      <c r="E1897" t="inlineStr">
        <is>
          <t>SOLLEFTEÅ</t>
        </is>
      </c>
      <c r="F1897" t="inlineStr">
        <is>
          <t>SCA</t>
        </is>
      </c>
      <c r="G1897" t="n">
        <v>29.3</v>
      </c>
      <c r="H1897" t="n">
        <v>0</v>
      </c>
      <c r="I1897" t="n">
        <v>0</v>
      </c>
      <c r="J1897" t="n">
        <v>0</v>
      </c>
      <c r="K1897" t="n">
        <v>0</v>
      </c>
      <c r="L1897" t="n">
        <v>0</v>
      </c>
      <c r="M1897" t="n">
        <v>0</v>
      </c>
      <c r="N1897" t="n">
        <v>0</v>
      </c>
      <c r="O1897" t="n">
        <v>0</v>
      </c>
      <c r="P1897" t="n">
        <v>0</v>
      </c>
      <c r="Q1897" t="n">
        <v>0</v>
      </c>
      <c r="R1897" s="2" t="inlineStr"/>
    </row>
    <row r="1898" ht="15" customHeight="1">
      <c r="A1898" t="inlineStr">
        <is>
          <t>A 5167-2023</t>
        </is>
      </c>
      <c r="B1898" s="1" t="n">
        <v>44958</v>
      </c>
      <c r="C1898" s="1" t="n">
        <v>45802</v>
      </c>
      <c r="D1898" t="inlineStr">
        <is>
          <t>VÄSTERNORRLANDS LÄN</t>
        </is>
      </c>
      <c r="E1898" t="inlineStr">
        <is>
          <t>SOLLEFTEÅ</t>
        </is>
      </c>
      <c r="F1898" t="inlineStr">
        <is>
          <t>SCA</t>
        </is>
      </c>
      <c r="G1898" t="n">
        <v>14.8</v>
      </c>
      <c r="H1898" t="n">
        <v>0</v>
      </c>
      <c r="I1898" t="n">
        <v>0</v>
      </c>
      <c r="J1898" t="n">
        <v>0</v>
      </c>
      <c r="K1898" t="n">
        <v>0</v>
      </c>
      <c r="L1898" t="n">
        <v>0</v>
      </c>
      <c r="M1898" t="n">
        <v>0</v>
      </c>
      <c r="N1898" t="n">
        <v>0</v>
      </c>
      <c r="O1898" t="n">
        <v>0</v>
      </c>
      <c r="P1898" t="n">
        <v>0</v>
      </c>
      <c r="Q1898" t="n">
        <v>0</v>
      </c>
      <c r="R1898" s="2" t="inlineStr"/>
    </row>
    <row r="1899" ht="15" customHeight="1">
      <c r="A1899" t="inlineStr">
        <is>
          <t>A 5448-2023</t>
        </is>
      </c>
      <c r="B1899" s="1" t="n">
        <v>44959</v>
      </c>
      <c r="C1899" s="1" t="n">
        <v>45802</v>
      </c>
      <c r="D1899" t="inlineStr">
        <is>
          <t>VÄSTERNORRLANDS LÄN</t>
        </is>
      </c>
      <c r="E1899" t="inlineStr">
        <is>
          <t>SOLLEFTEÅ</t>
        </is>
      </c>
      <c r="F1899" t="inlineStr">
        <is>
          <t>SCA</t>
        </is>
      </c>
      <c r="G1899" t="n">
        <v>138.3</v>
      </c>
      <c r="H1899" t="n">
        <v>0</v>
      </c>
      <c r="I1899" t="n">
        <v>0</v>
      </c>
      <c r="J1899" t="n">
        <v>0</v>
      </c>
      <c r="K1899" t="n">
        <v>0</v>
      </c>
      <c r="L1899" t="n">
        <v>0</v>
      </c>
      <c r="M1899" t="n">
        <v>0</v>
      </c>
      <c r="N1899" t="n">
        <v>0</v>
      </c>
      <c r="O1899" t="n">
        <v>0</v>
      </c>
      <c r="P1899" t="n">
        <v>0</v>
      </c>
      <c r="Q1899" t="n">
        <v>0</v>
      </c>
      <c r="R1899" s="2" t="inlineStr"/>
    </row>
    <row r="1900" ht="15" customHeight="1">
      <c r="A1900" t="inlineStr">
        <is>
          <t>A 5451-2023</t>
        </is>
      </c>
      <c r="B1900" s="1" t="n">
        <v>44959</v>
      </c>
      <c r="C1900" s="1" t="n">
        <v>45802</v>
      </c>
      <c r="D1900" t="inlineStr">
        <is>
          <t>VÄSTERNORRLANDS LÄN</t>
        </is>
      </c>
      <c r="E1900" t="inlineStr">
        <is>
          <t>SOLLEFTEÅ</t>
        </is>
      </c>
      <c r="F1900" t="inlineStr">
        <is>
          <t>SCA</t>
        </is>
      </c>
      <c r="G1900" t="n">
        <v>20.1</v>
      </c>
      <c r="H1900" t="n">
        <v>0</v>
      </c>
      <c r="I1900" t="n">
        <v>0</v>
      </c>
      <c r="J1900" t="n">
        <v>0</v>
      </c>
      <c r="K1900" t="n">
        <v>0</v>
      </c>
      <c r="L1900" t="n">
        <v>0</v>
      </c>
      <c r="M1900" t="n">
        <v>0</v>
      </c>
      <c r="N1900" t="n">
        <v>0</v>
      </c>
      <c r="O1900" t="n">
        <v>0</v>
      </c>
      <c r="P1900" t="n">
        <v>0</v>
      </c>
      <c r="Q1900" t="n">
        <v>0</v>
      </c>
      <c r="R1900" s="2" t="inlineStr"/>
    </row>
    <row r="1901" ht="15" customHeight="1">
      <c r="A1901" t="inlineStr">
        <is>
          <t>A 6271-2023</t>
        </is>
      </c>
      <c r="B1901" s="1" t="n">
        <v>44959</v>
      </c>
      <c r="C1901" s="1" t="n">
        <v>45802</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5519-2023</t>
        </is>
      </c>
      <c r="B1902" s="1" t="n">
        <v>44960</v>
      </c>
      <c r="C1902" s="1" t="n">
        <v>45802</v>
      </c>
      <c r="D1902" t="inlineStr">
        <is>
          <t>VÄSTERNORRLANDS LÄN</t>
        </is>
      </c>
      <c r="E1902" t="inlineStr">
        <is>
          <t>SOLLEFTEÅ</t>
        </is>
      </c>
      <c r="F1902" t="inlineStr">
        <is>
          <t>Holmen skog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5529-2023</t>
        </is>
      </c>
      <c r="B1903" s="1" t="n">
        <v>44960</v>
      </c>
      <c r="C1903" s="1" t="n">
        <v>45802</v>
      </c>
      <c r="D1903" t="inlineStr">
        <is>
          <t>VÄSTERNORRLANDS LÄN</t>
        </is>
      </c>
      <c r="E1903" t="inlineStr">
        <is>
          <t>SOLLEFTEÅ</t>
        </is>
      </c>
      <c r="F1903" t="inlineStr">
        <is>
          <t>Holmen skog AB</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5952-2023</t>
        </is>
      </c>
      <c r="B1904" s="1" t="n">
        <v>44963</v>
      </c>
      <c r="C1904" s="1" t="n">
        <v>45802</v>
      </c>
      <c r="D1904" t="inlineStr">
        <is>
          <t>VÄSTERNORRLANDS LÄN</t>
        </is>
      </c>
      <c r="E1904" t="inlineStr">
        <is>
          <t>SOLLEFTEÅ</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6236-2023</t>
        </is>
      </c>
      <c r="B1905" s="1" t="n">
        <v>44964</v>
      </c>
      <c r="C1905" s="1" t="n">
        <v>45802</v>
      </c>
      <c r="D1905" t="inlineStr">
        <is>
          <t>VÄSTERNORRLANDS LÄN</t>
        </is>
      </c>
      <c r="E1905" t="inlineStr">
        <is>
          <t>SOLLEFTEÅ</t>
        </is>
      </c>
      <c r="F1905" t="inlineStr">
        <is>
          <t>SCA</t>
        </is>
      </c>
      <c r="G1905" t="n">
        <v>0.1</v>
      </c>
      <c r="H1905" t="n">
        <v>0</v>
      </c>
      <c r="I1905" t="n">
        <v>0</v>
      </c>
      <c r="J1905" t="n">
        <v>0</v>
      </c>
      <c r="K1905" t="n">
        <v>0</v>
      </c>
      <c r="L1905" t="n">
        <v>0</v>
      </c>
      <c r="M1905" t="n">
        <v>0</v>
      </c>
      <c r="N1905" t="n">
        <v>0</v>
      </c>
      <c r="O1905" t="n">
        <v>0</v>
      </c>
      <c r="P1905" t="n">
        <v>0</v>
      </c>
      <c r="Q1905" t="n">
        <v>0</v>
      </c>
      <c r="R1905" s="2" t="inlineStr"/>
      <c r="U1905">
        <f>HYPERLINK("https://klasma.github.io/Logging_2283/knärot/A 6236-2023 karta knärot.png", "A 6236-2023")</f>
        <v/>
      </c>
      <c r="V1905">
        <f>HYPERLINK("https://klasma.github.io/Logging_2283/klagomål/A 6236-2023 FSC-klagomål.docx", "A 6236-2023")</f>
        <v/>
      </c>
      <c r="W1905">
        <f>HYPERLINK("https://klasma.github.io/Logging_2283/klagomålsmail/A 6236-2023 FSC-klagomål mail.docx", "A 6236-2023")</f>
        <v/>
      </c>
      <c r="X1905">
        <f>HYPERLINK("https://klasma.github.io/Logging_2283/tillsyn/A 6236-2023 tillsynsbegäran.docx", "A 6236-2023")</f>
        <v/>
      </c>
      <c r="Y1905">
        <f>HYPERLINK("https://klasma.github.io/Logging_2283/tillsynsmail/A 6236-2023 tillsynsbegäran mail.docx", "A 6236-2023")</f>
        <v/>
      </c>
    </row>
    <row r="1906" ht="15" customHeight="1">
      <c r="A1906" t="inlineStr">
        <is>
          <t>A 6474-2023</t>
        </is>
      </c>
      <c r="B1906" s="1" t="n">
        <v>44965</v>
      </c>
      <c r="C1906" s="1" t="n">
        <v>45802</v>
      </c>
      <c r="D1906" t="inlineStr">
        <is>
          <t>VÄSTERNORRLANDS LÄN</t>
        </is>
      </c>
      <c r="E1906" t="inlineStr">
        <is>
          <t>SOLLEFTEÅ</t>
        </is>
      </c>
      <c r="F1906" t="inlineStr">
        <is>
          <t>SCA</t>
        </is>
      </c>
      <c r="G1906" t="n">
        <v>47.3</v>
      </c>
      <c r="H1906" t="n">
        <v>0</v>
      </c>
      <c r="I1906" t="n">
        <v>0</v>
      </c>
      <c r="J1906" t="n">
        <v>0</v>
      </c>
      <c r="K1906" t="n">
        <v>0</v>
      </c>
      <c r="L1906" t="n">
        <v>0</v>
      </c>
      <c r="M1906" t="n">
        <v>0</v>
      </c>
      <c r="N1906" t="n">
        <v>0</v>
      </c>
      <c r="O1906" t="n">
        <v>0</v>
      </c>
      <c r="P1906" t="n">
        <v>0</v>
      </c>
      <c r="Q1906" t="n">
        <v>0</v>
      </c>
      <c r="R1906" s="2" t="inlineStr"/>
    </row>
    <row r="1907" ht="15" customHeight="1">
      <c r="A1907" t="inlineStr">
        <is>
          <t>A 7009-2023</t>
        </is>
      </c>
      <c r="B1907" s="1" t="n">
        <v>44967</v>
      </c>
      <c r="C1907" s="1" t="n">
        <v>45802</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7332-2023</t>
        </is>
      </c>
      <c r="B1908" s="1" t="n">
        <v>44970</v>
      </c>
      <c r="C1908" s="1" t="n">
        <v>45802</v>
      </c>
      <c r="D1908" t="inlineStr">
        <is>
          <t>VÄSTERNORRLANDS LÄN</t>
        </is>
      </c>
      <c r="E1908" t="inlineStr">
        <is>
          <t>SOLLEFTEÅ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7324-2023</t>
        </is>
      </c>
      <c r="B1909" s="1" t="n">
        <v>44970</v>
      </c>
      <c r="C1909" s="1" t="n">
        <v>45802</v>
      </c>
      <c r="D1909" t="inlineStr">
        <is>
          <t>VÄSTERNORRLANDS LÄN</t>
        </is>
      </c>
      <c r="E1909" t="inlineStr">
        <is>
          <t>SOLLEFTEÅ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7325-2023</t>
        </is>
      </c>
      <c r="B1910" s="1" t="n">
        <v>44970</v>
      </c>
      <c r="C1910" s="1" t="n">
        <v>45802</v>
      </c>
      <c r="D1910" t="inlineStr">
        <is>
          <t>VÄSTERNORRLANDS LÄN</t>
        </is>
      </c>
      <c r="E1910" t="inlineStr">
        <is>
          <t>SOLLEFTEÅ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7330-2023</t>
        </is>
      </c>
      <c r="B1911" s="1" t="n">
        <v>44971</v>
      </c>
      <c r="C1911" s="1" t="n">
        <v>45802</v>
      </c>
      <c r="D1911" t="inlineStr">
        <is>
          <t>VÄSTERNORRLANDS LÄN</t>
        </is>
      </c>
      <c r="E1911" t="inlineStr">
        <is>
          <t>SOLLEFTEÅ</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7331-2023</t>
        </is>
      </c>
      <c r="B1912" s="1" t="n">
        <v>44970</v>
      </c>
      <c r="C1912" s="1" t="n">
        <v>45802</v>
      </c>
      <c r="D1912" t="inlineStr">
        <is>
          <t>VÄSTERNORRLANDS LÄN</t>
        </is>
      </c>
      <c r="E1912" t="inlineStr">
        <is>
          <t>SOLLEFTEÅ</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7333-2023</t>
        </is>
      </c>
      <c r="B1913" s="1" t="n">
        <v>44971</v>
      </c>
      <c r="C1913" s="1" t="n">
        <v>45802</v>
      </c>
      <c r="D1913" t="inlineStr">
        <is>
          <t>VÄSTERNORRLANDS LÄN</t>
        </is>
      </c>
      <c r="E1913" t="inlineStr">
        <is>
          <t>SOLLEFTEÅ</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7713-2023</t>
        </is>
      </c>
      <c r="B1914" s="1" t="n">
        <v>44972</v>
      </c>
      <c r="C1914" s="1" t="n">
        <v>45802</v>
      </c>
      <c r="D1914" t="inlineStr">
        <is>
          <t>VÄSTERNORRLANDS LÄN</t>
        </is>
      </c>
      <c r="E1914" t="inlineStr">
        <is>
          <t>SOLLEFTEÅ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7721-2023</t>
        </is>
      </c>
      <c r="B1915" s="1" t="n">
        <v>44972</v>
      </c>
      <c r="C1915" s="1" t="n">
        <v>45802</v>
      </c>
      <c r="D1915" t="inlineStr">
        <is>
          <t>VÄSTERNORRLANDS LÄN</t>
        </is>
      </c>
      <c r="E1915" t="inlineStr">
        <is>
          <t>SOLLEFTEÅ</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8030-2023</t>
        </is>
      </c>
      <c r="B1916" s="1" t="n">
        <v>44973</v>
      </c>
      <c r="C1916" s="1" t="n">
        <v>45802</v>
      </c>
      <c r="D1916" t="inlineStr">
        <is>
          <t>VÄSTERNORRLANDS LÄN</t>
        </is>
      </c>
      <c r="E1916" t="inlineStr">
        <is>
          <t>SOLLEFTEÅ</t>
        </is>
      </c>
      <c r="F1916" t="inlineStr">
        <is>
          <t>SCA</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8959-2023</t>
        </is>
      </c>
      <c r="B1917" s="1" t="n">
        <v>44974</v>
      </c>
      <c r="C1917" s="1" t="n">
        <v>45802</v>
      </c>
      <c r="D1917" t="inlineStr">
        <is>
          <t>VÄSTERNORRLANDS LÄN</t>
        </is>
      </c>
      <c r="E1917" t="inlineStr">
        <is>
          <t>SOLLEFTEÅ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8640-2023</t>
        </is>
      </c>
      <c r="B1918" s="1" t="n">
        <v>44978</v>
      </c>
      <c r="C1918" s="1" t="n">
        <v>45802</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8658-2023</t>
        </is>
      </c>
      <c r="B1919" s="1" t="n">
        <v>44978</v>
      </c>
      <c r="C1919" s="1" t="n">
        <v>45802</v>
      </c>
      <c r="D1919" t="inlineStr">
        <is>
          <t>VÄSTERNORRLANDS LÄN</t>
        </is>
      </c>
      <c r="E1919" t="inlineStr">
        <is>
          <t>SOLLEFTEÅ</t>
        </is>
      </c>
      <c r="F1919" t="inlineStr">
        <is>
          <t>SCA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8668-2023</t>
        </is>
      </c>
      <c r="B1920" s="1" t="n">
        <v>44978</v>
      </c>
      <c r="C1920" s="1" t="n">
        <v>45802</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8672-2023</t>
        </is>
      </c>
      <c r="B1921" s="1" t="n">
        <v>44977</v>
      </c>
      <c r="C1921" s="1" t="n">
        <v>45802</v>
      </c>
      <c r="D1921" t="inlineStr">
        <is>
          <t>VÄSTERNORRLANDS LÄN</t>
        </is>
      </c>
      <c r="E1921" t="inlineStr">
        <is>
          <t>SOLLEFTEÅ</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8656-2023</t>
        </is>
      </c>
      <c r="B1922" s="1" t="n">
        <v>44978</v>
      </c>
      <c r="C1922" s="1" t="n">
        <v>45802</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8670-2023</t>
        </is>
      </c>
      <c r="B1923" s="1" t="n">
        <v>44977</v>
      </c>
      <c r="C1923" s="1" t="n">
        <v>45802</v>
      </c>
      <c r="D1923" t="inlineStr">
        <is>
          <t>VÄSTERNORRLANDS LÄN</t>
        </is>
      </c>
      <c r="E1923" t="inlineStr">
        <is>
          <t>SOLLEFTEÅ</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8667-2023</t>
        </is>
      </c>
      <c r="B1924" s="1" t="n">
        <v>44978</v>
      </c>
      <c r="C1924" s="1" t="n">
        <v>45802</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8671-2023</t>
        </is>
      </c>
      <c r="B1925" s="1" t="n">
        <v>44978</v>
      </c>
      <c r="C1925" s="1" t="n">
        <v>45802</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8875-2023</t>
        </is>
      </c>
      <c r="B1926" s="1" t="n">
        <v>44978</v>
      </c>
      <c r="C1926" s="1" t="n">
        <v>45802</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8880-2023</t>
        </is>
      </c>
      <c r="B1927" s="1" t="n">
        <v>44978</v>
      </c>
      <c r="C1927" s="1" t="n">
        <v>45802</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9097-2023</t>
        </is>
      </c>
      <c r="B1928" s="1" t="n">
        <v>44979</v>
      </c>
      <c r="C1928" s="1" t="n">
        <v>45802</v>
      </c>
      <c r="D1928" t="inlineStr">
        <is>
          <t>VÄSTERNORRLANDS LÄN</t>
        </is>
      </c>
      <c r="E1928" t="inlineStr">
        <is>
          <t>SOLLEFTEÅ</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9095-2023</t>
        </is>
      </c>
      <c r="B1929" s="1" t="n">
        <v>44979</v>
      </c>
      <c r="C1929" s="1" t="n">
        <v>45802</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9099-2023</t>
        </is>
      </c>
      <c r="B1930" s="1" t="n">
        <v>44979</v>
      </c>
      <c r="C1930" s="1" t="n">
        <v>45802</v>
      </c>
      <c r="D1930" t="inlineStr">
        <is>
          <t>VÄSTERNORRLANDS LÄN</t>
        </is>
      </c>
      <c r="E1930" t="inlineStr">
        <is>
          <t>SOLLEFTEÅ</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9096-2023</t>
        </is>
      </c>
      <c r="B1931" s="1" t="n">
        <v>44979</v>
      </c>
      <c r="C1931" s="1" t="n">
        <v>45802</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9104-2023</t>
        </is>
      </c>
      <c r="B1932" s="1" t="n">
        <v>44979</v>
      </c>
      <c r="C1932" s="1" t="n">
        <v>45802</v>
      </c>
      <c r="D1932" t="inlineStr">
        <is>
          <t>VÄSTERNORRLANDS LÄN</t>
        </is>
      </c>
      <c r="E1932" t="inlineStr">
        <is>
          <t>SOLLEFTEÅ</t>
        </is>
      </c>
      <c r="F1932" t="inlineStr">
        <is>
          <t>SCA</t>
        </is>
      </c>
      <c r="G1932" t="n">
        <v>22.1</v>
      </c>
      <c r="H1932" t="n">
        <v>0</v>
      </c>
      <c r="I1932" t="n">
        <v>0</v>
      </c>
      <c r="J1932" t="n">
        <v>0</v>
      </c>
      <c r="K1932" t="n">
        <v>0</v>
      </c>
      <c r="L1932" t="n">
        <v>0</v>
      </c>
      <c r="M1932" t="n">
        <v>0</v>
      </c>
      <c r="N1932" t="n">
        <v>0</v>
      </c>
      <c r="O1932" t="n">
        <v>0</v>
      </c>
      <c r="P1932" t="n">
        <v>0</v>
      </c>
      <c r="Q1932" t="n">
        <v>0</v>
      </c>
      <c r="R1932" s="2" t="inlineStr"/>
    </row>
    <row r="1933" ht="15" customHeight="1">
      <c r="A1933" t="inlineStr">
        <is>
          <t>A 9098-2023</t>
        </is>
      </c>
      <c r="B1933" s="1" t="n">
        <v>44979</v>
      </c>
      <c r="C1933" s="1" t="n">
        <v>45802</v>
      </c>
      <c r="D1933" t="inlineStr">
        <is>
          <t>VÄSTERNORRLANDS LÄN</t>
        </is>
      </c>
      <c r="E1933" t="inlineStr">
        <is>
          <t>SOLLEFTEÅ</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9105-2023</t>
        </is>
      </c>
      <c r="B1934" s="1" t="n">
        <v>44979</v>
      </c>
      <c r="C1934" s="1" t="n">
        <v>45802</v>
      </c>
      <c r="D1934" t="inlineStr">
        <is>
          <t>VÄSTERNORRLANDS LÄN</t>
        </is>
      </c>
      <c r="E1934" t="inlineStr">
        <is>
          <t>SOLLEFTEÅ</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9358-2023</t>
        </is>
      </c>
      <c r="B1935" s="1" t="n">
        <v>44980</v>
      </c>
      <c r="C1935" s="1" t="n">
        <v>45802</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10256-2023</t>
        </is>
      </c>
      <c r="B1936" s="1" t="n">
        <v>44980</v>
      </c>
      <c r="C1936" s="1" t="n">
        <v>45802</v>
      </c>
      <c r="D1936" t="inlineStr">
        <is>
          <t>VÄSTERNORRLANDS LÄN</t>
        </is>
      </c>
      <c r="E1936" t="inlineStr">
        <is>
          <t>SOLLEFTEÅ</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9362-2023</t>
        </is>
      </c>
      <c r="B1937" s="1" t="n">
        <v>44980</v>
      </c>
      <c r="C1937" s="1" t="n">
        <v>45802</v>
      </c>
      <c r="D1937" t="inlineStr">
        <is>
          <t>VÄSTERNORRLANDS LÄN</t>
        </is>
      </c>
      <c r="E1937" t="inlineStr">
        <is>
          <t>SOLLEFTEÅ</t>
        </is>
      </c>
      <c r="F1937" t="inlineStr">
        <is>
          <t>SCA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9549-2023</t>
        </is>
      </c>
      <c r="B1938" s="1" t="n">
        <v>44981</v>
      </c>
      <c r="C1938" s="1" t="n">
        <v>45802</v>
      </c>
      <c r="D1938" t="inlineStr">
        <is>
          <t>VÄSTERNORRLANDS LÄN</t>
        </is>
      </c>
      <c r="E1938" t="inlineStr">
        <is>
          <t>SOLLEFTEÅ</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10428-2023</t>
        </is>
      </c>
      <c r="B1939" s="1" t="n">
        <v>44981</v>
      </c>
      <c r="C1939" s="1" t="n">
        <v>45802</v>
      </c>
      <c r="D1939" t="inlineStr">
        <is>
          <t>VÄSTERNORRLANDS LÄN</t>
        </is>
      </c>
      <c r="E1939" t="inlineStr">
        <is>
          <t>SOLLEFTEÅ</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9617-2023</t>
        </is>
      </c>
      <c r="B1940" s="1" t="n">
        <v>44983</v>
      </c>
      <c r="C1940" s="1" t="n">
        <v>45802</v>
      </c>
      <c r="D1940" t="inlineStr">
        <is>
          <t>VÄSTERNORRLANDS LÄN</t>
        </is>
      </c>
      <c r="E1940" t="inlineStr">
        <is>
          <t>SOLLEFTEÅ</t>
        </is>
      </c>
      <c r="F1940" t="inlineStr">
        <is>
          <t>SCA</t>
        </is>
      </c>
      <c r="G1940" t="n">
        <v>39.6</v>
      </c>
      <c r="H1940" t="n">
        <v>0</v>
      </c>
      <c r="I1940" t="n">
        <v>0</v>
      </c>
      <c r="J1940" t="n">
        <v>0</v>
      </c>
      <c r="K1940" t="n">
        <v>0</v>
      </c>
      <c r="L1940" t="n">
        <v>0</v>
      </c>
      <c r="M1940" t="n">
        <v>0</v>
      </c>
      <c r="N1940" t="n">
        <v>0</v>
      </c>
      <c r="O1940" t="n">
        <v>0</v>
      </c>
      <c r="P1940" t="n">
        <v>0</v>
      </c>
      <c r="Q1940" t="n">
        <v>0</v>
      </c>
      <c r="R1940" s="2" t="inlineStr"/>
    </row>
    <row r="1941" ht="15" customHeight="1">
      <c r="A1941" t="inlineStr">
        <is>
          <t>A 9616-2023</t>
        </is>
      </c>
      <c r="B1941" s="1" t="n">
        <v>44983</v>
      </c>
      <c r="C1941" s="1" t="n">
        <v>45802</v>
      </c>
      <c r="D1941" t="inlineStr">
        <is>
          <t>VÄSTERNORRLANDS LÄN</t>
        </is>
      </c>
      <c r="E1941" t="inlineStr">
        <is>
          <t>SOLLEFTEÅ</t>
        </is>
      </c>
      <c r="F1941" t="inlineStr">
        <is>
          <t>SCA</t>
        </is>
      </c>
      <c r="G1941" t="n">
        <v>45.9</v>
      </c>
      <c r="H1941" t="n">
        <v>0</v>
      </c>
      <c r="I1941" t="n">
        <v>0</v>
      </c>
      <c r="J1941" t="n">
        <v>0</v>
      </c>
      <c r="K1941" t="n">
        <v>0</v>
      </c>
      <c r="L1941" t="n">
        <v>0</v>
      </c>
      <c r="M1941" t="n">
        <v>0</v>
      </c>
      <c r="N1941" t="n">
        <v>0</v>
      </c>
      <c r="O1941" t="n">
        <v>0</v>
      </c>
      <c r="P1941" t="n">
        <v>0</v>
      </c>
      <c r="Q1941" t="n">
        <v>0</v>
      </c>
      <c r="R1941" s="2" t="inlineStr"/>
    </row>
    <row r="1942" ht="15" customHeight="1">
      <c r="A1942" t="inlineStr">
        <is>
          <t>A 9614-2023</t>
        </is>
      </c>
      <c r="B1942" s="1" t="n">
        <v>44983</v>
      </c>
      <c r="C1942" s="1" t="n">
        <v>45802</v>
      </c>
      <c r="D1942" t="inlineStr">
        <is>
          <t>VÄSTERNORRLANDS LÄN</t>
        </is>
      </c>
      <c r="E1942" t="inlineStr">
        <is>
          <t>SOLLEFTEÅ</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9741-2023</t>
        </is>
      </c>
      <c r="B1943" s="1" t="n">
        <v>44984</v>
      </c>
      <c r="C1943" s="1" t="n">
        <v>45802</v>
      </c>
      <c r="D1943" t="inlineStr">
        <is>
          <t>VÄSTERNORRLANDS LÄN</t>
        </is>
      </c>
      <c r="E1943" t="inlineStr">
        <is>
          <t>SOLLEFTEÅ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9829-2023</t>
        </is>
      </c>
      <c r="B1944" s="1" t="n">
        <v>44984</v>
      </c>
      <c r="C1944" s="1" t="n">
        <v>45802</v>
      </c>
      <c r="D1944" t="inlineStr">
        <is>
          <t>VÄSTERNORRLANDS LÄN</t>
        </is>
      </c>
      <c r="E1944" t="inlineStr">
        <is>
          <t>SOLLEFTEÅ</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9858-2023</t>
        </is>
      </c>
      <c r="B1945" s="1" t="n">
        <v>44984</v>
      </c>
      <c r="C1945" s="1" t="n">
        <v>45802</v>
      </c>
      <c r="D1945" t="inlineStr">
        <is>
          <t>VÄSTERNORRLANDS LÄN</t>
        </is>
      </c>
      <c r="E1945" t="inlineStr">
        <is>
          <t>SOLLEFTEÅ</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9879-2023</t>
        </is>
      </c>
      <c r="B1946" s="1" t="n">
        <v>44984</v>
      </c>
      <c r="C1946" s="1" t="n">
        <v>45802</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9871-2023</t>
        </is>
      </c>
      <c r="B1947" s="1" t="n">
        <v>44984</v>
      </c>
      <c r="C1947" s="1" t="n">
        <v>45802</v>
      </c>
      <c r="D1947" t="inlineStr">
        <is>
          <t>VÄSTERNORRLANDS LÄN</t>
        </is>
      </c>
      <c r="E1947" t="inlineStr">
        <is>
          <t>SOLLEFTEÅ</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10079-2023</t>
        </is>
      </c>
      <c r="B1948" s="1" t="n">
        <v>44985</v>
      </c>
      <c r="C1948" s="1" t="n">
        <v>45802</v>
      </c>
      <c r="D1948" t="inlineStr">
        <is>
          <t>VÄSTERNORRLANDS LÄN</t>
        </is>
      </c>
      <c r="E1948" t="inlineStr">
        <is>
          <t>SOLLEFTEÅ</t>
        </is>
      </c>
      <c r="F1948" t="inlineStr">
        <is>
          <t>SCA</t>
        </is>
      </c>
      <c r="G1948" t="n">
        <v>32.7</v>
      </c>
      <c r="H1948" t="n">
        <v>0</v>
      </c>
      <c r="I1948" t="n">
        <v>0</v>
      </c>
      <c r="J1948" t="n">
        <v>0</v>
      </c>
      <c r="K1948" t="n">
        <v>0</v>
      </c>
      <c r="L1948" t="n">
        <v>0</v>
      </c>
      <c r="M1948" t="n">
        <v>0</v>
      </c>
      <c r="N1948" t="n">
        <v>0</v>
      </c>
      <c r="O1948" t="n">
        <v>0</v>
      </c>
      <c r="P1948" t="n">
        <v>0</v>
      </c>
      <c r="Q1948" t="n">
        <v>0</v>
      </c>
      <c r="R1948" s="2" t="inlineStr"/>
    </row>
    <row r="1949" ht="15" customHeight="1">
      <c r="A1949" t="inlineStr">
        <is>
          <t>A 10094-2023</t>
        </is>
      </c>
      <c r="B1949" s="1" t="n">
        <v>44985</v>
      </c>
      <c r="C1949" s="1" t="n">
        <v>45802</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10095-2023</t>
        </is>
      </c>
      <c r="B1950" s="1" t="n">
        <v>44985</v>
      </c>
      <c r="C1950" s="1" t="n">
        <v>45802</v>
      </c>
      <c r="D1950" t="inlineStr">
        <is>
          <t>VÄSTERNORRLANDS LÄN</t>
        </is>
      </c>
      <c r="E1950" t="inlineStr">
        <is>
          <t>SOLLEFTEÅ</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10077-2023</t>
        </is>
      </c>
      <c r="B1951" s="1" t="n">
        <v>44985</v>
      </c>
      <c r="C1951" s="1" t="n">
        <v>45802</v>
      </c>
      <c r="D1951" t="inlineStr">
        <is>
          <t>VÄSTERNORRLANDS LÄN</t>
        </is>
      </c>
      <c r="E1951" t="inlineStr">
        <is>
          <t>SOLLEFTEÅ</t>
        </is>
      </c>
      <c r="F1951" t="inlineStr">
        <is>
          <t>SCA</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10099-2023</t>
        </is>
      </c>
      <c r="B1952" s="1" t="n">
        <v>44985</v>
      </c>
      <c r="C1952" s="1" t="n">
        <v>45802</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10078-2023</t>
        </is>
      </c>
      <c r="B1953" s="1" t="n">
        <v>44985</v>
      </c>
      <c r="C1953" s="1" t="n">
        <v>45802</v>
      </c>
      <c r="D1953" t="inlineStr">
        <is>
          <t>VÄSTERNORRLANDS LÄN</t>
        </is>
      </c>
      <c r="E1953" t="inlineStr">
        <is>
          <t>SOLLEFTEÅ</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10093-2023</t>
        </is>
      </c>
      <c r="B1954" s="1" t="n">
        <v>44985</v>
      </c>
      <c r="C1954" s="1" t="n">
        <v>45802</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10294-2023</t>
        </is>
      </c>
      <c r="B1955" s="1" t="n">
        <v>44986</v>
      </c>
      <c r="C1955" s="1" t="n">
        <v>45802</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10311-2023</t>
        </is>
      </c>
      <c r="B1956" s="1" t="n">
        <v>44986</v>
      </c>
      <c r="C1956" s="1" t="n">
        <v>45802</v>
      </c>
      <c r="D1956" t="inlineStr">
        <is>
          <t>VÄSTERNORRLANDS LÄN</t>
        </is>
      </c>
      <c r="E1956" t="inlineStr">
        <is>
          <t>SOLLEFTEÅ</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11094-2023</t>
        </is>
      </c>
      <c r="B1957" s="1" t="n">
        <v>44986</v>
      </c>
      <c r="C1957" s="1" t="n">
        <v>45802</v>
      </c>
      <c r="D1957" t="inlineStr">
        <is>
          <t>VÄSTERNORRLANDS LÄN</t>
        </is>
      </c>
      <c r="E1957" t="inlineStr">
        <is>
          <t>SOLLEFTEÅ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10526-2023</t>
        </is>
      </c>
      <c r="B1958" s="1" t="n">
        <v>44987</v>
      </c>
      <c r="C1958" s="1" t="n">
        <v>45802</v>
      </c>
      <c r="D1958" t="inlineStr">
        <is>
          <t>VÄSTERNORRLANDS LÄN</t>
        </is>
      </c>
      <c r="E1958" t="inlineStr">
        <is>
          <t>SOLLEFTEÅ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10541-2023</t>
        </is>
      </c>
      <c r="B1959" s="1" t="n">
        <v>44987</v>
      </c>
      <c r="C1959" s="1" t="n">
        <v>45802</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10549-2023</t>
        </is>
      </c>
      <c r="B1960" s="1" t="n">
        <v>44987</v>
      </c>
      <c r="C1960" s="1" t="n">
        <v>45802</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10777-2023</t>
        </is>
      </c>
      <c r="B1961" s="1" t="n">
        <v>44988</v>
      </c>
      <c r="C1961" s="1" t="n">
        <v>45802</v>
      </c>
      <c r="D1961" t="inlineStr">
        <is>
          <t>VÄSTERNORRLANDS LÄN</t>
        </is>
      </c>
      <c r="E1961" t="inlineStr">
        <is>
          <t>SOLLEFTEÅ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10771-2023</t>
        </is>
      </c>
      <c r="B1962" s="1" t="n">
        <v>44988</v>
      </c>
      <c r="C1962" s="1" t="n">
        <v>45802</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10783-2023</t>
        </is>
      </c>
      <c r="B1963" s="1" t="n">
        <v>44988</v>
      </c>
      <c r="C1963" s="1" t="n">
        <v>45802</v>
      </c>
      <c r="D1963" t="inlineStr">
        <is>
          <t>VÄSTERNORRLANDS LÄN</t>
        </is>
      </c>
      <c r="E1963" t="inlineStr">
        <is>
          <t>SOLLEFTEÅ</t>
        </is>
      </c>
      <c r="F1963" t="inlineStr">
        <is>
          <t>SCA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10768-2023</t>
        </is>
      </c>
      <c r="B1964" s="1" t="n">
        <v>44988</v>
      </c>
      <c r="C1964" s="1" t="n">
        <v>45802</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10785-2023</t>
        </is>
      </c>
      <c r="B1965" s="1" t="n">
        <v>44988</v>
      </c>
      <c r="C1965" s="1" t="n">
        <v>45802</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11038-2023</t>
        </is>
      </c>
      <c r="B1966" s="1" t="n">
        <v>44991</v>
      </c>
      <c r="C1966" s="1" t="n">
        <v>45802</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11052-2023</t>
        </is>
      </c>
      <c r="B1967" s="1" t="n">
        <v>44991</v>
      </c>
      <c r="C1967" s="1" t="n">
        <v>45802</v>
      </c>
      <c r="D1967" t="inlineStr">
        <is>
          <t>VÄSTERNORRLANDS LÄN</t>
        </is>
      </c>
      <c r="E1967" t="inlineStr">
        <is>
          <t>SOLLEFTEÅ</t>
        </is>
      </c>
      <c r="F1967" t="inlineStr">
        <is>
          <t>SCA</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11039-2023</t>
        </is>
      </c>
      <c r="B1968" s="1" t="n">
        <v>44991</v>
      </c>
      <c r="C1968" s="1" t="n">
        <v>45802</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11301-2023</t>
        </is>
      </c>
      <c r="B1969" s="1" t="n">
        <v>44993</v>
      </c>
      <c r="C1969" s="1" t="n">
        <v>45802</v>
      </c>
      <c r="D1969" t="inlineStr">
        <is>
          <t>VÄSTERNORRLANDS LÄN</t>
        </is>
      </c>
      <c r="E1969" t="inlineStr">
        <is>
          <t>SOLLEFTEÅ</t>
        </is>
      </c>
      <c r="F1969" t="inlineStr">
        <is>
          <t>SCA</t>
        </is>
      </c>
      <c r="G1969" t="n">
        <v>19.9</v>
      </c>
      <c r="H1969" t="n">
        <v>0</v>
      </c>
      <c r="I1969" t="n">
        <v>0</v>
      </c>
      <c r="J1969" t="n">
        <v>0</v>
      </c>
      <c r="K1969" t="n">
        <v>0</v>
      </c>
      <c r="L1969" t="n">
        <v>0</v>
      </c>
      <c r="M1969" t="n">
        <v>0</v>
      </c>
      <c r="N1969" t="n">
        <v>0</v>
      </c>
      <c r="O1969" t="n">
        <v>0</v>
      </c>
      <c r="P1969" t="n">
        <v>0</v>
      </c>
      <c r="Q1969" t="n">
        <v>0</v>
      </c>
      <c r="R1969" s="2" t="inlineStr"/>
    </row>
    <row r="1970" ht="15" customHeight="1">
      <c r="A1970" t="inlineStr">
        <is>
          <t>A 11306-2023</t>
        </is>
      </c>
      <c r="B1970" s="1" t="n">
        <v>44993</v>
      </c>
      <c r="C1970" s="1" t="n">
        <v>45802</v>
      </c>
      <c r="D1970" t="inlineStr">
        <is>
          <t>VÄSTERNORRLANDS LÄN</t>
        </is>
      </c>
      <c r="E1970" t="inlineStr">
        <is>
          <t>SOLLEFTEÅ</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11551-2023</t>
        </is>
      </c>
      <c r="B1971" s="1" t="n">
        <v>44993</v>
      </c>
      <c r="C1971" s="1" t="n">
        <v>45802</v>
      </c>
      <c r="D1971" t="inlineStr">
        <is>
          <t>VÄSTERNORRLANDS LÄN</t>
        </is>
      </c>
      <c r="E1971" t="inlineStr">
        <is>
          <t>SOLLEFTEÅ</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11555-2023</t>
        </is>
      </c>
      <c r="B1972" s="1" t="n">
        <v>44993</v>
      </c>
      <c r="C1972" s="1" t="n">
        <v>45802</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11554-2023</t>
        </is>
      </c>
      <c r="B1973" s="1" t="n">
        <v>44993</v>
      </c>
      <c r="C1973" s="1" t="n">
        <v>45802</v>
      </c>
      <c r="D1973" t="inlineStr">
        <is>
          <t>VÄSTERNORRLANDS LÄN</t>
        </is>
      </c>
      <c r="E1973" t="inlineStr">
        <is>
          <t>SOLLEFTEÅ</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11831-2023</t>
        </is>
      </c>
      <c r="B1974" s="1" t="n">
        <v>44994</v>
      </c>
      <c r="C1974" s="1" t="n">
        <v>45802</v>
      </c>
      <c r="D1974" t="inlineStr">
        <is>
          <t>VÄSTERNORRLANDS LÄN</t>
        </is>
      </c>
      <c r="E1974" t="inlineStr">
        <is>
          <t>SOLLEFTEÅ</t>
        </is>
      </c>
      <c r="F1974" t="inlineStr">
        <is>
          <t>SCA</t>
        </is>
      </c>
      <c r="G1974" t="n">
        <v>14.8</v>
      </c>
      <c r="H1974" t="n">
        <v>0</v>
      </c>
      <c r="I1974" t="n">
        <v>0</v>
      </c>
      <c r="J1974" t="n">
        <v>0</v>
      </c>
      <c r="K1974" t="n">
        <v>0</v>
      </c>
      <c r="L1974" t="n">
        <v>0</v>
      </c>
      <c r="M1974" t="n">
        <v>0</v>
      </c>
      <c r="N1974" t="n">
        <v>0</v>
      </c>
      <c r="O1974" t="n">
        <v>0</v>
      </c>
      <c r="P1974" t="n">
        <v>0</v>
      </c>
      <c r="Q1974" t="n">
        <v>0</v>
      </c>
      <c r="R1974" s="2" t="inlineStr"/>
    </row>
    <row r="1975" ht="15" customHeight="1">
      <c r="A1975" t="inlineStr">
        <is>
          <t>A 12107-2023</t>
        </is>
      </c>
      <c r="B1975" s="1" t="n">
        <v>44995</v>
      </c>
      <c r="C1975" s="1" t="n">
        <v>45802</v>
      </c>
      <c r="D1975" t="inlineStr">
        <is>
          <t>VÄSTERNORRLANDS LÄN</t>
        </is>
      </c>
      <c r="E1975" t="inlineStr">
        <is>
          <t>SOLLEFTEÅ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12135-2023</t>
        </is>
      </c>
      <c r="B1976" s="1" t="n">
        <v>44995</v>
      </c>
      <c r="C1976" s="1" t="n">
        <v>45802</v>
      </c>
      <c r="D1976" t="inlineStr">
        <is>
          <t>VÄSTERNORRLANDS LÄN</t>
        </is>
      </c>
      <c r="E1976" t="inlineStr">
        <is>
          <t>SOLLEFTEÅ</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12038-2023</t>
        </is>
      </c>
      <c r="B1977" s="1" t="n">
        <v>44996</v>
      </c>
      <c r="C1977" s="1" t="n">
        <v>45802</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12053-2023</t>
        </is>
      </c>
      <c r="B1978" s="1" t="n">
        <v>44996</v>
      </c>
      <c r="C1978" s="1" t="n">
        <v>45802</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12129-2023</t>
        </is>
      </c>
      <c r="B1979" s="1" t="n">
        <v>44995</v>
      </c>
      <c r="C1979" s="1" t="n">
        <v>45802</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12164-2023</t>
        </is>
      </c>
      <c r="B1980" s="1" t="n">
        <v>44995</v>
      </c>
      <c r="C1980" s="1" t="n">
        <v>45802</v>
      </c>
      <c r="D1980" t="inlineStr">
        <is>
          <t>VÄSTERNORRLANDS LÄN</t>
        </is>
      </c>
      <c r="E1980" t="inlineStr">
        <is>
          <t>SOLLEFTEÅ</t>
        </is>
      </c>
      <c r="G1980" t="n">
        <v>18.3</v>
      </c>
      <c r="H1980" t="n">
        <v>0</v>
      </c>
      <c r="I1980" t="n">
        <v>0</v>
      </c>
      <c r="J1980" t="n">
        <v>0</v>
      </c>
      <c r="K1980" t="n">
        <v>0</v>
      </c>
      <c r="L1980" t="n">
        <v>0</v>
      </c>
      <c r="M1980" t="n">
        <v>0</v>
      </c>
      <c r="N1980" t="n">
        <v>0</v>
      </c>
      <c r="O1980" t="n">
        <v>0</v>
      </c>
      <c r="P1980" t="n">
        <v>0</v>
      </c>
      <c r="Q1980" t="n">
        <v>0</v>
      </c>
      <c r="R1980" s="2" t="inlineStr"/>
    </row>
    <row r="1981" ht="15" customHeight="1">
      <c r="A1981" t="inlineStr">
        <is>
          <t>A 12311-2023</t>
        </is>
      </c>
      <c r="B1981" s="1" t="n">
        <v>44995</v>
      </c>
      <c r="C1981" s="1" t="n">
        <v>45802</v>
      </c>
      <c r="D1981" t="inlineStr">
        <is>
          <t>VÄSTERNORRLANDS LÄN</t>
        </is>
      </c>
      <c r="E1981" t="inlineStr">
        <is>
          <t>SOLLEFTEÅ</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12054-2023</t>
        </is>
      </c>
      <c r="B1982" s="1" t="n">
        <v>44996</v>
      </c>
      <c r="C1982" s="1" t="n">
        <v>45802</v>
      </c>
      <c r="D1982" t="inlineStr">
        <is>
          <t>VÄSTERNORRLANDS LÄN</t>
        </is>
      </c>
      <c r="E1982" t="inlineStr">
        <is>
          <t>SOLLEFTEÅ</t>
        </is>
      </c>
      <c r="F1982" t="inlineStr">
        <is>
          <t>SCA</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12045-2023</t>
        </is>
      </c>
      <c r="B1983" s="1" t="n">
        <v>44996</v>
      </c>
      <c r="C1983" s="1" t="n">
        <v>45802</v>
      </c>
      <c r="D1983" t="inlineStr">
        <is>
          <t>VÄSTERNORRLANDS LÄN</t>
        </is>
      </c>
      <c r="E1983" t="inlineStr">
        <is>
          <t>SOLLEFTEÅ</t>
        </is>
      </c>
      <c r="F1983" t="inlineStr">
        <is>
          <t>SCA</t>
        </is>
      </c>
      <c r="G1983" t="n">
        <v>16.4</v>
      </c>
      <c r="H1983" t="n">
        <v>0</v>
      </c>
      <c r="I1983" t="n">
        <v>0</v>
      </c>
      <c r="J1983" t="n">
        <v>0</v>
      </c>
      <c r="K1983" t="n">
        <v>0</v>
      </c>
      <c r="L1983" t="n">
        <v>0</v>
      </c>
      <c r="M1983" t="n">
        <v>0</v>
      </c>
      <c r="N1983" t="n">
        <v>0</v>
      </c>
      <c r="O1983" t="n">
        <v>0</v>
      </c>
      <c r="P1983" t="n">
        <v>0</v>
      </c>
      <c r="Q1983" t="n">
        <v>0</v>
      </c>
      <c r="R1983" s="2" t="inlineStr"/>
    </row>
    <row r="1984" ht="15" customHeight="1">
      <c r="A1984" t="inlineStr">
        <is>
          <t>A 12429-2023</t>
        </is>
      </c>
      <c r="B1984" s="1" t="n">
        <v>44998</v>
      </c>
      <c r="C1984" s="1" t="n">
        <v>45802</v>
      </c>
      <c r="D1984" t="inlineStr">
        <is>
          <t>VÄSTERNORRLANDS LÄN</t>
        </is>
      </c>
      <c r="E1984" t="inlineStr">
        <is>
          <t>SOLLEFTEÅ</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12515-2023</t>
        </is>
      </c>
      <c r="B1985" s="1" t="n">
        <v>45000</v>
      </c>
      <c r="C1985" s="1" t="n">
        <v>45802</v>
      </c>
      <c r="D1985" t="inlineStr">
        <is>
          <t>VÄSTERNORRLANDS LÄN</t>
        </is>
      </c>
      <c r="E1985" t="inlineStr">
        <is>
          <t>SOLLEFTEÅ</t>
        </is>
      </c>
      <c r="F1985" t="inlineStr">
        <is>
          <t>SCA</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12726-2023</t>
        </is>
      </c>
      <c r="B1986" s="1" t="n">
        <v>45000</v>
      </c>
      <c r="C1986" s="1" t="n">
        <v>45802</v>
      </c>
      <c r="D1986" t="inlineStr">
        <is>
          <t>VÄSTERNORRLANDS LÄN</t>
        </is>
      </c>
      <c r="E1986" t="inlineStr">
        <is>
          <t>SOLLEFTEÅ</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12512-2023</t>
        </is>
      </c>
      <c r="B1987" s="1" t="n">
        <v>45000</v>
      </c>
      <c r="C1987" s="1" t="n">
        <v>45802</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12536-2023</t>
        </is>
      </c>
      <c r="B1988" s="1" t="n">
        <v>45000</v>
      </c>
      <c r="C1988" s="1" t="n">
        <v>45802</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12540-2023</t>
        </is>
      </c>
      <c r="B1989" s="1" t="n">
        <v>45000</v>
      </c>
      <c r="C1989" s="1" t="n">
        <v>45802</v>
      </c>
      <c r="D1989" t="inlineStr">
        <is>
          <t>VÄSTERNORRLANDS LÄN</t>
        </is>
      </c>
      <c r="E1989" t="inlineStr">
        <is>
          <t>SOLLEFTEÅ</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12730-2023</t>
        </is>
      </c>
      <c r="B1990" s="1" t="n">
        <v>45000</v>
      </c>
      <c r="C1990" s="1" t="n">
        <v>45802</v>
      </c>
      <c r="D1990" t="inlineStr">
        <is>
          <t>VÄSTERNORRLANDS LÄN</t>
        </is>
      </c>
      <c r="E1990" t="inlineStr">
        <is>
          <t>SOLLEFTEÅ</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12735-2023</t>
        </is>
      </c>
      <c r="B1991" s="1" t="n">
        <v>45000</v>
      </c>
      <c r="C1991" s="1" t="n">
        <v>45802</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12539-2023</t>
        </is>
      </c>
      <c r="B1992" s="1" t="n">
        <v>45000</v>
      </c>
      <c r="C1992" s="1" t="n">
        <v>45802</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12727-2023</t>
        </is>
      </c>
      <c r="B1993" s="1" t="n">
        <v>45000</v>
      </c>
      <c r="C1993" s="1" t="n">
        <v>45802</v>
      </c>
      <c r="D1993" t="inlineStr">
        <is>
          <t>VÄSTERNORRLANDS LÄN</t>
        </is>
      </c>
      <c r="E1993" t="inlineStr">
        <is>
          <t>SOLLEFTEÅ</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12733-2023</t>
        </is>
      </c>
      <c r="B1994" s="1" t="n">
        <v>45000</v>
      </c>
      <c r="C1994" s="1" t="n">
        <v>45802</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12747-2023</t>
        </is>
      </c>
      <c r="B1995" s="1" t="n">
        <v>45000</v>
      </c>
      <c r="C1995" s="1" t="n">
        <v>45802</v>
      </c>
      <c r="D1995" t="inlineStr">
        <is>
          <t>VÄSTERNORRLANDS LÄN</t>
        </is>
      </c>
      <c r="E1995" t="inlineStr">
        <is>
          <t>SOLLEFTEÅ</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12734-2023</t>
        </is>
      </c>
      <c r="B1996" s="1" t="n">
        <v>45000</v>
      </c>
      <c r="C1996" s="1" t="n">
        <v>45802</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12752-2023</t>
        </is>
      </c>
      <c r="B1997" s="1" t="n">
        <v>45000</v>
      </c>
      <c r="C1997" s="1" t="n">
        <v>45802</v>
      </c>
      <c r="D1997" t="inlineStr">
        <is>
          <t>VÄSTERNORRLANDS LÄN</t>
        </is>
      </c>
      <c r="E1997" t="inlineStr">
        <is>
          <t>SOLLEFTEÅ</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12746-2023</t>
        </is>
      </c>
      <c r="B1998" s="1" t="n">
        <v>45000</v>
      </c>
      <c r="C1998" s="1" t="n">
        <v>45802</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12755-2023</t>
        </is>
      </c>
      <c r="B1999" s="1" t="n">
        <v>45000</v>
      </c>
      <c r="C1999" s="1" t="n">
        <v>45802</v>
      </c>
      <c r="D1999" t="inlineStr">
        <is>
          <t>VÄSTERNORRLANDS LÄN</t>
        </is>
      </c>
      <c r="E1999" t="inlineStr">
        <is>
          <t>SOLLEFTEÅ</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12820-2023</t>
        </is>
      </c>
      <c r="B2000" s="1" t="n">
        <v>45000</v>
      </c>
      <c r="C2000" s="1" t="n">
        <v>45802</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12972-2023</t>
        </is>
      </c>
      <c r="B2001" s="1" t="n">
        <v>45001</v>
      </c>
      <c r="C2001" s="1" t="n">
        <v>45802</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13066-2023</t>
        </is>
      </c>
      <c r="B2002" s="1" t="n">
        <v>45001</v>
      </c>
      <c r="C2002" s="1" t="n">
        <v>45802</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13050-2023</t>
        </is>
      </c>
      <c r="B2003" s="1" t="n">
        <v>45001</v>
      </c>
      <c r="C2003" s="1" t="n">
        <v>45802</v>
      </c>
      <c r="D2003" t="inlineStr">
        <is>
          <t>VÄSTERNORRLANDS LÄN</t>
        </is>
      </c>
      <c r="E2003" t="inlineStr">
        <is>
          <t>SOLLEFTEÅ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12996-2023</t>
        </is>
      </c>
      <c r="B2004" s="1" t="n">
        <v>45002</v>
      </c>
      <c r="C2004" s="1" t="n">
        <v>45802</v>
      </c>
      <c r="D2004" t="inlineStr">
        <is>
          <t>VÄSTERNORRLANDS LÄN</t>
        </is>
      </c>
      <c r="E2004" t="inlineStr">
        <is>
          <t>SOLLEFTEÅ</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13009-2023</t>
        </is>
      </c>
      <c r="B2005" s="1" t="n">
        <v>45002</v>
      </c>
      <c r="C2005" s="1" t="n">
        <v>45802</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13006-2023</t>
        </is>
      </c>
      <c r="B2006" s="1" t="n">
        <v>45002</v>
      </c>
      <c r="C2006" s="1" t="n">
        <v>45802</v>
      </c>
      <c r="D2006" t="inlineStr">
        <is>
          <t>VÄSTERNORRLANDS LÄN</t>
        </is>
      </c>
      <c r="E2006" t="inlineStr">
        <is>
          <t>SOLLEFTEÅ</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12983-2023</t>
        </is>
      </c>
      <c r="B2007" s="1" t="n">
        <v>45002</v>
      </c>
      <c r="C2007" s="1" t="n">
        <v>45802</v>
      </c>
      <c r="D2007" t="inlineStr">
        <is>
          <t>VÄSTERNORRLANDS LÄN</t>
        </is>
      </c>
      <c r="E2007" t="inlineStr">
        <is>
          <t>SOLLEFTEÅ</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13008-2023</t>
        </is>
      </c>
      <c r="B2008" s="1" t="n">
        <v>45002</v>
      </c>
      <c r="C2008" s="1" t="n">
        <v>45802</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13007-2023</t>
        </is>
      </c>
      <c r="B2009" s="1" t="n">
        <v>45002</v>
      </c>
      <c r="C2009" s="1" t="n">
        <v>45802</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13252-2023</t>
        </is>
      </c>
      <c r="B2010" s="1" t="n">
        <v>45002</v>
      </c>
      <c r="C2010" s="1" t="n">
        <v>45802</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13264-2023</t>
        </is>
      </c>
      <c r="B2011" s="1" t="n">
        <v>45002</v>
      </c>
      <c r="C2011" s="1" t="n">
        <v>45802</v>
      </c>
      <c r="D2011" t="inlineStr">
        <is>
          <t>VÄSTERNORRLANDS LÄN</t>
        </is>
      </c>
      <c r="E2011" t="inlineStr">
        <is>
          <t>SOLLEFTEÅ</t>
        </is>
      </c>
      <c r="F2011" t="inlineStr">
        <is>
          <t>SCA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13292-2023</t>
        </is>
      </c>
      <c r="B2012" s="1" t="n">
        <v>45004</v>
      </c>
      <c r="C2012" s="1" t="n">
        <v>45802</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13489-2023</t>
        </is>
      </c>
      <c r="B2013" s="1" t="n">
        <v>45005</v>
      </c>
      <c r="C2013" s="1" t="n">
        <v>45802</v>
      </c>
      <c r="D2013" t="inlineStr">
        <is>
          <t>VÄSTERNORRLANDS LÄN</t>
        </is>
      </c>
      <c r="E2013" t="inlineStr">
        <is>
          <t>SOLLEFTEÅ</t>
        </is>
      </c>
      <c r="F2013" t="inlineStr">
        <is>
          <t>SCA</t>
        </is>
      </c>
      <c r="G2013" t="n">
        <v>26.3</v>
      </c>
      <c r="H2013" t="n">
        <v>0</v>
      </c>
      <c r="I2013" t="n">
        <v>0</v>
      </c>
      <c r="J2013" t="n">
        <v>0</v>
      </c>
      <c r="K2013" t="n">
        <v>0</v>
      </c>
      <c r="L2013" t="n">
        <v>0</v>
      </c>
      <c r="M2013" t="n">
        <v>0</v>
      </c>
      <c r="N2013" t="n">
        <v>0</v>
      </c>
      <c r="O2013" t="n">
        <v>0</v>
      </c>
      <c r="P2013" t="n">
        <v>0</v>
      </c>
      <c r="Q2013" t="n">
        <v>0</v>
      </c>
      <c r="R2013" s="2" t="inlineStr"/>
    </row>
    <row r="2014" ht="15" customHeight="1">
      <c r="A2014" t="inlineStr">
        <is>
          <t>A 13487-2023</t>
        </is>
      </c>
      <c r="B2014" s="1" t="n">
        <v>45005</v>
      </c>
      <c r="C2014" s="1" t="n">
        <v>45802</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13521-2023</t>
        </is>
      </c>
      <c r="B2015" s="1" t="n">
        <v>45005</v>
      </c>
      <c r="C2015" s="1" t="n">
        <v>45802</v>
      </c>
      <c r="D2015" t="inlineStr">
        <is>
          <t>VÄSTERNORRLANDS LÄN</t>
        </is>
      </c>
      <c r="E2015" t="inlineStr">
        <is>
          <t>SOLLEFTEÅ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13567-2023</t>
        </is>
      </c>
      <c r="B2016" s="1" t="n">
        <v>45005</v>
      </c>
      <c r="C2016" s="1" t="n">
        <v>45802</v>
      </c>
      <c r="D2016" t="inlineStr">
        <is>
          <t>VÄSTERNORRLANDS LÄN</t>
        </is>
      </c>
      <c r="E2016" t="inlineStr">
        <is>
          <t>SOLLEFTEÅ</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13570-2023</t>
        </is>
      </c>
      <c r="B2017" s="1" t="n">
        <v>45005</v>
      </c>
      <c r="C2017" s="1" t="n">
        <v>45802</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13499-2023</t>
        </is>
      </c>
      <c r="B2018" s="1" t="n">
        <v>45005</v>
      </c>
      <c r="C2018" s="1" t="n">
        <v>45802</v>
      </c>
      <c r="D2018" t="inlineStr">
        <is>
          <t>VÄSTERNORRLANDS LÄN</t>
        </is>
      </c>
      <c r="E2018" t="inlineStr">
        <is>
          <t>SOLLEFTEÅ</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13565-2023</t>
        </is>
      </c>
      <c r="B2019" s="1" t="n">
        <v>45005</v>
      </c>
      <c r="C2019" s="1" t="n">
        <v>45802</v>
      </c>
      <c r="D2019" t="inlineStr">
        <is>
          <t>VÄSTERNORRLANDS LÄN</t>
        </is>
      </c>
      <c r="E2019" t="inlineStr">
        <is>
          <t>SOLLEFTEÅ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13689-2023</t>
        </is>
      </c>
      <c r="B2020" s="1" t="n">
        <v>45006</v>
      </c>
      <c r="C2020" s="1" t="n">
        <v>45802</v>
      </c>
      <c r="D2020" t="inlineStr">
        <is>
          <t>VÄSTERNORRLANDS LÄN</t>
        </is>
      </c>
      <c r="E2020" t="inlineStr">
        <is>
          <t>SOLLEFTEÅ</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13695-2023</t>
        </is>
      </c>
      <c r="B2021" s="1" t="n">
        <v>45006</v>
      </c>
      <c r="C2021" s="1" t="n">
        <v>45802</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13697-2023</t>
        </is>
      </c>
      <c r="B2022" s="1" t="n">
        <v>45006</v>
      </c>
      <c r="C2022" s="1" t="n">
        <v>45802</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14109-2023</t>
        </is>
      </c>
      <c r="B2023" s="1" t="n">
        <v>45008</v>
      </c>
      <c r="C2023" s="1" t="n">
        <v>45802</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14134-2023</t>
        </is>
      </c>
      <c r="B2024" s="1" t="n">
        <v>45008</v>
      </c>
      <c r="C2024" s="1" t="n">
        <v>45802</v>
      </c>
      <c r="D2024" t="inlineStr">
        <is>
          <t>VÄSTERNORRLANDS LÄN</t>
        </is>
      </c>
      <c r="E2024" t="inlineStr">
        <is>
          <t>SOLLEFTEÅ</t>
        </is>
      </c>
      <c r="F2024" t="inlineStr">
        <is>
          <t>Övriga Aktiebolag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14718-2023</t>
        </is>
      </c>
      <c r="B2025" s="1" t="n">
        <v>45012</v>
      </c>
      <c r="C2025" s="1" t="n">
        <v>45802</v>
      </c>
      <c r="D2025" t="inlineStr">
        <is>
          <t>VÄSTERNORRLANDS LÄN</t>
        </is>
      </c>
      <c r="E2025" t="inlineStr">
        <is>
          <t>SOLLEFTEÅ</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14675-2023</t>
        </is>
      </c>
      <c r="B2026" s="1" t="n">
        <v>45014</v>
      </c>
      <c r="C2026" s="1" t="n">
        <v>45802</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14668-2023</t>
        </is>
      </c>
      <c r="B2027" s="1" t="n">
        <v>45014</v>
      </c>
      <c r="C2027" s="1" t="n">
        <v>45802</v>
      </c>
      <c r="D2027" t="inlineStr">
        <is>
          <t>VÄSTERNORRLANDS LÄN</t>
        </is>
      </c>
      <c r="E2027" t="inlineStr">
        <is>
          <t>SOLLEFTEÅ</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14937-2023</t>
        </is>
      </c>
      <c r="B2028" s="1" t="n">
        <v>45014</v>
      </c>
      <c r="C2028" s="1" t="n">
        <v>45802</v>
      </c>
      <c r="D2028" t="inlineStr">
        <is>
          <t>VÄSTERNORRLANDS LÄN</t>
        </is>
      </c>
      <c r="E2028" t="inlineStr">
        <is>
          <t>SOLLEFTEÅ</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14859-2023</t>
        </is>
      </c>
      <c r="B2029" s="1" t="n">
        <v>45015</v>
      </c>
      <c r="C2029" s="1" t="n">
        <v>45802</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14875-2023</t>
        </is>
      </c>
      <c r="B2030" s="1" t="n">
        <v>45015</v>
      </c>
      <c r="C2030" s="1" t="n">
        <v>45802</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15080-2023</t>
        </is>
      </c>
      <c r="B2031" s="1" t="n">
        <v>45016</v>
      </c>
      <c r="C2031" s="1" t="n">
        <v>45802</v>
      </c>
      <c r="D2031" t="inlineStr">
        <is>
          <t>VÄSTERNORRLANDS LÄN</t>
        </is>
      </c>
      <c r="E2031" t="inlineStr">
        <is>
          <t>SOLLEFTEÅ</t>
        </is>
      </c>
      <c r="F2031" t="inlineStr">
        <is>
          <t>SCA</t>
        </is>
      </c>
      <c r="G2031" t="n">
        <v>33.6</v>
      </c>
      <c r="H2031" t="n">
        <v>0</v>
      </c>
      <c r="I2031" t="n">
        <v>0</v>
      </c>
      <c r="J2031" t="n">
        <v>0</v>
      </c>
      <c r="K2031" t="n">
        <v>0</v>
      </c>
      <c r="L2031" t="n">
        <v>0</v>
      </c>
      <c r="M2031" t="n">
        <v>0</v>
      </c>
      <c r="N2031" t="n">
        <v>0</v>
      </c>
      <c r="O2031" t="n">
        <v>0</v>
      </c>
      <c r="P2031" t="n">
        <v>0</v>
      </c>
      <c r="Q2031" t="n">
        <v>0</v>
      </c>
      <c r="R2031" s="2" t="inlineStr"/>
    </row>
    <row r="2032" ht="15" customHeight="1">
      <c r="A2032" t="inlineStr">
        <is>
          <t>A 15632-2023</t>
        </is>
      </c>
      <c r="B2032" s="1" t="n">
        <v>45019</v>
      </c>
      <c r="C2032" s="1" t="n">
        <v>45802</v>
      </c>
      <c r="D2032" t="inlineStr">
        <is>
          <t>VÄSTERNORRLANDS LÄN</t>
        </is>
      </c>
      <c r="E2032" t="inlineStr">
        <is>
          <t>SOLLEFTEÅ</t>
        </is>
      </c>
      <c r="G2032" t="n">
        <v>12.8</v>
      </c>
      <c r="H2032" t="n">
        <v>0</v>
      </c>
      <c r="I2032" t="n">
        <v>0</v>
      </c>
      <c r="J2032" t="n">
        <v>0</v>
      </c>
      <c r="K2032" t="n">
        <v>0</v>
      </c>
      <c r="L2032" t="n">
        <v>0</v>
      </c>
      <c r="M2032" t="n">
        <v>0</v>
      </c>
      <c r="N2032" t="n">
        <v>0</v>
      </c>
      <c r="O2032" t="n">
        <v>0</v>
      </c>
      <c r="P2032" t="n">
        <v>0</v>
      </c>
      <c r="Q2032" t="n">
        <v>0</v>
      </c>
      <c r="R2032" s="2" t="inlineStr"/>
    </row>
    <row r="2033" ht="15" customHeight="1">
      <c r="A2033" t="inlineStr">
        <is>
          <t>A 15723-2023</t>
        </is>
      </c>
      <c r="B2033" s="1" t="n">
        <v>45020</v>
      </c>
      <c r="C2033" s="1" t="n">
        <v>45802</v>
      </c>
      <c r="D2033" t="inlineStr">
        <is>
          <t>VÄSTERNORRLANDS LÄN</t>
        </is>
      </c>
      <c r="E2033" t="inlineStr">
        <is>
          <t>SOLLEFTEÅ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15978-2023</t>
        </is>
      </c>
      <c r="B2034" s="1" t="n">
        <v>45023</v>
      </c>
      <c r="C2034" s="1" t="n">
        <v>45802</v>
      </c>
      <c r="D2034" t="inlineStr">
        <is>
          <t>VÄSTERNORRLANDS LÄN</t>
        </is>
      </c>
      <c r="E2034" t="inlineStr">
        <is>
          <t>SOLLEFTEÅ</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15987-2023</t>
        </is>
      </c>
      <c r="B2035" s="1" t="n">
        <v>45023</v>
      </c>
      <c r="C2035" s="1" t="n">
        <v>45802</v>
      </c>
      <c r="D2035" t="inlineStr">
        <is>
          <t>VÄSTERNORRLANDS LÄN</t>
        </is>
      </c>
      <c r="E2035" t="inlineStr">
        <is>
          <t>SOLLEFTEÅ</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15998-2023</t>
        </is>
      </c>
      <c r="B2036" s="1" t="n">
        <v>45024</v>
      </c>
      <c r="C2036" s="1" t="n">
        <v>45802</v>
      </c>
      <c r="D2036" t="inlineStr">
        <is>
          <t>VÄSTERNORRLANDS LÄN</t>
        </is>
      </c>
      <c r="E2036" t="inlineStr">
        <is>
          <t>SOLLEFTEÅ</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16189-2023</t>
        </is>
      </c>
      <c r="B2037" s="1" t="n">
        <v>45028</v>
      </c>
      <c r="C2037" s="1" t="n">
        <v>45802</v>
      </c>
      <c r="D2037" t="inlineStr">
        <is>
          <t>VÄSTERNORRLANDS LÄN</t>
        </is>
      </c>
      <c r="E2037" t="inlineStr">
        <is>
          <t>SOLLEFTEÅ</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16190-2023</t>
        </is>
      </c>
      <c r="B2038" s="1" t="n">
        <v>45028</v>
      </c>
      <c r="C2038" s="1" t="n">
        <v>45802</v>
      </c>
      <c r="D2038" t="inlineStr">
        <is>
          <t>VÄSTERNORRLANDS LÄN</t>
        </is>
      </c>
      <c r="E2038" t="inlineStr">
        <is>
          <t>SOLLEFTEÅ</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16196-2023</t>
        </is>
      </c>
      <c r="B2039" s="1" t="n">
        <v>45028</v>
      </c>
      <c r="C2039" s="1" t="n">
        <v>45802</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16370-2023</t>
        </is>
      </c>
      <c r="B2040" s="1" t="n">
        <v>45029</v>
      </c>
      <c r="C2040" s="1" t="n">
        <v>45802</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16376-2023</t>
        </is>
      </c>
      <c r="B2041" s="1" t="n">
        <v>45029</v>
      </c>
      <c r="C2041" s="1" t="n">
        <v>45802</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16562-2023</t>
        </is>
      </c>
      <c r="B2042" s="1" t="n">
        <v>45029</v>
      </c>
      <c r="C2042" s="1" t="n">
        <v>45802</v>
      </c>
      <c r="D2042" t="inlineStr">
        <is>
          <t>VÄSTERNORRLANDS LÄN</t>
        </is>
      </c>
      <c r="E2042" t="inlineStr">
        <is>
          <t>SOLLEFTEÅ</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16760-2023</t>
        </is>
      </c>
      <c r="B2043" s="1" t="n">
        <v>45030</v>
      </c>
      <c r="C2043" s="1" t="n">
        <v>45802</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17007-2023</t>
        </is>
      </c>
      <c r="B2044" s="1" t="n">
        <v>45034</v>
      </c>
      <c r="C2044" s="1" t="n">
        <v>45802</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17064-2023</t>
        </is>
      </c>
      <c r="B2045" s="1" t="n">
        <v>45034</v>
      </c>
      <c r="C2045" s="1" t="n">
        <v>45802</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17218-2023</t>
        </is>
      </c>
      <c r="B2046" s="1" t="n">
        <v>45035</v>
      </c>
      <c r="C2046" s="1" t="n">
        <v>45802</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17219-2023</t>
        </is>
      </c>
      <c r="B2047" s="1" t="n">
        <v>45034</v>
      </c>
      <c r="C2047" s="1" t="n">
        <v>45802</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17416-2023</t>
        </is>
      </c>
      <c r="B2048" s="1" t="n">
        <v>45036</v>
      </c>
      <c r="C2048" s="1" t="n">
        <v>45802</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17683-2023</t>
        </is>
      </c>
      <c r="B2049" s="1" t="n">
        <v>45035</v>
      </c>
      <c r="C2049" s="1" t="n">
        <v>45802</v>
      </c>
      <c r="D2049" t="inlineStr">
        <is>
          <t>VÄSTERNORRLANDS LÄN</t>
        </is>
      </c>
      <c r="E2049" t="inlineStr">
        <is>
          <t>SOLLEFTEÅ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17664-2023</t>
        </is>
      </c>
      <c r="B2050" s="1" t="n">
        <v>45037</v>
      </c>
      <c r="C2050" s="1" t="n">
        <v>45802</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18149-2023</t>
        </is>
      </c>
      <c r="B2051" s="1" t="n">
        <v>45040</v>
      </c>
      <c r="C2051" s="1" t="n">
        <v>45802</v>
      </c>
      <c r="D2051" t="inlineStr">
        <is>
          <t>VÄSTERNORRLANDS LÄN</t>
        </is>
      </c>
      <c r="E2051" t="inlineStr">
        <is>
          <t>SOLLEFTEÅ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18160-2023</t>
        </is>
      </c>
      <c r="B2052" s="1" t="n">
        <v>45040</v>
      </c>
      <c r="C2052" s="1" t="n">
        <v>45802</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18167-2023</t>
        </is>
      </c>
      <c r="B2053" s="1" t="n">
        <v>45040</v>
      </c>
      <c r="C2053" s="1" t="n">
        <v>45802</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18459-2023</t>
        </is>
      </c>
      <c r="B2054" s="1" t="n">
        <v>45041</v>
      </c>
      <c r="C2054" s="1" t="n">
        <v>45802</v>
      </c>
      <c r="D2054" t="inlineStr">
        <is>
          <t>VÄSTERNORRLANDS LÄN</t>
        </is>
      </c>
      <c r="E2054" t="inlineStr">
        <is>
          <t>SOLLEFTEÅ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18378-2023</t>
        </is>
      </c>
      <c r="B2055" s="1" t="n">
        <v>45041</v>
      </c>
      <c r="C2055" s="1" t="n">
        <v>45802</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18456-2023</t>
        </is>
      </c>
      <c r="B2056" s="1" t="n">
        <v>45041</v>
      </c>
      <c r="C2056" s="1" t="n">
        <v>45802</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18861-2023</t>
        </is>
      </c>
      <c r="B2057" s="1" t="n">
        <v>45042</v>
      </c>
      <c r="C2057" s="1" t="n">
        <v>45802</v>
      </c>
      <c r="D2057" t="inlineStr">
        <is>
          <t>VÄSTERNORRLANDS LÄN</t>
        </is>
      </c>
      <c r="E2057" t="inlineStr">
        <is>
          <t>SOLLEFTEÅ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18762-2023</t>
        </is>
      </c>
      <c r="B2058" s="1" t="n">
        <v>45043</v>
      </c>
      <c r="C2058" s="1" t="n">
        <v>45802</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18785-2023</t>
        </is>
      </c>
      <c r="B2059" s="1" t="n">
        <v>45043</v>
      </c>
      <c r="C2059" s="1" t="n">
        <v>45802</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18753-2023</t>
        </is>
      </c>
      <c r="B2060" s="1" t="n">
        <v>45044</v>
      </c>
      <c r="C2060" s="1" t="n">
        <v>45802</v>
      </c>
      <c r="D2060" t="inlineStr">
        <is>
          <t>VÄSTERNORRLANDS LÄN</t>
        </is>
      </c>
      <c r="E2060" t="inlineStr">
        <is>
          <t>SOLLEFTEÅ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18761-2023</t>
        </is>
      </c>
      <c r="B2061" s="1" t="n">
        <v>45043</v>
      </c>
      <c r="C2061" s="1" t="n">
        <v>45802</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18782-2023</t>
        </is>
      </c>
      <c r="B2062" s="1" t="n">
        <v>45044</v>
      </c>
      <c r="C2062" s="1" t="n">
        <v>45802</v>
      </c>
      <c r="D2062" t="inlineStr">
        <is>
          <t>VÄSTERNORRLANDS LÄN</t>
        </is>
      </c>
      <c r="E2062" t="inlineStr">
        <is>
          <t>SOLLEFTEÅ</t>
        </is>
      </c>
      <c r="F2062" t="inlineStr">
        <is>
          <t>SCA</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18786-2023</t>
        </is>
      </c>
      <c r="B2063" s="1" t="n">
        <v>45043</v>
      </c>
      <c r="C2063" s="1" t="n">
        <v>45802</v>
      </c>
      <c r="D2063" t="inlineStr">
        <is>
          <t>VÄSTERNORRLANDS LÄN</t>
        </is>
      </c>
      <c r="E2063" t="inlineStr">
        <is>
          <t>SOLLEFTEÅ</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18755-2023</t>
        </is>
      </c>
      <c r="B2064" s="1" t="n">
        <v>45043</v>
      </c>
      <c r="C2064" s="1" t="n">
        <v>45802</v>
      </c>
      <c r="D2064" t="inlineStr">
        <is>
          <t>VÄSTERNORRLANDS LÄN</t>
        </is>
      </c>
      <c r="E2064" t="inlineStr">
        <is>
          <t>SOLLEFTEÅ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18780-2023</t>
        </is>
      </c>
      <c r="B2065" s="1" t="n">
        <v>45044</v>
      </c>
      <c r="C2065" s="1" t="n">
        <v>45802</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18784-2023</t>
        </is>
      </c>
      <c r="B2066" s="1" t="n">
        <v>45044</v>
      </c>
      <c r="C2066" s="1" t="n">
        <v>45802</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18980-2023</t>
        </is>
      </c>
      <c r="B2067" s="1" t="n">
        <v>45044</v>
      </c>
      <c r="C2067" s="1" t="n">
        <v>45802</v>
      </c>
      <c r="D2067" t="inlineStr">
        <is>
          <t>VÄSTERNORRLANDS LÄN</t>
        </is>
      </c>
      <c r="E2067" t="inlineStr">
        <is>
          <t>SOLLEFTEÅ</t>
        </is>
      </c>
      <c r="F2067" t="inlineStr">
        <is>
          <t>Övriga statliga verk och myndigheter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18989-2023</t>
        </is>
      </c>
      <c r="B2068" s="1" t="n">
        <v>45044</v>
      </c>
      <c r="C2068" s="1" t="n">
        <v>45802</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19154-2023</t>
        </is>
      </c>
      <c r="B2069" s="1" t="n">
        <v>45044</v>
      </c>
      <c r="C2069" s="1" t="n">
        <v>45802</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19433-2023</t>
        </is>
      </c>
      <c r="B2070" s="1" t="n">
        <v>45049</v>
      </c>
      <c r="C2070" s="1" t="n">
        <v>45802</v>
      </c>
      <c r="D2070" t="inlineStr">
        <is>
          <t>VÄSTERNORRLANDS LÄN</t>
        </is>
      </c>
      <c r="E2070" t="inlineStr">
        <is>
          <t>SOLLEFTEÅ</t>
        </is>
      </c>
      <c r="F2070" t="inlineStr">
        <is>
          <t>SCA</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19434-2023</t>
        </is>
      </c>
      <c r="B2071" s="1" t="n">
        <v>45049</v>
      </c>
      <c r="C2071" s="1" t="n">
        <v>45802</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19609-2023</t>
        </is>
      </c>
      <c r="B2072" s="1" t="n">
        <v>45050</v>
      </c>
      <c r="C2072" s="1" t="n">
        <v>45802</v>
      </c>
      <c r="D2072" t="inlineStr">
        <is>
          <t>VÄSTERNORRLANDS LÄN</t>
        </is>
      </c>
      <c r="E2072" t="inlineStr">
        <is>
          <t>SOLLEFTEÅ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19610-2023</t>
        </is>
      </c>
      <c r="B2073" s="1" t="n">
        <v>45050</v>
      </c>
      <c r="C2073" s="1" t="n">
        <v>45802</v>
      </c>
      <c r="D2073" t="inlineStr">
        <is>
          <t>VÄSTERNORRLANDS LÄN</t>
        </is>
      </c>
      <c r="E2073" t="inlineStr">
        <is>
          <t>SOLLEFTEÅ</t>
        </is>
      </c>
      <c r="G2073" t="n">
        <v>10.4</v>
      </c>
      <c r="H2073" t="n">
        <v>0</v>
      </c>
      <c r="I2073" t="n">
        <v>0</v>
      </c>
      <c r="J2073" t="n">
        <v>0</v>
      </c>
      <c r="K2073" t="n">
        <v>0</v>
      </c>
      <c r="L2073" t="n">
        <v>0</v>
      </c>
      <c r="M2073" t="n">
        <v>0</v>
      </c>
      <c r="N2073" t="n">
        <v>0</v>
      </c>
      <c r="O2073" t="n">
        <v>0</v>
      </c>
      <c r="P2073" t="n">
        <v>0</v>
      </c>
      <c r="Q2073" t="n">
        <v>0</v>
      </c>
      <c r="R2073" s="2" t="inlineStr"/>
    </row>
    <row r="2074" ht="15" customHeight="1">
      <c r="A2074" t="inlineStr">
        <is>
          <t>A 19615-2023</t>
        </is>
      </c>
      <c r="B2074" s="1" t="n">
        <v>45051</v>
      </c>
      <c r="C2074" s="1" t="n">
        <v>45802</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19625-2023</t>
        </is>
      </c>
      <c r="B2075" s="1" t="n">
        <v>45050</v>
      </c>
      <c r="C2075" s="1" t="n">
        <v>45802</v>
      </c>
      <c r="D2075" t="inlineStr">
        <is>
          <t>VÄSTERNORRLANDS LÄN</t>
        </is>
      </c>
      <c r="E2075" t="inlineStr">
        <is>
          <t>SOLLEFTEÅ</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19614-2023</t>
        </is>
      </c>
      <c r="B2076" s="1" t="n">
        <v>45050</v>
      </c>
      <c r="C2076" s="1" t="n">
        <v>45802</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19816-2023</t>
        </is>
      </c>
      <c r="B2077" s="1" t="n">
        <v>45052</v>
      </c>
      <c r="C2077" s="1" t="n">
        <v>45802</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19829-2023</t>
        </is>
      </c>
      <c r="B2078" s="1" t="n">
        <v>45052</v>
      </c>
      <c r="C2078" s="1" t="n">
        <v>45802</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19830-2023</t>
        </is>
      </c>
      <c r="B2079" s="1" t="n">
        <v>45052</v>
      </c>
      <c r="C2079" s="1" t="n">
        <v>45802</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20089-2023</t>
        </is>
      </c>
      <c r="B2080" s="1" t="n">
        <v>45055</v>
      </c>
      <c r="C2080" s="1" t="n">
        <v>45802</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20269-2023</t>
        </is>
      </c>
      <c r="B2081" s="1" t="n">
        <v>45055</v>
      </c>
      <c r="C2081" s="1" t="n">
        <v>45802</v>
      </c>
      <c r="D2081" t="inlineStr">
        <is>
          <t>VÄSTERNORRLANDS LÄN</t>
        </is>
      </c>
      <c r="E2081" t="inlineStr">
        <is>
          <t>SOLLEFTEÅ</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20268-2023</t>
        </is>
      </c>
      <c r="B2082" s="1" t="n">
        <v>45055</v>
      </c>
      <c r="C2082" s="1" t="n">
        <v>45802</v>
      </c>
      <c r="D2082" t="inlineStr">
        <is>
          <t>VÄSTERNORRLANDS LÄN</t>
        </is>
      </c>
      <c r="E2082" t="inlineStr">
        <is>
          <t>SOLLEFTEÅ</t>
        </is>
      </c>
      <c r="F2082" t="inlineStr">
        <is>
          <t>SCA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20266-2023</t>
        </is>
      </c>
      <c r="B2083" s="1" t="n">
        <v>45055</v>
      </c>
      <c r="C2083" s="1" t="n">
        <v>45802</v>
      </c>
      <c r="D2083" t="inlineStr">
        <is>
          <t>VÄSTERNORRLANDS LÄN</t>
        </is>
      </c>
      <c r="E2083" t="inlineStr">
        <is>
          <t>SOLLEFTEÅ</t>
        </is>
      </c>
      <c r="F2083" t="inlineStr">
        <is>
          <t>SCA</t>
        </is>
      </c>
      <c r="G2083" t="n">
        <v>21.3</v>
      </c>
      <c r="H2083" t="n">
        <v>0</v>
      </c>
      <c r="I2083" t="n">
        <v>0</v>
      </c>
      <c r="J2083" t="n">
        <v>0</v>
      </c>
      <c r="K2083" t="n">
        <v>0</v>
      </c>
      <c r="L2083" t="n">
        <v>0</v>
      </c>
      <c r="M2083" t="n">
        <v>0</v>
      </c>
      <c r="N2083" t="n">
        <v>0</v>
      </c>
      <c r="O2083" t="n">
        <v>0</v>
      </c>
      <c r="P2083" t="n">
        <v>0</v>
      </c>
      <c r="Q2083" t="n">
        <v>0</v>
      </c>
      <c r="R2083" s="2" t="inlineStr"/>
    </row>
    <row r="2084" ht="15" customHeight="1">
      <c r="A2084" t="inlineStr">
        <is>
          <t>A 20271-2023</t>
        </is>
      </c>
      <c r="B2084" s="1" t="n">
        <v>45056</v>
      </c>
      <c r="C2084" s="1" t="n">
        <v>45802</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20461-2023</t>
        </is>
      </c>
      <c r="B2085" s="1" t="n">
        <v>45057</v>
      </c>
      <c r="C2085" s="1" t="n">
        <v>45802</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20460-2023</t>
        </is>
      </c>
      <c r="B2086" s="1" t="n">
        <v>45057</v>
      </c>
      <c r="C2086" s="1" t="n">
        <v>45802</v>
      </c>
      <c r="D2086" t="inlineStr">
        <is>
          <t>VÄSTERNORRLANDS LÄN</t>
        </is>
      </c>
      <c r="E2086" t="inlineStr">
        <is>
          <t>SOLLEFTEÅ</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20599-2023</t>
        </is>
      </c>
      <c r="B2087" s="1" t="n">
        <v>45058</v>
      </c>
      <c r="C2087" s="1" t="n">
        <v>45802</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20598-2023</t>
        </is>
      </c>
      <c r="B2088" s="1" t="n">
        <v>45058</v>
      </c>
      <c r="C2088" s="1" t="n">
        <v>45802</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21195-2023</t>
        </is>
      </c>
      <c r="B2089" s="1" t="n">
        <v>45057</v>
      </c>
      <c r="C2089" s="1" t="n">
        <v>45802</v>
      </c>
      <c r="D2089" t="inlineStr">
        <is>
          <t>VÄSTERNORRLANDS LÄN</t>
        </is>
      </c>
      <c r="E2089" t="inlineStr">
        <is>
          <t>SOLLEFTEÅ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20629-2023</t>
        </is>
      </c>
      <c r="B2090" s="1" t="n">
        <v>45058</v>
      </c>
      <c r="C2090" s="1" t="n">
        <v>45802</v>
      </c>
      <c r="D2090" t="inlineStr">
        <is>
          <t>VÄSTERNORRLANDS LÄN</t>
        </is>
      </c>
      <c r="E2090" t="inlineStr">
        <is>
          <t>SOLLEFTEÅ</t>
        </is>
      </c>
      <c r="F2090" t="inlineStr">
        <is>
          <t>SCA</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20628-2023</t>
        </is>
      </c>
      <c r="B2091" s="1" t="n">
        <v>45058</v>
      </c>
      <c r="C2091" s="1" t="n">
        <v>45802</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21230-2023</t>
        </is>
      </c>
      <c r="B2092" s="1" t="n">
        <v>45057</v>
      </c>
      <c r="C2092" s="1" t="n">
        <v>45802</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20754-2023</t>
        </is>
      </c>
      <c r="B2093" s="1" t="n">
        <v>45058</v>
      </c>
      <c r="C2093" s="1" t="n">
        <v>45802</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20859-2023</t>
        </is>
      </c>
      <c r="B2094" s="1" t="n">
        <v>45059</v>
      </c>
      <c r="C2094" s="1" t="n">
        <v>45802</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20862-2023</t>
        </is>
      </c>
      <c r="B2095" s="1" t="n">
        <v>45059</v>
      </c>
      <c r="C2095" s="1" t="n">
        <v>45802</v>
      </c>
      <c r="D2095" t="inlineStr">
        <is>
          <t>VÄSTERNORRLANDS LÄN</t>
        </is>
      </c>
      <c r="E2095" t="inlineStr">
        <is>
          <t>SOLLEFTEÅ</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20817-2023</t>
        </is>
      </c>
      <c r="B2096" s="1" t="n">
        <v>45058</v>
      </c>
      <c r="C2096" s="1" t="n">
        <v>45802</v>
      </c>
      <c r="D2096" t="inlineStr">
        <is>
          <t>VÄSTERNORRLANDS LÄN</t>
        </is>
      </c>
      <c r="E2096" t="inlineStr">
        <is>
          <t>SOLLEFTEÅ</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20873-2023</t>
        </is>
      </c>
      <c r="B2097" s="1" t="n">
        <v>45059</v>
      </c>
      <c r="C2097" s="1" t="n">
        <v>45802</v>
      </c>
      <c r="D2097" t="inlineStr">
        <is>
          <t>VÄSTERNORRLANDS LÄN</t>
        </is>
      </c>
      <c r="E2097" t="inlineStr">
        <is>
          <t>SOLLEFTEÅ</t>
        </is>
      </c>
      <c r="F2097" t="inlineStr">
        <is>
          <t>SCA</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20878-2023</t>
        </is>
      </c>
      <c r="B2098" s="1" t="n">
        <v>45059</v>
      </c>
      <c r="C2098" s="1" t="n">
        <v>45802</v>
      </c>
      <c r="D2098" t="inlineStr">
        <is>
          <t>VÄSTERNORRLANDS LÄN</t>
        </is>
      </c>
      <c r="E2098" t="inlineStr">
        <is>
          <t>SOLLEFTEÅ</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20872-2023</t>
        </is>
      </c>
      <c r="B2099" s="1" t="n">
        <v>45058</v>
      </c>
      <c r="C2099" s="1" t="n">
        <v>45802</v>
      </c>
      <c r="D2099" t="inlineStr">
        <is>
          <t>VÄSTERNORRLANDS LÄN</t>
        </is>
      </c>
      <c r="E2099" t="inlineStr">
        <is>
          <t>SOLLEFTEÅ</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21513-2023</t>
        </is>
      </c>
      <c r="B2100" s="1" t="n">
        <v>45061</v>
      </c>
      <c r="C2100" s="1" t="n">
        <v>45802</v>
      </c>
      <c r="D2100" t="inlineStr">
        <is>
          <t>VÄSTERNORRLANDS LÄN</t>
        </is>
      </c>
      <c r="E2100" t="inlineStr">
        <is>
          <t>SOLLEFTEÅ</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21349-2023</t>
        </is>
      </c>
      <c r="B2101" s="1" t="n">
        <v>45063</v>
      </c>
      <c r="C2101" s="1" t="n">
        <v>45802</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21346-2023</t>
        </is>
      </c>
      <c r="B2102" s="1" t="n">
        <v>45063</v>
      </c>
      <c r="C2102" s="1" t="n">
        <v>45802</v>
      </c>
      <c r="D2102" t="inlineStr">
        <is>
          <t>VÄSTERNORRLANDS LÄN</t>
        </is>
      </c>
      <c r="E2102" t="inlineStr">
        <is>
          <t>SOLLEFTEÅ</t>
        </is>
      </c>
      <c r="F2102" t="inlineStr">
        <is>
          <t>SCA</t>
        </is>
      </c>
      <c r="G2102" t="n">
        <v>15.5</v>
      </c>
      <c r="H2102" t="n">
        <v>0</v>
      </c>
      <c r="I2102" t="n">
        <v>0</v>
      </c>
      <c r="J2102" t="n">
        <v>0</v>
      </c>
      <c r="K2102" t="n">
        <v>0</v>
      </c>
      <c r="L2102" t="n">
        <v>0</v>
      </c>
      <c r="M2102" t="n">
        <v>0</v>
      </c>
      <c r="N2102" t="n">
        <v>0</v>
      </c>
      <c r="O2102" t="n">
        <v>0</v>
      </c>
      <c r="P2102" t="n">
        <v>0</v>
      </c>
      <c r="Q2102" t="n">
        <v>0</v>
      </c>
      <c r="R2102" s="2" t="inlineStr"/>
    </row>
    <row r="2103" ht="15" customHeight="1">
      <c r="A2103" t="inlineStr">
        <is>
          <t>A 21340-2023</t>
        </is>
      </c>
      <c r="B2103" s="1" t="n">
        <v>45062</v>
      </c>
      <c r="C2103" s="1" t="n">
        <v>45802</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21344-2023</t>
        </is>
      </c>
      <c r="B2104" s="1" t="n">
        <v>45062</v>
      </c>
      <c r="C2104" s="1" t="n">
        <v>45802</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21361-2023</t>
        </is>
      </c>
      <c r="B2105" s="1" t="n">
        <v>45063</v>
      </c>
      <c r="C2105" s="1" t="n">
        <v>45802</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21690-2023</t>
        </is>
      </c>
      <c r="B2106" s="1" t="n">
        <v>45064</v>
      </c>
      <c r="C2106" s="1" t="n">
        <v>45802</v>
      </c>
      <c r="D2106" t="inlineStr">
        <is>
          <t>VÄSTERNORRLANDS LÄN</t>
        </is>
      </c>
      <c r="E2106" t="inlineStr">
        <is>
          <t>SOLLEFTEÅ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21674-2023</t>
        </is>
      </c>
      <c r="B2107" s="1" t="n">
        <v>45064</v>
      </c>
      <c r="C2107" s="1" t="n">
        <v>45802</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22008-2023</t>
        </is>
      </c>
      <c r="B2108" s="1" t="n">
        <v>45068</v>
      </c>
      <c r="C2108" s="1" t="n">
        <v>45802</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22220-2023</t>
        </is>
      </c>
      <c r="B2109" s="1" t="n">
        <v>45070</v>
      </c>
      <c r="C2109" s="1" t="n">
        <v>45802</v>
      </c>
      <c r="D2109" t="inlineStr">
        <is>
          <t>VÄSTERNORRLANDS LÄN</t>
        </is>
      </c>
      <c r="E2109" t="inlineStr">
        <is>
          <t>SOLLEFTEÅ</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22229-2023</t>
        </is>
      </c>
      <c r="B2110" s="1" t="n">
        <v>45070</v>
      </c>
      <c r="C2110" s="1" t="n">
        <v>45802</v>
      </c>
      <c r="D2110" t="inlineStr">
        <is>
          <t>VÄSTERNORRLANDS LÄN</t>
        </is>
      </c>
      <c r="E2110" t="inlineStr">
        <is>
          <t>SOLLEFTEÅ</t>
        </is>
      </c>
      <c r="F2110" t="inlineStr">
        <is>
          <t>SCA</t>
        </is>
      </c>
      <c r="G2110" t="n">
        <v>20.8</v>
      </c>
      <c r="H2110" t="n">
        <v>0</v>
      </c>
      <c r="I2110" t="n">
        <v>0</v>
      </c>
      <c r="J2110" t="n">
        <v>0</v>
      </c>
      <c r="K2110" t="n">
        <v>0</v>
      </c>
      <c r="L2110" t="n">
        <v>0</v>
      </c>
      <c r="M2110" t="n">
        <v>0</v>
      </c>
      <c r="N2110" t="n">
        <v>0</v>
      </c>
      <c r="O2110" t="n">
        <v>0</v>
      </c>
      <c r="P2110" t="n">
        <v>0</v>
      </c>
      <c r="Q2110" t="n">
        <v>0</v>
      </c>
      <c r="R2110" s="2" t="inlineStr"/>
    </row>
    <row r="2111" ht="15" customHeight="1">
      <c r="A2111" t="inlineStr">
        <is>
          <t>A 22750-2023</t>
        </is>
      </c>
      <c r="B2111" s="1" t="n">
        <v>45072</v>
      </c>
      <c r="C2111" s="1" t="n">
        <v>45802</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22994-2023</t>
        </is>
      </c>
      <c r="B2112" s="1" t="n">
        <v>45072</v>
      </c>
      <c r="C2112" s="1" t="n">
        <v>45802</v>
      </c>
      <c r="D2112" t="inlineStr">
        <is>
          <t>VÄSTERNORRLANDS LÄN</t>
        </is>
      </c>
      <c r="E2112" t="inlineStr">
        <is>
          <t>SOLLEFTEÅ</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22992-2023</t>
        </is>
      </c>
      <c r="B2113" s="1" t="n">
        <v>45072</v>
      </c>
      <c r="C2113" s="1" t="n">
        <v>45802</v>
      </c>
      <c r="D2113" t="inlineStr">
        <is>
          <t>VÄSTERNORRLANDS LÄN</t>
        </is>
      </c>
      <c r="E2113" t="inlineStr">
        <is>
          <t>SOLLEFTEÅ</t>
        </is>
      </c>
      <c r="F2113" t="inlineStr">
        <is>
          <t>SCA</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22995-2023</t>
        </is>
      </c>
      <c r="B2114" s="1" t="n">
        <v>45073</v>
      </c>
      <c r="C2114" s="1" t="n">
        <v>45802</v>
      </c>
      <c r="D2114" t="inlineStr">
        <is>
          <t>VÄSTERNORRLANDS LÄN</t>
        </is>
      </c>
      <c r="E2114" t="inlineStr">
        <is>
          <t>SOLLEFTEÅ</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23488-2023</t>
        </is>
      </c>
      <c r="B2115" s="1" t="n">
        <v>45072</v>
      </c>
      <c r="C2115" s="1" t="n">
        <v>45802</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23016-2023</t>
        </is>
      </c>
      <c r="B2116" s="1" t="n">
        <v>45073</v>
      </c>
      <c r="C2116" s="1" t="n">
        <v>45802</v>
      </c>
      <c r="D2116" t="inlineStr">
        <is>
          <t>VÄSTERNORRLANDS LÄN</t>
        </is>
      </c>
      <c r="E2116" t="inlineStr">
        <is>
          <t>SOLLEFTEÅ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23286-2023</t>
        </is>
      </c>
      <c r="B2117" s="1" t="n">
        <v>45075</v>
      </c>
      <c r="C2117" s="1" t="n">
        <v>45802</v>
      </c>
      <c r="D2117" t="inlineStr">
        <is>
          <t>VÄSTERNORRLANDS LÄN</t>
        </is>
      </c>
      <c r="E2117" t="inlineStr">
        <is>
          <t>SOLLEFTEÅ</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23277-2023</t>
        </is>
      </c>
      <c r="B2118" s="1" t="n">
        <v>45075</v>
      </c>
      <c r="C2118" s="1" t="n">
        <v>45802</v>
      </c>
      <c r="D2118" t="inlineStr">
        <is>
          <t>VÄSTERNORRLANDS LÄN</t>
        </is>
      </c>
      <c r="E2118" t="inlineStr">
        <is>
          <t>SOLLEFTEÅ</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23285-2023</t>
        </is>
      </c>
      <c r="B2119" s="1" t="n">
        <v>45075</v>
      </c>
      <c r="C2119" s="1" t="n">
        <v>45802</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23289-2023</t>
        </is>
      </c>
      <c r="B2120" s="1" t="n">
        <v>45075</v>
      </c>
      <c r="C2120" s="1" t="n">
        <v>45802</v>
      </c>
      <c r="D2120" t="inlineStr">
        <is>
          <t>VÄSTERNORRLANDS LÄN</t>
        </is>
      </c>
      <c r="E2120" t="inlineStr">
        <is>
          <t>SOLLEFTEÅ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23287-2023</t>
        </is>
      </c>
      <c r="B2121" s="1" t="n">
        <v>45075</v>
      </c>
      <c r="C2121" s="1" t="n">
        <v>45802</v>
      </c>
      <c r="D2121" t="inlineStr">
        <is>
          <t>VÄSTERNORRLANDS LÄN</t>
        </is>
      </c>
      <c r="E2121" t="inlineStr">
        <is>
          <t>SOLLEFTEÅ</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23288-2023</t>
        </is>
      </c>
      <c r="B2122" s="1" t="n">
        <v>45075</v>
      </c>
      <c r="C2122" s="1" t="n">
        <v>45802</v>
      </c>
      <c r="D2122" t="inlineStr">
        <is>
          <t>VÄSTERNORRLANDS LÄN</t>
        </is>
      </c>
      <c r="E2122" t="inlineStr">
        <is>
          <t>SOLLEFTEÅ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23523-2023</t>
        </is>
      </c>
      <c r="B2123" s="1" t="n">
        <v>45076</v>
      </c>
      <c r="C2123" s="1" t="n">
        <v>45802</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23527-2023</t>
        </is>
      </c>
      <c r="B2124" s="1" t="n">
        <v>45076</v>
      </c>
      <c r="C2124" s="1" t="n">
        <v>45802</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24306-2023</t>
        </is>
      </c>
      <c r="B2125" s="1" t="n">
        <v>45080</v>
      </c>
      <c r="C2125" s="1" t="n">
        <v>45802</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24314-2023</t>
        </is>
      </c>
      <c r="B2126" s="1" t="n">
        <v>45079</v>
      </c>
      <c r="C2126" s="1" t="n">
        <v>45802</v>
      </c>
      <c r="D2126" t="inlineStr">
        <is>
          <t>VÄSTERNORRLANDS LÄN</t>
        </is>
      </c>
      <c r="E2126" t="inlineStr">
        <is>
          <t>SOLLEFTEÅ</t>
        </is>
      </c>
      <c r="F2126" t="inlineStr">
        <is>
          <t>SCA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25259-2023</t>
        </is>
      </c>
      <c r="B2127" s="1" t="n">
        <v>45079</v>
      </c>
      <c r="C2127" s="1" t="n">
        <v>45802</v>
      </c>
      <c r="D2127" t="inlineStr">
        <is>
          <t>VÄSTERNORRLANDS LÄN</t>
        </is>
      </c>
      <c r="E2127" t="inlineStr">
        <is>
          <t>SOLLEFTEÅ</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25267-2023</t>
        </is>
      </c>
      <c r="B2128" s="1" t="n">
        <v>45079</v>
      </c>
      <c r="C2128" s="1" t="n">
        <v>45802</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25550-2023</t>
        </is>
      </c>
      <c r="B2129" s="1" t="n">
        <v>45082</v>
      </c>
      <c r="C2129" s="1" t="n">
        <v>45802</v>
      </c>
      <c r="D2129" t="inlineStr">
        <is>
          <t>VÄSTERNORRLANDS LÄN</t>
        </is>
      </c>
      <c r="E2129" t="inlineStr">
        <is>
          <t>SOLLEFTEÅ</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24595-2023</t>
        </is>
      </c>
      <c r="B2130" s="1" t="n">
        <v>45084</v>
      </c>
      <c r="C2130" s="1" t="n">
        <v>45802</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24597-2023</t>
        </is>
      </c>
      <c r="B2131" s="1" t="n">
        <v>45083</v>
      </c>
      <c r="C2131" s="1" t="n">
        <v>45802</v>
      </c>
      <c r="D2131" t="inlineStr">
        <is>
          <t>VÄSTERNORRLANDS LÄN</t>
        </is>
      </c>
      <c r="E2131" t="inlineStr">
        <is>
          <t>SOLLEFTEÅ</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24596-2023</t>
        </is>
      </c>
      <c r="B2132" s="1" t="n">
        <v>45084</v>
      </c>
      <c r="C2132" s="1" t="n">
        <v>45802</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25795-2023</t>
        </is>
      </c>
      <c r="B2133" s="1" t="n">
        <v>45085</v>
      </c>
      <c r="C2133" s="1" t="n">
        <v>45802</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25848-2023</t>
        </is>
      </c>
      <c r="B2134" s="1" t="n">
        <v>45085</v>
      </c>
      <c r="C2134" s="1" t="n">
        <v>45802</v>
      </c>
      <c r="D2134" t="inlineStr">
        <is>
          <t>VÄSTERNORRLANDS LÄN</t>
        </is>
      </c>
      <c r="E2134" t="inlineStr">
        <is>
          <t>SOLLEFTEÅ</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25079-2023</t>
        </is>
      </c>
      <c r="B2135" s="1" t="n">
        <v>45086</v>
      </c>
      <c r="C2135" s="1" t="n">
        <v>45802</v>
      </c>
      <c r="D2135" t="inlineStr">
        <is>
          <t>VÄSTERNORRLANDS LÄN</t>
        </is>
      </c>
      <c r="E2135" t="inlineStr">
        <is>
          <t>SOLLEFTEÅ</t>
        </is>
      </c>
      <c r="F2135" t="inlineStr">
        <is>
          <t>Kommuner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25314-2023</t>
        </is>
      </c>
      <c r="B2136" s="1" t="n">
        <v>45086</v>
      </c>
      <c r="C2136" s="1" t="n">
        <v>45802</v>
      </c>
      <c r="D2136" t="inlineStr">
        <is>
          <t>VÄSTERNORRLANDS LÄN</t>
        </is>
      </c>
      <c r="E2136" t="inlineStr">
        <is>
          <t>SOLLEFTEÅ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25392-2023</t>
        </is>
      </c>
      <c r="B2137" s="1" t="n">
        <v>45089</v>
      </c>
      <c r="C2137" s="1" t="n">
        <v>45802</v>
      </c>
      <c r="D2137" t="inlineStr">
        <is>
          <t>VÄSTERNORRLANDS LÄN</t>
        </is>
      </c>
      <c r="E2137" t="inlineStr">
        <is>
          <t>SOLLEFTEÅ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25987-2023</t>
        </is>
      </c>
      <c r="B2138" s="1" t="n">
        <v>45091</v>
      </c>
      <c r="C2138" s="1" t="n">
        <v>45802</v>
      </c>
      <c r="D2138" t="inlineStr">
        <is>
          <t>VÄSTERNORRLANDS LÄN</t>
        </is>
      </c>
      <c r="E2138" t="inlineStr">
        <is>
          <t>SOLLEFTEÅ</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26210-2023</t>
        </is>
      </c>
      <c r="B2139" s="1" t="n">
        <v>45090</v>
      </c>
      <c r="C2139" s="1" t="n">
        <v>45802</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25986-2023</t>
        </is>
      </c>
      <c r="B2140" s="1" t="n">
        <v>45090</v>
      </c>
      <c r="C2140" s="1" t="n">
        <v>45802</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26373-2023</t>
        </is>
      </c>
      <c r="B2141" s="1" t="n">
        <v>45092</v>
      </c>
      <c r="C2141" s="1" t="n">
        <v>45802</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27544-2023</t>
        </is>
      </c>
      <c r="B2142" s="1" t="n">
        <v>45092</v>
      </c>
      <c r="C2142" s="1" t="n">
        <v>45802</v>
      </c>
      <c r="D2142" t="inlineStr">
        <is>
          <t>VÄSTERNORRLANDS LÄN</t>
        </is>
      </c>
      <c r="E2142" t="inlineStr">
        <is>
          <t>SOLLEFTEÅ</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27534-2023</t>
        </is>
      </c>
      <c r="B2143" s="1" t="n">
        <v>45092</v>
      </c>
      <c r="C2143" s="1" t="n">
        <v>45802</v>
      </c>
      <c r="D2143" t="inlineStr">
        <is>
          <t>VÄSTERNORRLANDS LÄN</t>
        </is>
      </c>
      <c r="E2143" t="inlineStr">
        <is>
          <t>SOLLEFTEÅ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27381-2023</t>
        </is>
      </c>
      <c r="B2144" s="1" t="n">
        <v>45097</v>
      </c>
      <c r="C2144" s="1" t="n">
        <v>45802</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27382-2023</t>
        </is>
      </c>
      <c r="B2145" s="1" t="n">
        <v>45097</v>
      </c>
      <c r="C2145" s="1" t="n">
        <v>45802</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27384-2023</t>
        </is>
      </c>
      <c r="B2146" s="1" t="n">
        <v>45097</v>
      </c>
      <c r="C2146" s="1" t="n">
        <v>45802</v>
      </c>
      <c r="D2146" t="inlineStr">
        <is>
          <t>VÄSTERNORRLANDS LÄN</t>
        </is>
      </c>
      <c r="E2146" t="inlineStr">
        <is>
          <t>SOLLEFTEÅ</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27392-2023</t>
        </is>
      </c>
      <c r="B2147" s="1" t="n">
        <v>45097</v>
      </c>
      <c r="C2147" s="1" t="n">
        <v>45802</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28653-2023</t>
        </is>
      </c>
      <c r="B2148" s="1" t="n">
        <v>45096</v>
      </c>
      <c r="C2148" s="1" t="n">
        <v>45802</v>
      </c>
      <c r="D2148" t="inlineStr">
        <is>
          <t>VÄSTERNORRLANDS LÄN</t>
        </is>
      </c>
      <c r="E2148" t="inlineStr">
        <is>
          <t>SOLLEFTEÅ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27383-2023</t>
        </is>
      </c>
      <c r="B2149" s="1" t="n">
        <v>45097</v>
      </c>
      <c r="C2149" s="1" t="n">
        <v>45802</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27391-2023</t>
        </is>
      </c>
      <c r="B2150" s="1" t="n">
        <v>45097</v>
      </c>
      <c r="C2150" s="1" t="n">
        <v>45802</v>
      </c>
      <c r="D2150" t="inlineStr">
        <is>
          <t>VÄSTERNORRLANDS LÄN</t>
        </is>
      </c>
      <c r="E2150" t="inlineStr">
        <is>
          <t>SOLLEFTEÅ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27674-2023</t>
        </is>
      </c>
      <c r="B2151" s="1" t="n">
        <v>45097</v>
      </c>
      <c r="C2151" s="1" t="n">
        <v>45802</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29210-2023</t>
        </is>
      </c>
      <c r="B2152" s="1" t="n">
        <v>45097</v>
      </c>
      <c r="C2152" s="1" t="n">
        <v>45802</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29197-2023</t>
        </is>
      </c>
      <c r="B2153" s="1" t="n">
        <v>45097</v>
      </c>
      <c r="C2153" s="1" t="n">
        <v>45802</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28384-2023</t>
        </is>
      </c>
      <c r="B2154" s="1" t="n">
        <v>45100</v>
      </c>
      <c r="C2154" s="1" t="n">
        <v>45802</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28385-2023</t>
        </is>
      </c>
      <c r="B2155" s="1" t="n">
        <v>45099</v>
      </c>
      <c r="C2155" s="1" t="n">
        <v>45802</v>
      </c>
      <c r="D2155" t="inlineStr">
        <is>
          <t>VÄSTERNORRLANDS LÄN</t>
        </is>
      </c>
      <c r="E2155" t="inlineStr">
        <is>
          <t>SOLLEFTEÅ</t>
        </is>
      </c>
      <c r="F2155" t="inlineStr">
        <is>
          <t>SCA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28374-2023</t>
        </is>
      </c>
      <c r="B2156" s="1" t="n">
        <v>45099</v>
      </c>
      <c r="C2156" s="1" t="n">
        <v>45802</v>
      </c>
      <c r="D2156" t="inlineStr">
        <is>
          <t>VÄSTERNORRLANDS LÄN</t>
        </is>
      </c>
      <c r="E2156" t="inlineStr">
        <is>
          <t>SOLLEFTEÅ</t>
        </is>
      </c>
      <c r="F2156" t="inlineStr">
        <is>
          <t>SCA</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28366-2023</t>
        </is>
      </c>
      <c r="B2157" s="1" t="n">
        <v>45099</v>
      </c>
      <c r="C2157" s="1" t="n">
        <v>45802</v>
      </c>
      <c r="D2157" t="inlineStr">
        <is>
          <t>VÄSTERNORRLANDS LÄN</t>
        </is>
      </c>
      <c r="E2157" t="inlineStr">
        <is>
          <t>SOLLEFTEÅ</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28383-2023</t>
        </is>
      </c>
      <c r="B2158" s="1" t="n">
        <v>45099</v>
      </c>
      <c r="C2158" s="1" t="n">
        <v>45802</v>
      </c>
      <c r="D2158" t="inlineStr">
        <is>
          <t>VÄSTERNORRLANDS LÄN</t>
        </is>
      </c>
      <c r="E2158" t="inlineStr">
        <is>
          <t>SOLLEFTEÅ</t>
        </is>
      </c>
      <c r="F2158" t="inlineStr">
        <is>
          <t>SCA</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28375-2023</t>
        </is>
      </c>
      <c r="B2159" s="1" t="n">
        <v>45100</v>
      </c>
      <c r="C2159" s="1" t="n">
        <v>45802</v>
      </c>
      <c r="D2159" t="inlineStr">
        <is>
          <t>VÄSTERNORRLANDS LÄN</t>
        </is>
      </c>
      <c r="E2159" t="inlineStr">
        <is>
          <t>SOLLEFTEÅ</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30163-2023</t>
        </is>
      </c>
      <c r="B2160" s="1" t="n">
        <v>45099</v>
      </c>
      <c r="C2160" s="1" t="n">
        <v>45802</v>
      </c>
      <c r="D2160" t="inlineStr">
        <is>
          <t>VÄSTERNORRLANDS LÄN</t>
        </is>
      </c>
      <c r="E2160" t="inlineStr">
        <is>
          <t>SOLLEFTEÅ</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28736-2023</t>
        </is>
      </c>
      <c r="B2161" s="1" t="n">
        <v>45104</v>
      </c>
      <c r="C2161" s="1" t="n">
        <v>45802</v>
      </c>
      <c r="D2161" t="inlineStr">
        <is>
          <t>VÄSTERNORRLANDS LÄN</t>
        </is>
      </c>
      <c r="E2161" t="inlineStr">
        <is>
          <t>SOLLEFTEÅ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28749-2023</t>
        </is>
      </c>
      <c r="B2162" s="1" t="n">
        <v>45103</v>
      </c>
      <c r="C2162" s="1" t="n">
        <v>45802</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29065-2023</t>
        </is>
      </c>
      <c r="B2163" s="1" t="n">
        <v>45105</v>
      </c>
      <c r="C2163" s="1" t="n">
        <v>45802</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29062-2023</t>
        </is>
      </c>
      <c r="B2164" s="1" t="n">
        <v>45104</v>
      </c>
      <c r="C2164" s="1" t="n">
        <v>45802</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29064-2023</t>
        </is>
      </c>
      <c r="B2165" s="1" t="n">
        <v>45105</v>
      </c>
      <c r="C2165" s="1" t="n">
        <v>45802</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29070-2023</t>
        </is>
      </c>
      <c r="B2166" s="1" t="n">
        <v>45105</v>
      </c>
      <c r="C2166" s="1" t="n">
        <v>45802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29306-2023</t>
        </is>
      </c>
      <c r="B2167" s="1" t="n">
        <v>45106</v>
      </c>
      <c r="C2167" s="1" t="n">
        <v>45802</v>
      </c>
      <c r="D2167" t="inlineStr">
        <is>
          <t>VÄSTERNORRLANDS LÄN</t>
        </is>
      </c>
      <c r="E2167" t="inlineStr">
        <is>
          <t>SOLLEFTEÅ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29337-2023</t>
        </is>
      </c>
      <c r="B2168" s="1" t="n">
        <v>45105</v>
      </c>
      <c r="C2168" s="1" t="n">
        <v>45802</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29336-2023</t>
        </is>
      </c>
      <c r="B2169" s="1" t="n">
        <v>45105</v>
      </c>
      <c r="C2169" s="1" t="n">
        <v>45802</v>
      </c>
      <c r="D2169" t="inlineStr">
        <is>
          <t>VÄSTERNORRLANDS LÄN</t>
        </is>
      </c>
      <c r="E2169" t="inlineStr">
        <is>
          <t>SOLLEFTEÅ</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29614-2023</t>
        </is>
      </c>
      <c r="B2170" s="1" t="n">
        <v>45107</v>
      </c>
      <c r="C2170" s="1" t="n">
        <v>45802</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29446-2023</t>
        </is>
      </c>
      <c r="B2171" s="1" t="n">
        <v>45106</v>
      </c>
      <c r="C2171" s="1" t="n">
        <v>45802</v>
      </c>
      <c r="D2171" t="inlineStr">
        <is>
          <t>VÄSTERNORRLANDS LÄN</t>
        </is>
      </c>
      <c r="E2171" t="inlineStr">
        <is>
          <t>SOLLEFTEÅ</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29612-2023</t>
        </is>
      </c>
      <c r="B2172" s="1" t="n">
        <v>45106</v>
      </c>
      <c r="C2172" s="1" t="n">
        <v>45802</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29619-2023</t>
        </is>
      </c>
      <c r="B2173" s="1" t="n">
        <v>45106</v>
      </c>
      <c r="C2173" s="1" t="n">
        <v>45802</v>
      </c>
      <c r="D2173" t="inlineStr">
        <is>
          <t>VÄSTERNORRLANDS LÄN</t>
        </is>
      </c>
      <c r="E2173" t="inlineStr">
        <is>
          <t>SOLLEFTEÅ</t>
        </is>
      </c>
      <c r="F2173" t="inlineStr">
        <is>
          <t>SCA</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29611-2023</t>
        </is>
      </c>
      <c r="B2174" s="1" t="n">
        <v>45106</v>
      </c>
      <c r="C2174" s="1" t="n">
        <v>45802</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29832-2023</t>
        </is>
      </c>
      <c r="B2175" s="1" t="n">
        <v>45107</v>
      </c>
      <c r="C2175" s="1" t="n">
        <v>45802</v>
      </c>
      <c r="D2175" t="inlineStr">
        <is>
          <t>VÄSTERNORRLANDS LÄN</t>
        </is>
      </c>
      <c r="E2175" t="inlineStr">
        <is>
          <t>SOLLEFTEÅ</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29952-2023</t>
        </is>
      </c>
      <c r="B2176" s="1" t="n">
        <v>45107</v>
      </c>
      <c r="C2176" s="1" t="n">
        <v>45802</v>
      </c>
      <c r="D2176" t="inlineStr">
        <is>
          <t>VÄSTERNORRLANDS LÄN</t>
        </is>
      </c>
      <c r="E2176" t="inlineStr">
        <is>
          <t>SOLLEFTEÅ</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29944-2023</t>
        </is>
      </c>
      <c r="B2177" s="1" t="n">
        <v>45108</v>
      </c>
      <c r="C2177" s="1" t="n">
        <v>45802</v>
      </c>
      <c r="D2177" t="inlineStr">
        <is>
          <t>VÄSTERNORRLANDS LÄN</t>
        </is>
      </c>
      <c r="E2177" t="inlineStr">
        <is>
          <t>SOLLEFTEÅ</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29956-2023</t>
        </is>
      </c>
      <c r="B2178" s="1" t="n">
        <v>45107</v>
      </c>
      <c r="C2178" s="1" t="n">
        <v>45802</v>
      </c>
      <c r="D2178" t="inlineStr">
        <is>
          <t>VÄSTERNORRLANDS LÄN</t>
        </is>
      </c>
      <c r="E2178" t="inlineStr">
        <is>
          <t>SOLLEFTEÅ</t>
        </is>
      </c>
      <c r="F2178" t="inlineStr">
        <is>
          <t>SCA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29949-2023</t>
        </is>
      </c>
      <c r="B2179" s="1" t="n">
        <v>45107</v>
      </c>
      <c r="C2179" s="1" t="n">
        <v>45802</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29957-2023</t>
        </is>
      </c>
      <c r="B2180" s="1" t="n">
        <v>45107</v>
      </c>
      <c r="C2180" s="1" t="n">
        <v>45802</v>
      </c>
      <c r="D2180" t="inlineStr">
        <is>
          <t>VÄSTERNORRLANDS LÄN</t>
        </is>
      </c>
      <c r="E2180" t="inlineStr">
        <is>
          <t>SOLLEFTEÅ</t>
        </is>
      </c>
      <c r="F2180" t="inlineStr">
        <is>
          <t>SCA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29946-2023</t>
        </is>
      </c>
      <c r="B2181" s="1" t="n">
        <v>45108</v>
      </c>
      <c r="C2181" s="1" t="n">
        <v>45802</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29964-2023</t>
        </is>
      </c>
      <c r="B2182" s="1" t="n">
        <v>45108</v>
      </c>
      <c r="C2182" s="1" t="n">
        <v>45802</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30295-2023</t>
        </is>
      </c>
      <c r="B2183" s="1" t="n">
        <v>45110</v>
      </c>
      <c r="C2183" s="1" t="n">
        <v>45802</v>
      </c>
      <c r="D2183" t="inlineStr">
        <is>
          <t>VÄSTERNORRLANDS LÄN</t>
        </is>
      </c>
      <c r="E2183" t="inlineStr">
        <is>
          <t>SOLLEFTEÅ</t>
        </is>
      </c>
      <c r="F2183" t="inlineStr">
        <is>
          <t>SCA</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30567-2023</t>
        </is>
      </c>
      <c r="B2184" s="1" t="n">
        <v>45112</v>
      </c>
      <c r="C2184" s="1" t="n">
        <v>45802</v>
      </c>
      <c r="D2184" t="inlineStr">
        <is>
          <t>VÄSTERNORRLANDS LÄN</t>
        </is>
      </c>
      <c r="E2184" t="inlineStr">
        <is>
          <t>SOLLEFTEÅ</t>
        </is>
      </c>
      <c r="F2184" t="inlineStr">
        <is>
          <t>SCA</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30822-2023</t>
        </is>
      </c>
      <c r="B2185" s="1" t="n">
        <v>45113</v>
      </c>
      <c r="C2185" s="1" t="n">
        <v>45802</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30829-2023</t>
        </is>
      </c>
      <c r="B2186" s="1" t="n">
        <v>45113</v>
      </c>
      <c r="C2186" s="1" t="n">
        <v>45802</v>
      </c>
      <c r="D2186" t="inlineStr">
        <is>
          <t>VÄSTERNORRLANDS LÄN</t>
        </is>
      </c>
      <c r="E2186" t="inlineStr">
        <is>
          <t>SOLLEFTEÅ</t>
        </is>
      </c>
      <c r="F2186" t="inlineStr">
        <is>
          <t>SCA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31177-2023</t>
        </is>
      </c>
      <c r="B2187" s="1" t="n">
        <v>45113</v>
      </c>
      <c r="C2187" s="1" t="n">
        <v>45802</v>
      </c>
      <c r="D2187" t="inlineStr">
        <is>
          <t>VÄSTERNORRLANDS LÄN</t>
        </is>
      </c>
      <c r="E2187" t="inlineStr">
        <is>
          <t>SOLLEFTEÅ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31179-2023</t>
        </is>
      </c>
      <c r="B2188" s="1" t="n">
        <v>45114</v>
      </c>
      <c r="C2188" s="1" t="n">
        <v>45802</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31178-2023</t>
        </is>
      </c>
      <c r="B2189" s="1" t="n">
        <v>45114</v>
      </c>
      <c r="C2189" s="1" t="n">
        <v>45802</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31387-2023</t>
        </is>
      </c>
      <c r="B2190" s="1" t="n">
        <v>45114</v>
      </c>
      <c r="C2190" s="1" t="n">
        <v>45802</v>
      </c>
      <c r="D2190" t="inlineStr">
        <is>
          <t>VÄSTERNORRLANDS LÄN</t>
        </is>
      </c>
      <c r="E2190" t="inlineStr">
        <is>
          <t>SOLLEFTEÅ</t>
        </is>
      </c>
      <c r="F2190" t="inlineStr">
        <is>
          <t>Övriga statliga verk och myndigheter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33203-2023</t>
        </is>
      </c>
      <c r="B2191" s="1" t="n">
        <v>45114</v>
      </c>
      <c r="C2191" s="1" t="n">
        <v>45802</v>
      </c>
      <c r="D2191" t="inlineStr">
        <is>
          <t>VÄSTERNORRLANDS LÄN</t>
        </is>
      </c>
      <c r="E2191" t="inlineStr">
        <is>
          <t>SOLLEFTEÅ</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31913-2023</t>
        </is>
      </c>
      <c r="B2192" s="1" t="n">
        <v>45118</v>
      </c>
      <c r="C2192" s="1" t="n">
        <v>45802</v>
      </c>
      <c r="D2192" t="inlineStr">
        <is>
          <t>VÄSTERNORRLANDS LÄN</t>
        </is>
      </c>
      <c r="E2192" t="inlineStr">
        <is>
          <t>SOLLEFTEÅ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31917-2023</t>
        </is>
      </c>
      <c r="B2193" s="1" t="n">
        <v>45119</v>
      </c>
      <c r="C2193" s="1" t="n">
        <v>45802</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31915-2023</t>
        </is>
      </c>
      <c r="B2194" s="1" t="n">
        <v>45119</v>
      </c>
      <c r="C2194" s="1" t="n">
        <v>45802</v>
      </c>
      <c r="D2194" t="inlineStr">
        <is>
          <t>VÄSTERNORRLANDS LÄN</t>
        </is>
      </c>
      <c r="E2194" t="inlineStr">
        <is>
          <t>SOLLEFTEÅ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31919-2023</t>
        </is>
      </c>
      <c r="B2195" s="1" t="n">
        <v>45118</v>
      </c>
      <c r="C2195" s="1" t="n">
        <v>45802</v>
      </c>
      <c r="D2195" t="inlineStr">
        <is>
          <t>VÄSTERNORRLANDS LÄN</t>
        </is>
      </c>
      <c r="E2195" t="inlineStr">
        <is>
          <t>SOLLEFTEÅ</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31923-2023</t>
        </is>
      </c>
      <c r="B2196" s="1" t="n">
        <v>45118</v>
      </c>
      <c r="C2196" s="1" t="n">
        <v>45802</v>
      </c>
      <c r="D2196" t="inlineStr">
        <is>
          <t>VÄSTERNORRLANDS LÄN</t>
        </is>
      </c>
      <c r="E2196" t="inlineStr">
        <is>
          <t>SOLLEFTEÅ</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31914-2023</t>
        </is>
      </c>
      <c r="B2197" s="1" t="n">
        <v>45118</v>
      </c>
      <c r="C2197" s="1" t="n">
        <v>45802</v>
      </c>
      <c r="D2197" t="inlineStr">
        <is>
          <t>VÄSTERNORRLANDS LÄN</t>
        </is>
      </c>
      <c r="E2197" t="inlineStr">
        <is>
          <t>SOLLEFTEÅ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31918-2023</t>
        </is>
      </c>
      <c r="B2198" s="1" t="n">
        <v>45118</v>
      </c>
      <c r="C2198" s="1" t="n">
        <v>45802</v>
      </c>
      <c r="D2198" t="inlineStr">
        <is>
          <t>VÄSTERNORRLANDS LÄN</t>
        </is>
      </c>
      <c r="E2198" t="inlineStr">
        <is>
          <t>SOLLEFTEÅ</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31922-2023</t>
        </is>
      </c>
      <c r="B2199" s="1" t="n">
        <v>45119</v>
      </c>
      <c r="C2199" s="1" t="n">
        <v>45802</v>
      </c>
      <c r="D2199" t="inlineStr">
        <is>
          <t>VÄSTERNORRLANDS LÄN</t>
        </is>
      </c>
      <c r="E2199" t="inlineStr">
        <is>
          <t>SOLLEFTEÅ</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31916-2023</t>
        </is>
      </c>
      <c r="B2200" s="1" t="n">
        <v>45119</v>
      </c>
      <c r="C2200" s="1" t="n">
        <v>45802</v>
      </c>
      <c r="D2200" t="inlineStr">
        <is>
          <t>VÄSTERNORRLANDS LÄN</t>
        </is>
      </c>
      <c r="E2200" t="inlineStr">
        <is>
          <t>SOLLEFTEÅ</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31924-2023</t>
        </is>
      </c>
      <c r="B2201" s="1" t="n">
        <v>45118</v>
      </c>
      <c r="C2201" s="1" t="n">
        <v>45802</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31921-2023</t>
        </is>
      </c>
      <c r="B2202" s="1" t="n">
        <v>45119</v>
      </c>
      <c r="C2202" s="1" t="n">
        <v>45802</v>
      </c>
      <c r="D2202" t="inlineStr">
        <is>
          <t>VÄSTERNORRLANDS LÄN</t>
        </is>
      </c>
      <c r="E2202" t="inlineStr">
        <is>
          <t>SOLLEFTEÅ</t>
        </is>
      </c>
      <c r="F2202" t="inlineStr">
        <is>
          <t>SCA</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31925-2023</t>
        </is>
      </c>
      <c r="B2203" s="1" t="n">
        <v>45118</v>
      </c>
      <c r="C2203" s="1" t="n">
        <v>45802</v>
      </c>
      <c r="D2203" t="inlineStr">
        <is>
          <t>VÄSTERNORRLANDS LÄN</t>
        </is>
      </c>
      <c r="E2203" t="inlineStr">
        <is>
          <t>SOLLEFTEÅ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33642-2023</t>
        </is>
      </c>
      <c r="B2204" s="1" t="n">
        <v>45119</v>
      </c>
      <c r="C2204" s="1" t="n">
        <v>45802</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32466-2023</t>
        </is>
      </c>
      <c r="B2205" s="1" t="n">
        <v>45120</v>
      </c>
      <c r="C2205" s="1" t="n">
        <v>45802</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32726-2023</t>
        </is>
      </c>
      <c r="B2206" s="1" t="n">
        <v>45121</v>
      </c>
      <c r="C2206" s="1" t="n">
        <v>45802</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32728-2023</t>
        </is>
      </c>
      <c r="B2207" s="1" t="n">
        <v>45121</v>
      </c>
      <c r="C2207" s="1" t="n">
        <v>45802</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32733-2023</t>
        </is>
      </c>
      <c r="B2208" s="1" t="n">
        <v>45121</v>
      </c>
      <c r="C2208" s="1" t="n">
        <v>45802</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32727-2023</t>
        </is>
      </c>
      <c r="B2209" s="1" t="n">
        <v>45121</v>
      </c>
      <c r="C2209" s="1" t="n">
        <v>45802</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32735-2023</t>
        </is>
      </c>
      <c r="B2210" s="1" t="n">
        <v>45121</v>
      </c>
      <c r="C2210" s="1" t="n">
        <v>45802</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32780-2023</t>
        </is>
      </c>
      <c r="B2211" s="1" t="n">
        <v>45123</v>
      </c>
      <c r="C2211" s="1" t="n">
        <v>45802</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33964-2023</t>
        </is>
      </c>
      <c r="B2212" s="1" t="n">
        <v>45124</v>
      </c>
      <c r="C2212" s="1" t="n">
        <v>45802</v>
      </c>
      <c r="D2212" t="inlineStr">
        <is>
          <t>VÄSTERNORRLANDS LÄN</t>
        </is>
      </c>
      <c r="E2212" t="inlineStr">
        <is>
          <t>SOLLEFTEÅ</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33037-2023</t>
        </is>
      </c>
      <c r="B2213" s="1" t="n">
        <v>45126</v>
      </c>
      <c r="C2213" s="1" t="n">
        <v>45802</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34100-2023</t>
        </is>
      </c>
      <c r="B2214" s="1" t="n">
        <v>45125</v>
      </c>
      <c r="C2214" s="1" t="n">
        <v>45802</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33175-2023</t>
        </is>
      </c>
      <c r="B2215" s="1" t="n">
        <v>45126</v>
      </c>
      <c r="C2215" s="1" t="n">
        <v>45802</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33328-2023</t>
        </is>
      </c>
      <c r="B2216" s="1" t="n">
        <v>45127</v>
      </c>
      <c r="C2216" s="1" t="n">
        <v>45802</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34284-2023</t>
        </is>
      </c>
      <c r="B2217" s="1" t="n">
        <v>45128</v>
      </c>
      <c r="C2217" s="1" t="n">
        <v>45802</v>
      </c>
      <c r="D2217" t="inlineStr">
        <is>
          <t>VÄSTERNORRLANDS LÄN</t>
        </is>
      </c>
      <c r="E2217" t="inlineStr">
        <is>
          <t>SOLLEFTEÅ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33591-2023</t>
        </is>
      </c>
      <c r="B2218" s="1" t="n">
        <v>45131</v>
      </c>
      <c r="C2218" s="1" t="n">
        <v>45802</v>
      </c>
      <c r="D2218" t="inlineStr">
        <is>
          <t>VÄSTERNORRLANDS LÄN</t>
        </is>
      </c>
      <c r="E2218" t="inlineStr">
        <is>
          <t>SOLLEFTEÅ</t>
        </is>
      </c>
      <c r="F2218" t="inlineStr">
        <is>
          <t>SCA</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33709-2023</t>
        </is>
      </c>
      <c r="B2219" s="1" t="n">
        <v>45133</v>
      </c>
      <c r="C2219" s="1" t="n">
        <v>45802</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33713-2023</t>
        </is>
      </c>
      <c r="B2220" s="1" t="n">
        <v>45133</v>
      </c>
      <c r="C2220" s="1" t="n">
        <v>45802</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33999-2023</t>
        </is>
      </c>
      <c r="B2221" s="1" t="n">
        <v>45134</v>
      </c>
      <c r="C2221" s="1" t="n">
        <v>45802</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34309-2023</t>
        </is>
      </c>
      <c r="B2222" s="1" t="n">
        <v>45139</v>
      </c>
      <c r="C2222" s="1" t="n">
        <v>45802</v>
      </c>
      <c r="D2222" t="inlineStr">
        <is>
          <t>VÄSTERNORRLANDS LÄN</t>
        </is>
      </c>
      <c r="E2222" t="inlineStr">
        <is>
          <t>SOLLEFTEÅ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34306-2023</t>
        </is>
      </c>
      <c r="B2223" s="1" t="n">
        <v>45138</v>
      </c>
      <c r="C2223" s="1" t="n">
        <v>45802</v>
      </c>
      <c r="D2223" t="inlineStr">
        <is>
          <t>VÄSTERNORRLANDS LÄN</t>
        </is>
      </c>
      <c r="E2223" t="inlineStr">
        <is>
          <t>SOLLEFTEÅ</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34310-2023</t>
        </is>
      </c>
      <c r="B2224" s="1" t="n">
        <v>45139</v>
      </c>
      <c r="C2224" s="1" t="n">
        <v>45802</v>
      </c>
      <c r="D2224" t="inlineStr">
        <is>
          <t>VÄSTERNORRLANDS LÄN</t>
        </is>
      </c>
      <c r="E2224" t="inlineStr">
        <is>
          <t>SOLLEFTEÅ</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34308-2023</t>
        </is>
      </c>
      <c r="B2225" s="1" t="n">
        <v>45138</v>
      </c>
      <c r="C2225" s="1" t="n">
        <v>45802</v>
      </c>
      <c r="D2225" t="inlineStr">
        <is>
          <t>VÄSTERNORRLANDS LÄN</t>
        </is>
      </c>
      <c r="E2225" t="inlineStr">
        <is>
          <t>SOLLEFTEÅ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34329-2023</t>
        </is>
      </c>
      <c r="B2226" s="1" t="n">
        <v>45139</v>
      </c>
      <c r="C2226" s="1" t="n">
        <v>45802</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34330-2023</t>
        </is>
      </c>
      <c r="B2227" s="1" t="n">
        <v>45138</v>
      </c>
      <c r="C2227" s="1" t="n">
        <v>45802</v>
      </c>
      <c r="D2227" t="inlineStr">
        <is>
          <t>VÄSTERNORRLANDS LÄN</t>
        </is>
      </c>
      <c r="E2227" t="inlineStr">
        <is>
          <t>SOLLEFTEÅ</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34328-2023</t>
        </is>
      </c>
      <c r="B2228" s="1" t="n">
        <v>45139</v>
      </c>
      <c r="C2228" s="1" t="n">
        <v>45802</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34307-2023</t>
        </is>
      </c>
      <c r="B2229" s="1" t="n">
        <v>45138</v>
      </c>
      <c r="C2229" s="1" t="n">
        <v>45802</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34311-2023</t>
        </is>
      </c>
      <c r="B2230" s="1" t="n">
        <v>45139</v>
      </c>
      <c r="C2230" s="1" t="n">
        <v>45802</v>
      </c>
      <c r="D2230" t="inlineStr">
        <is>
          <t>VÄSTERNORRLANDS LÄN</t>
        </is>
      </c>
      <c r="E2230" t="inlineStr">
        <is>
          <t>SOLLEFTEÅ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34327-2023</t>
        </is>
      </c>
      <c r="B2231" s="1" t="n">
        <v>45139</v>
      </c>
      <c r="C2231" s="1" t="n">
        <v>45802</v>
      </c>
      <c r="D2231" t="inlineStr">
        <is>
          <t>VÄSTERNORRLANDS LÄN</t>
        </is>
      </c>
      <c r="E2231" t="inlineStr">
        <is>
          <t>SOLLEFTEÅ</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34487-2023</t>
        </is>
      </c>
      <c r="B2232" s="1" t="n">
        <v>45140</v>
      </c>
      <c r="C2232" s="1" t="n">
        <v>45802</v>
      </c>
      <c r="D2232" t="inlineStr">
        <is>
          <t>VÄSTERNORRLANDS LÄN</t>
        </is>
      </c>
      <c r="E2232" t="inlineStr">
        <is>
          <t>SOLLEFTEÅ</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34741-2023</t>
        </is>
      </c>
      <c r="B2233" s="1" t="n">
        <v>45139</v>
      </c>
      <c r="C2233" s="1" t="n">
        <v>45802</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34737-2023</t>
        </is>
      </c>
      <c r="B2234" s="1" t="n">
        <v>45139</v>
      </c>
      <c r="C2234" s="1" t="n">
        <v>45802</v>
      </c>
      <c r="D2234" t="inlineStr">
        <is>
          <t>VÄSTERNORRLANDS LÄN</t>
        </is>
      </c>
      <c r="E2234" t="inlineStr">
        <is>
          <t>SOLLEFTEÅ</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34687-2023</t>
        </is>
      </c>
      <c r="B2235" s="1" t="n">
        <v>45141</v>
      </c>
      <c r="C2235" s="1" t="n">
        <v>45802</v>
      </c>
      <c r="D2235" t="inlineStr">
        <is>
          <t>VÄSTERNORRLANDS LÄN</t>
        </is>
      </c>
      <c r="E2235" t="inlineStr">
        <is>
          <t>SOLLEFTEÅ</t>
        </is>
      </c>
      <c r="F2235" t="inlineStr">
        <is>
          <t>SCA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34686-2023</t>
        </is>
      </c>
      <c r="B2236" s="1" t="n">
        <v>45141</v>
      </c>
      <c r="C2236" s="1" t="n">
        <v>45802</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34696-2023</t>
        </is>
      </c>
      <c r="B2237" s="1" t="n">
        <v>45141</v>
      </c>
      <c r="C2237" s="1" t="n">
        <v>45802</v>
      </c>
      <c r="D2237" t="inlineStr">
        <is>
          <t>VÄSTERNORRLANDS LÄN</t>
        </is>
      </c>
      <c r="E2237" t="inlineStr">
        <is>
          <t>SOLLEFTEÅ</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34983-2023</t>
        </is>
      </c>
      <c r="B2238" s="1" t="n">
        <v>45141</v>
      </c>
      <c r="C2238" s="1" t="n">
        <v>45802</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34848-2023</t>
        </is>
      </c>
      <c r="B2239" s="1" t="n">
        <v>45142</v>
      </c>
      <c r="C2239" s="1" t="n">
        <v>45802</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35147-2023</t>
        </is>
      </c>
      <c r="B2240" s="1" t="n">
        <v>45142</v>
      </c>
      <c r="C2240" s="1" t="n">
        <v>45802</v>
      </c>
      <c r="D2240" t="inlineStr">
        <is>
          <t>VÄSTERNORRLANDS LÄN</t>
        </is>
      </c>
      <c r="E2240" t="inlineStr">
        <is>
          <t>SOLLEFTEÅ</t>
        </is>
      </c>
      <c r="F2240" t="inlineStr">
        <is>
          <t>SCA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35276-2023</t>
        </is>
      </c>
      <c r="B2241" s="1" t="n">
        <v>45146</v>
      </c>
      <c r="C2241" s="1" t="n">
        <v>45802</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35277-2023</t>
        </is>
      </c>
      <c r="B2242" s="1" t="n">
        <v>45145</v>
      </c>
      <c r="C2242" s="1" t="n">
        <v>45802</v>
      </c>
      <c r="D2242" t="inlineStr">
        <is>
          <t>VÄSTERNORRLANDS LÄN</t>
        </is>
      </c>
      <c r="E2242" t="inlineStr">
        <is>
          <t>SOLLEFTEÅ</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35352-2023</t>
        </is>
      </c>
      <c r="B2243" s="1" t="n">
        <v>45145</v>
      </c>
      <c r="C2243" s="1" t="n">
        <v>45802</v>
      </c>
      <c r="D2243" t="inlineStr">
        <is>
          <t>VÄSTERNORRLANDS LÄN</t>
        </is>
      </c>
      <c r="E2243" t="inlineStr">
        <is>
          <t>SOLLEFTEÅ</t>
        </is>
      </c>
      <c r="F2243" t="inlineStr">
        <is>
          <t>SCA</t>
        </is>
      </c>
      <c r="G2243" t="n">
        <v>12.5</v>
      </c>
      <c r="H2243" t="n">
        <v>0</v>
      </c>
      <c r="I2243" t="n">
        <v>0</v>
      </c>
      <c r="J2243" t="n">
        <v>0</v>
      </c>
      <c r="K2243" t="n">
        <v>0</v>
      </c>
      <c r="L2243" t="n">
        <v>0</v>
      </c>
      <c r="M2243" t="n">
        <v>0</v>
      </c>
      <c r="N2243" t="n">
        <v>0</v>
      </c>
      <c r="O2243" t="n">
        <v>0</v>
      </c>
      <c r="P2243" t="n">
        <v>0</v>
      </c>
      <c r="Q2243" t="n">
        <v>0</v>
      </c>
      <c r="R2243" s="2" t="inlineStr"/>
    </row>
    <row r="2244" ht="15" customHeight="1">
      <c r="A2244" t="inlineStr">
        <is>
          <t>A 35470-2023</t>
        </is>
      </c>
      <c r="B2244" s="1" t="n">
        <v>45146</v>
      </c>
      <c r="C2244" s="1" t="n">
        <v>45802</v>
      </c>
      <c r="D2244" t="inlineStr">
        <is>
          <t>VÄSTERNORRLANDS LÄN</t>
        </is>
      </c>
      <c r="E2244" t="inlineStr">
        <is>
          <t>SOLLEFTEÅ</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35511-2023</t>
        </is>
      </c>
      <c r="B2245" s="1" t="n">
        <v>45146</v>
      </c>
      <c r="C2245" s="1" t="n">
        <v>45802</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35509-2023</t>
        </is>
      </c>
      <c r="B2246" s="1" t="n">
        <v>45147</v>
      </c>
      <c r="C2246" s="1" t="n">
        <v>45802</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35569-2023</t>
        </is>
      </c>
      <c r="B2247" s="1" t="n">
        <v>45147</v>
      </c>
      <c r="C2247" s="1" t="n">
        <v>45802</v>
      </c>
      <c r="D2247" t="inlineStr">
        <is>
          <t>VÄSTERNORRLANDS LÄN</t>
        </is>
      </c>
      <c r="E2247" t="inlineStr">
        <is>
          <t>SOLLEFTEÅ</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35746-2023</t>
        </is>
      </c>
      <c r="B2248" s="1" t="n">
        <v>45148</v>
      </c>
      <c r="C2248" s="1" t="n">
        <v>45802</v>
      </c>
      <c r="D2248" t="inlineStr">
        <is>
          <t>VÄSTERNORRLANDS LÄN</t>
        </is>
      </c>
      <c r="E2248" t="inlineStr">
        <is>
          <t>SOLLEFTEÅ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35556-2023</t>
        </is>
      </c>
      <c r="B2249" s="1" t="n">
        <v>45147</v>
      </c>
      <c r="C2249" s="1" t="n">
        <v>45802</v>
      </c>
      <c r="D2249" t="inlineStr">
        <is>
          <t>VÄSTERNORRLANDS LÄN</t>
        </is>
      </c>
      <c r="E2249" t="inlineStr">
        <is>
          <t>SOLLEFTEÅ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35764-2023</t>
        </is>
      </c>
      <c r="B2250" s="1" t="n">
        <v>45147</v>
      </c>
      <c r="C2250" s="1" t="n">
        <v>45802</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35745-2023</t>
        </is>
      </c>
      <c r="B2251" s="1" t="n">
        <v>45148</v>
      </c>
      <c r="C2251" s="1" t="n">
        <v>45802</v>
      </c>
      <c r="D2251" t="inlineStr">
        <is>
          <t>VÄSTERNORRLANDS LÄN</t>
        </is>
      </c>
      <c r="E2251" t="inlineStr">
        <is>
          <t>SOLLEFTEÅ</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35761-2023</t>
        </is>
      </c>
      <c r="B2252" s="1" t="n">
        <v>45148</v>
      </c>
      <c r="C2252" s="1" t="n">
        <v>45802</v>
      </c>
      <c r="D2252" t="inlineStr">
        <is>
          <t>VÄSTERNORRLANDS LÄN</t>
        </is>
      </c>
      <c r="E2252" t="inlineStr">
        <is>
          <t>SOLLEFTEÅ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35945-2023</t>
        </is>
      </c>
      <c r="B2253" s="1" t="n">
        <v>45148</v>
      </c>
      <c r="C2253" s="1" t="n">
        <v>45802</v>
      </c>
      <c r="D2253" t="inlineStr">
        <is>
          <t>VÄSTERNORRLANDS LÄN</t>
        </is>
      </c>
      <c r="E2253" t="inlineStr">
        <is>
          <t>SOLLEFTEÅ</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35980-2023</t>
        </is>
      </c>
      <c r="B2254" s="1" t="n">
        <v>45149</v>
      </c>
      <c r="C2254" s="1" t="n">
        <v>45802</v>
      </c>
      <c r="D2254" t="inlineStr">
        <is>
          <t>VÄSTERNORRLANDS LÄN</t>
        </is>
      </c>
      <c r="E2254" t="inlineStr">
        <is>
          <t>SOLLEFTEÅ</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35975-2023</t>
        </is>
      </c>
      <c r="B2255" s="1" t="n">
        <v>45148</v>
      </c>
      <c r="C2255" s="1" t="n">
        <v>45802</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35974-2023</t>
        </is>
      </c>
      <c r="B2256" s="1" t="n">
        <v>45148</v>
      </c>
      <c r="C2256" s="1" t="n">
        <v>45802</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35978-2023</t>
        </is>
      </c>
      <c r="B2257" s="1" t="n">
        <v>45148</v>
      </c>
      <c r="C2257" s="1" t="n">
        <v>45802</v>
      </c>
      <c r="D2257" t="inlineStr">
        <is>
          <t>VÄSTERNORRLANDS LÄN</t>
        </is>
      </c>
      <c r="E2257" t="inlineStr">
        <is>
          <t>SOLLEFTEÅ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35977-2023</t>
        </is>
      </c>
      <c r="B2258" s="1" t="n">
        <v>45149</v>
      </c>
      <c r="C2258" s="1" t="n">
        <v>45802</v>
      </c>
      <c r="D2258" t="inlineStr">
        <is>
          <t>VÄSTERNORRLANDS LÄN</t>
        </is>
      </c>
      <c r="E2258" t="inlineStr">
        <is>
          <t>SOLLEFTEÅ</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36211-2023</t>
        </is>
      </c>
      <c r="B2259" s="1" t="n">
        <v>45150</v>
      </c>
      <c r="C2259" s="1" t="n">
        <v>45802</v>
      </c>
      <c r="D2259" t="inlineStr">
        <is>
          <t>VÄSTERNORRLANDS LÄN</t>
        </is>
      </c>
      <c r="E2259" t="inlineStr">
        <is>
          <t>SOLLEFTEÅ</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36222-2023</t>
        </is>
      </c>
      <c r="B2260" s="1" t="n">
        <v>45150</v>
      </c>
      <c r="C2260" s="1" t="n">
        <v>45802</v>
      </c>
      <c r="D2260" t="inlineStr">
        <is>
          <t>VÄSTERNORRLANDS LÄN</t>
        </is>
      </c>
      <c r="E2260" t="inlineStr">
        <is>
          <t>SOLLEFTEÅ</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36511-2023</t>
        </is>
      </c>
      <c r="B2261" s="1" t="n">
        <v>45153</v>
      </c>
      <c r="C2261" s="1" t="n">
        <v>45802</v>
      </c>
      <c r="D2261" t="inlineStr">
        <is>
          <t>VÄSTERNORRLANDS LÄN</t>
        </is>
      </c>
      <c r="E2261" t="inlineStr">
        <is>
          <t>SOLLEFTEÅ</t>
        </is>
      </c>
      <c r="F2261" t="inlineStr">
        <is>
          <t>SCA</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36514-2023</t>
        </is>
      </c>
      <c r="B2262" s="1" t="n">
        <v>45153</v>
      </c>
      <c r="C2262" s="1" t="n">
        <v>45802</v>
      </c>
      <c r="D2262" t="inlineStr">
        <is>
          <t>VÄSTERNORRLANDS LÄN</t>
        </is>
      </c>
      <c r="E2262" t="inlineStr">
        <is>
          <t>SOLLEFTEÅ</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36508-2023</t>
        </is>
      </c>
      <c r="B2263" s="1" t="n">
        <v>45153</v>
      </c>
      <c r="C2263" s="1" t="n">
        <v>45802</v>
      </c>
      <c r="D2263" t="inlineStr">
        <is>
          <t>VÄSTERNORRLANDS LÄN</t>
        </is>
      </c>
      <c r="E2263" t="inlineStr">
        <is>
          <t>SOLLEFTEÅ</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36512-2023</t>
        </is>
      </c>
      <c r="B2264" s="1" t="n">
        <v>45152</v>
      </c>
      <c r="C2264" s="1" t="n">
        <v>45802</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36513-2023</t>
        </is>
      </c>
      <c r="B2265" s="1" t="n">
        <v>45153</v>
      </c>
      <c r="C2265" s="1" t="n">
        <v>45802</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36770-2023</t>
        </is>
      </c>
      <c r="B2266" s="1" t="n">
        <v>45153</v>
      </c>
      <c r="C2266" s="1" t="n">
        <v>45802</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36771-2023</t>
        </is>
      </c>
      <c r="B2267" s="1" t="n">
        <v>45153</v>
      </c>
      <c r="C2267" s="1" t="n">
        <v>45802</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36944-2023</t>
        </is>
      </c>
      <c r="B2268" s="1" t="n">
        <v>45154</v>
      </c>
      <c r="C2268" s="1" t="n">
        <v>45802</v>
      </c>
      <c r="D2268" t="inlineStr">
        <is>
          <t>VÄSTERNORRLANDS LÄN</t>
        </is>
      </c>
      <c r="E2268" t="inlineStr">
        <is>
          <t>SOLLEFTEÅ</t>
        </is>
      </c>
      <c r="F2268" t="inlineStr">
        <is>
          <t>Övriga Aktiebolag</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36976-2023</t>
        </is>
      </c>
      <c r="B2269" s="1" t="n">
        <v>45155</v>
      </c>
      <c r="C2269" s="1" t="n">
        <v>45802</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36977-2023</t>
        </is>
      </c>
      <c r="B2270" s="1" t="n">
        <v>45155</v>
      </c>
      <c r="C2270" s="1" t="n">
        <v>45802</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36967-2023</t>
        </is>
      </c>
      <c r="B2271" s="1" t="n">
        <v>45155</v>
      </c>
      <c r="C2271" s="1" t="n">
        <v>45802</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37269-2023</t>
        </is>
      </c>
      <c r="B2272" s="1" t="n">
        <v>45155</v>
      </c>
      <c r="C2272" s="1" t="n">
        <v>45802</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37412-2023</t>
        </is>
      </c>
      <c r="B2273" s="1" t="n">
        <v>45155</v>
      </c>
      <c r="C2273" s="1" t="n">
        <v>45802</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37381-2023</t>
        </is>
      </c>
      <c r="B2274" s="1" t="n">
        <v>45155</v>
      </c>
      <c r="C2274" s="1" t="n">
        <v>45802</v>
      </c>
      <c r="D2274" t="inlineStr">
        <is>
          <t>VÄSTERNORRLANDS LÄN</t>
        </is>
      </c>
      <c r="E2274" t="inlineStr">
        <is>
          <t>SOLLEFTEÅ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37484-2023</t>
        </is>
      </c>
      <c r="B2275" s="1" t="n">
        <v>45156</v>
      </c>
      <c r="C2275" s="1" t="n">
        <v>45802</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37615-2023</t>
        </is>
      </c>
      <c r="B2276" s="1" t="n">
        <v>45156</v>
      </c>
      <c r="C2276" s="1" t="n">
        <v>45802</v>
      </c>
      <c r="D2276" t="inlineStr">
        <is>
          <t>VÄSTERNORRLANDS LÄN</t>
        </is>
      </c>
      <c r="E2276" t="inlineStr">
        <is>
          <t>SOLLEFTEÅ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37711-2023</t>
        </is>
      </c>
      <c r="B2277" s="1" t="n">
        <v>45156</v>
      </c>
      <c r="C2277" s="1" t="n">
        <v>45802</v>
      </c>
      <c r="D2277" t="inlineStr">
        <is>
          <t>VÄSTERNORRLANDS LÄN</t>
        </is>
      </c>
      <c r="E2277" t="inlineStr">
        <is>
          <t>SOLLEFTEÅ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37735-2023</t>
        </is>
      </c>
      <c r="B2278" s="1" t="n">
        <v>45156</v>
      </c>
      <c r="C2278" s="1" t="n">
        <v>45802</v>
      </c>
      <c r="D2278" t="inlineStr">
        <is>
          <t>VÄSTERNORRLANDS LÄN</t>
        </is>
      </c>
      <c r="E2278" t="inlineStr">
        <is>
          <t>SOLLEFTEÅ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37486-2023</t>
        </is>
      </c>
      <c r="B2279" s="1" t="n">
        <v>45157</v>
      </c>
      <c r="C2279" s="1" t="n">
        <v>45802</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37691-2023</t>
        </is>
      </c>
      <c r="B2280" s="1" t="n">
        <v>45156</v>
      </c>
      <c r="C2280" s="1" t="n">
        <v>45802</v>
      </c>
      <c r="D2280" t="inlineStr">
        <is>
          <t>VÄSTERNORRLANDS LÄN</t>
        </is>
      </c>
      <c r="E2280" t="inlineStr">
        <is>
          <t>SOLLEFTEÅ</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37722-2023</t>
        </is>
      </c>
      <c r="B2281" s="1" t="n">
        <v>45156</v>
      </c>
      <c r="C2281" s="1" t="n">
        <v>45802</v>
      </c>
      <c r="D2281" t="inlineStr">
        <is>
          <t>VÄSTERNORRLANDS LÄN</t>
        </is>
      </c>
      <c r="E2281" t="inlineStr">
        <is>
          <t>SOLLEFTEÅ</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37611-2023</t>
        </is>
      </c>
      <c r="B2282" s="1" t="n">
        <v>45156</v>
      </c>
      <c r="C2282" s="1" t="n">
        <v>45802</v>
      </c>
      <c r="D2282" t="inlineStr">
        <is>
          <t>VÄSTERNORRLANDS LÄN</t>
        </is>
      </c>
      <c r="E2282" t="inlineStr">
        <is>
          <t>SOLLEFTEÅ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37671-2023</t>
        </is>
      </c>
      <c r="B2283" s="1" t="n">
        <v>45156</v>
      </c>
      <c r="C2283" s="1" t="n">
        <v>45802</v>
      </c>
      <c r="D2283" t="inlineStr">
        <is>
          <t>VÄSTERNORRLANDS LÄN</t>
        </is>
      </c>
      <c r="E2283" t="inlineStr">
        <is>
          <t>SOLLEFTEÅ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37696-2023</t>
        </is>
      </c>
      <c r="B2284" s="1" t="n">
        <v>45156</v>
      </c>
      <c r="C2284" s="1" t="n">
        <v>45802</v>
      </c>
      <c r="D2284" t="inlineStr">
        <is>
          <t>VÄSTERNORRLANDS LÄN</t>
        </is>
      </c>
      <c r="E2284" t="inlineStr">
        <is>
          <t>SOLLEFTEÅ</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37726-2023</t>
        </is>
      </c>
      <c r="B2285" s="1" t="n">
        <v>45156</v>
      </c>
      <c r="C2285" s="1" t="n">
        <v>45802</v>
      </c>
      <c r="D2285" t="inlineStr">
        <is>
          <t>VÄSTERNORRLANDS LÄN</t>
        </is>
      </c>
      <c r="E2285" t="inlineStr">
        <is>
          <t>SOLLEFTEÅ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37483-2023</t>
        </is>
      </c>
      <c r="B2286" s="1" t="n">
        <v>45157</v>
      </c>
      <c r="C2286" s="1" t="n">
        <v>45802</v>
      </c>
      <c r="D2286" t="inlineStr">
        <is>
          <t>VÄSTERNORRLANDS LÄN</t>
        </is>
      </c>
      <c r="E2286" t="inlineStr">
        <is>
          <t>SOLLEFTEÅ</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37487-2023</t>
        </is>
      </c>
      <c r="B2287" s="1" t="n">
        <v>45157</v>
      </c>
      <c r="C2287" s="1" t="n">
        <v>45802</v>
      </c>
      <c r="D2287" t="inlineStr">
        <is>
          <t>VÄSTERNORRLANDS LÄN</t>
        </is>
      </c>
      <c r="E2287" t="inlineStr">
        <is>
          <t>SOLLEFTEÅ</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37699-2023</t>
        </is>
      </c>
      <c r="B2288" s="1" t="n">
        <v>45156</v>
      </c>
      <c r="C2288" s="1" t="n">
        <v>45802</v>
      </c>
      <c r="D2288" t="inlineStr">
        <is>
          <t>VÄSTERNORRLANDS LÄN</t>
        </is>
      </c>
      <c r="E2288" t="inlineStr">
        <is>
          <t>SOLLEFTEÅ</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37731-2023</t>
        </is>
      </c>
      <c r="B2289" s="1" t="n">
        <v>45156</v>
      </c>
      <c r="C2289" s="1" t="n">
        <v>45802</v>
      </c>
      <c r="D2289" t="inlineStr">
        <is>
          <t>VÄSTERNORRLANDS LÄN</t>
        </is>
      </c>
      <c r="E2289" t="inlineStr">
        <is>
          <t>SOLLEFTEÅ</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37807-2023</t>
        </is>
      </c>
      <c r="B2290" s="1" t="n">
        <v>45160</v>
      </c>
      <c r="C2290" s="1" t="n">
        <v>45802</v>
      </c>
      <c r="D2290" t="inlineStr">
        <is>
          <t>VÄSTERNORRLANDS LÄN</t>
        </is>
      </c>
      <c r="E2290" t="inlineStr">
        <is>
          <t>SOLLEFTEÅ</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38093-2023</t>
        </is>
      </c>
      <c r="B2291" s="1" t="n">
        <v>45160</v>
      </c>
      <c r="C2291" s="1" t="n">
        <v>45802</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38097-2023</t>
        </is>
      </c>
      <c r="B2292" s="1" t="n">
        <v>45160</v>
      </c>
      <c r="C2292" s="1" t="n">
        <v>45802</v>
      </c>
      <c r="D2292" t="inlineStr">
        <is>
          <t>VÄSTERNORRLANDS LÄN</t>
        </is>
      </c>
      <c r="E2292" t="inlineStr">
        <is>
          <t>SOLLEFTEÅ</t>
        </is>
      </c>
      <c r="F2292" t="inlineStr">
        <is>
          <t>SCA</t>
        </is>
      </c>
      <c r="G2292" t="n">
        <v>47.1</v>
      </c>
      <c r="H2292" t="n">
        <v>0</v>
      </c>
      <c r="I2292" t="n">
        <v>0</v>
      </c>
      <c r="J2292" t="n">
        <v>0</v>
      </c>
      <c r="K2292" t="n">
        <v>0</v>
      </c>
      <c r="L2292" t="n">
        <v>0</v>
      </c>
      <c r="M2292" t="n">
        <v>0</v>
      </c>
      <c r="N2292" t="n">
        <v>0</v>
      </c>
      <c r="O2292" t="n">
        <v>0</v>
      </c>
      <c r="P2292" t="n">
        <v>0</v>
      </c>
      <c r="Q2292" t="n">
        <v>0</v>
      </c>
      <c r="R2292" s="2" t="inlineStr"/>
    </row>
    <row r="2293" ht="15" customHeight="1">
      <c r="A2293" t="inlineStr">
        <is>
          <t>A 38092-2023</t>
        </is>
      </c>
      <c r="B2293" s="1" t="n">
        <v>45161</v>
      </c>
      <c r="C2293" s="1" t="n">
        <v>45802</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38100-2023</t>
        </is>
      </c>
      <c r="B2294" s="1" t="n">
        <v>45161</v>
      </c>
      <c r="C2294" s="1" t="n">
        <v>45802</v>
      </c>
      <c r="D2294" t="inlineStr">
        <is>
          <t>VÄSTERNORRLANDS LÄN</t>
        </is>
      </c>
      <c r="E2294" t="inlineStr">
        <is>
          <t>SOLLEFTEÅ</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39077-2023</t>
        </is>
      </c>
      <c r="B2295" s="1" t="n">
        <v>45164</v>
      </c>
      <c r="C2295" s="1" t="n">
        <v>45802</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39399-2023</t>
        </is>
      </c>
      <c r="B2296" s="1" t="n">
        <v>45163</v>
      </c>
      <c r="C2296" s="1" t="n">
        <v>45802</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39058-2023</t>
        </is>
      </c>
      <c r="B2297" s="1" t="n">
        <v>45164</v>
      </c>
      <c r="C2297" s="1" t="n">
        <v>45802</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39379-2023</t>
        </is>
      </c>
      <c r="B2298" s="1" t="n">
        <v>45163</v>
      </c>
      <c r="C2298" s="1" t="n">
        <v>45802</v>
      </c>
      <c r="D2298" t="inlineStr">
        <is>
          <t>VÄSTERNORRLANDS LÄN</t>
        </is>
      </c>
      <c r="E2298" t="inlineStr">
        <is>
          <t>SOLLEFTEÅ</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39496-2023</t>
        </is>
      </c>
      <c r="B2299" s="1" t="n">
        <v>45167</v>
      </c>
      <c r="C2299" s="1" t="n">
        <v>45802</v>
      </c>
      <c r="D2299" t="inlineStr">
        <is>
          <t>VÄSTERNORRLANDS LÄN</t>
        </is>
      </c>
      <c r="E2299" t="inlineStr">
        <is>
          <t>SOLLEFTEÅ</t>
        </is>
      </c>
      <c r="F2299" t="inlineStr">
        <is>
          <t>SCA</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39497-2023</t>
        </is>
      </c>
      <c r="B2300" s="1" t="n">
        <v>45167</v>
      </c>
      <c r="C2300" s="1" t="n">
        <v>45802</v>
      </c>
      <c r="D2300" t="inlineStr">
        <is>
          <t>VÄSTERNORRLANDS LÄN</t>
        </is>
      </c>
      <c r="E2300" t="inlineStr">
        <is>
          <t>SOLLEFTEÅ</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39727-2023</t>
        </is>
      </c>
      <c r="B2301" s="1" t="n">
        <v>45166</v>
      </c>
      <c r="C2301" s="1" t="n">
        <v>45802</v>
      </c>
      <c r="D2301" t="inlineStr">
        <is>
          <t>VÄSTERNORRLANDS LÄN</t>
        </is>
      </c>
      <c r="E2301" t="inlineStr">
        <is>
          <t>SOLLEFTEÅ</t>
        </is>
      </c>
      <c r="F2301" t="inlineStr">
        <is>
          <t>SCA</t>
        </is>
      </c>
      <c r="G2301" t="n">
        <v>45.3</v>
      </c>
      <c r="H2301" t="n">
        <v>0</v>
      </c>
      <c r="I2301" t="n">
        <v>0</v>
      </c>
      <c r="J2301" t="n">
        <v>0</v>
      </c>
      <c r="K2301" t="n">
        <v>0</v>
      </c>
      <c r="L2301" t="n">
        <v>0</v>
      </c>
      <c r="M2301" t="n">
        <v>0</v>
      </c>
      <c r="N2301" t="n">
        <v>0</v>
      </c>
      <c r="O2301" t="n">
        <v>0</v>
      </c>
      <c r="P2301" t="n">
        <v>0</v>
      </c>
      <c r="Q2301" t="n">
        <v>0</v>
      </c>
      <c r="R2301" s="2" t="inlineStr"/>
    </row>
    <row r="2302" ht="15" customHeight="1">
      <c r="A2302" t="inlineStr">
        <is>
          <t>A 39495-2023</t>
        </is>
      </c>
      <c r="B2302" s="1" t="n">
        <v>45167</v>
      </c>
      <c r="C2302" s="1" t="n">
        <v>45802</v>
      </c>
      <c r="D2302" t="inlineStr">
        <is>
          <t>VÄSTERNORRLANDS LÄN</t>
        </is>
      </c>
      <c r="E2302" t="inlineStr">
        <is>
          <t>SOLLEFTEÅ</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40098-2023</t>
        </is>
      </c>
      <c r="B2303" s="1" t="n">
        <v>45169</v>
      </c>
      <c r="C2303" s="1" t="n">
        <v>45802</v>
      </c>
      <c r="D2303" t="inlineStr">
        <is>
          <t>VÄSTERNORRLANDS LÄN</t>
        </is>
      </c>
      <c r="E2303" t="inlineStr">
        <is>
          <t>SOLLEFTEÅ</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40099-2023</t>
        </is>
      </c>
      <c r="B2304" s="1" t="n">
        <v>45169</v>
      </c>
      <c r="C2304" s="1" t="n">
        <v>45802</v>
      </c>
      <c r="D2304" t="inlineStr">
        <is>
          <t>VÄSTERNORRLANDS LÄN</t>
        </is>
      </c>
      <c r="E2304" t="inlineStr">
        <is>
          <t>SOLLEFTEÅ</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40115-2023</t>
        </is>
      </c>
      <c r="B2305" s="1" t="n">
        <v>45169</v>
      </c>
      <c r="C2305" s="1" t="n">
        <v>45802</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40202-2023</t>
        </is>
      </c>
      <c r="B2306" s="1" t="n">
        <v>45169</v>
      </c>
      <c r="C2306" s="1" t="n">
        <v>45802</v>
      </c>
      <c r="D2306" t="inlineStr">
        <is>
          <t>VÄSTERNORRLANDS LÄN</t>
        </is>
      </c>
      <c r="E2306" t="inlineStr">
        <is>
          <t>SOLLEFTEÅ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40403-2023</t>
        </is>
      </c>
      <c r="B2307" s="1" t="n">
        <v>45170</v>
      </c>
      <c r="C2307" s="1" t="n">
        <v>45802</v>
      </c>
      <c r="D2307" t="inlineStr">
        <is>
          <t>VÄSTERNORRLANDS LÄN</t>
        </is>
      </c>
      <c r="E2307" t="inlineStr">
        <is>
          <t>SOLLEFTEÅ</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40404-2023</t>
        </is>
      </c>
      <c r="B2308" s="1" t="n">
        <v>45170</v>
      </c>
      <c r="C2308" s="1" t="n">
        <v>45802</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40429-2023</t>
        </is>
      </c>
      <c r="B2309" s="1" t="n">
        <v>45169</v>
      </c>
      <c r="C2309" s="1" t="n">
        <v>45802</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40421-2023</t>
        </is>
      </c>
      <c r="B2310" s="1" t="n">
        <v>45170</v>
      </c>
      <c r="C2310" s="1" t="n">
        <v>45802</v>
      </c>
      <c r="D2310" t="inlineStr">
        <is>
          <t>VÄSTERNORRLANDS LÄN</t>
        </is>
      </c>
      <c r="E2310" t="inlineStr">
        <is>
          <t>SOLLEFTEÅ</t>
        </is>
      </c>
      <c r="F2310" t="inlineStr">
        <is>
          <t>SCA</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40766-2023</t>
        </is>
      </c>
      <c r="B2311" s="1" t="n">
        <v>45170</v>
      </c>
      <c r="C2311" s="1" t="n">
        <v>45802</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40764-2023</t>
        </is>
      </c>
      <c r="B2312" s="1" t="n">
        <v>45170</v>
      </c>
      <c r="C2312" s="1" t="n">
        <v>45802</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41145-2023</t>
        </is>
      </c>
      <c r="B2313" s="1" t="n">
        <v>45174</v>
      </c>
      <c r="C2313" s="1" t="n">
        <v>45802</v>
      </c>
      <c r="D2313" t="inlineStr">
        <is>
          <t>VÄSTERNORRLANDS LÄN</t>
        </is>
      </c>
      <c r="E2313" t="inlineStr">
        <is>
          <t>SOLLEFTEÅ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41146-2023</t>
        </is>
      </c>
      <c r="B2314" s="1" t="n">
        <v>45174</v>
      </c>
      <c r="C2314" s="1" t="n">
        <v>45802</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41143-2023</t>
        </is>
      </c>
      <c r="B2315" s="1" t="n">
        <v>45174</v>
      </c>
      <c r="C2315" s="1" t="n">
        <v>45802</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41257-2023</t>
        </is>
      </c>
      <c r="B2316" s="1" t="n">
        <v>45174</v>
      </c>
      <c r="C2316" s="1" t="n">
        <v>45802</v>
      </c>
      <c r="D2316" t="inlineStr">
        <is>
          <t>VÄSTERNORRLANDS LÄN</t>
        </is>
      </c>
      <c r="E2316" t="inlineStr">
        <is>
          <t>SOLLEFTEÅ</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41655-2023</t>
        </is>
      </c>
      <c r="B2317" s="1" t="n">
        <v>45176</v>
      </c>
      <c r="C2317" s="1" t="n">
        <v>45802</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41933-2023</t>
        </is>
      </c>
      <c r="B2318" s="1" t="n">
        <v>45177</v>
      </c>
      <c r="C2318" s="1" t="n">
        <v>45802</v>
      </c>
      <c r="D2318" t="inlineStr">
        <is>
          <t>VÄSTERNORRLANDS LÄN</t>
        </is>
      </c>
      <c r="E2318" t="inlineStr">
        <is>
          <t>SOLLEFTEÅ</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41924-2023</t>
        </is>
      </c>
      <c r="B2319" s="1" t="n">
        <v>45176</v>
      </c>
      <c r="C2319" s="1" t="n">
        <v>45802</v>
      </c>
      <c r="D2319" t="inlineStr">
        <is>
          <t>VÄSTERNORRLANDS LÄN</t>
        </is>
      </c>
      <c r="E2319" t="inlineStr">
        <is>
          <t>SOLLEFTEÅ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42150-2023</t>
        </is>
      </c>
      <c r="B2320" s="1" t="n">
        <v>45178</v>
      </c>
      <c r="C2320" s="1" t="n">
        <v>45802</v>
      </c>
      <c r="D2320" t="inlineStr">
        <is>
          <t>VÄSTERNORRLANDS LÄN</t>
        </is>
      </c>
      <c r="E2320" t="inlineStr">
        <is>
          <t>SOLLEFTEÅ</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42162-2023</t>
        </is>
      </c>
      <c r="B2321" s="1" t="n">
        <v>45178</v>
      </c>
      <c r="C2321" s="1" t="n">
        <v>45802</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42140-2023</t>
        </is>
      </c>
      <c r="B2322" s="1" t="n">
        <v>45178</v>
      </c>
      <c r="C2322" s="1" t="n">
        <v>45802</v>
      </c>
      <c r="D2322" t="inlineStr">
        <is>
          <t>VÄSTERNORRLANDS LÄN</t>
        </is>
      </c>
      <c r="E2322" t="inlineStr">
        <is>
          <t>SOLLEFTEÅ</t>
        </is>
      </c>
      <c r="G2322" t="n">
        <v>13.3</v>
      </c>
      <c r="H2322" t="n">
        <v>0</v>
      </c>
      <c r="I2322" t="n">
        <v>0</v>
      </c>
      <c r="J2322" t="n">
        <v>0</v>
      </c>
      <c r="K2322" t="n">
        <v>0</v>
      </c>
      <c r="L2322" t="n">
        <v>0</v>
      </c>
      <c r="M2322" t="n">
        <v>0</v>
      </c>
      <c r="N2322" t="n">
        <v>0</v>
      </c>
      <c r="O2322" t="n">
        <v>0</v>
      </c>
      <c r="P2322" t="n">
        <v>0</v>
      </c>
      <c r="Q2322" t="n">
        <v>0</v>
      </c>
      <c r="R2322" s="2" t="inlineStr"/>
    </row>
    <row r="2323" ht="15" customHeight="1">
      <c r="A2323" t="inlineStr">
        <is>
          <t>A 42160-2023</t>
        </is>
      </c>
      <c r="B2323" s="1" t="n">
        <v>45177</v>
      </c>
      <c r="C2323" s="1" t="n">
        <v>45802</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42164-2023</t>
        </is>
      </c>
      <c r="B2324" s="1" t="n">
        <v>45178</v>
      </c>
      <c r="C2324" s="1" t="n">
        <v>45802</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42147-2023</t>
        </is>
      </c>
      <c r="B2325" s="1" t="n">
        <v>45177</v>
      </c>
      <c r="C2325" s="1" t="n">
        <v>45802</v>
      </c>
      <c r="D2325" t="inlineStr">
        <is>
          <t>VÄSTERNORRLANDS LÄN</t>
        </is>
      </c>
      <c r="E2325" t="inlineStr">
        <is>
          <t>SOLLEFTEÅ</t>
        </is>
      </c>
      <c r="G2325" t="n">
        <v>24.4</v>
      </c>
      <c r="H2325" t="n">
        <v>0</v>
      </c>
      <c r="I2325" t="n">
        <v>0</v>
      </c>
      <c r="J2325" t="n">
        <v>0</v>
      </c>
      <c r="K2325" t="n">
        <v>0</v>
      </c>
      <c r="L2325" t="n">
        <v>0</v>
      </c>
      <c r="M2325" t="n">
        <v>0</v>
      </c>
      <c r="N2325" t="n">
        <v>0</v>
      </c>
      <c r="O2325" t="n">
        <v>0</v>
      </c>
      <c r="P2325" t="n">
        <v>0</v>
      </c>
      <c r="Q2325" t="n">
        <v>0</v>
      </c>
      <c r="R2325" s="2" t="inlineStr"/>
    </row>
    <row r="2326" ht="15" customHeight="1">
      <c r="A2326" t="inlineStr">
        <is>
          <t>A 42440-2023</t>
        </is>
      </c>
      <c r="B2326" s="1" t="n">
        <v>45180</v>
      </c>
      <c r="C2326" s="1" t="n">
        <v>45802</v>
      </c>
      <c r="D2326" t="inlineStr">
        <is>
          <t>VÄSTERNORRLANDS LÄN</t>
        </is>
      </c>
      <c r="E2326" t="inlineStr">
        <is>
          <t>SOLLEFTEÅ</t>
        </is>
      </c>
      <c r="F2326" t="inlineStr">
        <is>
          <t>Holmen skog AB</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42514-2023</t>
        </is>
      </c>
      <c r="B2327" s="1" t="n">
        <v>45181</v>
      </c>
      <c r="C2327" s="1" t="n">
        <v>45802</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42512-2023</t>
        </is>
      </c>
      <c r="B2328" s="1" t="n">
        <v>45181</v>
      </c>
      <c r="C2328" s="1" t="n">
        <v>45802</v>
      </c>
      <c r="D2328" t="inlineStr">
        <is>
          <t>VÄSTERNORRLANDS LÄN</t>
        </is>
      </c>
      <c r="E2328" t="inlineStr">
        <is>
          <t>SOLLEFTEÅ</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43487-2023</t>
        </is>
      </c>
      <c r="B2329" s="1" t="n">
        <v>45181</v>
      </c>
      <c r="C2329" s="1" t="n">
        <v>45802</v>
      </c>
      <c r="D2329" t="inlineStr">
        <is>
          <t>VÄSTERNORRLANDS LÄN</t>
        </is>
      </c>
      <c r="E2329" t="inlineStr">
        <is>
          <t>SOLLEFTEÅ</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43177-2023</t>
        </is>
      </c>
      <c r="B2330" s="1" t="n">
        <v>45181</v>
      </c>
      <c r="C2330" s="1" t="n">
        <v>45802</v>
      </c>
      <c r="D2330" t="inlineStr">
        <is>
          <t>VÄSTERNORRLANDS LÄN</t>
        </is>
      </c>
      <c r="E2330" t="inlineStr">
        <is>
          <t>SOLLEFTEÅ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43512-2023</t>
        </is>
      </c>
      <c r="B2331" s="1" t="n">
        <v>45181</v>
      </c>
      <c r="C2331" s="1" t="n">
        <v>45802</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44533-2023</t>
        </is>
      </c>
      <c r="B2332" s="1" t="n">
        <v>45183</v>
      </c>
      <c r="C2332" s="1" t="n">
        <v>45802</v>
      </c>
      <c r="D2332" t="inlineStr">
        <is>
          <t>VÄSTERNORRLANDS LÄN</t>
        </is>
      </c>
      <c r="E2332" t="inlineStr">
        <is>
          <t>SOLLEFTEÅ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43531-2023</t>
        </is>
      </c>
      <c r="B2333" s="1" t="n">
        <v>45184</v>
      </c>
      <c r="C2333" s="1" t="n">
        <v>45802</v>
      </c>
      <c r="D2333" t="inlineStr">
        <is>
          <t>VÄSTERNORRLANDS LÄN</t>
        </is>
      </c>
      <c r="E2333" t="inlineStr">
        <is>
          <t>SOLLEFTEÅ</t>
        </is>
      </c>
      <c r="F2333" t="inlineStr">
        <is>
          <t>Holmen skog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43504-2023</t>
        </is>
      </c>
      <c r="B2334" s="1" t="n">
        <v>45184</v>
      </c>
      <c r="C2334" s="1" t="n">
        <v>45802</v>
      </c>
      <c r="D2334" t="inlineStr">
        <is>
          <t>VÄSTERNORRLANDS LÄN</t>
        </is>
      </c>
      <c r="E2334" t="inlineStr">
        <is>
          <t>SOLLEFTEÅ</t>
        </is>
      </c>
      <c r="F2334" t="inlineStr">
        <is>
          <t>Holmen skog AB</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45193-2023</t>
        </is>
      </c>
      <c r="B2335" s="1" t="n">
        <v>45187</v>
      </c>
      <c r="C2335" s="1" t="n">
        <v>45802</v>
      </c>
      <c r="D2335" t="inlineStr">
        <is>
          <t>VÄSTERNORRLANDS LÄN</t>
        </is>
      </c>
      <c r="E2335" t="inlineStr">
        <is>
          <t>SOLLEFTEÅ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44389-2023</t>
        </is>
      </c>
      <c r="B2336" s="1" t="n">
        <v>45189</v>
      </c>
      <c r="C2336" s="1" t="n">
        <v>45802</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44393-2023</t>
        </is>
      </c>
      <c r="B2337" s="1" t="n">
        <v>45189</v>
      </c>
      <c r="C2337" s="1" t="n">
        <v>45802</v>
      </c>
      <c r="D2337" t="inlineStr">
        <is>
          <t>VÄSTERNORRLANDS LÄN</t>
        </is>
      </c>
      <c r="E2337" t="inlineStr">
        <is>
          <t>SOLLEFTEÅ</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44388-2023</t>
        </is>
      </c>
      <c r="B2338" s="1" t="n">
        <v>45189</v>
      </c>
      <c r="C2338" s="1" t="n">
        <v>45802</v>
      </c>
      <c r="D2338" t="inlineStr">
        <is>
          <t>VÄSTERNORRLANDS LÄN</t>
        </is>
      </c>
      <c r="E2338" t="inlineStr">
        <is>
          <t>SOLLEFTEÅ</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44392-2023</t>
        </is>
      </c>
      <c r="B2339" s="1" t="n">
        <v>45189</v>
      </c>
      <c r="C2339" s="1" t="n">
        <v>45802</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44408-2023</t>
        </is>
      </c>
      <c r="B2340" s="1" t="n">
        <v>45189</v>
      </c>
      <c r="C2340" s="1" t="n">
        <v>45802</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44391-2023</t>
        </is>
      </c>
      <c r="B2341" s="1" t="n">
        <v>45189</v>
      </c>
      <c r="C2341" s="1" t="n">
        <v>45802</v>
      </c>
      <c r="D2341" t="inlineStr">
        <is>
          <t>VÄSTERNORRLANDS LÄN</t>
        </is>
      </c>
      <c r="E2341" t="inlineStr">
        <is>
          <t>SOLLEFTEÅ</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44407-2023</t>
        </is>
      </c>
      <c r="B2342" s="1" t="n">
        <v>45189</v>
      </c>
      <c r="C2342" s="1" t="n">
        <v>45802</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45644-2023</t>
        </is>
      </c>
      <c r="B2343" s="1" t="n">
        <v>45188</v>
      </c>
      <c r="C2343" s="1" t="n">
        <v>45802</v>
      </c>
      <c r="D2343" t="inlineStr">
        <is>
          <t>VÄSTERNORRLANDS LÄN</t>
        </is>
      </c>
      <c r="E2343" t="inlineStr">
        <is>
          <t>SOLLEFTEÅ</t>
        </is>
      </c>
      <c r="F2343" t="inlineStr">
        <is>
          <t>SCA</t>
        </is>
      </c>
      <c r="G2343" t="n">
        <v>1</v>
      </c>
      <c r="H2343" t="n">
        <v>0</v>
      </c>
      <c r="I2343" t="n">
        <v>0</v>
      </c>
      <c r="J2343" t="n">
        <v>0</v>
      </c>
      <c r="K2343" t="n">
        <v>0</v>
      </c>
      <c r="L2343" t="n">
        <v>0</v>
      </c>
      <c r="M2343" t="n">
        <v>0</v>
      </c>
      <c r="N2343" t="n">
        <v>0</v>
      </c>
      <c r="O2343" t="n">
        <v>0</v>
      </c>
      <c r="P2343" t="n">
        <v>0</v>
      </c>
      <c r="Q2343" t="n">
        <v>0</v>
      </c>
      <c r="R2343" s="2" t="inlineStr"/>
      <c r="U2343">
        <f>HYPERLINK("https://klasma.github.io/Logging_2283/knärot/A 45644-2023 karta knärot.png", "A 45644-2023")</f>
        <v/>
      </c>
      <c r="V2343">
        <f>HYPERLINK("https://klasma.github.io/Logging_2283/klagomål/A 45644-2023 FSC-klagomål.docx", "A 45644-2023")</f>
        <v/>
      </c>
      <c r="W2343">
        <f>HYPERLINK("https://klasma.github.io/Logging_2283/klagomålsmail/A 45644-2023 FSC-klagomål mail.docx", "A 45644-2023")</f>
        <v/>
      </c>
      <c r="X2343">
        <f>HYPERLINK("https://klasma.github.io/Logging_2283/tillsyn/A 45644-2023 tillsynsbegäran.docx", "A 45644-2023")</f>
        <v/>
      </c>
      <c r="Y2343">
        <f>HYPERLINK("https://klasma.github.io/Logging_2283/tillsynsmail/A 45644-2023 tillsynsbegäran mail.docx", "A 45644-2023")</f>
        <v/>
      </c>
    </row>
    <row r="2344" ht="15" customHeight="1">
      <c r="A2344" t="inlineStr">
        <is>
          <t>A 44410-2023</t>
        </is>
      </c>
      <c r="B2344" s="1" t="n">
        <v>45189</v>
      </c>
      <c r="C2344" s="1" t="n">
        <v>45802</v>
      </c>
      <c r="D2344" t="inlineStr">
        <is>
          <t>VÄSTERNORRLANDS LÄN</t>
        </is>
      </c>
      <c r="E2344" t="inlineStr">
        <is>
          <t>SOLLEFTEÅ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44905-2023</t>
        </is>
      </c>
      <c r="B2345" s="1" t="n">
        <v>45189</v>
      </c>
      <c r="C2345" s="1" t="n">
        <v>45802</v>
      </c>
      <c r="D2345" t="inlineStr">
        <is>
          <t>VÄSTERNORRLANDS LÄN</t>
        </is>
      </c>
      <c r="E2345" t="inlineStr">
        <is>
          <t>SOLLEFTEÅ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44781-2023</t>
        </is>
      </c>
      <c r="B2346" s="1" t="n">
        <v>45190</v>
      </c>
      <c r="C2346" s="1" t="n">
        <v>45802</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45015-2023</t>
        </is>
      </c>
      <c r="B2347" s="1" t="n">
        <v>45191</v>
      </c>
      <c r="C2347" s="1" t="n">
        <v>45802</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44984-2023</t>
        </is>
      </c>
      <c r="B2348" s="1" t="n">
        <v>45191</v>
      </c>
      <c r="C2348" s="1" t="n">
        <v>45802</v>
      </c>
      <c r="D2348" t="inlineStr">
        <is>
          <t>VÄSTERNORRLANDS LÄN</t>
        </is>
      </c>
      <c r="E2348" t="inlineStr">
        <is>
          <t>SOLLEFTEÅ</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44986-2023</t>
        </is>
      </c>
      <c r="B2349" s="1" t="n">
        <v>45190</v>
      </c>
      <c r="C2349" s="1" t="n">
        <v>45802</v>
      </c>
      <c r="D2349" t="inlineStr">
        <is>
          <t>VÄSTERNORRLANDS LÄN</t>
        </is>
      </c>
      <c r="E2349" t="inlineStr">
        <is>
          <t>SOLLEFTEÅ</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44994-2023</t>
        </is>
      </c>
      <c r="B2350" s="1" t="n">
        <v>45190</v>
      </c>
      <c r="C2350" s="1" t="n">
        <v>45802</v>
      </c>
      <c r="D2350" t="inlineStr">
        <is>
          <t>VÄSTERNORRLANDS LÄN</t>
        </is>
      </c>
      <c r="E2350" t="inlineStr">
        <is>
          <t>SOLLEFTEÅ</t>
        </is>
      </c>
      <c r="F2350" t="inlineStr">
        <is>
          <t>SCA</t>
        </is>
      </c>
      <c r="G2350" t="n">
        <v>26.8</v>
      </c>
      <c r="H2350" t="n">
        <v>0</v>
      </c>
      <c r="I2350" t="n">
        <v>0</v>
      </c>
      <c r="J2350" t="n">
        <v>0</v>
      </c>
      <c r="K2350" t="n">
        <v>0</v>
      </c>
      <c r="L2350" t="n">
        <v>0</v>
      </c>
      <c r="M2350" t="n">
        <v>0</v>
      </c>
      <c r="N2350" t="n">
        <v>0</v>
      </c>
      <c r="O2350" t="n">
        <v>0</v>
      </c>
      <c r="P2350" t="n">
        <v>0</v>
      </c>
      <c r="Q2350" t="n">
        <v>0</v>
      </c>
      <c r="R2350" s="2" t="inlineStr"/>
    </row>
    <row r="2351" ht="15" customHeight="1">
      <c r="A2351" t="inlineStr">
        <is>
          <t>A 44998-2023</t>
        </is>
      </c>
      <c r="B2351" s="1" t="n">
        <v>45191</v>
      </c>
      <c r="C2351" s="1" t="n">
        <v>45802</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45014-2023</t>
        </is>
      </c>
      <c r="B2352" s="1" t="n">
        <v>45191</v>
      </c>
      <c r="C2352" s="1" t="n">
        <v>45802</v>
      </c>
      <c r="D2352" t="inlineStr">
        <is>
          <t>VÄSTERNORRLANDS LÄN</t>
        </is>
      </c>
      <c r="E2352" t="inlineStr">
        <is>
          <t>SOLLEFTEÅ</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45017-2023</t>
        </is>
      </c>
      <c r="B2353" s="1" t="n">
        <v>45190</v>
      </c>
      <c r="C2353" s="1" t="n">
        <v>45802</v>
      </c>
      <c r="D2353" t="inlineStr">
        <is>
          <t>VÄSTERNORRLANDS LÄN</t>
        </is>
      </c>
      <c r="E2353" t="inlineStr">
        <is>
          <t>SOLLEFTEÅ</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46212-2023</t>
        </is>
      </c>
      <c r="B2354" s="1" t="n">
        <v>45190</v>
      </c>
      <c r="C2354" s="1" t="n">
        <v>45802</v>
      </c>
      <c r="D2354" t="inlineStr">
        <is>
          <t>VÄSTERNORRLANDS LÄN</t>
        </is>
      </c>
      <c r="E2354" t="inlineStr">
        <is>
          <t>SOLLEFTEÅ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46207-2023</t>
        </is>
      </c>
      <c r="B2355" s="1" t="n">
        <v>45190</v>
      </c>
      <c r="C2355" s="1" t="n">
        <v>45802</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46357-2023</t>
        </is>
      </c>
      <c r="B2356" s="1" t="n">
        <v>45191</v>
      </c>
      <c r="C2356" s="1" t="n">
        <v>45802</v>
      </c>
      <c r="D2356" t="inlineStr">
        <is>
          <t>VÄSTERNORRLANDS LÄN</t>
        </is>
      </c>
      <c r="E2356" t="inlineStr">
        <is>
          <t>SOLLEFTEÅ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46344-2023</t>
        </is>
      </c>
      <c r="B2357" s="1" t="n">
        <v>45191</v>
      </c>
      <c r="C2357" s="1" t="n">
        <v>45802</v>
      </c>
      <c r="D2357" t="inlineStr">
        <is>
          <t>VÄSTERNORRLANDS LÄN</t>
        </is>
      </c>
      <c r="E2357" t="inlineStr">
        <is>
          <t>SOLLEFTEÅ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45570-2023</t>
        </is>
      </c>
      <c r="B2358" s="1" t="n">
        <v>45194</v>
      </c>
      <c r="C2358" s="1" t="n">
        <v>45802</v>
      </c>
      <c r="D2358" t="inlineStr">
        <is>
          <t>VÄSTERNORRLANDS LÄN</t>
        </is>
      </c>
      <c r="E2358" t="inlineStr">
        <is>
          <t>SOLLEFTEÅ</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45958-2023</t>
        </is>
      </c>
      <c r="B2359" s="1" t="n">
        <v>45195</v>
      </c>
      <c r="C2359" s="1" t="n">
        <v>45802</v>
      </c>
      <c r="D2359" t="inlineStr">
        <is>
          <t>VÄSTERNORRLANDS LÄN</t>
        </is>
      </c>
      <c r="E2359" t="inlineStr">
        <is>
          <t>SOLLEFTEÅ</t>
        </is>
      </c>
      <c r="F2359" t="inlineStr">
        <is>
          <t>SCA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45973-2023</t>
        </is>
      </c>
      <c r="B2360" s="1" t="n">
        <v>45195</v>
      </c>
      <c r="C2360" s="1" t="n">
        <v>45802</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46256-2023</t>
        </is>
      </c>
      <c r="B2361" s="1" t="n">
        <v>45197</v>
      </c>
      <c r="C2361" s="1" t="n">
        <v>45802</v>
      </c>
      <c r="D2361" t="inlineStr">
        <is>
          <t>VÄSTERNORRLANDS LÄN</t>
        </is>
      </c>
      <c r="E2361" t="inlineStr">
        <is>
          <t>SOLLEFTEÅ</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47329-2023</t>
        </is>
      </c>
      <c r="B2362" s="1" t="n">
        <v>45196</v>
      </c>
      <c r="C2362" s="1" t="n">
        <v>45802</v>
      </c>
      <c r="D2362" t="inlineStr">
        <is>
          <t>VÄSTERNORRLANDS LÄN</t>
        </is>
      </c>
      <c r="E2362" t="inlineStr">
        <is>
          <t>SOLLEFTEÅ</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47327-2023</t>
        </is>
      </c>
      <c r="B2363" s="1" t="n">
        <v>45196</v>
      </c>
      <c r="C2363" s="1" t="n">
        <v>45802</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46553-2023</t>
        </is>
      </c>
      <c r="B2364" s="1" t="n">
        <v>45198</v>
      </c>
      <c r="C2364" s="1" t="n">
        <v>45802</v>
      </c>
      <c r="D2364" t="inlineStr">
        <is>
          <t>VÄSTERNORRLANDS LÄN</t>
        </is>
      </c>
      <c r="E2364" t="inlineStr">
        <is>
          <t>SOLLEFTEÅ</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46550-2023</t>
        </is>
      </c>
      <c r="B2365" s="1" t="n">
        <v>45198</v>
      </c>
      <c r="C2365" s="1" t="n">
        <v>45802</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46554-2023</t>
        </is>
      </c>
      <c r="B2366" s="1" t="n">
        <v>45198</v>
      </c>
      <c r="C2366" s="1" t="n">
        <v>45802</v>
      </c>
      <c r="D2366" t="inlineStr">
        <is>
          <t>VÄSTERNORRLANDS LÄN</t>
        </is>
      </c>
      <c r="E2366" t="inlineStr">
        <is>
          <t>SOLLEFTEÅ</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46555-2023</t>
        </is>
      </c>
      <c r="B2367" s="1" t="n">
        <v>45198</v>
      </c>
      <c r="C2367" s="1" t="n">
        <v>45802</v>
      </c>
      <c r="D2367" t="inlineStr">
        <is>
          <t>VÄSTERNORRLANDS LÄN</t>
        </is>
      </c>
      <c r="E2367" t="inlineStr">
        <is>
          <t>SOLLEFTEÅ</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46804-2023</t>
        </is>
      </c>
      <c r="B2368" s="1" t="n">
        <v>45198</v>
      </c>
      <c r="C2368" s="1" t="n">
        <v>45802</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47741-2023</t>
        </is>
      </c>
      <c r="B2369" s="1" t="n">
        <v>45198</v>
      </c>
      <c r="C2369" s="1" t="n">
        <v>45802</v>
      </c>
      <c r="D2369" t="inlineStr">
        <is>
          <t>VÄSTERNORRLANDS LÄN</t>
        </is>
      </c>
      <c r="E2369" t="inlineStr">
        <is>
          <t>SOLLEFTEÅ</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47159-2023</t>
        </is>
      </c>
      <c r="B2370" s="1" t="n">
        <v>45201</v>
      </c>
      <c r="C2370" s="1" t="n">
        <v>45802</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47167-2023</t>
        </is>
      </c>
      <c r="B2371" s="1" t="n">
        <v>45202</v>
      </c>
      <c r="C2371" s="1" t="n">
        <v>45802</v>
      </c>
      <c r="D2371" t="inlineStr">
        <is>
          <t>VÄSTERNORRLANDS LÄN</t>
        </is>
      </c>
      <c r="E2371" t="inlineStr">
        <is>
          <t>SOLLEFTEÅ</t>
        </is>
      </c>
      <c r="F2371" t="inlineStr">
        <is>
          <t>SCA</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47175-2023</t>
        </is>
      </c>
      <c r="B2372" s="1" t="n">
        <v>45202</v>
      </c>
      <c r="C2372" s="1" t="n">
        <v>45802</v>
      </c>
      <c r="D2372" t="inlineStr">
        <is>
          <t>VÄSTERNORRLANDS LÄN</t>
        </is>
      </c>
      <c r="E2372" t="inlineStr">
        <is>
          <t>SOLLEFTEÅ</t>
        </is>
      </c>
      <c r="F2372" t="inlineStr">
        <is>
          <t>SCA</t>
        </is>
      </c>
      <c r="G2372" t="n">
        <v>14.7</v>
      </c>
      <c r="H2372" t="n">
        <v>0</v>
      </c>
      <c r="I2372" t="n">
        <v>0</v>
      </c>
      <c r="J2372" t="n">
        <v>0</v>
      </c>
      <c r="K2372" t="n">
        <v>0</v>
      </c>
      <c r="L2372" t="n">
        <v>0</v>
      </c>
      <c r="M2372" t="n">
        <v>0</v>
      </c>
      <c r="N2372" t="n">
        <v>0</v>
      </c>
      <c r="O2372" t="n">
        <v>0</v>
      </c>
      <c r="P2372" t="n">
        <v>0</v>
      </c>
      <c r="Q2372" t="n">
        <v>0</v>
      </c>
      <c r="R2372" s="2" t="inlineStr"/>
    </row>
    <row r="2373" ht="15" customHeight="1">
      <c r="A2373" t="inlineStr">
        <is>
          <t>A 47170-2023</t>
        </is>
      </c>
      <c r="B2373" s="1" t="n">
        <v>45202</v>
      </c>
      <c r="C2373" s="1" t="n">
        <v>45802</v>
      </c>
      <c r="D2373" t="inlineStr">
        <is>
          <t>VÄSTERNORRLANDS LÄN</t>
        </is>
      </c>
      <c r="E2373" t="inlineStr">
        <is>
          <t>SOLLEFTEÅ</t>
        </is>
      </c>
      <c r="F2373" t="inlineStr">
        <is>
          <t>SCA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47174-2023</t>
        </is>
      </c>
      <c r="B2374" s="1" t="n">
        <v>45202</v>
      </c>
      <c r="C2374" s="1" t="n">
        <v>45802</v>
      </c>
      <c r="D2374" t="inlineStr">
        <is>
          <t>VÄSTERNORRLANDS LÄN</t>
        </is>
      </c>
      <c r="E2374" t="inlineStr">
        <is>
          <t>SOLLEFTEÅ</t>
        </is>
      </c>
      <c r="F2374" t="inlineStr">
        <is>
          <t>SCA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47177-2023</t>
        </is>
      </c>
      <c r="B2375" s="1" t="n">
        <v>45201</v>
      </c>
      <c r="C2375" s="1" t="n">
        <v>45802</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47181-2023</t>
        </is>
      </c>
      <c r="B2376" s="1" t="n">
        <v>45202</v>
      </c>
      <c r="C2376" s="1" t="n">
        <v>45802</v>
      </c>
      <c r="D2376" t="inlineStr">
        <is>
          <t>VÄSTERNORRLANDS LÄN</t>
        </is>
      </c>
      <c r="E2376" t="inlineStr">
        <is>
          <t>SOLLEFTEÅ</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47185-2023</t>
        </is>
      </c>
      <c r="B2377" s="1" t="n">
        <v>45201</v>
      </c>
      <c r="C2377" s="1" t="n">
        <v>45802</v>
      </c>
      <c r="D2377" t="inlineStr">
        <is>
          <t>VÄSTERNORRLANDS LÄN</t>
        </is>
      </c>
      <c r="E2377" t="inlineStr">
        <is>
          <t>SOLLEFTEÅ</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47490-2023</t>
        </is>
      </c>
      <c r="B2378" s="1" t="n">
        <v>45203</v>
      </c>
      <c r="C2378" s="1" t="n">
        <v>45802</v>
      </c>
      <c r="D2378" t="inlineStr">
        <is>
          <t>VÄSTERNORRLANDS LÄN</t>
        </is>
      </c>
      <c r="E2378" t="inlineStr">
        <is>
          <t>SOLLEFTEÅ</t>
        </is>
      </c>
      <c r="F2378" t="inlineStr">
        <is>
          <t>SCA</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47457-2023</t>
        </is>
      </c>
      <c r="B2379" s="1" t="n">
        <v>45202</v>
      </c>
      <c r="C2379" s="1" t="n">
        <v>45802</v>
      </c>
      <c r="D2379" t="inlineStr">
        <is>
          <t>VÄSTERNORRLANDS LÄN</t>
        </is>
      </c>
      <c r="E2379" t="inlineStr">
        <is>
          <t>SOLLEFTEÅ</t>
        </is>
      </c>
      <c r="F2379" t="inlineStr">
        <is>
          <t>Holmen skog AB</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47477-2023</t>
        </is>
      </c>
      <c r="B2380" s="1" t="n">
        <v>45203</v>
      </c>
      <c r="C2380" s="1" t="n">
        <v>45802</v>
      </c>
      <c r="D2380" t="inlineStr">
        <is>
          <t>VÄSTERNORRLANDS LÄN</t>
        </is>
      </c>
      <c r="E2380" t="inlineStr">
        <is>
          <t>SOLLEFTEÅ</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47794-2023</t>
        </is>
      </c>
      <c r="B2381" s="1" t="n">
        <v>45204</v>
      </c>
      <c r="C2381" s="1" t="n">
        <v>45802</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48077-2023</t>
        </is>
      </c>
      <c r="B2382" s="1" t="n">
        <v>45205</v>
      </c>
      <c r="C2382" s="1" t="n">
        <v>45802</v>
      </c>
      <c r="D2382" t="inlineStr">
        <is>
          <t>VÄSTERNORRLANDS LÄN</t>
        </is>
      </c>
      <c r="E2382" t="inlineStr">
        <is>
          <t>SOLLEFTEÅ</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48085-2023</t>
        </is>
      </c>
      <c r="B2383" s="1" t="n">
        <v>45205</v>
      </c>
      <c r="C2383" s="1" t="n">
        <v>45802</v>
      </c>
      <c r="D2383" t="inlineStr">
        <is>
          <t>VÄSTERNORRLANDS LÄN</t>
        </is>
      </c>
      <c r="E2383" t="inlineStr">
        <is>
          <t>SOLLEFTEÅ</t>
        </is>
      </c>
      <c r="F2383" t="inlineStr">
        <is>
          <t>SCA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48089-2023</t>
        </is>
      </c>
      <c r="B2384" s="1" t="n">
        <v>45204</v>
      </c>
      <c r="C2384" s="1" t="n">
        <v>45802</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48083-2023</t>
        </is>
      </c>
      <c r="B2385" s="1" t="n">
        <v>45204</v>
      </c>
      <c r="C2385" s="1" t="n">
        <v>45802</v>
      </c>
      <c r="D2385" t="inlineStr">
        <is>
          <t>VÄSTERNORRLANDS LÄN</t>
        </is>
      </c>
      <c r="E2385" t="inlineStr">
        <is>
          <t>SOLLEFTEÅ</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48086-2023</t>
        </is>
      </c>
      <c r="B2386" s="1" t="n">
        <v>45205</v>
      </c>
      <c r="C2386" s="1" t="n">
        <v>45802</v>
      </c>
      <c r="D2386" t="inlineStr">
        <is>
          <t>VÄSTERNORRLANDS LÄN</t>
        </is>
      </c>
      <c r="E2386" t="inlineStr">
        <is>
          <t>SOLLEFTEÅ</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48090-2023</t>
        </is>
      </c>
      <c r="B2387" s="1" t="n">
        <v>45205</v>
      </c>
      <c r="C2387" s="1" t="n">
        <v>45802</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48072-2023</t>
        </is>
      </c>
      <c r="B2388" s="1" t="n">
        <v>45205</v>
      </c>
      <c r="C2388" s="1" t="n">
        <v>45802</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48088-2023</t>
        </is>
      </c>
      <c r="B2389" s="1" t="n">
        <v>45205</v>
      </c>
      <c r="C2389" s="1" t="n">
        <v>45802</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48964-2023</t>
        </is>
      </c>
      <c r="B2390" s="1" t="n">
        <v>45204</v>
      </c>
      <c r="C2390" s="1" t="n">
        <v>45802</v>
      </c>
      <c r="D2390" t="inlineStr">
        <is>
          <t>VÄSTERNORRLANDS LÄN</t>
        </is>
      </c>
      <c r="E2390" t="inlineStr">
        <is>
          <t>SOLLEFTEÅ</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49417-2023</t>
        </is>
      </c>
      <c r="B2391" s="1" t="n">
        <v>45205</v>
      </c>
      <c r="C2391" s="1" t="n">
        <v>45802</v>
      </c>
      <c r="D2391" t="inlineStr">
        <is>
          <t>VÄSTERNORRLANDS LÄN</t>
        </is>
      </c>
      <c r="E2391" t="inlineStr">
        <is>
          <t>SOLLEFTEÅ</t>
        </is>
      </c>
      <c r="F2391" t="inlineStr">
        <is>
          <t>SCA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48767-2023</t>
        </is>
      </c>
      <c r="B2392" s="1" t="n">
        <v>45208</v>
      </c>
      <c r="C2392" s="1" t="n">
        <v>45802</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48528-2023</t>
        </is>
      </c>
      <c r="B2393" s="1" t="n">
        <v>45208</v>
      </c>
      <c r="C2393" s="1" t="n">
        <v>45802</v>
      </c>
      <c r="D2393" t="inlineStr">
        <is>
          <t>VÄSTERNORRLANDS LÄN</t>
        </is>
      </c>
      <c r="E2393" t="inlineStr">
        <is>
          <t>SOLLEFTEÅ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48570-2023</t>
        </is>
      </c>
      <c r="B2394" s="1" t="n">
        <v>45208</v>
      </c>
      <c r="C2394" s="1" t="n">
        <v>45802</v>
      </c>
      <c r="D2394" t="inlineStr">
        <is>
          <t>VÄSTERNORRLANDS LÄN</t>
        </is>
      </c>
      <c r="E2394" t="inlineStr">
        <is>
          <t>SOLLEFTEÅ</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48999-2023</t>
        </is>
      </c>
      <c r="B2395" s="1" t="n">
        <v>45209</v>
      </c>
      <c r="C2395" s="1" t="n">
        <v>45802</v>
      </c>
      <c r="D2395" t="inlineStr">
        <is>
          <t>VÄSTERNORRLANDS LÄN</t>
        </is>
      </c>
      <c r="E2395" t="inlineStr">
        <is>
          <t>SOLLEFTEÅ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49036-2023</t>
        </is>
      </c>
      <c r="B2396" s="1" t="n">
        <v>45210</v>
      </c>
      <c r="C2396" s="1" t="n">
        <v>45802</v>
      </c>
      <c r="D2396" t="inlineStr">
        <is>
          <t>VÄSTERNORRLANDS LÄN</t>
        </is>
      </c>
      <c r="E2396" t="inlineStr">
        <is>
          <t>SOLLEFTEÅ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50313-2023</t>
        </is>
      </c>
      <c r="B2397" s="1" t="n">
        <v>45209</v>
      </c>
      <c r="C2397" s="1" t="n">
        <v>45802</v>
      </c>
      <c r="D2397" t="inlineStr">
        <is>
          <t>VÄSTERNORRLANDS LÄN</t>
        </is>
      </c>
      <c r="E2397" t="inlineStr">
        <is>
          <t>SOLLEFTEÅ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49313-2023</t>
        </is>
      </c>
      <c r="B2398" s="1" t="n">
        <v>45211</v>
      </c>
      <c r="C2398" s="1" t="n">
        <v>45802</v>
      </c>
      <c r="D2398" t="inlineStr">
        <is>
          <t>VÄSTERNORRLANDS LÄN</t>
        </is>
      </c>
      <c r="E2398" t="inlineStr">
        <is>
          <t>SOLLEFTEÅ</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49317-2023</t>
        </is>
      </c>
      <c r="B2399" s="1" t="n">
        <v>45210</v>
      </c>
      <c r="C2399" s="1" t="n">
        <v>45802</v>
      </c>
      <c r="D2399" t="inlineStr">
        <is>
          <t>VÄSTERNORRLANDS LÄN</t>
        </is>
      </c>
      <c r="E2399" t="inlineStr">
        <is>
          <t>SOLLEFTEÅ</t>
        </is>
      </c>
      <c r="F2399" t="inlineStr">
        <is>
          <t>SCA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49323-2023</t>
        </is>
      </c>
      <c r="B2400" s="1" t="n">
        <v>45211</v>
      </c>
      <c r="C2400" s="1" t="n">
        <v>45802</v>
      </c>
      <c r="D2400" t="inlineStr">
        <is>
          <t>VÄSTERNORRLANDS LÄN</t>
        </is>
      </c>
      <c r="E2400" t="inlineStr">
        <is>
          <t>SOLLEFTEÅ</t>
        </is>
      </c>
      <c r="F2400" t="inlineStr">
        <is>
          <t>SCA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49324-2023</t>
        </is>
      </c>
      <c r="B2401" s="1" t="n">
        <v>45210</v>
      </c>
      <c r="C2401" s="1" t="n">
        <v>45802</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50698-2023</t>
        </is>
      </c>
      <c r="B2402" s="1" t="n">
        <v>45210</v>
      </c>
      <c r="C2402" s="1" t="n">
        <v>45802</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50745-2023</t>
        </is>
      </c>
      <c r="B2403" s="1" t="n">
        <v>45210</v>
      </c>
      <c r="C2403" s="1" t="n">
        <v>45802</v>
      </c>
      <c r="D2403" t="inlineStr">
        <is>
          <t>VÄSTERNORRLANDS LÄN</t>
        </is>
      </c>
      <c r="E2403" t="inlineStr">
        <is>
          <t>SOLLEFTEÅ</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50716-2023</t>
        </is>
      </c>
      <c r="B2404" s="1" t="n">
        <v>45210</v>
      </c>
      <c r="C2404" s="1" t="n">
        <v>45802</v>
      </c>
      <c r="D2404" t="inlineStr">
        <is>
          <t>VÄSTERNORRLANDS LÄN</t>
        </is>
      </c>
      <c r="E2404" t="inlineStr">
        <is>
          <t>SOLLEFTEÅ</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50674-2023</t>
        </is>
      </c>
      <c r="B2405" s="1" t="n">
        <v>45210</v>
      </c>
      <c r="C2405" s="1" t="n">
        <v>45802</v>
      </c>
      <c r="D2405" t="inlineStr">
        <is>
          <t>VÄSTERNORRLANDS LÄN</t>
        </is>
      </c>
      <c r="E2405" t="inlineStr">
        <is>
          <t>SOLLEFTEÅ</t>
        </is>
      </c>
      <c r="G2405" t="n">
        <v>11.8</v>
      </c>
      <c r="H2405" t="n">
        <v>0</v>
      </c>
      <c r="I2405" t="n">
        <v>0</v>
      </c>
      <c r="J2405" t="n">
        <v>0</v>
      </c>
      <c r="K2405" t="n">
        <v>0</v>
      </c>
      <c r="L2405" t="n">
        <v>0</v>
      </c>
      <c r="M2405" t="n">
        <v>0</v>
      </c>
      <c r="N2405" t="n">
        <v>0</v>
      </c>
      <c r="O2405" t="n">
        <v>0</v>
      </c>
      <c r="P2405" t="n">
        <v>0</v>
      </c>
      <c r="Q2405" t="n">
        <v>0</v>
      </c>
      <c r="R2405" s="2" t="inlineStr"/>
    </row>
    <row r="2406" ht="15" customHeight="1">
      <c r="A2406" t="inlineStr">
        <is>
          <t>A 50688-2023</t>
        </is>
      </c>
      <c r="B2406" s="1" t="n">
        <v>45210</v>
      </c>
      <c r="C2406" s="1" t="n">
        <v>45802</v>
      </c>
      <c r="D2406" t="inlineStr">
        <is>
          <t>VÄSTERNORRLANDS LÄN</t>
        </is>
      </c>
      <c r="E2406" t="inlineStr">
        <is>
          <t>SOLLEFTEÅ</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50708-2023</t>
        </is>
      </c>
      <c r="B2407" s="1" t="n">
        <v>45210</v>
      </c>
      <c r="C2407" s="1" t="n">
        <v>45802</v>
      </c>
      <c r="D2407" t="inlineStr">
        <is>
          <t>VÄSTERNORRLANDS LÄN</t>
        </is>
      </c>
      <c r="E2407" t="inlineStr">
        <is>
          <t>SOLLEFTEÅ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49649-2023</t>
        </is>
      </c>
      <c r="B2408" s="1" t="n">
        <v>45212</v>
      </c>
      <c r="C2408" s="1" t="n">
        <v>45802</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49810-2023</t>
        </is>
      </c>
      <c r="B2409" s="1" t="n">
        <v>45212</v>
      </c>
      <c r="C2409" s="1" t="n">
        <v>45802</v>
      </c>
      <c r="D2409" t="inlineStr">
        <is>
          <t>VÄSTERNORRLANDS LÄN</t>
        </is>
      </c>
      <c r="E2409" t="inlineStr">
        <is>
          <t>SOLLEFTEÅ</t>
        </is>
      </c>
      <c r="F2409" t="inlineStr">
        <is>
          <t>Holmen skog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50226-2023</t>
        </is>
      </c>
      <c r="B2410" s="1" t="n">
        <v>45216</v>
      </c>
      <c r="C2410" s="1" t="n">
        <v>45802</v>
      </c>
      <c r="D2410" t="inlineStr">
        <is>
          <t>VÄSTERNORRLANDS LÄN</t>
        </is>
      </c>
      <c r="E2410" t="inlineStr">
        <is>
          <t>SOLLEFTEÅ</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51522-2023</t>
        </is>
      </c>
      <c r="B2411" s="1" t="n">
        <v>45215</v>
      </c>
      <c r="C2411" s="1" t="n">
        <v>45802</v>
      </c>
      <c r="D2411" t="inlineStr">
        <is>
          <t>VÄSTERNORRLANDS LÄN</t>
        </is>
      </c>
      <c r="E2411" t="inlineStr">
        <is>
          <t>SOLLEFTEÅ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51515-2023</t>
        </is>
      </c>
      <c r="B2412" s="1" t="n">
        <v>45215</v>
      </c>
      <c r="C2412" s="1" t="n">
        <v>45802</v>
      </c>
      <c r="D2412" t="inlineStr">
        <is>
          <t>VÄSTERNORRLANDS LÄN</t>
        </is>
      </c>
      <c r="E2412" t="inlineStr">
        <is>
          <t>SOLLEFTEÅ</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51681-2023</t>
        </is>
      </c>
      <c r="B2413" s="1" t="n">
        <v>45215</v>
      </c>
      <c r="C2413" s="1" t="n">
        <v>45802</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51677-2023</t>
        </is>
      </c>
      <c r="B2414" s="1" t="n">
        <v>45215</v>
      </c>
      <c r="C2414" s="1" t="n">
        <v>45802</v>
      </c>
      <c r="D2414" t="inlineStr">
        <is>
          <t>VÄSTERNORRLANDS LÄN</t>
        </is>
      </c>
      <c r="E2414" t="inlineStr">
        <is>
          <t>SOLLEFTEÅ</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51690-2023</t>
        </is>
      </c>
      <c r="B2415" s="1" t="n">
        <v>45215</v>
      </c>
      <c r="C2415" s="1" t="n">
        <v>45802</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50507-2023</t>
        </is>
      </c>
      <c r="B2416" s="1" t="n">
        <v>45217</v>
      </c>
      <c r="C2416" s="1" t="n">
        <v>45802</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50767-2023</t>
        </is>
      </c>
      <c r="B2417" s="1" t="n">
        <v>45217</v>
      </c>
      <c r="C2417" s="1" t="n">
        <v>45802</v>
      </c>
      <c r="D2417" t="inlineStr">
        <is>
          <t>VÄSTERNORRLANDS LÄN</t>
        </is>
      </c>
      <c r="E2417" t="inlineStr">
        <is>
          <t>SOLLEFTEÅ</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50841-2023</t>
        </is>
      </c>
      <c r="B2418" s="1" t="n">
        <v>45217</v>
      </c>
      <c r="C2418" s="1" t="n">
        <v>45802</v>
      </c>
      <c r="D2418" t="inlineStr">
        <is>
          <t>VÄSTERNORRLANDS LÄN</t>
        </is>
      </c>
      <c r="E2418" t="inlineStr">
        <is>
          <t>SOLLEFTEÅ</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50615-2023</t>
        </is>
      </c>
      <c r="B2419" s="1" t="n">
        <v>45217</v>
      </c>
      <c r="C2419" s="1" t="n">
        <v>45802</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50757-2023</t>
        </is>
      </c>
      <c r="B2420" s="1" t="n">
        <v>45217</v>
      </c>
      <c r="C2420" s="1" t="n">
        <v>45802</v>
      </c>
      <c r="D2420" t="inlineStr">
        <is>
          <t>VÄSTERNORRLANDS LÄN</t>
        </is>
      </c>
      <c r="E2420" t="inlineStr">
        <is>
          <t>SOLLEFTEÅ</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50844-2023</t>
        </is>
      </c>
      <c r="B2421" s="1" t="n">
        <v>45217</v>
      </c>
      <c r="C2421" s="1" t="n">
        <v>45802</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52266-2023</t>
        </is>
      </c>
      <c r="B2422" s="1" t="n">
        <v>45217</v>
      </c>
      <c r="C2422" s="1" t="n">
        <v>45802</v>
      </c>
      <c r="D2422" t="inlineStr">
        <is>
          <t>VÄSTERNORRLANDS LÄN</t>
        </is>
      </c>
      <c r="E2422" t="inlineStr">
        <is>
          <t>SOLLEFTEÅ</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52267-2023</t>
        </is>
      </c>
      <c r="B2423" s="1" t="n">
        <v>45217</v>
      </c>
      <c r="C2423" s="1" t="n">
        <v>45802</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51107-2023</t>
        </is>
      </c>
      <c r="B2424" s="1" t="n">
        <v>45219</v>
      </c>
      <c r="C2424" s="1" t="n">
        <v>45802</v>
      </c>
      <c r="D2424" t="inlineStr">
        <is>
          <t>VÄSTERNORRLANDS LÄN</t>
        </is>
      </c>
      <c r="E2424" t="inlineStr">
        <is>
          <t>SOLLEFTEÅ</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51106-2023</t>
        </is>
      </c>
      <c r="B2425" s="1" t="n">
        <v>45219</v>
      </c>
      <c r="C2425" s="1" t="n">
        <v>45802</v>
      </c>
      <c r="D2425" t="inlineStr">
        <is>
          <t>VÄSTERNORRLANDS LÄN</t>
        </is>
      </c>
      <c r="E2425" t="inlineStr">
        <is>
          <t>SOLLEFTEÅ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51800-2023</t>
        </is>
      </c>
      <c r="B2426" s="1" t="n">
        <v>45222</v>
      </c>
      <c r="C2426" s="1" t="n">
        <v>45802</v>
      </c>
      <c r="D2426" t="inlineStr">
        <is>
          <t>VÄSTERNORRLANDS LÄN</t>
        </is>
      </c>
      <c r="E2426" t="inlineStr">
        <is>
          <t>SOLLEFTEÅ</t>
        </is>
      </c>
      <c r="F2426" t="inlineStr">
        <is>
          <t>SCA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51801-2023</t>
        </is>
      </c>
      <c r="B2427" s="1" t="n">
        <v>45222</v>
      </c>
      <c r="C2427" s="1" t="n">
        <v>45802</v>
      </c>
      <c r="D2427" t="inlineStr">
        <is>
          <t>VÄSTERNORRLANDS LÄN</t>
        </is>
      </c>
      <c r="E2427" t="inlineStr">
        <is>
          <t>SOLLEFTEÅ</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53375-2023</t>
        </is>
      </c>
      <c r="B2428" s="1" t="n">
        <v>45222</v>
      </c>
      <c r="C2428" s="1" t="n">
        <v>45802</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53224-2023</t>
        </is>
      </c>
      <c r="B2429" s="1" t="n">
        <v>45222</v>
      </c>
      <c r="C2429" s="1" t="n">
        <v>45802</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53231-2023</t>
        </is>
      </c>
      <c r="B2430" s="1" t="n">
        <v>45222</v>
      </c>
      <c r="C2430" s="1" t="n">
        <v>45802</v>
      </c>
      <c r="D2430" t="inlineStr">
        <is>
          <t>VÄSTERNORRLANDS LÄN</t>
        </is>
      </c>
      <c r="E2430" t="inlineStr">
        <is>
          <t>SOLLEFTEÅ</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53379-2023</t>
        </is>
      </c>
      <c r="B2431" s="1" t="n">
        <v>45222</v>
      </c>
      <c r="C2431" s="1" t="n">
        <v>45802</v>
      </c>
      <c r="D2431" t="inlineStr">
        <is>
          <t>VÄSTERNORRLANDS LÄN</t>
        </is>
      </c>
      <c r="E2431" t="inlineStr">
        <is>
          <t>SOLLEFTEÅ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51802-2023</t>
        </is>
      </c>
      <c r="B2432" s="1" t="n">
        <v>45223</v>
      </c>
      <c r="C2432" s="1" t="n">
        <v>45802</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53394-2023</t>
        </is>
      </c>
      <c r="B2433" s="1" t="n">
        <v>45222</v>
      </c>
      <c r="C2433" s="1" t="n">
        <v>45802</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52136-2023</t>
        </is>
      </c>
      <c r="B2434" s="1" t="n">
        <v>45224</v>
      </c>
      <c r="C2434" s="1" t="n">
        <v>45802</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52087-2023</t>
        </is>
      </c>
      <c r="B2435" s="1" t="n">
        <v>45223</v>
      </c>
      <c r="C2435" s="1" t="n">
        <v>45802</v>
      </c>
      <c r="D2435" t="inlineStr">
        <is>
          <t>VÄSTERNORRLANDS LÄN</t>
        </is>
      </c>
      <c r="E2435" t="inlineStr">
        <is>
          <t>SOLLEFTEÅ</t>
        </is>
      </c>
      <c r="G2435" t="n">
        <v>10.7</v>
      </c>
      <c r="H2435" t="n">
        <v>0</v>
      </c>
      <c r="I2435" t="n">
        <v>0</v>
      </c>
      <c r="J2435" t="n">
        <v>0</v>
      </c>
      <c r="K2435" t="n">
        <v>0</v>
      </c>
      <c r="L2435" t="n">
        <v>0</v>
      </c>
      <c r="M2435" t="n">
        <v>0</v>
      </c>
      <c r="N2435" t="n">
        <v>0</v>
      </c>
      <c r="O2435" t="n">
        <v>0</v>
      </c>
      <c r="P2435" t="n">
        <v>0</v>
      </c>
      <c r="Q2435" t="n">
        <v>0</v>
      </c>
      <c r="R2435" s="2" t="inlineStr"/>
    </row>
    <row r="2436" ht="15" customHeight="1">
      <c r="A2436" t="inlineStr">
        <is>
          <t>A 53550-2023</t>
        </is>
      </c>
      <c r="B2436" s="1" t="n">
        <v>45223</v>
      </c>
      <c r="C2436" s="1" t="n">
        <v>45802</v>
      </c>
      <c r="D2436" t="inlineStr">
        <is>
          <t>VÄSTERNORRLANDS LÄN</t>
        </is>
      </c>
      <c r="E2436" t="inlineStr">
        <is>
          <t>SOLLEFTEÅ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53855-2023</t>
        </is>
      </c>
      <c r="B2437" s="1" t="n">
        <v>45224</v>
      </c>
      <c r="C2437" s="1" t="n">
        <v>45802</v>
      </c>
      <c r="D2437" t="inlineStr">
        <is>
          <t>VÄSTERNORRLANDS LÄN</t>
        </is>
      </c>
      <c r="E2437" t="inlineStr">
        <is>
          <t>SOLLEFTEÅ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53850-2023</t>
        </is>
      </c>
      <c r="B2438" s="1" t="n">
        <v>45224</v>
      </c>
      <c r="C2438" s="1" t="n">
        <v>45802</v>
      </c>
      <c r="D2438" t="inlineStr">
        <is>
          <t>VÄSTERNORRLANDS LÄN</t>
        </is>
      </c>
      <c r="E2438" t="inlineStr">
        <is>
          <t>SOLLEFTEÅ</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53939-2023</t>
        </is>
      </c>
      <c r="B2439" s="1" t="n">
        <v>45224</v>
      </c>
      <c r="C2439" s="1" t="n">
        <v>45802</v>
      </c>
      <c r="D2439" t="inlineStr">
        <is>
          <t>VÄSTERNORRLANDS LÄN</t>
        </is>
      </c>
      <c r="E2439" t="inlineStr">
        <is>
          <t>SOLLEFTEÅ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52445-2023</t>
        </is>
      </c>
      <c r="B2440" s="1" t="n">
        <v>45225</v>
      </c>
      <c r="C2440" s="1" t="n">
        <v>45802</v>
      </c>
      <c r="D2440" t="inlineStr">
        <is>
          <t>VÄSTERNORRLANDS LÄN</t>
        </is>
      </c>
      <c r="E2440" t="inlineStr">
        <is>
          <t>SOLLEFTEÅ</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54307-2023</t>
        </is>
      </c>
      <c r="B2441" s="1" t="n">
        <v>45225</v>
      </c>
      <c r="C2441" s="1" t="n">
        <v>45802</v>
      </c>
      <c r="D2441" t="inlineStr">
        <is>
          <t>VÄSTERNORRLANDS LÄN</t>
        </is>
      </c>
      <c r="E2441" t="inlineStr">
        <is>
          <t>SOLLEFTEÅ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53040-2023</t>
        </is>
      </c>
      <c r="B2442" s="1" t="n">
        <v>45226</v>
      </c>
      <c r="C2442" s="1" t="n">
        <v>45802</v>
      </c>
      <c r="D2442" t="inlineStr">
        <is>
          <t>VÄSTERNORRLANDS LÄN</t>
        </is>
      </c>
      <c r="E2442" t="inlineStr">
        <is>
          <t>SOLLEFTEÅ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54526-2023</t>
        </is>
      </c>
      <c r="B2443" s="1" t="n">
        <v>45226</v>
      </c>
      <c r="C2443" s="1" t="n">
        <v>45802</v>
      </c>
      <c r="D2443" t="inlineStr">
        <is>
          <t>VÄSTERNORRLANDS LÄN</t>
        </is>
      </c>
      <c r="E2443" t="inlineStr">
        <is>
          <t>SOLLEFTEÅ</t>
        </is>
      </c>
      <c r="G2443" t="n">
        <v>23.8</v>
      </c>
      <c r="H2443" t="n">
        <v>0</v>
      </c>
      <c r="I2443" t="n">
        <v>0</v>
      </c>
      <c r="J2443" t="n">
        <v>0</v>
      </c>
      <c r="K2443" t="n">
        <v>0</v>
      </c>
      <c r="L2443" t="n">
        <v>0</v>
      </c>
      <c r="M2443" t="n">
        <v>0</v>
      </c>
      <c r="N2443" t="n">
        <v>0</v>
      </c>
      <c r="O2443" t="n">
        <v>0</v>
      </c>
      <c r="P2443" t="n">
        <v>0</v>
      </c>
      <c r="Q2443" t="n">
        <v>0</v>
      </c>
      <c r="R2443" s="2" t="inlineStr"/>
    </row>
    <row r="2444" ht="15" customHeight="1">
      <c r="A2444" t="inlineStr">
        <is>
          <t>A 53057-2023</t>
        </is>
      </c>
      <c r="B2444" s="1" t="n">
        <v>45226</v>
      </c>
      <c r="C2444" s="1" t="n">
        <v>45802</v>
      </c>
      <c r="D2444" t="inlineStr">
        <is>
          <t>VÄSTERNORRLANDS LÄN</t>
        </is>
      </c>
      <c r="E2444" t="inlineStr">
        <is>
          <t>SOLLEFTEÅ</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53041-2023</t>
        </is>
      </c>
      <c r="B2445" s="1" t="n">
        <v>45226</v>
      </c>
      <c r="C2445" s="1" t="n">
        <v>45802</v>
      </c>
      <c r="D2445" t="inlineStr">
        <is>
          <t>VÄSTERNORRLANDS LÄN</t>
        </is>
      </c>
      <c r="E2445" t="inlineStr">
        <is>
          <t>SOLLEFTEÅ</t>
        </is>
      </c>
      <c r="F2445" t="inlineStr">
        <is>
          <t>SCA</t>
        </is>
      </c>
      <c r="G2445" t="n">
        <v>50.2</v>
      </c>
      <c r="H2445" t="n">
        <v>0</v>
      </c>
      <c r="I2445" t="n">
        <v>0</v>
      </c>
      <c r="J2445" t="n">
        <v>0</v>
      </c>
      <c r="K2445" t="n">
        <v>0</v>
      </c>
      <c r="L2445" t="n">
        <v>0</v>
      </c>
      <c r="M2445" t="n">
        <v>0</v>
      </c>
      <c r="N2445" t="n">
        <v>0</v>
      </c>
      <c r="O2445" t="n">
        <v>0</v>
      </c>
      <c r="P2445" t="n">
        <v>0</v>
      </c>
      <c r="Q2445" t="n">
        <v>0</v>
      </c>
      <c r="R2445" s="2" t="inlineStr"/>
    </row>
    <row r="2446" ht="15" customHeight="1">
      <c r="A2446" t="inlineStr">
        <is>
          <t>A 53048-2023</t>
        </is>
      </c>
      <c r="B2446" s="1" t="n">
        <v>45226</v>
      </c>
      <c r="C2446" s="1" t="n">
        <v>45802</v>
      </c>
      <c r="D2446" t="inlineStr">
        <is>
          <t>VÄSTERNORRLANDS LÄN</t>
        </is>
      </c>
      <c r="E2446" t="inlineStr">
        <is>
          <t>SOLLEFTEÅ</t>
        </is>
      </c>
      <c r="F2446" t="inlineStr">
        <is>
          <t>SCA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53452-2023</t>
        </is>
      </c>
      <c r="B2447" s="1" t="n">
        <v>45229</v>
      </c>
      <c r="C2447" s="1" t="n">
        <v>45802</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53453-2023</t>
        </is>
      </c>
      <c r="B2448" s="1" t="n">
        <v>45230</v>
      </c>
      <c r="C2448" s="1" t="n">
        <v>45802</v>
      </c>
      <c r="D2448" t="inlineStr">
        <is>
          <t>VÄSTERNORRLANDS LÄN</t>
        </is>
      </c>
      <c r="E2448" t="inlineStr">
        <is>
          <t>SOLLEFTEÅ</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53669-2023</t>
        </is>
      </c>
      <c r="B2449" s="1" t="n">
        <v>45230</v>
      </c>
      <c r="C2449" s="1" t="n">
        <v>45802</v>
      </c>
      <c r="D2449" t="inlineStr">
        <is>
          <t>VÄSTERNORRLANDS LÄN</t>
        </is>
      </c>
      <c r="E2449" t="inlineStr">
        <is>
          <t>SOLLEFTEÅ</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54016-2023</t>
        </is>
      </c>
      <c r="B2450" s="1" t="n">
        <v>45231</v>
      </c>
      <c r="C2450" s="1" t="n">
        <v>45802</v>
      </c>
      <c r="D2450" t="inlineStr">
        <is>
          <t>VÄSTERNORRLANDS LÄN</t>
        </is>
      </c>
      <c r="E2450" t="inlineStr">
        <is>
          <t>SOLLEFTEÅ</t>
        </is>
      </c>
      <c r="F2450" t="inlineStr">
        <is>
          <t>Holmen skog AB</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54020-2023</t>
        </is>
      </c>
      <c r="B2451" s="1" t="n">
        <v>45231</v>
      </c>
      <c r="C2451" s="1" t="n">
        <v>45802</v>
      </c>
      <c r="D2451" t="inlineStr">
        <is>
          <t>VÄSTERNORRLANDS LÄN</t>
        </is>
      </c>
      <c r="E2451" t="inlineStr">
        <is>
          <t>SOLLEFTEÅ</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54034-2023</t>
        </is>
      </c>
      <c r="B2452" s="1" t="n">
        <v>45231</v>
      </c>
      <c r="C2452" s="1" t="n">
        <v>45802</v>
      </c>
      <c r="D2452" t="inlineStr">
        <is>
          <t>VÄSTERNORRLANDS LÄN</t>
        </is>
      </c>
      <c r="E2452" t="inlineStr">
        <is>
          <t>SOLLEFTEÅ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54033-2023</t>
        </is>
      </c>
      <c r="B2453" s="1" t="n">
        <v>45231</v>
      </c>
      <c r="C2453" s="1" t="n">
        <v>45802</v>
      </c>
      <c r="D2453" t="inlineStr">
        <is>
          <t>VÄSTERNORRLANDS LÄN</t>
        </is>
      </c>
      <c r="E2453" t="inlineStr">
        <is>
          <t>SOLLEFTEÅ</t>
        </is>
      </c>
      <c r="G2453" t="n">
        <v>13.2</v>
      </c>
      <c r="H2453" t="n">
        <v>0</v>
      </c>
      <c r="I2453" t="n">
        <v>0</v>
      </c>
      <c r="J2453" t="n">
        <v>0</v>
      </c>
      <c r="K2453" t="n">
        <v>0</v>
      </c>
      <c r="L2453" t="n">
        <v>0</v>
      </c>
      <c r="M2453" t="n">
        <v>0</v>
      </c>
      <c r="N2453" t="n">
        <v>0</v>
      </c>
      <c r="O2453" t="n">
        <v>0</v>
      </c>
      <c r="P2453" t="n">
        <v>0</v>
      </c>
      <c r="Q2453" t="n">
        <v>0</v>
      </c>
      <c r="R2453" s="2" t="inlineStr"/>
    </row>
    <row r="2454" ht="15" customHeight="1">
      <c r="A2454" t="inlineStr">
        <is>
          <t>A 54035-2023</t>
        </is>
      </c>
      <c r="B2454" s="1" t="n">
        <v>45231</v>
      </c>
      <c r="C2454" s="1" t="n">
        <v>45802</v>
      </c>
      <c r="D2454" t="inlineStr">
        <is>
          <t>VÄSTERNORRLANDS LÄN</t>
        </is>
      </c>
      <c r="E2454" t="inlineStr">
        <is>
          <t>SOLLEFTEÅ</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54048-2023</t>
        </is>
      </c>
      <c r="B2455" s="1" t="n">
        <v>45232</v>
      </c>
      <c r="C2455" s="1" t="n">
        <v>45802</v>
      </c>
      <c r="D2455" t="inlineStr">
        <is>
          <t>VÄSTERNORRLANDS LÄN</t>
        </is>
      </c>
      <c r="E2455" t="inlineStr">
        <is>
          <t>SOLLEFTEÅ</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54036-2023</t>
        </is>
      </c>
      <c r="B2456" s="1" t="n">
        <v>45231</v>
      </c>
      <c r="C2456" s="1" t="n">
        <v>45802</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54045-2023</t>
        </is>
      </c>
      <c r="B2457" s="1" t="n">
        <v>45232</v>
      </c>
      <c r="C2457" s="1" t="n">
        <v>45802</v>
      </c>
      <c r="D2457" t="inlineStr">
        <is>
          <t>VÄSTERNORRLANDS LÄN</t>
        </is>
      </c>
      <c r="E2457" t="inlineStr">
        <is>
          <t>SOLLEFTEÅ</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54092-2023</t>
        </is>
      </c>
      <c r="B2458" s="1" t="n">
        <v>45232</v>
      </c>
      <c r="C2458" s="1" t="n">
        <v>45802</v>
      </c>
      <c r="D2458" t="inlineStr">
        <is>
          <t>VÄSTERNORRLANDS LÄN</t>
        </is>
      </c>
      <c r="E2458" t="inlineStr">
        <is>
          <t>SOLLEFTEÅ</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54088-2023</t>
        </is>
      </c>
      <c r="B2459" s="1" t="n">
        <v>45232</v>
      </c>
      <c r="C2459" s="1" t="n">
        <v>45802</v>
      </c>
      <c r="D2459" t="inlineStr">
        <is>
          <t>VÄSTERNORRLANDS LÄN</t>
        </is>
      </c>
      <c r="E2459" t="inlineStr">
        <is>
          <t>SOLLEFTEÅ</t>
        </is>
      </c>
      <c r="F2459" t="inlineStr">
        <is>
          <t>Holmen skog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54198-2023</t>
        </is>
      </c>
      <c r="B2460" s="1" t="n">
        <v>45232</v>
      </c>
      <c r="C2460" s="1" t="n">
        <v>45802</v>
      </c>
      <c r="D2460" t="inlineStr">
        <is>
          <t>VÄSTERNORRLANDS LÄN</t>
        </is>
      </c>
      <c r="E2460" t="inlineStr">
        <is>
          <t>SOLLEFTEÅ</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54330-2023</t>
        </is>
      </c>
      <c r="B2461" s="1" t="n">
        <v>45232</v>
      </c>
      <c r="C2461" s="1" t="n">
        <v>45802</v>
      </c>
      <c r="D2461" t="inlineStr">
        <is>
          <t>VÄSTERNORRLANDS LÄN</t>
        </is>
      </c>
      <c r="E2461" t="inlineStr">
        <is>
          <t>SOLLEFTEÅ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54351-2023</t>
        </is>
      </c>
      <c r="B2462" s="1" t="n">
        <v>45232</v>
      </c>
      <c r="C2462" s="1" t="n">
        <v>45802</v>
      </c>
      <c r="D2462" t="inlineStr">
        <is>
          <t>VÄSTERNORRLANDS LÄN</t>
        </is>
      </c>
      <c r="E2462" t="inlineStr">
        <is>
          <t>SOLLEFTEÅ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54195-2023</t>
        </is>
      </c>
      <c r="B2463" s="1" t="n">
        <v>45232</v>
      </c>
      <c r="C2463" s="1" t="n">
        <v>45802</v>
      </c>
      <c r="D2463" t="inlineStr">
        <is>
          <t>VÄSTERNORRLANDS LÄN</t>
        </is>
      </c>
      <c r="E2463" t="inlineStr">
        <is>
          <t>SOLLEFTEÅ</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54620-2023</t>
        </is>
      </c>
      <c r="B2464" s="1" t="n">
        <v>45233</v>
      </c>
      <c r="C2464" s="1" t="n">
        <v>45802</v>
      </c>
      <c r="D2464" t="inlineStr">
        <is>
          <t>VÄSTERNORRLANDS LÄN</t>
        </is>
      </c>
      <c r="E2464" t="inlineStr">
        <is>
          <t>SOLLEFTEÅ</t>
        </is>
      </c>
      <c r="F2464" t="inlineStr">
        <is>
          <t>SCA</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54617-2023</t>
        </is>
      </c>
      <c r="B2465" s="1" t="n">
        <v>45234</v>
      </c>
      <c r="C2465" s="1" t="n">
        <v>45802</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54607-2023</t>
        </is>
      </c>
      <c r="B2466" s="1" t="n">
        <v>45233</v>
      </c>
      <c r="C2466" s="1" t="n">
        <v>45802</v>
      </c>
      <c r="D2466" t="inlineStr">
        <is>
          <t>VÄSTERNORRLANDS LÄN</t>
        </is>
      </c>
      <c r="E2466" t="inlineStr">
        <is>
          <t>SOLLEFTEÅ</t>
        </is>
      </c>
      <c r="F2466" t="inlineStr">
        <is>
          <t>SCA</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54622-2023</t>
        </is>
      </c>
      <c r="B2467" s="1" t="n">
        <v>45233</v>
      </c>
      <c r="C2467" s="1" t="n">
        <v>45802</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54618-2023</t>
        </is>
      </c>
      <c r="B2468" s="1" t="n">
        <v>45233</v>
      </c>
      <c r="C2468" s="1" t="n">
        <v>45802</v>
      </c>
      <c r="D2468" t="inlineStr">
        <is>
          <t>VÄSTERNORRLANDS LÄN</t>
        </is>
      </c>
      <c r="E2468" t="inlineStr">
        <is>
          <t>SOLLEFTEÅ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54642-2023</t>
        </is>
      </c>
      <c r="B2469" s="1" t="n">
        <v>45234</v>
      </c>
      <c r="C2469" s="1" t="n">
        <v>45802</v>
      </c>
      <c r="D2469" t="inlineStr">
        <is>
          <t>VÄSTERNORRLANDS LÄN</t>
        </is>
      </c>
      <c r="E2469" t="inlineStr">
        <is>
          <t>SOLLEFTEÅ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54641-2023</t>
        </is>
      </c>
      <c r="B2470" s="1" t="n">
        <v>45234</v>
      </c>
      <c r="C2470" s="1" t="n">
        <v>45802</v>
      </c>
      <c r="D2470" t="inlineStr">
        <is>
          <t>VÄSTERNORRLANDS LÄN</t>
        </is>
      </c>
      <c r="E2470" t="inlineStr">
        <is>
          <t>SOLLEFTEÅ</t>
        </is>
      </c>
      <c r="F2470" t="inlineStr">
        <is>
          <t>SCA</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54979-2023</t>
        </is>
      </c>
      <c r="B2471" s="1" t="n">
        <v>45236</v>
      </c>
      <c r="C2471" s="1" t="n">
        <v>45802</v>
      </c>
      <c r="D2471" t="inlineStr">
        <is>
          <t>VÄSTERNORRLANDS LÄN</t>
        </is>
      </c>
      <c r="E2471" t="inlineStr">
        <is>
          <t>SOLLEFTEÅ</t>
        </is>
      </c>
      <c r="F2471" t="inlineStr">
        <is>
          <t>SCA</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56148-2023</t>
        </is>
      </c>
      <c r="B2472" s="1" t="n">
        <v>45236</v>
      </c>
      <c r="C2472" s="1" t="n">
        <v>45802</v>
      </c>
      <c r="D2472" t="inlineStr">
        <is>
          <t>VÄSTERNORRLANDS LÄN</t>
        </is>
      </c>
      <c r="E2472" t="inlineStr">
        <is>
          <t>SOLLEFTEÅ</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54978-2023</t>
        </is>
      </c>
      <c r="B2473" s="1" t="n">
        <v>45237</v>
      </c>
      <c r="C2473" s="1" t="n">
        <v>45802</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55005-2023</t>
        </is>
      </c>
      <c r="B2474" s="1" t="n">
        <v>45236</v>
      </c>
      <c r="C2474" s="1" t="n">
        <v>45802</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56356-2023</t>
        </is>
      </c>
      <c r="B2475" s="1" t="n">
        <v>45236</v>
      </c>
      <c r="C2475" s="1" t="n">
        <v>45802</v>
      </c>
      <c r="D2475" t="inlineStr">
        <is>
          <t>VÄSTERNORRLANDS LÄN</t>
        </is>
      </c>
      <c r="E2475" t="inlineStr">
        <is>
          <t>SOLLEFTEÅ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56416-2023</t>
        </is>
      </c>
      <c r="B2476" s="1" t="n">
        <v>45237</v>
      </c>
      <c r="C2476" s="1" t="n">
        <v>45802</v>
      </c>
      <c r="D2476" t="inlineStr">
        <is>
          <t>VÄSTERNORRLANDS LÄN</t>
        </is>
      </c>
      <c r="E2476" t="inlineStr">
        <is>
          <t>SOLLEFTEÅ</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56431-2023</t>
        </is>
      </c>
      <c r="B2477" s="1" t="n">
        <v>45237</v>
      </c>
      <c r="C2477" s="1" t="n">
        <v>45802</v>
      </c>
      <c r="D2477" t="inlineStr">
        <is>
          <t>VÄSTERNORRLANDS LÄN</t>
        </is>
      </c>
      <c r="E2477" t="inlineStr">
        <is>
          <t>SOLLEFTEÅ</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55338-2023</t>
        </is>
      </c>
      <c r="B2478" s="1" t="n">
        <v>45238</v>
      </c>
      <c r="C2478" s="1" t="n">
        <v>45802</v>
      </c>
      <c r="D2478" t="inlineStr">
        <is>
          <t>VÄSTERNORRLANDS LÄN</t>
        </is>
      </c>
      <c r="E2478" t="inlineStr">
        <is>
          <t>SOLLEFTEÅ</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56424-2023</t>
        </is>
      </c>
      <c r="B2479" s="1" t="n">
        <v>45237</v>
      </c>
      <c r="C2479" s="1" t="n">
        <v>45802</v>
      </c>
      <c r="D2479" t="inlineStr">
        <is>
          <t>VÄSTERNORRLANDS LÄN</t>
        </is>
      </c>
      <c r="E2479" t="inlineStr">
        <is>
          <t>SOLLEFTEÅ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55637-2023</t>
        </is>
      </c>
      <c r="B2480" s="1" t="n">
        <v>45238</v>
      </c>
      <c r="C2480" s="1" t="n">
        <v>45802</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55653-2023</t>
        </is>
      </c>
      <c r="B2481" s="1" t="n">
        <v>45239</v>
      </c>
      <c r="C2481" s="1" t="n">
        <v>45802</v>
      </c>
      <c r="D2481" t="inlineStr">
        <is>
          <t>VÄSTERNORRLANDS LÄN</t>
        </is>
      </c>
      <c r="E2481" t="inlineStr">
        <is>
          <t>SOLLEFTEÅ</t>
        </is>
      </c>
      <c r="F2481" t="inlineStr">
        <is>
          <t>SCA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55622-2023</t>
        </is>
      </c>
      <c r="B2482" s="1" t="n">
        <v>45238</v>
      </c>
      <c r="C2482" s="1" t="n">
        <v>45802</v>
      </c>
      <c r="D2482" t="inlineStr">
        <is>
          <t>VÄSTERNORRLANDS LÄN</t>
        </is>
      </c>
      <c r="E2482" t="inlineStr">
        <is>
          <t>SOLLEFTEÅ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55638-2023</t>
        </is>
      </c>
      <c r="B2483" s="1" t="n">
        <v>45238</v>
      </c>
      <c r="C2483" s="1" t="n">
        <v>45802</v>
      </c>
      <c r="D2483" t="inlineStr">
        <is>
          <t>VÄSTERNORRLANDS LÄN</t>
        </is>
      </c>
      <c r="E2483" t="inlineStr">
        <is>
          <t>SOLLEFTEÅ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55650-2023</t>
        </is>
      </c>
      <c r="B2484" s="1" t="n">
        <v>45239</v>
      </c>
      <c r="C2484" s="1" t="n">
        <v>45802</v>
      </c>
      <c r="D2484" t="inlineStr">
        <is>
          <t>VÄSTERNORRLANDS LÄN</t>
        </is>
      </c>
      <c r="E2484" t="inlineStr">
        <is>
          <t>SOLLEFTEÅ</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55654-2023</t>
        </is>
      </c>
      <c r="B2485" s="1" t="n">
        <v>45239</v>
      </c>
      <c r="C2485" s="1" t="n">
        <v>45802</v>
      </c>
      <c r="D2485" t="inlineStr">
        <is>
          <t>VÄSTERNORRLANDS LÄN</t>
        </is>
      </c>
      <c r="E2485" t="inlineStr">
        <is>
          <t>SOLLEFTEÅ</t>
        </is>
      </c>
      <c r="F2485" t="inlineStr">
        <is>
          <t>SCA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55652-2023</t>
        </is>
      </c>
      <c r="B2486" s="1" t="n">
        <v>45238</v>
      </c>
      <c r="C2486" s="1" t="n">
        <v>45802</v>
      </c>
      <c r="D2486" t="inlineStr">
        <is>
          <t>VÄSTERNORRLANDS LÄN</t>
        </is>
      </c>
      <c r="E2486" t="inlineStr">
        <is>
          <t>SOLLEFTEÅ</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55651-2023</t>
        </is>
      </c>
      <c r="B2487" s="1" t="n">
        <v>45238</v>
      </c>
      <c r="C2487" s="1" t="n">
        <v>45802</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55687-2023</t>
        </is>
      </c>
      <c r="B2488" s="1" t="n">
        <v>45239</v>
      </c>
      <c r="C2488" s="1" t="n">
        <v>45802</v>
      </c>
      <c r="D2488" t="inlineStr">
        <is>
          <t>VÄSTERNORRLANDS LÄN</t>
        </is>
      </c>
      <c r="E2488" t="inlineStr">
        <is>
          <t>SOLLEFTEÅ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55859-2023</t>
        </is>
      </c>
      <c r="B2489" s="1" t="n">
        <v>45239</v>
      </c>
      <c r="C2489" s="1" t="n">
        <v>45802</v>
      </c>
      <c r="D2489" t="inlineStr">
        <is>
          <t>VÄSTERNORRLANDS LÄN</t>
        </is>
      </c>
      <c r="E2489" t="inlineStr">
        <is>
          <t>SOLLEFTEÅ</t>
        </is>
      </c>
      <c r="F2489" t="inlineStr">
        <is>
          <t>Kommuner</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55910-2023</t>
        </is>
      </c>
      <c r="B2490" s="1" t="n">
        <v>45239</v>
      </c>
      <c r="C2490" s="1" t="n">
        <v>45802</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55912-2023</t>
        </is>
      </c>
      <c r="B2491" s="1" t="n">
        <v>45239</v>
      </c>
      <c r="C2491" s="1" t="n">
        <v>45802</v>
      </c>
      <c r="D2491" t="inlineStr">
        <is>
          <t>VÄSTERNORRLANDS LÄN</t>
        </is>
      </c>
      <c r="E2491" t="inlineStr">
        <is>
          <t>SOLLEFTEÅ</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55929-2023</t>
        </is>
      </c>
      <c r="B2492" s="1" t="n">
        <v>45239</v>
      </c>
      <c r="C2492" s="1" t="n">
        <v>45802</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57010-2023</t>
        </is>
      </c>
      <c r="B2493" s="1" t="n">
        <v>45239</v>
      </c>
      <c r="C2493" s="1" t="n">
        <v>45802</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c r="U2493">
        <f>HYPERLINK("https://klasma.github.io/Logging_2283/knärot/A 57010-2023 karta knärot.png", "A 57010-2023")</f>
        <v/>
      </c>
      <c r="V2493">
        <f>HYPERLINK("https://klasma.github.io/Logging_2283/klagomål/A 57010-2023 FSC-klagomål.docx", "A 57010-2023")</f>
        <v/>
      </c>
      <c r="W2493">
        <f>HYPERLINK("https://klasma.github.io/Logging_2283/klagomålsmail/A 57010-2023 FSC-klagomål mail.docx", "A 57010-2023")</f>
        <v/>
      </c>
      <c r="X2493">
        <f>HYPERLINK("https://klasma.github.io/Logging_2283/tillsyn/A 57010-2023 tillsynsbegäran.docx", "A 57010-2023")</f>
        <v/>
      </c>
      <c r="Y2493">
        <f>HYPERLINK("https://klasma.github.io/Logging_2283/tillsynsmail/A 57010-2023 tillsynsbegäran mail.docx", "A 57010-2023")</f>
        <v/>
      </c>
    </row>
    <row r="2494" ht="15" customHeight="1">
      <c r="A2494" t="inlineStr">
        <is>
          <t>A 56261-2023</t>
        </is>
      </c>
      <c r="B2494" s="1" t="n">
        <v>45240</v>
      </c>
      <c r="C2494" s="1" t="n">
        <v>45802</v>
      </c>
      <c r="D2494" t="inlineStr">
        <is>
          <t>VÄSTERNORRLANDS LÄN</t>
        </is>
      </c>
      <c r="E2494" t="inlineStr">
        <is>
          <t>SOLLEFTEÅ</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56249-2023</t>
        </is>
      </c>
      <c r="B2495" s="1" t="n">
        <v>45240</v>
      </c>
      <c r="C2495" s="1" t="n">
        <v>45802</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56201-2023</t>
        </is>
      </c>
      <c r="B2496" s="1" t="n">
        <v>45240</v>
      </c>
      <c r="C2496" s="1" t="n">
        <v>45802</v>
      </c>
      <c r="D2496" t="inlineStr">
        <is>
          <t>VÄSTERNORRLANDS LÄN</t>
        </is>
      </c>
      <c r="E2496" t="inlineStr">
        <is>
          <t>SOLLEFTEÅ</t>
        </is>
      </c>
      <c r="G2496" t="n">
        <v>43.3</v>
      </c>
      <c r="H2496" t="n">
        <v>0</v>
      </c>
      <c r="I2496" t="n">
        <v>0</v>
      </c>
      <c r="J2496" t="n">
        <v>0</v>
      </c>
      <c r="K2496" t="n">
        <v>0</v>
      </c>
      <c r="L2496" t="n">
        <v>0</v>
      </c>
      <c r="M2496" t="n">
        <v>0</v>
      </c>
      <c r="N2496" t="n">
        <v>0</v>
      </c>
      <c r="O2496" t="n">
        <v>0</v>
      </c>
      <c r="P2496" t="n">
        <v>0</v>
      </c>
      <c r="Q2496" t="n">
        <v>0</v>
      </c>
      <c r="R2496" s="2" t="inlineStr"/>
    </row>
    <row r="2497" ht="15" customHeight="1">
      <c r="A2497" t="inlineStr">
        <is>
          <t>A 56262-2023</t>
        </is>
      </c>
      <c r="B2497" s="1" t="n">
        <v>45240</v>
      </c>
      <c r="C2497" s="1" t="n">
        <v>45802</v>
      </c>
      <c r="D2497" t="inlineStr">
        <is>
          <t>VÄSTERNORRLANDS LÄN</t>
        </is>
      </c>
      <c r="E2497" t="inlineStr">
        <is>
          <t>SOLLEFTEÅ</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56234-2023</t>
        </is>
      </c>
      <c r="B2498" s="1" t="n">
        <v>45240</v>
      </c>
      <c r="C2498" s="1" t="n">
        <v>45802</v>
      </c>
      <c r="D2498" t="inlineStr">
        <is>
          <t>VÄSTERNORRLANDS LÄN</t>
        </is>
      </c>
      <c r="E2498" t="inlineStr">
        <is>
          <t>SOLLEFTEÅ</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56260-2023</t>
        </is>
      </c>
      <c r="B2499" s="1" t="n">
        <v>45240</v>
      </c>
      <c r="C2499" s="1" t="n">
        <v>45802</v>
      </c>
      <c r="D2499" t="inlineStr">
        <is>
          <t>VÄSTERNORRLANDS LÄN</t>
        </is>
      </c>
      <c r="E2499" t="inlineStr">
        <is>
          <t>SOLLEFTEÅ</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56256-2023</t>
        </is>
      </c>
      <c r="B2500" s="1" t="n">
        <v>45240</v>
      </c>
      <c r="C2500" s="1" t="n">
        <v>45802</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56244-2023</t>
        </is>
      </c>
      <c r="B2501" s="1" t="n">
        <v>45240</v>
      </c>
      <c r="C2501" s="1" t="n">
        <v>45802</v>
      </c>
      <c r="D2501" t="inlineStr">
        <is>
          <t>VÄSTERNORRLANDS LÄN</t>
        </is>
      </c>
      <c r="E2501" t="inlineStr">
        <is>
          <t>SOLLEFTEÅ</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56134-2023</t>
        </is>
      </c>
      <c r="B2502" s="1" t="n">
        <v>45240</v>
      </c>
      <c r="C2502" s="1" t="n">
        <v>45802</v>
      </c>
      <c r="D2502" t="inlineStr">
        <is>
          <t>VÄSTERNORRLANDS LÄN</t>
        </is>
      </c>
      <c r="E2502" t="inlineStr">
        <is>
          <t>SOLLEFTEÅ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56137-2023</t>
        </is>
      </c>
      <c r="B2503" s="1" t="n">
        <v>45240</v>
      </c>
      <c r="C2503" s="1" t="n">
        <v>45802</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56139-2023</t>
        </is>
      </c>
      <c r="B2504" s="1" t="n">
        <v>45240</v>
      </c>
      <c r="C2504" s="1" t="n">
        <v>45802</v>
      </c>
      <c r="D2504" t="inlineStr">
        <is>
          <t>VÄSTERNORRLANDS LÄN</t>
        </is>
      </c>
      <c r="E2504" t="inlineStr">
        <is>
          <t>SOLLEFTEÅ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56310-2023</t>
        </is>
      </c>
      <c r="B2505" s="1" t="n">
        <v>45242</v>
      </c>
      <c r="C2505" s="1" t="n">
        <v>45802</v>
      </c>
      <c r="D2505" t="inlineStr">
        <is>
          <t>VÄSTERNORRLANDS LÄN</t>
        </is>
      </c>
      <c r="E2505" t="inlineStr">
        <is>
          <t>SOLLEFTEÅ</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57518-2023</t>
        </is>
      </c>
      <c r="B2506" s="1" t="n">
        <v>45242</v>
      </c>
      <c r="C2506" s="1" t="n">
        <v>45802</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56311-2023</t>
        </is>
      </c>
      <c r="B2507" s="1" t="n">
        <v>45242</v>
      </c>
      <c r="C2507" s="1" t="n">
        <v>45802</v>
      </c>
      <c r="D2507" t="inlineStr">
        <is>
          <t>VÄSTERNORRLANDS LÄN</t>
        </is>
      </c>
      <c r="E2507" t="inlineStr">
        <is>
          <t>SOLLEFTEÅ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56684-2023</t>
        </is>
      </c>
      <c r="B2508" s="1" t="n">
        <v>45244</v>
      </c>
      <c r="C2508" s="1" t="n">
        <v>45802</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56685-2023</t>
        </is>
      </c>
      <c r="B2509" s="1" t="n">
        <v>45244</v>
      </c>
      <c r="C2509" s="1" t="n">
        <v>45802</v>
      </c>
      <c r="D2509" t="inlineStr">
        <is>
          <t>VÄSTERNORRLANDS LÄN</t>
        </is>
      </c>
      <c r="E2509" t="inlineStr">
        <is>
          <t>SOLLEFTEÅ</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57080-2023</t>
        </is>
      </c>
      <c r="B2510" s="1" t="n">
        <v>45244</v>
      </c>
      <c r="C2510" s="1" t="n">
        <v>45802</v>
      </c>
      <c r="D2510" t="inlineStr">
        <is>
          <t>VÄSTERNORRLANDS LÄN</t>
        </is>
      </c>
      <c r="E2510" t="inlineStr">
        <is>
          <t>SOLLEFTEÅ</t>
        </is>
      </c>
      <c r="F2510" t="inlineStr">
        <is>
          <t>SCA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57066-2023</t>
        </is>
      </c>
      <c r="B2511" s="1" t="n">
        <v>45245</v>
      </c>
      <c r="C2511" s="1" t="n">
        <v>45802</v>
      </c>
      <c r="D2511" t="inlineStr">
        <is>
          <t>VÄSTERNORRLANDS LÄN</t>
        </is>
      </c>
      <c r="E2511" t="inlineStr">
        <is>
          <t>SOLLEFTEÅ</t>
        </is>
      </c>
      <c r="F2511" t="inlineStr">
        <is>
          <t>SCA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57837-2023</t>
        </is>
      </c>
      <c r="B2512" s="1" t="n">
        <v>45244</v>
      </c>
      <c r="C2512" s="1" t="n">
        <v>45802</v>
      </c>
      <c r="D2512" t="inlineStr">
        <is>
          <t>VÄSTERNORRLANDS LÄN</t>
        </is>
      </c>
      <c r="E2512" t="inlineStr">
        <is>
          <t>SOLLEFTEÅ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57384-2023</t>
        </is>
      </c>
      <c r="B2513" s="1" t="n">
        <v>45245</v>
      </c>
      <c r="C2513" s="1" t="n">
        <v>45802</v>
      </c>
      <c r="D2513" t="inlineStr">
        <is>
          <t>VÄSTERNORRLANDS LÄN</t>
        </is>
      </c>
      <c r="E2513" t="inlineStr">
        <is>
          <t>SOLLEFTEÅ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57394-2023</t>
        </is>
      </c>
      <c r="B2514" s="1" t="n">
        <v>45246</v>
      </c>
      <c r="C2514" s="1" t="n">
        <v>45802</v>
      </c>
      <c r="D2514" t="inlineStr">
        <is>
          <t>VÄSTERNORRLANDS LÄN</t>
        </is>
      </c>
      <c r="E2514" t="inlineStr">
        <is>
          <t>SOLLEFTEÅ</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57395-2023</t>
        </is>
      </c>
      <c r="B2515" s="1" t="n">
        <v>45246</v>
      </c>
      <c r="C2515" s="1" t="n">
        <v>45802</v>
      </c>
      <c r="D2515" t="inlineStr">
        <is>
          <t>VÄSTERNORRLANDS LÄN</t>
        </is>
      </c>
      <c r="E2515" t="inlineStr">
        <is>
          <t>SOLLEFTEÅ</t>
        </is>
      </c>
      <c r="F2515" t="inlineStr">
        <is>
          <t>SCA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57411-2023</t>
        </is>
      </c>
      <c r="B2516" s="1" t="n">
        <v>45245</v>
      </c>
      <c r="C2516" s="1" t="n">
        <v>45802</v>
      </c>
      <c r="D2516" t="inlineStr">
        <is>
          <t>VÄSTERNORRLANDS LÄN</t>
        </is>
      </c>
      <c r="E2516" t="inlineStr">
        <is>
          <t>SOLLEFTEÅ</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58298-2023</t>
        </is>
      </c>
      <c r="B2517" s="1" t="n">
        <v>45245</v>
      </c>
      <c r="C2517" s="1" t="n">
        <v>45802</v>
      </c>
      <c r="D2517" t="inlineStr">
        <is>
          <t>VÄSTERNORRLANDS LÄN</t>
        </is>
      </c>
      <c r="E2517" t="inlineStr">
        <is>
          <t>SOLLEFTEÅ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57655-2023</t>
        </is>
      </c>
      <c r="B2518" s="1" t="n">
        <v>45246</v>
      </c>
      <c r="C2518" s="1" t="n">
        <v>45802</v>
      </c>
      <c r="D2518" t="inlineStr">
        <is>
          <t>VÄSTERNORRLANDS LÄN</t>
        </is>
      </c>
      <c r="E2518" t="inlineStr">
        <is>
          <t>SOLLEFTEÅ</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58085-2023</t>
        </is>
      </c>
      <c r="B2519" s="1" t="n">
        <v>45247</v>
      </c>
      <c r="C2519" s="1" t="n">
        <v>45802</v>
      </c>
      <c r="D2519" t="inlineStr">
        <is>
          <t>VÄSTERNORRLANDS LÄN</t>
        </is>
      </c>
      <c r="E2519" t="inlineStr">
        <is>
          <t>SOLLEFTEÅ</t>
        </is>
      </c>
      <c r="F2519" t="inlineStr">
        <is>
          <t>SCA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58155-2023</t>
        </is>
      </c>
      <c r="B2520" s="1" t="n">
        <v>45250</v>
      </c>
      <c r="C2520" s="1" t="n">
        <v>45802</v>
      </c>
      <c r="D2520" t="inlineStr">
        <is>
          <t>VÄSTERNORRLANDS LÄN</t>
        </is>
      </c>
      <c r="E2520" t="inlineStr">
        <is>
          <t>SOLLEFTEÅ</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58923-2023</t>
        </is>
      </c>
      <c r="B2521" s="1" t="n">
        <v>45250</v>
      </c>
      <c r="C2521" s="1" t="n">
        <v>45802</v>
      </c>
      <c r="D2521" t="inlineStr">
        <is>
          <t>VÄSTERNORRLANDS LÄN</t>
        </is>
      </c>
      <c r="E2521" t="inlineStr">
        <is>
          <t>SOLLEFTEÅ</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58938-2023</t>
        </is>
      </c>
      <c r="B2522" s="1" t="n">
        <v>45250</v>
      </c>
      <c r="C2522" s="1" t="n">
        <v>45802</v>
      </c>
      <c r="D2522" t="inlineStr">
        <is>
          <t>VÄSTERNORRLANDS LÄN</t>
        </is>
      </c>
      <c r="E2522" t="inlineStr">
        <is>
          <t>SOLLEFTEÅ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58427-2023</t>
        </is>
      </c>
      <c r="B2523" s="1" t="n">
        <v>45250</v>
      </c>
      <c r="C2523" s="1" t="n">
        <v>45802</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58891-2023</t>
        </is>
      </c>
      <c r="B2524" s="1" t="n">
        <v>45250</v>
      </c>
      <c r="C2524" s="1" t="n">
        <v>45802</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58933-2023</t>
        </is>
      </c>
      <c r="B2525" s="1" t="n">
        <v>45250</v>
      </c>
      <c r="C2525" s="1" t="n">
        <v>45802</v>
      </c>
      <c r="D2525" t="inlineStr">
        <is>
          <t>VÄSTERNORRLANDS LÄN</t>
        </is>
      </c>
      <c r="E2525" t="inlineStr">
        <is>
          <t>SOLLEFTEÅ</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59098-2023</t>
        </is>
      </c>
      <c r="B2526" s="1" t="n">
        <v>45253</v>
      </c>
      <c r="C2526" s="1" t="n">
        <v>45802</v>
      </c>
      <c r="D2526" t="inlineStr">
        <is>
          <t>VÄSTERNORRLANDS LÄN</t>
        </is>
      </c>
      <c r="E2526" t="inlineStr">
        <is>
          <t>SOLLEFTEÅ</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59339-2023</t>
        </is>
      </c>
      <c r="B2527" s="1" t="n">
        <v>45253</v>
      </c>
      <c r="C2527" s="1" t="n">
        <v>45802</v>
      </c>
      <c r="D2527" t="inlineStr">
        <is>
          <t>VÄSTERNORRLANDS LÄN</t>
        </is>
      </c>
      <c r="E2527" t="inlineStr">
        <is>
          <t>SOLLEFTEÅ</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59346-2023</t>
        </is>
      </c>
      <c r="B2528" s="1" t="n">
        <v>45253</v>
      </c>
      <c r="C2528" s="1" t="n">
        <v>45802</v>
      </c>
      <c r="D2528" t="inlineStr">
        <is>
          <t>VÄSTERNORRLANDS LÄN</t>
        </is>
      </c>
      <c r="E2528" t="inlineStr">
        <is>
          <t>SOLLEFTEÅ</t>
        </is>
      </c>
      <c r="F2528" t="inlineStr">
        <is>
          <t>Holmen skog AB</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59461-2023</t>
        </is>
      </c>
      <c r="B2529" s="1" t="n">
        <v>45253</v>
      </c>
      <c r="C2529" s="1" t="n">
        <v>45802</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59579-2023</t>
        </is>
      </c>
      <c r="B2530" s="1" t="n">
        <v>45253</v>
      </c>
      <c r="C2530" s="1" t="n">
        <v>45802</v>
      </c>
      <c r="D2530" t="inlineStr">
        <is>
          <t>VÄSTERNORRLANDS LÄN</t>
        </is>
      </c>
      <c r="E2530" t="inlineStr">
        <is>
          <t>SOLLEFTEÅ</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59501-2023</t>
        </is>
      </c>
      <c r="B2531" s="1" t="n">
        <v>45254</v>
      </c>
      <c r="C2531" s="1" t="n">
        <v>45802</v>
      </c>
      <c r="D2531" t="inlineStr">
        <is>
          <t>VÄSTERNORRLANDS LÄN</t>
        </is>
      </c>
      <c r="E2531" t="inlineStr">
        <is>
          <t>SOLLEFTEÅ</t>
        </is>
      </c>
      <c r="F2531" t="inlineStr">
        <is>
          <t>Holmen skog AB</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59583-2023</t>
        </is>
      </c>
      <c r="B2532" s="1" t="n">
        <v>45254</v>
      </c>
      <c r="C2532" s="1" t="n">
        <v>45802</v>
      </c>
      <c r="D2532" t="inlineStr">
        <is>
          <t>VÄSTERNORRLANDS LÄN</t>
        </is>
      </c>
      <c r="E2532" t="inlineStr">
        <is>
          <t>SOLLEFTEÅ</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59657-2023</t>
        </is>
      </c>
      <c r="B2533" s="1" t="n">
        <v>45255</v>
      </c>
      <c r="C2533" s="1" t="n">
        <v>45802</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59593-2023</t>
        </is>
      </c>
      <c r="B2534" s="1" t="n">
        <v>45254</v>
      </c>
      <c r="C2534" s="1" t="n">
        <v>45802</v>
      </c>
      <c r="D2534" t="inlineStr">
        <is>
          <t>VÄSTERNORRLANDS LÄN</t>
        </is>
      </c>
      <c r="E2534" t="inlineStr">
        <is>
          <t>SOLLEFTEÅ</t>
        </is>
      </c>
      <c r="F2534" t="inlineStr">
        <is>
          <t>Holmen skog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59879-2023</t>
        </is>
      </c>
      <c r="B2535" s="1" t="n">
        <v>45254</v>
      </c>
      <c r="C2535" s="1" t="n">
        <v>45802</v>
      </c>
      <c r="D2535" t="inlineStr">
        <is>
          <t>VÄSTERNORRLANDS LÄN</t>
        </is>
      </c>
      <c r="E2535" t="inlineStr">
        <is>
          <t>SOLLEFTEÅ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60039-2023</t>
        </is>
      </c>
      <c r="B2536" s="1" t="n">
        <v>45254</v>
      </c>
      <c r="C2536" s="1" t="n">
        <v>45802</v>
      </c>
      <c r="D2536" t="inlineStr">
        <is>
          <t>VÄSTERNORRLANDS LÄN</t>
        </is>
      </c>
      <c r="E2536" t="inlineStr">
        <is>
          <t>SOLLEFTEÅ</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59794-2023</t>
        </is>
      </c>
      <c r="B2537" s="1" t="n">
        <v>45257</v>
      </c>
      <c r="C2537" s="1" t="n">
        <v>45802</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60099-2023</t>
        </is>
      </c>
      <c r="B2538" s="1" t="n">
        <v>45257</v>
      </c>
      <c r="C2538" s="1" t="n">
        <v>45802</v>
      </c>
      <c r="D2538" t="inlineStr">
        <is>
          <t>VÄSTERNORRLANDS LÄN</t>
        </is>
      </c>
      <c r="E2538" t="inlineStr">
        <is>
          <t>SOLLEFTEÅ</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60329-2023</t>
        </is>
      </c>
      <c r="B2539" s="1" t="n">
        <v>45258</v>
      </c>
      <c r="C2539" s="1" t="n">
        <v>45802</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60328-2023</t>
        </is>
      </c>
      <c r="B2540" s="1" t="n">
        <v>45258</v>
      </c>
      <c r="C2540" s="1" t="n">
        <v>45802</v>
      </c>
      <c r="D2540" t="inlineStr">
        <is>
          <t>VÄSTERNORRLANDS LÄN</t>
        </is>
      </c>
      <c r="E2540" t="inlineStr">
        <is>
          <t>SOLLEFTEÅ</t>
        </is>
      </c>
      <c r="F2540" t="inlineStr">
        <is>
          <t>SCA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60462-2023</t>
        </is>
      </c>
      <c r="B2541" s="1" t="n">
        <v>45258</v>
      </c>
      <c r="C2541" s="1" t="n">
        <v>45802</v>
      </c>
      <c r="D2541" t="inlineStr">
        <is>
          <t>VÄSTERNORRLANDS LÄN</t>
        </is>
      </c>
      <c r="E2541" t="inlineStr">
        <is>
          <t>SOLLEFTEÅ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60480-2023</t>
        </is>
      </c>
      <c r="B2542" s="1" t="n">
        <v>45258</v>
      </c>
      <c r="C2542" s="1" t="n">
        <v>45802</v>
      </c>
      <c r="D2542" t="inlineStr">
        <is>
          <t>VÄSTERNORRLANDS LÄN</t>
        </is>
      </c>
      <c r="E2542" t="inlineStr">
        <is>
          <t>SOLLEFTEÅ</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60883-2023</t>
        </is>
      </c>
      <c r="B2543" s="1" t="n">
        <v>45259</v>
      </c>
      <c r="C2543" s="1" t="n">
        <v>45802</v>
      </c>
      <c r="D2543" t="inlineStr">
        <is>
          <t>VÄSTERNORRLANDS LÄN</t>
        </is>
      </c>
      <c r="E2543" t="inlineStr">
        <is>
          <t>SOLLEFTEÅ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61028-2023</t>
        </is>
      </c>
      <c r="B2544" s="1" t="n">
        <v>45259</v>
      </c>
      <c r="C2544" s="1" t="n">
        <v>45802</v>
      </c>
      <c r="D2544" t="inlineStr">
        <is>
          <t>VÄSTERNORRLANDS LÄN</t>
        </is>
      </c>
      <c r="E2544" t="inlineStr">
        <is>
          <t>SOLLEFTEÅ</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61034-2023</t>
        </is>
      </c>
      <c r="B2545" s="1" t="n">
        <v>45259</v>
      </c>
      <c r="C2545" s="1" t="n">
        <v>45802</v>
      </c>
      <c r="D2545" t="inlineStr">
        <is>
          <t>VÄSTERNORRLANDS LÄN</t>
        </is>
      </c>
      <c r="E2545" t="inlineStr">
        <is>
          <t>SOLLEFTEÅ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60861-2023</t>
        </is>
      </c>
      <c r="B2546" s="1" t="n">
        <v>45260</v>
      </c>
      <c r="C2546" s="1" t="n">
        <v>45802</v>
      </c>
      <c r="D2546" t="inlineStr">
        <is>
          <t>VÄSTERNORRLANDS LÄN</t>
        </is>
      </c>
      <c r="E2546" t="inlineStr">
        <is>
          <t>SOLLEFTEÅ</t>
        </is>
      </c>
      <c r="F2546" t="inlineStr">
        <is>
          <t>SCA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61213-2023</t>
        </is>
      </c>
      <c r="B2547" s="1" t="n">
        <v>45260</v>
      </c>
      <c r="C2547" s="1" t="n">
        <v>45802</v>
      </c>
      <c r="D2547" t="inlineStr">
        <is>
          <t>VÄSTERNORRLANDS LÄN</t>
        </is>
      </c>
      <c r="E2547" t="inlineStr">
        <is>
          <t>SOLLEFTEÅ</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61081-2023</t>
        </is>
      </c>
      <c r="B2548" s="1" t="n">
        <v>45261</v>
      </c>
      <c r="C2548" s="1" t="n">
        <v>45802</v>
      </c>
      <c r="D2548" t="inlineStr">
        <is>
          <t>VÄSTERNORRLANDS LÄN</t>
        </is>
      </c>
      <c r="E2548" t="inlineStr">
        <is>
          <t>SOLLEFTEÅ</t>
        </is>
      </c>
      <c r="F2548" t="inlineStr">
        <is>
          <t>Holmen skog AB</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61137-2023</t>
        </is>
      </c>
      <c r="B2549" s="1" t="n">
        <v>45261</v>
      </c>
      <c r="C2549" s="1" t="n">
        <v>45802</v>
      </c>
      <c r="D2549" t="inlineStr">
        <is>
          <t>VÄSTERNORRLANDS LÄN</t>
        </is>
      </c>
      <c r="E2549" t="inlineStr">
        <is>
          <t>SOLLEFTEÅ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61138-2023</t>
        </is>
      </c>
      <c r="B2550" s="1" t="n">
        <v>45261</v>
      </c>
      <c r="C2550" s="1" t="n">
        <v>45802</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61469-2023</t>
        </is>
      </c>
      <c r="B2551" s="1" t="n">
        <v>45264</v>
      </c>
      <c r="C2551" s="1" t="n">
        <v>45802</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61473-2023</t>
        </is>
      </c>
      <c r="B2552" s="1" t="n">
        <v>45264</v>
      </c>
      <c r="C2552" s="1" t="n">
        <v>45802</v>
      </c>
      <c r="D2552" t="inlineStr">
        <is>
          <t>VÄSTERNORRLANDS LÄN</t>
        </is>
      </c>
      <c r="E2552" t="inlineStr">
        <is>
          <t>SOLLEFTEÅ</t>
        </is>
      </c>
      <c r="G2552" t="n">
        <v>18.8</v>
      </c>
      <c r="H2552" t="n">
        <v>0</v>
      </c>
      <c r="I2552" t="n">
        <v>0</v>
      </c>
      <c r="J2552" t="n">
        <v>0</v>
      </c>
      <c r="K2552" t="n">
        <v>0</v>
      </c>
      <c r="L2552" t="n">
        <v>0</v>
      </c>
      <c r="M2552" t="n">
        <v>0</v>
      </c>
      <c r="N2552" t="n">
        <v>0</v>
      </c>
      <c r="O2552" t="n">
        <v>0</v>
      </c>
      <c r="P2552" t="n">
        <v>0</v>
      </c>
      <c r="Q2552" t="n">
        <v>0</v>
      </c>
      <c r="R2552" s="2" t="inlineStr"/>
    </row>
    <row r="2553" ht="15" customHeight="1">
      <c r="A2553" t="inlineStr">
        <is>
          <t>A 61462-2023</t>
        </is>
      </c>
      <c r="B2553" s="1" t="n">
        <v>45264</v>
      </c>
      <c r="C2553" s="1" t="n">
        <v>45802</v>
      </c>
      <c r="D2553" t="inlineStr">
        <is>
          <t>VÄSTERNORRLANDS LÄN</t>
        </is>
      </c>
      <c r="E2553" t="inlineStr">
        <is>
          <t>SOLLEFTEÅ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61470-2023</t>
        </is>
      </c>
      <c r="B2554" s="1" t="n">
        <v>45264</v>
      </c>
      <c r="C2554" s="1" t="n">
        <v>45802</v>
      </c>
      <c r="D2554" t="inlineStr">
        <is>
          <t>VÄSTERNORRLANDS LÄN</t>
        </is>
      </c>
      <c r="E2554" t="inlineStr">
        <is>
          <t>SOLLEFTEÅ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61809-2023</t>
        </is>
      </c>
      <c r="B2555" s="1" t="n">
        <v>45264</v>
      </c>
      <c r="C2555" s="1" t="n">
        <v>45802</v>
      </c>
      <c r="D2555" t="inlineStr">
        <is>
          <t>VÄSTERNORRLANDS LÄN</t>
        </is>
      </c>
      <c r="E2555" t="inlineStr">
        <is>
          <t>SOLLEFTEÅ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61805-2023</t>
        </is>
      </c>
      <c r="B2556" s="1" t="n">
        <v>45264</v>
      </c>
      <c r="C2556" s="1" t="n">
        <v>45802</v>
      </c>
      <c r="D2556" t="inlineStr">
        <is>
          <t>VÄSTERNORRLANDS LÄN</t>
        </is>
      </c>
      <c r="E2556" t="inlineStr">
        <is>
          <t>SOLLEFTEÅ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61485-2023</t>
        </is>
      </c>
      <c r="B2557" s="1" t="n">
        <v>45264</v>
      </c>
      <c r="C2557" s="1" t="n">
        <v>45802</v>
      </c>
      <c r="D2557" t="inlineStr">
        <is>
          <t>VÄSTERNORRLANDS LÄN</t>
        </is>
      </c>
      <c r="E2557" t="inlineStr">
        <is>
          <t>SOLLEFTEÅ</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61784-2023</t>
        </is>
      </c>
      <c r="B2558" s="1" t="n">
        <v>45265</v>
      </c>
      <c r="C2558" s="1" t="n">
        <v>45802</v>
      </c>
      <c r="D2558" t="inlineStr">
        <is>
          <t>VÄSTERNORRLANDS LÄN</t>
        </is>
      </c>
      <c r="E2558" t="inlineStr">
        <is>
          <t>SOLLEFTEÅ</t>
        </is>
      </c>
      <c r="F2558" t="inlineStr">
        <is>
          <t>SCA</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62099-2023</t>
        </is>
      </c>
      <c r="B2559" s="1" t="n">
        <v>45266</v>
      </c>
      <c r="C2559" s="1" t="n">
        <v>45802</v>
      </c>
      <c r="D2559" t="inlineStr">
        <is>
          <t>VÄSTERNORRLANDS LÄN</t>
        </is>
      </c>
      <c r="E2559" t="inlineStr">
        <is>
          <t>SOLLEFTEÅ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62098-2023</t>
        </is>
      </c>
      <c r="B2560" s="1" t="n">
        <v>45266</v>
      </c>
      <c r="C2560" s="1" t="n">
        <v>45802</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62096-2023</t>
        </is>
      </c>
      <c r="B2561" s="1" t="n">
        <v>45266</v>
      </c>
      <c r="C2561" s="1" t="n">
        <v>45802</v>
      </c>
      <c r="D2561" t="inlineStr">
        <is>
          <t>VÄSTERNORRLANDS LÄN</t>
        </is>
      </c>
      <c r="E2561" t="inlineStr">
        <is>
          <t>SOLLEFTEÅ</t>
        </is>
      </c>
      <c r="F2561" t="inlineStr">
        <is>
          <t>Kyrkan</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62100-2023</t>
        </is>
      </c>
      <c r="B2562" s="1" t="n">
        <v>45266</v>
      </c>
      <c r="C2562" s="1" t="n">
        <v>45802</v>
      </c>
      <c r="D2562" t="inlineStr">
        <is>
          <t>VÄSTERNORRLANDS LÄN</t>
        </is>
      </c>
      <c r="E2562" t="inlineStr">
        <is>
          <t>SOLLEFTEÅ</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62115-2023</t>
        </is>
      </c>
      <c r="B2563" s="1" t="n">
        <v>45266</v>
      </c>
      <c r="C2563" s="1" t="n">
        <v>45802</v>
      </c>
      <c r="D2563" t="inlineStr">
        <is>
          <t>VÄSTERNORRLANDS LÄN</t>
        </is>
      </c>
      <c r="E2563" t="inlineStr">
        <is>
          <t>SOLLEFTEÅ</t>
        </is>
      </c>
      <c r="F2563" t="inlineStr">
        <is>
          <t>SCA</t>
        </is>
      </c>
      <c r="G2563" t="n">
        <v>43.1</v>
      </c>
      <c r="H2563" t="n">
        <v>0</v>
      </c>
      <c r="I2563" t="n">
        <v>0</v>
      </c>
      <c r="J2563" t="n">
        <v>0</v>
      </c>
      <c r="K2563" t="n">
        <v>0</v>
      </c>
      <c r="L2563" t="n">
        <v>0</v>
      </c>
      <c r="M2563" t="n">
        <v>0</v>
      </c>
      <c r="N2563" t="n">
        <v>0</v>
      </c>
      <c r="O2563" t="n">
        <v>0</v>
      </c>
      <c r="P2563" t="n">
        <v>0</v>
      </c>
      <c r="Q2563" t="n">
        <v>0</v>
      </c>
      <c r="R2563" s="2" t="inlineStr"/>
    </row>
    <row r="2564" ht="15" customHeight="1">
      <c r="A2564" t="inlineStr">
        <is>
          <t>A 62097-2023</t>
        </is>
      </c>
      <c r="B2564" s="1" t="n">
        <v>45266</v>
      </c>
      <c r="C2564" s="1" t="n">
        <v>45802</v>
      </c>
      <c r="D2564" t="inlineStr">
        <is>
          <t>VÄSTERNORRLANDS LÄN</t>
        </is>
      </c>
      <c r="E2564" t="inlineStr">
        <is>
          <t>SOLLEFTEÅ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62093-2023</t>
        </is>
      </c>
      <c r="B2565" s="1" t="n">
        <v>45266</v>
      </c>
      <c r="C2565" s="1" t="n">
        <v>45802</v>
      </c>
      <c r="D2565" t="inlineStr">
        <is>
          <t>VÄSTERNORRLANDS LÄN</t>
        </is>
      </c>
      <c r="E2565" t="inlineStr">
        <is>
          <t>SOLLEFTEÅ</t>
        </is>
      </c>
      <c r="G2565" t="n">
        <v>18.1</v>
      </c>
      <c r="H2565" t="n">
        <v>0</v>
      </c>
      <c r="I2565" t="n">
        <v>0</v>
      </c>
      <c r="J2565" t="n">
        <v>0</v>
      </c>
      <c r="K2565" t="n">
        <v>0</v>
      </c>
      <c r="L2565" t="n">
        <v>0</v>
      </c>
      <c r="M2565" t="n">
        <v>0</v>
      </c>
      <c r="N2565" t="n">
        <v>0</v>
      </c>
      <c r="O2565" t="n">
        <v>0</v>
      </c>
      <c r="P2565" t="n">
        <v>0</v>
      </c>
      <c r="Q2565" t="n">
        <v>0</v>
      </c>
      <c r="R2565" s="2" t="inlineStr"/>
    </row>
    <row r="2566" ht="15" customHeight="1">
      <c r="A2566" t="inlineStr">
        <is>
          <t>A 62343-2023</t>
        </is>
      </c>
      <c r="B2566" s="1" t="n">
        <v>45267</v>
      </c>
      <c r="C2566" s="1" t="n">
        <v>45802</v>
      </c>
      <c r="D2566" t="inlineStr">
        <is>
          <t>VÄSTERNORRLANDS LÄN</t>
        </is>
      </c>
      <c r="E2566" t="inlineStr">
        <is>
          <t>SOLLEFTEÅ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62363-2023</t>
        </is>
      </c>
      <c r="B2567" s="1" t="n">
        <v>45267</v>
      </c>
      <c r="C2567" s="1" t="n">
        <v>45802</v>
      </c>
      <c r="D2567" t="inlineStr">
        <is>
          <t>VÄSTERNORRLANDS LÄN</t>
        </is>
      </c>
      <c r="E2567" t="inlineStr">
        <is>
          <t>SOLLEFTEÅ</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62523-2023</t>
        </is>
      </c>
      <c r="B2568" s="1" t="n">
        <v>45267</v>
      </c>
      <c r="C2568" s="1" t="n">
        <v>45802</v>
      </c>
      <c r="D2568" t="inlineStr">
        <is>
          <t>VÄSTERNORRLANDS LÄN</t>
        </is>
      </c>
      <c r="E2568" t="inlineStr">
        <is>
          <t>SOLLEFTEÅ</t>
        </is>
      </c>
      <c r="G2568" t="n">
        <v>33.6</v>
      </c>
      <c r="H2568" t="n">
        <v>0</v>
      </c>
      <c r="I2568" t="n">
        <v>0</v>
      </c>
      <c r="J2568" t="n">
        <v>0</v>
      </c>
      <c r="K2568" t="n">
        <v>0</v>
      </c>
      <c r="L2568" t="n">
        <v>0</v>
      </c>
      <c r="M2568" t="n">
        <v>0</v>
      </c>
      <c r="N2568" t="n">
        <v>0</v>
      </c>
      <c r="O2568" t="n">
        <v>0</v>
      </c>
      <c r="P2568" t="n">
        <v>0</v>
      </c>
      <c r="Q2568" t="n">
        <v>0</v>
      </c>
      <c r="R2568" s="2" t="inlineStr"/>
    </row>
    <row r="2569" ht="15" customHeight="1">
      <c r="A2569" t="inlineStr">
        <is>
          <t>A 62357-2023</t>
        </is>
      </c>
      <c r="B2569" s="1" t="n">
        <v>45267</v>
      </c>
      <c r="C2569" s="1" t="n">
        <v>45802</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62527-2023</t>
        </is>
      </c>
      <c r="B2570" s="1" t="n">
        <v>45267</v>
      </c>
      <c r="C2570" s="1" t="n">
        <v>45802</v>
      </c>
      <c r="D2570" t="inlineStr">
        <is>
          <t>VÄSTERNORRLANDS LÄN</t>
        </is>
      </c>
      <c r="E2570" t="inlineStr">
        <is>
          <t>SOLLEFTEÅ</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62827-2023</t>
        </is>
      </c>
      <c r="B2571" s="1" t="n">
        <v>45271</v>
      </c>
      <c r="C2571" s="1" t="n">
        <v>45802</v>
      </c>
      <c r="D2571" t="inlineStr">
        <is>
          <t>VÄSTERNORRLANDS LÄN</t>
        </is>
      </c>
      <c r="E2571" t="inlineStr">
        <is>
          <t>SOLLEFTEÅ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63138-2023</t>
        </is>
      </c>
      <c r="B2572" s="1" t="n">
        <v>45272</v>
      </c>
      <c r="C2572" s="1" t="n">
        <v>45802</v>
      </c>
      <c r="D2572" t="inlineStr">
        <is>
          <t>VÄSTERNORRLANDS LÄN</t>
        </is>
      </c>
      <c r="E2572" t="inlineStr">
        <is>
          <t>SOLLEFTEÅ</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63144-2023</t>
        </is>
      </c>
      <c r="B2573" s="1" t="n">
        <v>45272</v>
      </c>
      <c r="C2573" s="1" t="n">
        <v>45802</v>
      </c>
      <c r="D2573" t="inlineStr">
        <is>
          <t>VÄSTERNORRLANDS LÄN</t>
        </is>
      </c>
      <c r="E2573" t="inlineStr">
        <is>
          <t>SOLLEFTEÅ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63261-2023</t>
        </is>
      </c>
      <c r="B2574" s="1" t="n">
        <v>45273</v>
      </c>
      <c r="C2574" s="1" t="n">
        <v>45802</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63259-2023</t>
        </is>
      </c>
      <c r="B2575" s="1" t="n">
        <v>45273</v>
      </c>
      <c r="C2575" s="1" t="n">
        <v>45802</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63529-2023</t>
        </is>
      </c>
      <c r="B2576" s="1" t="n">
        <v>45274</v>
      </c>
      <c r="C2576" s="1" t="n">
        <v>45802</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63422-2023</t>
        </is>
      </c>
      <c r="B2577" s="1" t="n">
        <v>45274</v>
      </c>
      <c r="C2577" s="1" t="n">
        <v>45802</v>
      </c>
      <c r="D2577" t="inlineStr">
        <is>
          <t>VÄSTERNORRLANDS LÄN</t>
        </is>
      </c>
      <c r="E2577" t="inlineStr">
        <is>
          <t>SOLLEFTEÅ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63462-2023</t>
        </is>
      </c>
      <c r="B2578" s="1" t="n">
        <v>45274</v>
      </c>
      <c r="C2578" s="1" t="n">
        <v>45802</v>
      </c>
      <c r="D2578" t="inlineStr">
        <is>
          <t>VÄSTERNORRLANDS LÄN</t>
        </is>
      </c>
      <c r="E2578" t="inlineStr">
        <is>
          <t>SOLLEFTEÅ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63413-2023</t>
        </is>
      </c>
      <c r="B2579" s="1" t="n">
        <v>45274</v>
      </c>
      <c r="C2579" s="1" t="n">
        <v>45802</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63547-2023</t>
        </is>
      </c>
      <c r="B2580" s="1" t="n">
        <v>45274</v>
      </c>
      <c r="C2580" s="1" t="n">
        <v>45802</v>
      </c>
      <c r="D2580" t="inlineStr">
        <is>
          <t>VÄSTERNORRLANDS LÄN</t>
        </is>
      </c>
      <c r="E2580" t="inlineStr">
        <is>
          <t>SOLLEFTEÅ</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63652-2023</t>
        </is>
      </c>
      <c r="B2581" s="1" t="n">
        <v>45275</v>
      </c>
      <c r="C2581" s="1" t="n">
        <v>45802</v>
      </c>
      <c r="D2581" t="inlineStr">
        <is>
          <t>VÄSTERNORRLANDS LÄN</t>
        </is>
      </c>
      <c r="E2581" t="inlineStr">
        <is>
          <t>SOLLEFTEÅ</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63712-2023</t>
        </is>
      </c>
      <c r="B2582" s="1" t="n">
        <v>45275</v>
      </c>
      <c r="C2582" s="1" t="n">
        <v>45802</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63707-2023</t>
        </is>
      </c>
      <c r="B2583" s="1" t="n">
        <v>45275</v>
      </c>
      <c r="C2583" s="1" t="n">
        <v>45802</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64013-2023</t>
        </is>
      </c>
      <c r="B2584" s="1" t="n">
        <v>45278</v>
      </c>
      <c r="C2584" s="1" t="n">
        <v>45802</v>
      </c>
      <c r="D2584" t="inlineStr">
        <is>
          <t>VÄSTERNORRLANDS LÄN</t>
        </is>
      </c>
      <c r="E2584" t="inlineStr">
        <is>
          <t>SOLLEFTEÅ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64014-2023</t>
        </is>
      </c>
      <c r="B2585" s="1" t="n">
        <v>45278</v>
      </c>
      <c r="C2585" s="1" t="n">
        <v>45802</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63979-2023</t>
        </is>
      </c>
      <c r="B2586" s="1" t="n">
        <v>45278</v>
      </c>
      <c r="C2586" s="1" t="n">
        <v>45802</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64111-2023</t>
        </is>
      </c>
      <c r="B2587" s="1" t="n">
        <v>45279</v>
      </c>
      <c r="C2587" s="1" t="n">
        <v>45802</v>
      </c>
      <c r="D2587" t="inlineStr">
        <is>
          <t>VÄSTERNORRLANDS LÄN</t>
        </is>
      </c>
      <c r="E2587" t="inlineStr">
        <is>
          <t>SOLLEFTEÅ</t>
        </is>
      </c>
      <c r="G2587" t="n">
        <v>19.9</v>
      </c>
      <c r="H2587" t="n">
        <v>0</v>
      </c>
      <c r="I2587" t="n">
        <v>0</v>
      </c>
      <c r="J2587" t="n">
        <v>0</v>
      </c>
      <c r="K2587" t="n">
        <v>0</v>
      </c>
      <c r="L2587" t="n">
        <v>0</v>
      </c>
      <c r="M2587" t="n">
        <v>0</v>
      </c>
      <c r="N2587" t="n">
        <v>0</v>
      </c>
      <c r="O2587" t="n">
        <v>0</v>
      </c>
      <c r="P2587" t="n">
        <v>0</v>
      </c>
      <c r="Q2587" t="n">
        <v>0</v>
      </c>
      <c r="R2587" s="2" t="inlineStr"/>
    </row>
    <row r="2588" ht="15" customHeight="1">
      <c r="A2588" t="inlineStr">
        <is>
          <t>A 64115-2023</t>
        </is>
      </c>
      <c r="B2588" s="1" t="n">
        <v>45279</v>
      </c>
      <c r="C2588" s="1" t="n">
        <v>45802</v>
      </c>
      <c r="D2588" t="inlineStr">
        <is>
          <t>VÄSTERNORRLANDS LÄN</t>
        </is>
      </c>
      <c r="E2588" t="inlineStr">
        <is>
          <t>SOLLEFTEÅ</t>
        </is>
      </c>
      <c r="G2588" t="n">
        <v>16.1</v>
      </c>
      <c r="H2588" t="n">
        <v>0</v>
      </c>
      <c r="I2588" t="n">
        <v>0</v>
      </c>
      <c r="J2588" t="n">
        <v>0</v>
      </c>
      <c r="K2588" t="n">
        <v>0</v>
      </c>
      <c r="L2588" t="n">
        <v>0</v>
      </c>
      <c r="M2588" t="n">
        <v>0</v>
      </c>
      <c r="N2588" t="n">
        <v>0</v>
      </c>
      <c r="O2588" t="n">
        <v>0</v>
      </c>
      <c r="P2588" t="n">
        <v>0</v>
      </c>
      <c r="Q2588" t="n">
        <v>0</v>
      </c>
      <c r="R2588" s="2" t="inlineStr"/>
    </row>
    <row r="2589" ht="15" customHeight="1">
      <c r="A2589" t="inlineStr">
        <is>
          <t>A 64120-2023</t>
        </is>
      </c>
      <c r="B2589" s="1" t="n">
        <v>45279</v>
      </c>
      <c r="C2589" s="1" t="n">
        <v>45802</v>
      </c>
      <c r="D2589" t="inlineStr">
        <is>
          <t>VÄSTERNORRLANDS LÄN</t>
        </is>
      </c>
      <c r="E2589" t="inlineStr">
        <is>
          <t>SOLLEFTEÅ</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64133-2023</t>
        </is>
      </c>
      <c r="B2590" s="1" t="n">
        <v>45279</v>
      </c>
      <c r="C2590" s="1" t="n">
        <v>45802</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64502-2023</t>
        </is>
      </c>
      <c r="B2591" s="1" t="n">
        <v>45280</v>
      </c>
      <c r="C2591" s="1" t="n">
        <v>45802</v>
      </c>
      <c r="D2591" t="inlineStr">
        <is>
          <t>VÄSTERNORRLANDS LÄN</t>
        </is>
      </c>
      <c r="E2591" t="inlineStr">
        <is>
          <t>SOLLEFTEÅ</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64617-2023</t>
        </is>
      </c>
      <c r="B2592" s="1" t="n">
        <v>45281</v>
      </c>
      <c r="C2592" s="1" t="n">
        <v>45802</v>
      </c>
      <c r="D2592" t="inlineStr">
        <is>
          <t>VÄSTERNORRLANDS LÄN</t>
        </is>
      </c>
      <c r="E2592" t="inlineStr">
        <is>
          <t>SOLLEFTEÅ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64891-2023</t>
        </is>
      </c>
      <c r="B2593" s="1" t="n">
        <v>45282</v>
      </c>
      <c r="C2593" s="1" t="n">
        <v>45802</v>
      </c>
      <c r="D2593" t="inlineStr">
        <is>
          <t>VÄSTERNORRLANDS LÄN</t>
        </is>
      </c>
      <c r="E2593" t="inlineStr">
        <is>
          <t>SOLLEFTEÅ</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64961-2023</t>
        </is>
      </c>
      <c r="B2594" s="1" t="n">
        <v>45282</v>
      </c>
      <c r="C2594" s="1" t="n">
        <v>45802</v>
      </c>
      <c r="D2594" t="inlineStr">
        <is>
          <t>VÄSTERNORRLANDS LÄN</t>
        </is>
      </c>
      <c r="E2594" t="inlineStr">
        <is>
          <t>SOLLEFTEÅ</t>
        </is>
      </c>
      <c r="F2594" t="inlineStr">
        <is>
          <t>SCA</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64959-2023</t>
        </is>
      </c>
      <c r="B2595" s="1" t="n">
        <v>45282</v>
      </c>
      <c r="C2595" s="1" t="n">
        <v>45802</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65148-2023</t>
        </is>
      </c>
      <c r="B2596" s="1" t="n">
        <v>45288</v>
      </c>
      <c r="C2596" s="1" t="n">
        <v>45802</v>
      </c>
      <c r="D2596" t="inlineStr">
        <is>
          <t>VÄSTERNORRLANDS LÄN</t>
        </is>
      </c>
      <c r="E2596" t="inlineStr">
        <is>
          <t>SOLLEFTEÅ</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388-2024</t>
        </is>
      </c>
      <c r="B2597" s="1" t="n">
        <v>45296</v>
      </c>
      <c r="C2597" s="1" t="n">
        <v>45802</v>
      </c>
      <c r="D2597" t="inlineStr">
        <is>
          <t>VÄSTERNORRLANDS LÄN</t>
        </is>
      </c>
      <c r="E2597" t="inlineStr">
        <is>
          <t>SOLLEFTEÅ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394-2024</t>
        </is>
      </c>
      <c r="B2598" s="1" t="n">
        <v>45296</v>
      </c>
      <c r="C2598" s="1" t="n">
        <v>45802</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457-2024</t>
        </is>
      </c>
      <c r="B2599" s="1" t="n">
        <v>45297</v>
      </c>
      <c r="C2599" s="1" t="n">
        <v>45802</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656-2024</t>
        </is>
      </c>
      <c r="B2600" s="1" t="n">
        <v>45299</v>
      </c>
      <c r="C2600" s="1" t="n">
        <v>45802</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858-2024</t>
        </is>
      </c>
      <c r="B2601" s="1" t="n">
        <v>45301</v>
      </c>
      <c r="C2601" s="1" t="n">
        <v>45802</v>
      </c>
      <c r="D2601" t="inlineStr">
        <is>
          <t>VÄSTERNORRLANDS LÄN</t>
        </is>
      </c>
      <c r="E2601" t="inlineStr">
        <is>
          <t>SOLLEFTEÅ</t>
        </is>
      </c>
      <c r="F2601" t="inlineStr">
        <is>
          <t>SCA</t>
        </is>
      </c>
      <c r="G2601" t="n">
        <v>56.2</v>
      </c>
      <c r="H2601" t="n">
        <v>0</v>
      </c>
      <c r="I2601" t="n">
        <v>0</v>
      </c>
      <c r="J2601" t="n">
        <v>0</v>
      </c>
      <c r="K2601" t="n">
        <v>0</v>
      </c>
      <c r="L2601" t="n">
        <v>0</v>
      </c>
      <c r="M2601" t="n">
        <v>0</v>
      </c>
      <c r="N2601" t="n">
        <v>0</v>
      </c>
      <c r="O2601" t="n">
        <v>0</v>
      </c>
      <c r="P2601" t="n">
        <v>0</v>
      </c>
      <c r="Q2601" t="n">
        <v>0</v>
      </c>
      <c r="R2601" s="2" t="inlineStr"/>
    </row>
    <row r="2602" ht="15" customHeight="1">
      <c r="A2602" t="inlineStr">
        <is>
          <t>A 1006-2024</t>
        </is>
      </c>
      <c r="B2602" s="1" t="n">
        <v>45301</v>
      </c>
      <c r="C2602" s="1" t="n">
        <v>45802</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1047-2024</t>
        </is>
      </c>
      <c r="B2603" s="1" t="n">
        <v>45301</v>
      </c>
      <c r="C2603" s="1" t="n">
        <v>45802</v>
      </c>
      <c r="D2603" t="inlineStr">
        <is>
          <t>VÄSTERNORRLANDS LÄN</t>
        </is>
      </c>
      <c r="E2603" t="inlineStr">
        <is>
          <t>SOLLEFTEÅ</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1054-2024</t>
        </is>
      </c>
      <c r="B2604" s="1" t="n">
        <v>45302</v>
      </c>
      <c r="C2604" s="1" t="n">
        <v>45802</v>
      </c>
      <c r="D2604" t="inlineStr">
        <is>
          <t>VÄSTERNORRLANDS LÄN</t>
        </is>
      </c>
      <c r="E2604" t="inlineStr">
        <is>
          <t>SOLLEFTEÅ</t>
        </is>
      </c>
      <c r="F2604" t="inlineStr">
        <is>
          <t>SCA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1269-2024</t>
        </is>
      </c>
      <c r="B2605" s="1" t="n">
        <v>45302</v>
      </c>
      <c r="C2605" s="1" t="n">
        <v>45802</v>
      </c>
      <c r="D2605" t="inlineStr">
        <is>
          <t>VÄSTERNORRLANDS LÄN</t>
        </is>
      </c>
      <c r="E2605" t="inlineStr">
        <is>
          <t>SOLLEFTEÅ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1173-2024</t>
        </is>
      </c>
      <c r="B2606" s="1" t="n">
        <v>45302</v>
      </c>
      <c r="C2606" s="1" t="n">
        <v>45802</v>
      </c>
      <c r="D2606" t="inlineStr">
        <is>
          <t>VÄSTERNORRLANDS LÄN</t>
        </is>
      </c>
      <c r="E2606" t="inlineStr">
        <is>
          <t>SOLLEFTEÅ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1268-2024</t>
        </is>
      </c>
      <c r="B2607" s="1" t="n">
        <v>45302</v>
      </c>
      <c r="C2607" s="1" t="n">
        <v>45802</v>
      </c>
      <c r="D2607" t="inlineStr">
        <is>
          <t>VÄSTERNORRLANDS LÄN</t>
        </is>
      </c>
      <c r="E2607" t="inlineStr">
        <is>
          <t>SOLLEFTEÅ</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1459-2024</t>
        </is>
      </c>
      <c r="B2608" s="1" t="n">
        <v>45303</v>
      </c>
      <c r="C2608" s="1" t="n">
        <v>45802</v>
      </c>
      <c r="D2608" t="inlineStr">
        <is>
          <t>VÄSTERNORRLANDS LÄN</t>
        </is>
      </c>
      <c r="E2608" t="inlineStr">
        <is>
          <t>SOLLEFTEÅ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1678-2024</t>
        </is>
      </c>
      <c r="B2609" s="1" t="n">
        <v>45307</v>
      </c>
      <c r="C2609" s="1" t="n">
        <v>45802</v>
      </c>
      <c r="D2609" t="inlineStr">
        <is>
          <t>VÄSTERNORRLANDS LÄN</t>
        </is>
      </c>
      <c r="E2609" t="inlineStr">
        <is>
          <t>SOLLEFTEÅ</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1679-2024</t>
        </is>
      </c>
      <c r="B2610" s="1" t="n">
        <v>45306</v>
      </c>
      <c r="C2610" s="1" t="n">
        <v>45802</v>
      </c>
      <c r="D2610" t="inlineStr">
        <is>
          <t>VÄSTERNORRLANDS LÄN</t>
        </is>
      </c>
      <c r="E2610" t="inlineStr">
        <is>
          <t>SOLLEFTEÅ</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1840-2024</t>
        </is>
      </c>
      <c r="B2611" s="1" t="n">
        <v>45307</v>
      </c>
      <c r="C2611" s="1" t="n">
        <v>45802</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1844-2024</t>
        </is>
      </c>
      <c r="B2612" s="1" t="n">
        <v>45307</v>
      </c>
      <c r="C2612" s="1" t="n">
        <v>45802</v>
      </c>
      <c r="D2612" t="inlineStr">
        <is>
          <t>VÄSTERNORRLANDS LÄN</t>
        </is>
      </c>
      <c r="E2612" t="inlineStr">
        <is>
          <t>SOLLEFTEÅ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1848-2024</t>
        </is>
      </c>
      <c r="B2613" s="1" t="n">
        <v>45307</v>
      </c>
      <c r="C2613" s="1" t="n">
        <v>45802</v>
      </c>
      <c r="D2613" t="inlineStr">
        <is>
          <t>VÄSTERNORRLANDS LÄN</t>
        </is>
      </c>
      <c r="E2613" t="inlineStr">
        <is>
          <t>SOLLEFTEÅ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1880-2024</t>
        </is>
      </c>
      <c r="B2614" s="1" t="n">
        <v>45307</v>
      </c>
      <c r="C2614" s="1" t="n">
        <v>45802</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1878-2024</t>
        </is>
      </c>
      <c r="B2615" s="1" t="n">
        <v>45307</v>
      </c>
      <c r="C2615" s="1" t="n">
        <v>45802</v>
      </c>
      <c r="D2615" t="inlineStr">
        <is>
          <t>VÄSTERNORRLANDS LÄN</t>
        </is>
      </c>
      <c r="E2615" t="inlineStr">
        <is>
          <t>SOLLEFTEÅ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2223-2024</t>
        </is>
      </c>
      <c r="B2616" s="1" t="n">
        <v>45309</v>
      </c>
      <c r="C2616" s="1" t="n">
        <v>45802</v>
      </c>
      <c r="D2616" t="inlineStr">
        <is>
          <t>VÄSTERNORRLANDS LÄN</t>
        </is>
      </c>
      <c r="E2616" t="inlineStr">
        <is>
          <t>SOLLEFTEÅ</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2232-2024</t>
        </is>
      </c>
      <c r="B2617" s="1" t="n">
        <v>45309</v>
      </c>
      <c r="C2617" s="1" t="n">
        <v>45802</v>
      </c>
      <c r="D2617" t="inlineStr">
        <is>
          <t>VÄSTERNORRLANDS LÄN</t>
        </is>
      </c>
      <c r="E2617" t="inlineStr">
        <is>
          <t>SOLLEFTEÅ</t>
        </is>
      </c>
      <c r="F2617" t="inlineStr">
        <is>
          <t>SCA</t>
        </is>
      </c>
      <c r="G2617" t="n">
        <v>58.3</v>
      </c>
      <c r="H2617" t="n">
        <v>0</v>
      </c>
      <c r="I2617" t="n">
        <v>0</v>
      </c>
      <c r="J2617" t="n">
        <v>0</v>
      </c>
      <c r="K2617" t="n">
        <v>0</v>
      </c>
      <c r="L2617" t="n">
        <v>0</v>
      </c>
      <c r="M2617" t="n">
        <v>0</v>
      </c>
      <c r="N2617" t="n">
        <v>0</v>
      </c>
      <c r="O2617" t="n">
        <v>0</v>
      </c>
      <c r="P2617" t="n">
        <v>0</v>
      </c>
      <c r="Q2617" t="n">
        <v>0</v>
      </c>
      <c r="R2617" s="2" t="inlineStr"/>
    </row>
    <row r="2618" ht="15" customHeight="1">
      <c r="A2618" t="inlineStr">
        <is>
          <t>A 2229-2024</t>
        </is>
      </c>
      <c r="B2618" s="1" t="n">
        <v>45309</v>
      </c>
      <c r="C2618" s="1" t="n">
        <v>45802</v>
      </c>
      <c r="D2618" t="inlineStr">
        <is>
          <t>VÄSTERNORRLANDS LÄN</t>
        </is>
      </c>
      <c r="E2618" t="inlineStr">
        <is>
          <t>SOLLEFTEÅ</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2233-2024</t>
        </is>
      </c>
      <c r="B2619" s="1" t="n">
        <v>45309</v>
      </c>
      <c r="C2619" s="1" t="n">
        <v>45802</v>
      </c>
      <c r="D2619" t="inlineStr">
        <is>
          <t>VÄSTERNORRLANDS LÄN</t>
        </is>
      </c>
      <c r="E2619" t="inlineStr">
        <is>
          <t>SOLLEFTEÅ</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2425-2024</t>
        </is>
      </c>
      <c r="B2620" s="1" t="n">
        <v>45310</v>
      </c>
      <c r="C2620" s="1" t="n">
        <v>45802</v>
      </c>
      <c r="D2620" t="inlineStr">
        <is>
          <t>VÄSTERNORRLANDS LÄN</t>
        </is>
      </c>
      <c r="E2620" t="inlineStr">
        <is>
          <t>SOLLEFTEÅ</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2703-2024</t>
        </is>
      </c>
      <c r="B2621" s="1" t="n">
        <v>45314</v>
      </c>
      <c r="C2621" s="1" t="n">
        <v>45802</v>
      </c>
      <c r="D2621" t="inlineStr">
        <is>
          <t>VÄSTERNORRLANDS LÄN</t>
        </is>
      </c>
      <c r="E2621" t="inlineStr">
        <is>
          <t>SOLLEFTEÅ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2816-2024</t>
        </is>
      </c>
      <c r="B2622" s="1" t="n">
        <v>45314</v>
      </c>
      <c r="C2622" s="1" t="n">
        <v>45802</v>
      </c>
      <c r="D2622" t="inlineStr">
        <is>
          <t>VÄSTERNORRLANDS LÄN</t>
        </is>
      </c>
      <c r="E2622" t="inlineStr">
        <is>
          <t>SOLLEFTEÅ</t>
        </is>
      </c>
      <c r="F2622" t="inlineStr">
        <is>
          <t>Holmen skog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2850-2024</t>
        </is>
      </c>
      <c r="B2623" s="1" t="n">
        <v>45315</v>
      </c>
      <c r="C2623" s="1" t="n">
        <v>45802</v>
      </c>
      <c r="D2623" t="inlineStr">
        <is>
          <t>VÄSTERNORRLANDS LÄN</t>
        </is>
      </c>
      <c r="E2623" t="inlineStr">
        <is>
          <t>SOLLEFTEÅ</t>
        </is>
      </c>
      <c r="G2623" t="n">
        <v>15.1</v>
      </c>
      <c r="H2623" t="n">
        <v>0</v>
      </c>
      <c r="I2623" t="n">
        <v>0</v>
      </c>
      <c r="J2623" t="n">
        <v>0</v>
      </c>
      <c r="K2623" t="n">
        <v>0</v>
      </c>
      <c r="L2623" t="n">
        <v>0</v>
      </c>
      <c r="M2623" t="n">
        <v>0</v>
      </c>
      <c r="N2623" t="n">
        <v>0</v>
      </c>
      <c r="O2623" t="n">
        <v>0</v>
      </c>
      <c r="P2623" t="n">
        <v>0</v>
      </c>
      <c r="Q2623" t="n">
        <v>0</v>
      </c>
      <c r="R2623" s="2" t="inlineStr"/>
    </row>
    <row r="2624" ht="15" customHeight="1">
      <c r="A2624" t="inlineStr">
        <is>
          <t>A 3211-2024</t>
        </is>
      </c>
      <c r="B2624" s="1" t="n">
        <v>45316</v>
      </c>
      <c r="C2624" s="1" t="n">
        <v>45802</v>
      </c>
      <c r="D2624" t="inlineStr">
        <is>
          <t>VÄSTERNORRLANDS LÄN</t>
        </is>
      </c>
      <c r="E2624" t="inlineStr">
        <is>
          <t>SOLLEFTEÅ</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3231-2024</t>
        </is>
      </c>
      <c r="B2625" s="1" t="n">
        <v>45316</v>
      </c>
      <c r="C2625" s="1" t="n">
        <v>45802</v>
      </c>
      <c r="D2625" t="inlineStr">
        <is>
          <t>VÄSTERNORRLANDS LÄN</t>
        </is>
      </c>
      <c r="E2625" t="inlineStr">
        <is>
          <t>SOLLEFTEÅ</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3234-2024</t>
        </is>
      </c>
      <c r="B2626" s="1" t="n">
        <v>45316</v>
      </c>
      <c r="C2626" s="1" t="n">
        <v>45802</v>
      </c>
      <c r="D2626" t="inlineStr">
        <is>
          <t>VÄSTERNORRLANDS LÄN</t>
        </is>
      </c>
      <c r="E2626" t="inlineStr">
        <is>
          <t>SOLLEFTEÅ</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3241-2024</t>
        </is>
      </c>
      <c r="B2627" s="1" t="n">
        <v>45316</v>
      </c>
      <c r="C2627" s="1" t="n">
        <v>45802</v>
      </c>
      <c r="D2627" t="inlineStr">
        <is>
          <t>VÄSTERNORRLANDS LÄN</t>
        </is>
      </c>
      <c r="E2627" t="inlineStr">
        <is>
          <t>SOLLEFTEÅ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3252-2024</t>
        </is>
      </c>
      <c r="B2628" s="1" t="n">
        <v>45316</v>
      </c>
      <c r="C2628" s="1" t="n">
        <v>45802</v>
      </c>
      <c r="D2628" t="inlineStr">
        <is>
          <t>VÄSTERNORRLANDS LÄN</t>
        </is>
      </c>
      <c r="E2628" t="inlineStr">
        <is>
          <t>SOLLEFTEÅ</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3388-2024</t>
        </is>
      </c>
      <c r="B2629" s="1" t="n">
        <v>45317</v>
      </c>
      <c r="C2629" s="1" t="n">
        <v>45802</v>
      </c>
      <c r="D2629" t="inlineStr">
        <is>
          <t>VÄSTERNORRLANDS LÄN</t>
        </is>
      </c>
      <c r="E2629" t="inlineStr">
        <is>
          <t>SOLLEFTEÅ</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3621-2024</t>
        </is>
      </c>
      <c r="B2630" s="1" t="n">
        <v>45320</v>
      </c>
      <c r="C2630" s="1" t="n">
        <v>45802</v>
      </c>
      <c r="D2630" t="inlineStr">
        <is>
          <t>VÄSTERNORRLANDS LÄN</t>
        </is>
      </c>
      <c r="E2630" t="inlineStr">
        <is>
          <t>SOLLEFTEÅ</t>
        </is>
      </c>
      <c r="F2630" t="inlineStr">
        <is>
          <t>SCA</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3633-2024</t>
        </is>
      </c>
      <c r="B2631" s="1" t="n">
        <v>45320</v>
      </c>
      <c r="C2631" s="1" t="n">
        <v>45802</v>
      </c>
      <c r="D2631" t="inlineStr">
        <is>
          <t>VÄSTERNORRLANDS LÄN</t>
        </is>
      </c>
      <c r="E2631" t="inlineStr">
        <is>
          <t>SOLLEFTEÅ</t>
        </is>
      </c>
      <c r="F2631" t="inlineStr">
        <is>
          <t>SCA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3832-2024</t>
        </is>
      </c>
      <c r="B2632" s="1" t="n">
        <v>45321</v>
      </c>
      <c r="C2632" s="1" t="n">
        <v>45802</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3847-2024</t>
        </is>
      </c>
      <c r="B2633" s="1" t="n">
        <v>45322</v>
      </c>
      <c r="C2633" s="1" t="n">
        <v>45802</v>
      </c>
      <c r="D2633" t="inlineStr">
        <is>
          <t>VÄSTERNORRLANDS LÄN</t>
        </is>
      </c>
      <c r="E2633" t="inlineStr">
        <is>
          <t>SOLLEFTEÅ</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3990-2024</t>
        </is>
      </c>
      <c r="B2634" s="1" t="n">
        <v>45322</v>
      </c>
      <c r="C2634" s="1" t="n">
        <v>45802</v>
      </c>
      <c r="D2634" t="inlineStr">
        <is>
          <t>VÄSTERNORRLANDS LÄN</t>
        </is>
      </c>
      <c r="E2634" t="inlineStr">
        <is>
          <t>SOLLEFTEÅ</t>
        </is>
      </c>
      <c r="F2634" t="inlineStr">
        <is>
          <t>SCA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3998-2024</t>
        </is>
      </c>
      <c r="B2635" s="1" t="n">
        <v>45322</v>
      </c>
      <c r="C2635" s="1" t="n">
        <v>45802</v>
      </c>
      <c r="D2635" t="inlineStr">
        <is>
          <t>VÄSTERNORRLANDS LÄN</t>
        </is>
      </c>
      <c r="E2635" t="inlineStr">
        <is>
          <t>SOLLEFTEÅ</t>
        </is>
      </c>
      <c r="F2635" t="inlineStr">
        <is>
          <t>SCA</t>
        </is>
      </c>
      <c r="G2635" t="n">
        <v>23.9</v>
      </c>
      <c r="H2635" t="n">
        <v>0</v>
      </c>
      <c r="I2635" t="n">
        <v>0</v>
      </c>
      <c r="J2635" t="n">
        <v>0</v>
      </c>
      <c r="K2635" t="n">
        <v>0</v>
      </c>
      <c r="L2635" t="n">
        <v>0</v>
      </c>
      <c r="M2635" t="n">
        <v>0</v>
      </c>
      <c r="N2635" t="n">
        <v>0</v>
      </c>
      <c r="O2635" t="n">
        <v>0</v>
      </c>
      <c r="P2635" t="n">
        <v>0</v>
      </c>
      <c r="Q2635" t="n">
        <v>0</v>
      </c>
      <c r="R2635" s="2" t="inlineStr"/>
    </row>
    <row r="2636" ht="15" customHeight="1">
      <c r="A2636" t="inlineStr">
        <is>
          <t>A 3991-2024</t>
        </is>
      </c>
      <c r="B2636" s="1" t="n">
        <v>45322</v>
      </c>
      <c r="C2636" s="1" t="n">
        <v>45802</v>
      </c>
      <c r="D2636" t="inlineStr">
        <is>
          <t>VÄSTERNORRLANDS LÄN</t>
        </is>
      </c>
      <c r="E2636" t="inlineStr">
        <is>
          <t>SOLLEFTEÅ</t>
        </is>
      </c>
      <c r="F2636" t="inlineStr">
        <is>
          <t>SCA</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4061-2024</t>
        </is>
      </c>
      <c r="B2637" s="1" t="n">
        <v>45323</v>
      </c>
      <c r="C2637" s="1" t="n">
        <v>45802</v>
      </c>
      <c r="D2637" t="inlineStr">
        <is>
          <t>VÄSTERNORRLANDS LÄN</t>
        </is>
      </c>
      <c r="E2637" t="inlineStr">
        <is>
          <t>SOLLEFTEÅ</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4064-2024</t>
        </is>
      </c>
      <c r="B2638" s="1" t="n">
        <v>45323</v>
      </c>
      <c r="C2638" s="1" t="n">
        <v>45802</v>
      </c>
      <c r="D2638" t="inlineStr">
        <is>
          <t>VÄSTERNORRLANDS LÄN</t>
        </is>
      </c>
      <c r="E2638" t="inlineStr">
        <is>
          <t>SOLLEFTEÅ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4167-2024</t>
        </is>
      </c>
      <c r="B2639" s="1" t="n">
        <v>45323</v>
      </c>
      <c r="C2639" s="1" t="n">
        <v>45802</v>
      </c>
      <c r="D2639" t="inlineStr">
        <is>
          <t>VÄSTERNORRLANDS LÄN</t>
        </is>
      </c>
      <c r="E2639" t="inlineStr">
        <is>
          <t>SOLLEFTEÅ</t>
        </is>
      </c>
      <c r="F2639" t="inlineStr">
        <is>
          <t>SCA</t>
        </is>
      </c>
      <c r="G2639" t="n">
        <v>13.7</v>
      </c>
      <c r="H2639" t="n">
        <v>0</v>
      </c>
      <c r="I2639" t="n">
        <v>0</v>
      </c>
      <c r="J2639" t="n">
        <v>0</v>
      </c>
      <c r="K2639" t="n">
        <v>0</v>
      </c>
      <c r="L2639" t="n">
        <v>0</v>
      </c>
      <c r="M2639" t="n">
        <v>0</v>
      </c>
      <c r="N2639" t="n">
        <v>0</v>
      </c>
      <c r="O2639" t="n">
        <v>0</v>
      </c>
      <c r="P2639" t="n">
        <v>0</v>
      </c>
      <c r="Q2639" t="n">
        <v>0</v>
      </c>
      <c r="R2639" s="2" t="inlineStr"/>
    </row>
    <row r="2640" ht="15" customHeight="1">
      <c r="A2640" t="inlineStr">
        <is>
          <t>A 4168-2024</t>
        </is>
      </c>
      <c r="B2640" s="1" t="n">
        <v>45323</v>
      </c>
      <c r="C2640" s="1" t="n">
        <v>45802</v>
      </c>
      <c r="D2640" t="inlineStr">
        <is>
          <t>VÄSTERNORRLANDS LÄN</t>
        </is>
      </c>
      <c r="E2640" t="inlineStr">
        <is>
          <t>SOLLEFTEÅ</t>
        </is>
      </c>
      <c r="F2640" t="inlineStr">
        <is>
          <t>SCA</t>
        </is>
      </c>
      <c r="G2640" t="n">
        <v>22.1</v>
      </c>
      <c r="H2640" t="n">
        <v>0</v>
      </c>
      <c r="I2640" t="n">
        <v>0</v>
      </c>
      <c r="J2640" t="n">
        <v>0</v>
      </c>
      <c r="K2640" t="n">
        <v>0</v>
      </c>
      <c r="L2640" t="n">
        <v>0</v>
      </c>
      <c r="M2640" t="n">
        <v>0</v>
      </c>
      <c r="N2640" t="n">
        <v>0</v>
      </c>
      <c r="O2640" t="n">
        <v>0</v>
      </c>
      <c r="P2640" t="n">
        <v>0</v>
      </c>
      <c r="Q2640" t="n">
        <v>0</v>
      </c>
      <c r="R2640" s="2" t="inlineStr"/>
    </row>
    <row r="2641" ht="15" customHeight="1">
      <c r="A2641" t="inlineStr">
        <is>
          <t>A 4348-2024</t>
        </is>
      </c>
      <c r="B2641" s="1" t="n">
        <v>45324</v>
      </c>
      <c r="C2641" s="1" t="n">
        <v>45802</v>
      </c>
      <c r="D2641" t="inlineStr">
        <is>
          <t>VÄSTERNORRLANDS LÄN</t>
        </is>
      </c>
      <c r="E2641" t="inlineStr">
        <is>
          <t>SOLLEFTEÅ</t>
        </is>
      </c>
      <c r="F2641" t="inlineStr">
        <is>
          <t>SCA</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4352-2024</t>
        </is>
      </c>
      <c r="B2642" s="1" t="n">
        <v>45324</v>
      </c>
      <c r="C2642" s="1" t="n">
        <v>45802</v>
      </c>
      <c r="D2642" t="inlineStr">
        <is>
          <t>VÄSTERNORRLANDS LÄN</t>
        </is>
      </c>
      <c r="E2642" t="inlineStr">
        <is>
          <t>SOLLEFTEÅ</t>
        </is>
      </c>
      <c r="F2642" t="inlineStr">
        <is>
          <t>SCA</t>
        </is>
      </c>
      <c r="G2642" t="n">
        <v>24.7</v>
      </c>
      <c r="H2642" t="n">
        <v>0</v>
      </c>
      <c r="I2642" t="n">
        <v>0</v>
      </c>
      <c r="J2642" t="n">
        <v>0</v>
      </c>
      <c r="K2642" t="n">
        <v>0</v>
      </c>
      <c r="L2642" t="n">
        <v>0</v>
      </c>
      <c r="M2642" t="n">
        <v>0</v>
      </c>
      <c r="N2642" t="n">
        <v>0</v>
      </c>
      <c r="O2642" t="n">
        <v>0</v>
      </c>
      <c r="P2642" t="n">
        <v>0</v>
      </c>
      <c r="Q2642" t="n">
        <v>0</v>
      </c>
      <c r="R2642" s="2" t="inlineStr"/>
    </row>
    <row r="2643" ht="15" customHeight="1">
      <c r="A2643" t="inlineStr">
        <is>
          <t>A 4347-2024</t>
        </is>
      </c>
      <c r="B2643" s="1" t="n">
        <v>45324</v>
      </c>
      <c r="C2643" s="1" t="n">
        <v>45802</v>
      </c>
      <c r="D2643" t="inlineStr">
        <is>
          <t>VÄSTERNORRLANDS LÄN</t>
        </is>
      </c>
      <c r="E2643" t="inlineStr">
        <is>
          <t>SOLLEFTEÅ</t>
        </is>
      </c>
      <c r="F2643" t="inlineStr">
        <is>
          <t>SCA</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4349-2024</t>
        </is>
      </c>
      <c r="B2644" s="1" t="n">
        <v>45324</v>
      </c>
      <c r="C2644" s="1" t="n">
        <v>45802</v>
      </c>
      <c r="D2644" t="inlineStr">
        <is>
          <t>VÄSTERNORRLANDS LÄN</t>
        </is>
      </c>
      <c r="E2644" t="inlineStr">
        <is>
          <t>SOLLEFTEÅ</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4546-2024</t>
        </is>
      </c>
      <c r="B2645" s="1" t="n">
        <v>45327</v>
      </c>
      <c r="C2645" s="1" t="n">
        <v>45802</v>
      </c>
      <c r="D2645" t="inlineStr">
        <is>
          <t>VÄSTERNORRLANDS LÄN</t>
        </is>
      </c>
      <c r="E2645" t="inlineStr">
        <is>
          <t>SOLLEFTEÅ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4595-2024</t>
        </is>
      </c>
      <c r="B2646" s="1" t="n">
        <v>45327</v>
      </c>
      <c r="C2646" s="1" t="n">
        <v>45802</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4809-2024</t>
        </is>
      </c>
      <c r="B2647" s="1" t="n">
        <v>45328</v>
      </c>
      <c r="C2647" s="1" t="n">
        <v>45802</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4813-2024</t>
        </is>
      </c>
      <c r="B2648" s="1" t="n">
        <v>45328</v>
      </c>
      <c r="C2648" s="1" t="n">
        <v>45802</v>
      </c>
      <c r="D2648" t="inlineStr">
        <is>
          <t>VÄSTERNORRLANDS LÄN</t>
        </is>
      </c>
      <c r="E2648" t="inlineStr">
        <is>
          <t>SOLLEFTEÅ</t>
        </is>
      </c>
      <c r="F2648" t="inlineStr">
        <is>
          <t>SCA</t>
        </is>
      </c>
      <c r="G2648" t="n">
        <v>26.6</v>
      </c>
      <c r="H2648" t="n">
        <v>0</v>
      </c>
      <c r="I2648" t="n">
        <v>0</v>
      </c>
      <c r="J2648" t="n">
        <v>0</v>
      </c>
      <c r="K2648" t="n">
        <v>0</v>
      </c>
      <c r="L2648" t="n">
        <v>0</v>
      </c>
      <c r="M2648" t="n">
        <v>0</v>
      </c>
      <c r="N2648" t="n">
        <v>0</v>
      </c>
      <c r="O2648" t="n">
        <v>0</v>
      </c>
      <c r="P2648" t="n">
        <v>0</v>
      </c>
      <c r="Q2648" t="n">
        <v>0</v>
      </c>
      <c r="R2648" s="2" t="inlineStr"/>
    </row>
    <row r="2649" ht="15" customHeight="1">
      <c r="A2649" t="inlineStr">
        <is>
          <t>A 4808-2024</t>
        </is>
      </c>
      <c r="B2649" s="1" t="n">
        <v>45328</v>
      </c>
      <c r="C2649" s="1" t="n">
        <v>45802</v>
      </c>
      <c r="D2649" t="inlineStr">
        <is>
          <t>VÄSTERNORRLANDS LÄN</t>
        </is>
      </c>
      <c r="E2649" t="inlineStr">
        <is>
          <t>SOLLEFTEÅ</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4812-2024</t>
        </is>
      </c>
      <c r="B2650" s="1" t="n">
        <v>45328</v>
      </c>
      <c r="C2650" s="1" t="n">
        <v>45802</v>
      </c>
      <c r="D2650" t="inlineStr">
        <is>
          <t>VÄSTERNORRLANDS LÄN</t>
        </is>
      </c>
      <c r="E2650" t="inlineStr">
        <is>
          <t>SOLLEFTEÅ</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4857-2024</t>
        </is>
      </c>
      <c r="B2651" s="1" t="n">
        <v>45329</v>
      </c>
      <c r="C2651" s="1" t="n">
        <v>45802</v>
      </c>
      <c r="D2651" t="inlineStr">
        <is>
          <t>VÄSTERNORRLANDS LÄN</t>
        </is>
      </c>
      <c r="E2651" t="inlineStr">
        <is>
          <t>SOLLEFTEÅ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5035-2024</t>
        </is>
      </c>
      <c r="B2652" s="1" t="n">
        <v>45329</v>
      </c>
      <c r="C2652" s="1" t="n">
        <v>45802</v>
      </c>
      <c r="D2652" t="inlineStr">
        <is>
          <t>VÄSTERNORRLANDS LÄN</t>
        </is>
      </c>
      <c r="E2652" t="inlineStr">
        <is>
          <t>SOLLEFTEÅ</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5057-2024</t>
        </is>
      </c>
      <c r="B2653" s="1" t="n">
        <v>45329</v>
      </c>
      <c r="C2653" s="1" t="n">
        <v>45802</v>
      </c>
      <c r="D2653" t="inlineStr">
        <is>
          <t>VÄSTERNORRLANDS LÄN</t>
        </is>
      </c>
      <c r="E2653" t="inlineStr">
        <is>
          <t>SOLLEFTEÅ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5036-2024</t>
        </is>
      </c>
      <c r="B2654" s="1" t="n">
        <v>45329</v>
      </c>
      <c r="C2654" s="1" t="n">
        <v>45802</v>
      </c>
      <c r="D2654" t="inlineStr">
        <is>
          <t>VÄSTERNORRLANDS LÄN</t>
        </is>
      </c>
      <c r="E2654" t="inlineStr">
        <is>
          <t>SOLLEFTEÅ</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5040-2024</t>
        </is>
      </c>
      <c r="B2655" s="1" t="n">
        <v>45329</v>
      </c>
      <c r="C2655" s="1" t="n">
        <v>45802</v>
      </c>
      <c r="D2655" t="inlineStr">
        <is>
          <t>VÄSTERNORRLANDS LÄN</t>
        </is>
      </c>
      <c r="E2655" t="inlineStr">
        <is>
          <t>SOLLEFTEÅ</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5072-2024</t>
        </is>
      </c>
      <c r="B2656" s="1" t="n">
        <v>45330</v>
      </c>
      <c r="C2656" s="1" t="n">
        <v>45802</v>
      </c>
      <c r="D2656" t="inlineStr">
        <is>
          <t>VÄSTERNORRLANDS LÄN</t>
        </is>
      </c>
      <c r="E2656" t="inlineStr">
        <is>
          <t>SOLLEFTEÅ</t>
        </is>
      </c>
      <c r="F2656" t="inlineStr">
        <is>
          <t>Övriga Aktiebolag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5064-2024</t>
        </is>
      </c>
      <c r="B2657" s="1" t="n">
        <v>45329</v>
      </c>
      <c r="C2657" s="1" t="n">
        <v>45802</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5061-2024</t>
        </is>
      </c>
      <c r="B2658" s="1" t="n">
        <v>45329</v>
      </c>
      <c r="C2658" s="1" t="n">
        <v>45802</v>
      </c>
      <c r="D2658" t="inlineStr">
        <is>
          <t>VÄSTERNORRLANDS LÄN</t>
        </is>
      </c>
      <c r="E2658" t="inlineStr">
        <is>
          <t>SOLLEFTEÅ</t>
        </is>
      </c>
      <c r="F2658" t="inlineStr">
        <is>
          <t>SCA</t>
        </is>
      </c>
      <c r="G2658" t="n">
        <v>34.1</v>
      </c>
      <c r="H2658" t="n">
        <v>0</v>
      </c>
      <c r="I2658" t="n">
        <v>0</v>
      </c>
      <c r="J2658" t="n">
        <v>0</v>
      </c>
      <c r="K2658" t="n">
        <v>0</v>
      </c>
      <c r="L2658" t="n">
        <v>0</v>
      </c>
      <c r="M2658" t="n">
        <v>0</v>
      </c>
      <c r="N2658" t="n">
        <v>0</v>
      </c>
      <c r="O2658" t="n">
        <v>0</v>
      </c>
      <c r="P2658" t="n">
        <v>0</v>
      </c>
      <c r="Q2658" t="n">
        <v>0</v>
      </c>
      <c r="R2658" s="2" t="inlineStr"/>
    </row>
    <row r="2659" ht="15" customHeight="1">
      <c r="A2659" t="inlineStr">
        <is>
          <t>A 5073-2024</t>
        </is>
      </c>
      <c r="B2659" s="1" t="n">
        <v>45330</v>
      </c>
      <c r="C2659" s="1" t="n">
        <v>45802</v>
      </c>
      <c r="D2659" t="inlineStr">
        <is>
          <t>VÄSTERNORRLANDS LÄN</t>
        </is>
      </c>
      <c r="E2659" t="inlineStr">
        <is>
          <t>SOLLEFTEÅ</t>
        </is>
      </c>
      <c r="F2659" t="inlineStr">
        <is>
          <t>Övriga Aktiebolag</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5034-2024</t>
        </is>
      </c>
      <c r="B2660" s="1" t="n">
        <v>45329</v>
      </c>
      <c r="C2660" s="1" t="n">
        <v>45802</v>
      </c>
      <c r="D2660" t="inlineStr">
        <is>
          <t>VÄSTERNORRLANDS LÄN</t>
        </is>
      </c>
      <c r="E2660" t="inlineStr">
        <is>
          <t>SOLLEFTEÅ</t>
        </is>
      </c>
      <c r="F2660" t="inlineStr">
        <is>
          <t>Övriga Aktiebolag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5038-2024</t>
        </is>
      </c>
      <c r="B2661" s="1" t="n">
        <v>45329</v>
      </c>
      <c r="C2661" s="1" t="n">
        <v>45802</v>
      </c>
      <c r="D2661" t="inlineStr">
        <is>
          <t>VÄSTERNORRLANDS LÄN</t>
        </is>
      </c>
      <c r="E2661" t="inlineStr">
        <is>
          <t>SOLLEFTEÅ</t>
        </is>
      </c>
      <c r="F2661" t="inlineStr">
        <is>
          <t>Övriga Aktiebolag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5062-2024</t>
        </is>
      </c>
      <c r="B2662" s="1" t="n">
        <v>45329</v>
      </c>
      <c r="C2662" s="1" t="n">
        <v>45802</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5058-2024</t>
        </is>
      </c>
      <c r="B2663" s="1" t="n">
        <v>45329</v>
      </c>
      <c r="C2663" s="1" t="n">
        <v>45802</v>
      </c>
      <c r="D2663" t="inlineStr">
        <is>
          <t>VÄSTERNORRLANDS LÄN</t>
        </is>
      </c>
      <c r="E2663" t="inlineStr">
        <is>
          <t>SOLLEFTEÅ</t>
        </is>
      </c>
      <c r="F2663" t="inlineStr">
        <is>
          <t>SCA</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5074-2024</t>
        </is>
      </c>
      <c r="B2664" s="1" t="n">
        <v>45330</v>
      </c>
      <c r="C2664" s="1" t="n">
        <v>45802</v>
      </c>
      <c r="D2664" t="inlineStr">
        <is>
          <t>VÄSTERNORRLANDS LÄN</t>
        </is>
      </c>
      <c r="E2664" t="inlineStr">
        <is>
          <t>SOLLEFTEÅ</t>
        </is>
      </c>
      <c r="F2664" t="inlineStr">
        <is>
          <t>Övriga Aktiebolag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5059-2024</t>
        </is>
      </c>
      <c r="B2665" s="1" t="n">
        <v>45329</v>
      </c>
      <c r="C2665" s="1" t="n">
        <v>45802</v>
      </c>
      <c r="D2665" t="inlineStr">
        <is>
          <t>VÄSTERNORRLANDS LÄN</t>
        </is>
      </c>
      <c r="E2665" t="inlineStr">
        <is>
          <t>SOLLEFTEÅ</t>
        </is>
      </c>
      <c r="F2665" t="inlineStr">
        <is>
          <t>SCA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5075-2024</t>
        </is>
      </c>
      <c r="B2666" s="1" t="n">
        <v>45329</v>
      </c>
      <c r="C2666" s="1" t="n">
        <v>45802</v>
      </c>
      <c r="D2666" t="inlineStr">
        <is>
          <t>VÄSTERNORRLANDS LÄN</t>
        </is>
      </c>
      <c r="E2666" t="inlineStr">
        <is>
          <t>SOLLEFTEÅ</t>
        </is>
      </c>
      <c r="F2666" t="inlineStr">
        <is>
          <t>Övriga Aktiebolag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5063-2024</t>
        </is>
      </c>
      <c r="B2667" s="1" t="n">
        <v>45329</v>
      </c>
      <c r="C2667" s="1" t="n">
        <v>45802</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5256-2024</t>
        </is>
      </c>
      <c r="B2668" s="1" t="n">
        <v>45330</v>
      </c>
      <c r="C2668" s="1" t="n">
        <v>45802</v>
      </c>
      <c r="D2668" t="inlineStr">
        <is>
          <t>VÄSTERNORRLANDS LÄN</t>
        </is>
      </c>
      <c r="E2668" t="inlineStr">
        <is>
          <t>SOLLEFTEÅ</t>
        </is>
      </c>
      <c r="F2668" t="inlineStr">
        <is>
          <t>SCA</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5255-2024</t>
        </is>
      </c>
      <c r="B2669" s="1" t="n">
        <v>45330</v>
      </c>
      <c r="C2669" s="1" t="n">
        <v>45802</v>
      </c>
      <c r="D2669" t="inlineStr">
        <is>
          <t>VÄSTERNORRLANDS LÄN</t>
        </is>
      </c>
      <c r="E2669" t="inlineStr">
        <is>
          <t>SOLLEFTEÅ</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5254-2024</t>
        </is>
      </c>
      <c r="B2670" s="1" t="n">
        <v>45330</v>
      </c>
      <c r="C2670" s="1" t="n">
        <v>45802</v>
      </c>
      <c r="D2670" t="inlineStr">
        <is>
          <t>VÄSTERNORRLANDS LÄN</t>
        </is>
      </c>
      <c r="E2670" t="inlineStr">
        <is>
          <t>SOLLEFTEÅ</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5253-2024</t>
        </is>
      </c>
      <c r="B2671" s="1" t="n">
        <v>45330</v>
      </c>
      <c r="C2671" s="1" t="n">
        <v>45802</v>
      </c>
      <c r="D2671" t="inlineStr">
        <is>
          <t>VÄSTERNORRLANDS LÄN</t>
        </is>
      </c>
      <c r="E2671" t="inlineStr">
        <is>
          <t>SOLLEFTEÅ</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5446-2024</t>
        </is>
      </c>
      <c r="B2672" s="1" t="n">
        <v>45331</v>
      </c>
      <c r="C2672" s="1" t="n">
        <v>45802</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5452-2024</t>
        </is>
      </c>
      <c r="B2673" s="1" t="n">
        <v>45331</v>
      </c>
      <c r="C2673" s="1" t="n">
        <v>45802</v>
      </c>
      <c r="D2673" t="inlineStr">
        <is>
          <t>VÄSTERNORRLANDS LÄN</t>
        </is>
      </c>
      <c r="E2673" t="inlineStr">
        <is>
          <t>SOLLEFTEÅ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5854-2024</t>
        </is>
      </c>
      <c r="B2674" s="1" t="n">
        <v>45335</v>
      </c>
      <c r="C2674" s="1" t="n">
        <v>45802</v>
      </c>
      <c r="D2674" t="inlineStr">
        <is>
          <t>VÄSTERNORRLANDS LÄN</t>
        </is>
      </c>
      <c r="E2674" t="inlineStr">
        <is>
          <t>SOLLEFTEÅ</t>
        </is>
      </c>
      <c r="F2674" t="inlineStr">
        <is>
          <t>Övriga Aktiebolag</t>
        </is>
      </c>
      <c r="G2674" t="n">
        <v>24.9</v>
      </c>
      <c r="H2674" t="n">
        <v>0</v>
      </c>
      <c r="I2674" t="n">
        <v>0</v>
      </c>
      <c r="J2674" t="n">
        <v>0</v>
      </c>
      <c r="K2674" t="n">
        <v>0</v>
      </c>
      <c r="L2674" t="n">
        <v>0</v>
      </c>
      <c r="M2674" t="n">
        <v>0</v>
      </c>
      <c r="N2674" t="n">
        <v>0</v>
      </c>
      <c r="O2674" t="n">
        <v>0</v>
      </c>
      <c r="P2674" t="n">
        <v>0</v>
      </c>
      <c r="Q2674" t="n">
        <v>0</v>
      </c>
      <c r="R2674" s="2" t="inlineStr"/>
    </row>
    <row r="2675" ht="15" customHeight="1">
      <c r="A2675" t="inlineStr">
        <is>
          <t>A 5874-2024</t>
        </is>
      </c>
      <c r="B2675" s="1" t="n">
        <v>45335</v>
      </c>
      <c r="C2675" s="1" t="n">
        <v>45802</v>
      </c>
      <c r="D2675" t="inlineStr">
        <is>
          <t>VÄSTERNORRLANDS LÄN</t>
        </is>
      </c>
      <c r="E2675" t="inlineStr">
        <is>
          <t>SOLLEFTEÅ</t>
        </is>
      </c>
      <c r="F2675" t="inlineStr">
        <is>
          <t>Övriga Aktiebolag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5867-2024</t>
        </is>
      </c>
      <c r="B2676" s="1" t="n">
        <v>45335</v>
      </c>
      <c r="C2676" s="1" t="n">
        <v>45802</v>
      </c>
      <c r="D2676" t="inlineStr">
        <is>
          <t>VÄSTERNORRLANDS LÄN</t>
        </is>
      </c>
      <c r="E2676" t="inlineStr">
        <is>
          <t>SOLLEFTEÅ</t>
        </is>
      </c>
      <c r="F2676" t="inlineStr">
        <is>
          <t>Övriga Aktiebolag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5871-2024</t>
        </is>
      </c>
      <c r="B2677" s="1" t="n">
        <v>45335</v>
      </c>
      <c r="C2677" s="1" t="n">
        <v>45802</v>
      </c>
      <c r="D2677" t="inlineStr">
        <is>
          <t>VÄSTERNORRLANDS LÄN</t>
        </is>
      </c>
      <c r="E2677" t="inlineStr">
        <is>
          <t>SOLLEFTEÅ</t>
        </is>
      </c>
      <c r="F2677" t="inlineStr">
        <is>
          <t>Övriga Aktiebolag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5882-2024</t>
        </is>
      </c>
      <c r="B2678" s="1" t="n">
        <v>45335</v>
      </c>
      <c r="C2678" s="1" t="n">
        <v>45802</v>
      </c>
      <c r="D2678" t="inlineStr">
        <is>
          <t>VÄSTERNORRLANDS LÄN</t>
        </is>
      </c>
      <c r="E2678" t="inlineStr">
        <is>
          <t>SOLLEFTEÅ</t>
        </is>
      </c>
      <c r="F2678" t="inlineStr">
        <is>
          <t>Övriga Aktiebolag</t>
        </is>
      </c>
      <c r="G2678" t="n">
        <v>13.2</v>
      </c>
      <c r="H2678" t="n">
        <v>0</v>
      </c>
      <c r="I2678" t="n">
        <v>0</v>
      </c>
      <c r="J2678" t="n">
        <v>0</v>
      </c>
      <c r="K2678" t="n">
        <v>0</v>
      </c>
      <c r="L2678" t="n">
        <v>0</v>
      </c>
      <c r="M2678" t="n">
        <v>0</v>
      </c>
      <c r="N2678" t="n">
        <v>0</v>
      </c>
      <c r="O2678" t="n">
        <v>0</v>
      </c>
      <c r="P2678" t="n">
        <v>0</v>
      </c>
      <c r="Q2678" t="n">
        <v>0</v>
      </c>
      <c r="R2678" s="2" t="inlineStr"/>
    </row>
    <row r="2679" ht="15" customHeight="1">
      <c r="A2679" t="inlineStr">
        <is>
          <t>A 5919-2024</t>
        </is>
      </c>
      <c r="B2679" s="1" t="n">
        <v>45335</v>
      </c>
      <c r="C2679" s="1" t="n">
        <v>45802</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5909-2024</t>
        </is>
      </c>
      <c r="B2680" s="1" t="n">
        <v>45335</v>
      </c>
      <c r="C2680" s="1" t="n">
        <v>45802</v>
      </c>
      <c r="D2680" t="inlineStr">
        <is>
          <t>VÄSTERNORRLANDS LÄN</t>
        </is>
      </c>
      <c r="E2680" t="inlineStr">
        <is>
          <t>SOLLEFTEÅ</t>
        </is>
      </c>
      <c r="F2680" t="inlineStr">
        <is>
          <t>SCA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5917-2024</t>
        </is>
      </c>
      <c r="B2681" s="1" t="n">
        <v>45335</v>
      </c>
      <c r="C2681" s="1" t="n">
        <v>45802</v>
      </c>
      <c r="D2681" t="inlineStr">
        <is>
          <t>VÄSTERNORRLANDS LÄN</t>
        </is>
      </c>
      <c r="E2681" t="inlineStr">
        <is>
          <t>SOLLEFTEÅ</t>
        </is>
      </c>
      <c r="F2681" t="inlineStr">
        <is>
          <t>SCA</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5934-2024</t>
        </is>
      </c>
      <c r="B2682" s="1" t="n">
        <v>45336</v>
      </c>
      <c r="C2682" s="1" t="n">
        <v>45802</v>
      </c>
      <c r="D2682" t="inlineStr">
        <is>
          <t>VÄSTERNORRLANDS LÄN</t>
        </is>
      </c>
      <c r="E2682" t="inlineStr">
        <is>
          <t>SOLLEFTEÅ</t>
        </is>
      </c>
      <c r="F2682" t="inlineStr">
        <is>
          <t>Holmen skog AB</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6059-2024</t>
        </is>
      </c>
      <c r="B2683" s="1" t="n">
        <v>45336</v>
      </c>
      <c r="C2683" s="1" t="n">
        <v>45802</v>
      </c>
      <c r="D2683" t="inlineStr">
        <is>
          <t>VÄSTERNORRLANDS LÄN</t>
        </is>
      </c>
      <c r="E2683" t="inlineStr">
        <is>
          <t>SOLLEFTEÅ</t>
        </is>
      </c>
      <c r="F2683" t="inlineStr">
        <is>
          <t>Övriga Aktiebolag</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6063-2024</t>
        </is>
      </c>
      <c r="B2684" s="1" t="n">
        <v>45336</v>
      </c>
      <c r="C2684" s="1" t="n">
        <v>45802</v>
      </c>
      <c r="D2684" t="inlineStr">
        <is>
          <t>VÄSTERNORRLANDS LÄN</t>
        </is>
      </c>
      <c r="E2684" t="inlineStr">
        <is>
          <t>SOLLEFTEÅ</t>
        </is>
      </c>
      <c r="F2684" t="inlineStr">
        <is>
          <t>Övriga Aktiebolag</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6067-2024</t>
        </is>
      </c>
      <c r="B2685" s="1" t="n">
        <v>45336</v>
      </c>
      <c r="C2685" s="1" t="n">
        <v>45802</v>
      </c>
      <c r="D2685" t="inlineStr">
        <is>
          <t>VÄSTERNORRLANDS LÄN</t>
        </is>
      </c>
      <c r="E2685" t="inlineStr">
        <is>
          <t>SOLLEFTEÅ</t>
        </is>
      </c>
      <c r="F2685" t="inlineStr">
        <is>
          <t>Övriga Aktiebolag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6058-2024</t>
        </is>
      </c>
      <c r="B2686" s="1" t="n">
        <v>45336</v>
      </c>
      <c r="C2686" s="1" t="n">
        <v>45802</v>
      </c>
      <c r="D2686" t="inlineStr">
        <is>
          <t>VÄSTERNORRLANDS LÄN</t>
        </is>
      </c>
      <c r="E2686" t="inlineStr">
        <is>
          <t>SOLLEFTEÅ</t>
        </is>
      </c>
      <c r="F2686" t="inlineStr">
        <is>
          <t>Övriga Aktiebolag</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6064-2024</t>
        </is>
      </c>
      <c r="B2687" s="1" t="n">
        <v>45336</v>
      </c>
      <c r="C2687" s="1" t="n">
        <v>45802</v>
      </c>
      <c r="D2687" t="inlineStr">
        <is>
          <t>VÄSTERNORRLANDS LÄN</t>
        </is>
      </c>
      <c r="E2687" t="inlineStr">
        <is>
          <t>SOLLEFTEÅ</t>
        </is>
      </c>
      <c r="F2687" t="inlineStr">
        <is>
          <t>Övriga Aktiebolag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6066-2024</t>
        </is>
      </c>
      <c r="B2688" s="1" t="n">
        <v>45336</v>
      </c>
      <c r="C2688" s="1" t="n">
        <v>45802</v>
      </c>
      <c r="D2688" t="inlineStr">
        <is>
          <t>VÄSTERNORRLANDS LÄN</t>
        </is>
      </c>
      <c r="E2688" t="inlineStr">
        <is>
          <t>SOLLEFTEÅ</t>
        </is>
      </c>
      <c r="F2688" t="inlineStr">
        <is>
          <t>Övriga Aktiebolag</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6068-2024</t>
        </is>
      </c>
      <c r="B2689" s="1" t="n">
        <v>45336</v>
      </c>
      <c r="C2689" s="1" t="n">
        <v>45802</v>
      </c>
      <c r="D2689" t="inlineStr">
        <is>
          <t>VÄSTERNORRLANDS LÄN</t>
        </is>
      </c>
      <c r="E2689" t="inlineStr">
        <is>
          <t>SOLLEFTEÅ</t>
        </is>
      </c>
      <c r="F2689" t="inlineStr">
        <is>
          <t>Övriga Aktiebolag</t>
        </is>
      </c>
      <c r="G2689" t="n">
        <v>12.6</v>
      </c>
      <c r="H2689" t="n">
        <v>0</v>
      </c>
      <c r="I2689" t="n">
        <v>0</v>
      </c>
      <c r="J2689" t="n">
        <v>0</v>
      </c>
      <c r="K2689" t="n">
        <v>0</v>
      </c>
      <c r="L2689" t="n">
        <v>0</v>
      </c>
      <c r="M2689" t="n">
        <v>0</v>
      </c>
      <c r="N2689" t="n">
        <v>0</v>
      </c>
      <c r="O2689" t="n">
        <v>0</v>
      </c>
      <c r="P2689" t="n">
        <v>0</v>
      </c>
      <c r="Q2689" t="n">
        <v>0</v>
      </c>
      <c r="R2689" s="2" t="inlineStr"/>
    </row>
    <row r="2690" ht="15" customHeight="1">
      <c r="A2690" t="inlineStr">
        <is>
          <t>A 6057-2024</t>
        </is>
      </c>
      <c r="B2690" s="1" t="n">
        <v>45336</v>
      </c>
      <c r="C2690" s="1" t="n">
        <v>45802</v>
      </c>
      <c r="D2690" t="inlineStr">
        <is>
          <t>VÄSTERNORRLANDS LÄN</t>
        </is>
      </c>
      <c r="E2690" t="inlineStr">
        <is>
          <t>SOLLEFTEÅ</t>
        </is>
      </c>
      <c r="F2690" t="inlineStr">
        <is>
          <t>Övriga Aktiebolag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6065-2024</t>
        </is>
      </c>
      <c r="B2691" s="1" t="n">
        <v>45336</v>
      </c>
      <c r="C2691" s="1" t="n">
        <v>45802</v>
      </c>
      <c r="D2691" t="inlineStr">
        <is>
          <t>VÄSTERNORRLANDS LÄN</t>
        </is>
      </c>
      <c r="E2691" t="inlineStr">
        <is>
          <t>SOLLEFTEÅ</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6139-2024</t>
        </is>
      </c>
      <c r="B2692" s="1" t="n">
        <v>45337</v>
      </c>
      <c r="C2692" s="1" t="n">
        <v>45802</v>
      </c>
      <c r="D2692" t="inlineStr">
        <is>
          <t>VÄSTERNORRLANDS LÄN</t>
        </is>
      </c>
      <c r="E2692" t="inlineStr">
        <is>
          <t>SOLLEFTEÅ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6279-2024</t>
        </is>
      </c>
      <c r="B2693" s="1" t="n">
        <v>45337</v>
      </c>
      <c r="C2693" s="1" t="n">
        <v>45802</v>
      </c>
      <c r="D2693" t="inlineStr">
        <is>
          <t>VÄSTERNORRLANDS LÄN</t>
        </is>
      </c>
      <c r="E2693" t="inlineStr">
        <is>
          <t>SOLLEFTEÅ</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6125-2024</t>
        </is>
      </c>
      <c r="B2694" s="1" t="n">
        <v>45337</v>
      </c>
      <c r="C2694" s="1" t="n">
        <v>45802</v>
      </c>
      <c r="D2694" t="inlineStr">
        <is>
          <t>VÄSTERNORRLANDS LÄN</t>
        </is>
      </c>
      <c r="E2694" t="inlineStr">
        <is>
          <t>SOLLEFTEÅ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6282-2024</t>
        </is>
      </c>
      <c r="B2695" s="1" t="n">
        <v>45337</v>
      </c>
      <c r="C2695" s="1" t="n">
        <v>45802</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6352-2024</t>
        </is>
      </c>
      <c r="B2696" s="1" t="n">
        <v>45338</v>
      </c>
      <c r="C2696" s="1" t="n">
        <v>45802</v>
      </c>
      <c r="D2696" t="inlineStr">
        <is>
          <t>VÄSTERNORRLANDS LÄN</t>
        </is>
      </c>
      <c r="E2696" t="inlineStr">
        <is>
          <t>SOLLEFTEÅ</t>
        </is>
      </c>
      <c r="F2696" t="inlineStr">
        <is>
          <t>Holmen skog AB</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6480-2024</t>
        </is>
      </c>
      <c r="B2697" s="1" t="n">
        <v>45338</v>
      </c>
      <c r="C2697" s="1" t="n">
        <v>45802</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6633-2024</t>
        </is>
      </c>
      <c r="B2698" s="1" t="n">
        <v>45341</v>
      </c>
      <c r="C2698" s="1" t="n">
        <v>45802</v>
      </c>
      <c r="D2698" t="inlineStr">
        <is>
          <t>VÄSTERNORRLANDS LÄN</t>
        </is>
      </c>
      <c r="E2698" t="inlineStr">
        <is>
          <t>SOLLEFTEÅ</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6692-2024</t>
        </is>
      </c>
      <c r="B2699" s="1" t="n">
        <v>45341</v>
      </c>
      <c r="C2699" s="1" t="n">
        <v>45802</v>
      </c>
      <c r="D2699" t="inlineStr">
        <is>
          <t>VÄSTERNORRLANDS LÄN</t>
        </is>
      </c>
      <c r="E2699" t="inlineStr">
        <is>
          <t>SOLLEFTEÅ</t>
        </is>
      </c>
      <c r="F2699" t="inlineStr">
        <is>
          <t>SCA</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6700-2024</t>
        </is>
      </c>
      <c r="B2700" s="1" t="n">
        <v>45341</v>
      </c>
      <c r="C2700" s="1" t="n">
        <v>45802</v>
      </c>
      <c r="D2700" t="inlineStr">
        <is>
          <t>VÄSTERNORRLANDS LÄN</t>
        </is>
      </c>
      <c r="E2700" t="inlineStr">
        <is>
          <t>SOLLEFTEÅ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6799-2024</t>
        </is>
      </c>
      <c r="B2701" s="1" t="n">
        <v>45342</v>
      </c>
      <c r="C2701" s="1" t="n">
        <v>45802</v>
      </c>
      <c r="D2701" t="inlineStr">
        <is>
          <t>VÄSTERNORRLANDS LÄN</t>
        </is>
      </c>
      <c r="E2701" t="inlineStr">
        <is>
          <t>SOLLEFTEÅ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6857-2024</t>
        </is>
      </c>
      <c r="B2702" s="1" t="n">
        <v>45342</v>
      </c>
      <c r="C2702" s="1" t="n">
        <v>45802</v>
      </c>
      <c r="D2702" t="inlineStr">
        <is>
          <t>VÄSTERNORRLANDS LÄN</t>
        </is>
      </c>
      <c r="E2702" t="inlineStr">
        <is>
          <t>SOLLEFTEÅ</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6816-2024</t>
        </is>
      </c>
      <c r="B2703" s="1" t="n">
        <v>45342</v>
      </c>
      <c r="C2703" s="1" t="n">
        <v>45802</v>
      </c>
      <c r="D2703" t="inlineStr">
        <is>
          <t>VÄSTERNORRLANDS LÄN</t>
        </is>
      </c>
      <c r="E2703" t="inlineStr">
        <is>
          <t>SOLLEFTEÅ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6891-2024</t>
        </is>
      </c>
      <c r="B2704" s="1" t="n">
        <v>45342</v>
      </c>
      <c r="C2704" s="1" t="n">
        <v>45802</v>
      </c>
      <c r="D2704" t="inlineStr">
        <is>
          <t>VÄSTERNORRLANDS LÄN</t>
        </is>
      </c>
      <c r="E2704" t="inlineStr">
        <is>
          <t>SOLLEFTEÅ</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6909-2024</t>
        </is>
      </c>
      <c r="B2705" s="1" t="n">
        <v>45342</v>
      </c>
      <c r="C2705" s="1" t="n">
        <v>45802</v>
      </c>
      <c r="D2705" t="inlineStr">
        <is>
          <t>VÄSTERNORRLANDS LÄN</t>
        </is>
      </c>
      <c r="E2705" t="inlineStr">
        <is>
          <t>SOLLEFTEÅ</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6932-2024</t>
        </is>
      </c>
      <c r="B2706" s="1" t="n">
        <v>45343</v>
      </c>
      <c r="C2706" s="1" t="n">
        <v>45802</v>
      </c>
      <c r="D2706" t="inlineStr">
        <is>
          <t>VÄSTERNORRLANDS LÄN</t>
        </is>
      </c>
      <c r="E2706" t="inlineStr">
        <is>
          <t>SOLLEFTEÅ</t>
        </is>
      </c>
      <c r="G2706" t="n">
        <v>10.2</v>
      </c>
      <c r="H2706" t="n">
        <v>0</v>
      </c>
      <c r="I2706" t="n">
        <v>0</v>
      </c>
      <c r="J2706" t="n">
        <v>0</v>
      </c>
      <c r="K2706" t="n">
        <v>0</v>
      </c>
      <c r="L2706" t="n">
        <v>0</v>
      </c>
      <c r="M2706" t="n">
        <v>0</v>
      </c>
      <c r="N2706" t="n">
        <v>0</v>
      </c>
      <c r="O2706" t="n">
        <v>0</v>
      </c>
      <c r="P2706" t="n">
        <v>0</v>
      </c>
      <c r="Q2706" t="n">
        <v>0</v>
      </c>
      <c r="R2706" s="2" t="inlineStr"/>
    </row>
    <row r="2707" ht="15" customHeight="1">
      <c r="A2707" t="inlineStr">
        <is>
          <t>A 6934-2024</t>
        </is>
      </c>
      <c r="B2707" s="1" t="n">
        <v>45343</v>
      </c>
      <c r="C2707" s="1" t="n">
        <v>45802</v>
      </c>
      <c r="D2707" t="inlineStr">
        <is>
          <t>VÄSTERNORRLANDS LÄN</t>
        </is>
      </c>
      <c r="E2707" t="inlineStr">
        <is>
          <t>SOLLEFTEÅ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7001-2024</t>
        </is>
      </c>
      <c r="B2708" s="1" t="n">
        <v>45343</v>
      </c>
      <c r="C2708" s="1" t="n">
        <v>45802</v>
      </c>
      <c r="D2708" t="inlineStr">
        <is>
          <t>VÄSTERNORRLANDS LÄN</t>
        </is>
      </c>
      <c r="E2708" t="inlineStr">
        <is>
          <t>SOLLEFTEÅ</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7107-2024</t>
        </is>
      </c>
      <c r="B2709" s="1" t="n">
        <v>45343</v>
      </c>
      <c r="C2709" s="1" t="n">
        <v>45802</v>
      </c>
      <c r="D2709" t="inlineStr">
        <is>
          <t>VÄSTERNORRLANDS LÄN</t>
        </is>
      </c>
      <c r="E2709" t="inlineStr">
        <is>
          <t>SOLLEFTEÅ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7113-2024</t>
        </is>
      </c>
      <c r="B2710" s="1" t="n">
        <v>45343</v>
      </c>
      <c r="C2710" s="1" t="n">
        <v>45802</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7106-2024</t>
        </is>
      </c>
      <c r="B2711" s="1" t="n">
        <v>45343</v>
      </c>
      <c r="C2711" s="1" t="n">
        <v>45802</v>
      </c>
      <c r="D2711" t="inlineStr">
        <is>
          <t>VÄSTERNORRLANDS LÄN</t>
        </is>
      </c>
      <c r="E2711" t="inlineStr">
        <is>
          <t>SOLLEFTEÅ</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7257-2024</t>
        </is>
      </c>
      <c r="B2712" s="1" t="n">
        <v>45344</v>
      </c>
      <c r="C2712" s="1" t="n">
        <v>45802</v>
      </c>
      <c r="D2712" t="inlineStr">
        <is>
          <t>VÄSTERNORRLANDS LÄN</t>
        </is>
      </c>
      <c r="E2712" t="inlineStr">
        <is>
          <t>SOLLEFTEÅ</t>
        </is>
      </c>
      <c r="G2712" t="n">
        <v>9.1</v>
      </c>
      <c r="H2712" t="n">
        <v>0</v>
      </c>
      <c r="I2712" t="n">
        <v>0</v>
      </c>
      <c r="J2712" t="n">
        <v>0</v>
      </c>
      <c r="K2712" t="n">
        <v>0</v>
      </c>
      <c r="L2712" t="n">
        <v>0</v>
      </c>
      <c r="M2712" t="n">
        <v>0</v>
      </c>
      <c r="N2712" t="n">
        <v>0</v>
      </c>
      <c r="O2712" t="n">
        <v>0</v>
      </c>
      <c r="P2712" t="n">
        <v>0</v>
      </c>
      <c r="Q2712" t="n">
        <v>0</v>
      </c>
      <c r="R2712" s="2" t="inlineStr"/>
    </row>
    <row r="2713" ht="15" customHeight="1">
      <c r="A2713" t="inlineStr">
        <is>
          <t>A 7261-2024</t>
        </is>
      </c>
      <c r="B2713" s="1" t="n">
        <v>45344</v>
      </c>
      <c r="C2713" s="1" t="n">
        <v>45802</v>
      </c>
      <c r="D2713" t="inlineStr">
        <is>
          <t>VÄSTERNORRLANDS LÄN</t>
        </is>
      </c>
      <c r="E2713" t="inlineStr">
        <is>
          <t>SOLLEFTEÅ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7295-2024</t>
        </is>
      </c>
      <c r="B2714" s="1" t="n">
        <v>45344</v>
      </c>
      <c r="C2714" s="1" t="n">
        <v>45802</v>
      </c>
      <c r="D2714" t="inlineStr">
        <is>
          <t>VÄSTERNORRLANDS LÄN</t>
        </is>
      </c>
      <c r="E2714" t="inlineStr">
        <is>
          <t>SOLLEFTEÅ</t>
        </is>
      </c>
      <c r="F2714" t="inlineStr">
        <is>
          <t>SCA</t>
        </is>
      </c>
      <c r="G2714" t="n">
        <v>16.7</v>
      </c>
      <c r="H2714" t="n">
        <v>0</v>
      </c>
      <c r="I2714" t="n">
        <v>0</v>
      </c>
      <c r="J2714" t="n">
        <v>0</v>
      </c>
      <c r="K2714" t="n">
        <v>0</v>
      </c>
      <c r="L2714" t="n">
        <v>0</v>
      </c>
      <c r="M2714" t="n">
        <v>0</v>
      </c>
      <c r="N2714" t="n">
        <v>0</v>
      </c>
      <c r="O2714" t="n">
        <v>0</v>
      </c>
      <c r="P2714" t="n">
        <v>0</v>
      </c>
      <c r="Q2714" t="n">
        <v>0</v>
      </c>
      <c r="R2714" s="2" t="inlineStr"/>
    </row>
    <row r="2715" ht="15" customHeight="1">
      <c r="A2715" t="inlineStr">
        <is>
          <t>A 7234-2024</t>
        </is>
      </c>
      <c r="B2715" s="1" t="n">
        <v>45344</v>
      </c>
      <c r="C2715" s="1" t="n">
        <v>45802</v>
      </c>
      <c r="D2715" t="inlineStr">
        <is>
          <t>VÄSTERNORRLANDS LÄN</t>
        </is>
      </c>
      <c r="E2715" t="inlineStr">
        <is>
          <t>SOLLEFTEÅ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7258-2024</t>
        </is>
      </c>
      <c r="B2716" s="1" t="n">
        <v>45344</v>
      </c>
      <c r="C2716" s="1" t="n">
        <v>45802</v>
      </c>
      <c r="D2716" t="inlineStr">
        <is>
          <t>VÄSTERNORRLANDS LÄN</t>
        </is>
      </c>
      <c r="E2716" t="inlineStr">
        <is>
          <t>SOLLEFTEÅ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7294-2024</t>
        </is>
      </c>
      <c r="B2717" s="1" t="n">
        <v>45344</v>
      </c>
      <c r="C2717" s="1" t="n">
        <v>45802</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7463-2024</t>
        </is>
      </c>
      <c r="B2718" s="1" t="n">
        <v>45345</v>
      </c>
      <c r="C2718" s="1" t="n">
        <v>45802</v>
      </c>
      <c r="D2718" t="inlineStr">
        <is>
          <t>VÄSTERNORRLANDS LÄN</t>
        </is>
      </c>
      <c r="E2718" t="inlineStr">
        <is>
          <t>SOLLEFTEÅ</t>
        </is>
      </c>
      <c r="F2718" t="inlineStr">
        <is>
          <t>SCA</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7467-2024</t>
        </is>
      </c>
      <c r="B2719" s="1" t="n">
        <v>45345</v>
      </c>
      <c r="C2719" s="1" t="n">
        <v>45802</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7464-2024</t>
        </is>
      </c>
      <c r="B2720" s="1" t="n">
        <v>45345</v>
      </c>
      <c r="C2720" s="1" t="n">
        <v>45802</v>
      </c>
      <c r="D2720" t="inlineStr">
        <is>
          <t>VÄSTERNORRLANDS LÄN</t>
        </is>
      </c>
      <c r="E2720" t="inlineStr">
        <is>
          <t>SOLLEFTEÅ</t>
        </is>
      </c>
      <c r="F2720" t="inlineStr">
        <is>
          <t>SCA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7475-2024</t>
        </is>
      </c>
      <c r="B2721" s="1" t="n">
        <v>45345</v>
      </c>
      <c r="C2721" s="1" t="n">
        <v>45802</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7462-2024</t>
        </is>
      </c>
      <c r="B2722" s="1" t="n">
        <v>45345</v>
      </c>
      <c r="C2722" s="1" t="n">
        <v>45802</v>
      </c>
      <c r="D2722" t="inlineStr">
        <is>
          <t>VÄSTERNORRLANDS LÄN</t>
        </is>
      </c>
      <c r="E2722" t="inlineStr">
        <is>
          <t>SOLLEFTEÅ</t>
        </is>
      </c>
      <c r="F2722" t="inlineStr">
        <is>
          <t>SCA</t>
        </is>
      </c>
      <c r="G2722" t="n">
        <v>42.1</v>
      </c>
      <c r="H2722" t="n">
        <v>0</v>
      </c>
      <c r="I2722" t="n">
        <v>0</v>
      </c>
      <c r="J2722" t="n">
        <v>0</v>
      </c>
      <c r="K2722" t="n">
        <v>0</v>
      </c>
      <c r="L2722" t="n">
        <v>0</v>
      </c>
      <c r="M2722" t="n">
        <v>0</v>
      </c>
      <c r="N2722" t="n">
        <v>0</v>
      </c>
      <c r="O2722" t="n">
        <v>0</v>
      </c>
      <c r="P2722" t="n">
        <v>0</v>
      </c>
      <c r="Q2722" t="n">
        <v>0</v>
      </c>
      <c r="R2722" s="2" t="inlineStr"/>
    </row>
    <row r="2723" ht="15" customHeight="1">
      <c r="A2723" t="inlineStr">
        <is>
          <t>A 7585-2024</t>
        </is>
      </c>
      <c r="B2723" s="1" t="n">
        <v>45348</v>
      </c>
      <c r="C2723" s="1" t="n">
        <v>45802</v>
      </c>
      <c r="D2723" t="inlineStr">
        <is>
          <t>VÄSTERNORRLANDS LÄN</t>
        </is>
      </c>
      <c r="E2723" t="inlineStr">
        <is>
          <t>SOLLEFTEÅ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7704-2024</t>
        </is>
      </c>
      <c r="B2724" s="1" t="n">
        <v>45349</v>
      </c>
      <c r="C2724" s="1" t="n">
        <v>45802</v>
      </c>
      <c r="D2724" t="inlineStr">
        <is>
          <t>VÄSTERNORRLANDS LÄN</t>
        </is>
      </c>
      <c r="E2724" t="inlineStr">
        <is>
          <t>SOLLEFTEÅ</t>
        </is>
      </c>
      <c r="G2724" t="n">
        <v>12.2</v>
      </c>
      <c r="H2724" t="n">
        <v>0</v>
      </c>
      <c r="I2724" t="n">
        <v>0</v>
      </c>
      <c r="J2724" t="n">
        <v>0</v>
      </c>
      <c r="K2724" t="n">
        <v>0</v>
      </c>
      <c r="L2724" t="n">
        <v>0</v>
      </c>
      <c r="M2724" t="n">
        <v>0</v>
      </c>
      <c r="N2724" t="n">
        <v>0</v>
      </c>
      <c r="O2724" t="n">
        <v>0</v>
      </c>
      <c r="P2724" t="n">
        <v>0</v>
      </c>
      <c r="Q2724" t="n">
        <v>0</v>
      </c>
      <c r="R2724" s="2" t="inlineStr"/>
    </row>
    <row r="2725" ht="15" customHeight="1">
      <c r="A2725" t="inlineStr">
        <is>
          <t>A 7809-2024</t>
        </is>
      </c>
      <c r="B2725" s="1" t="n">
        <v>45349</v>
      </c>
      <c r="C2725" s="1" t="n">
        <v>45802</v>
      </c>
      <c r="D2725" t="inlineStr">
        <is>
          <t>VÄSTERNORRLANDS LÄN</t>
        </is>
      </c>
      <c r="E2725" t="inlineStr">
        <is>
          <t>SOLLEFTEÅ</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7825-2024</t>
        </is>
      </c>
      <c r="B2726" s="1" t="n">
        <v>45349</v>
      </c>
      <c r="C2726" s="1" t="n">
        <v>45802</v>
      </c>
      <c r="D2726" t="inlineStr">
        <is>
          <t>VÄSTERNORRLANDS LÄN</t>
        </is>
      </c>
      <c r="E2726" t="inlineStr">
        <is>
          <t>SOLLEFTEÅ</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7810-2024</t>
        </is>
      </c>
      <c r="B2727" s="1" t="n">
        <v>45349</v>
      </c>
      <c r="C2727" s="1" t="n">
        <v>45802</v>
      </c>
      <c r="D2727" t="inlineStr">
        <is>
          <t>VÄSTERNORRLANDS LÄN</t>
        </is>
      </c>
      <c r="E2727" t="inlineStr">
        <is>
          <t>SOLLEFTEÅ</t>
        </is>
      </c>
      <c r="F2727" t="inlineStr">
        <is>
          <t>Övriga Aktiebolag</t>
        </is>
      </c>
      <c r="G2727" t="n">
        <v>23.6</v>
      </c>
      <c r="H2727" t="n">
        <v>0</v>
      </c>
      <c r="I2727" t="n">
        <v>0</v>
      </c>
      <c r="J2727" t="n">
        <v>0</v>
      </c>
      <c r="K2727" t="n">
        <v>0</v>
      </c>
      <c r="L2727" t="n">
        <v>0</v>
      </c>
      <c r="M2727" t="n">
        <v>0</v>
      </c>
      <c r="N2727" t="n">
        <v>0</v>
      </c>
      <c r="O2727" t="n">
        <v>0</v>
      </c>
      <c r="P2727" t="n">
        <v>0</v>
      </c>
      <c r="Q2727" t="n">
        <v>0</v>
      </c>
      <c r="R2727" s="2" t="inlineStr"/>
    </row>
    <row r="2728" ht="15" customHeight="1">
      <c r="A2728" t="inlineStr">
        <is>
          <t>A 7858-2024</t>
        </is>
      </c>
      <c r="B2728" s="1" t="n">
        <v>45350</v>
      </c>
      <c r="C2728" s="1" t="n">
        <v>45802</v>
      </c>
      <c r="D2728" t="inlineStr">
        <is>
          <t>VÄSTERNORRLANDS LÄN</t>
        </is>
      </c>
      <c r="E2728" t="inlineStr">
        <is>
          <t>SOLLEFTEÅ</t>
        </is>
      </c>
      <c r="F2728" t="inlineStr">
        <is>
          <t>SCA</t>
        </is>
      </c>
      <c r="G2728" t="n">
        <v>38.8</v>
      </c>
      <c r="H2728" t="n">
        <v>0</v>
      </c>
      <c r="I2728" t="n">
        <v>0</v>
      </c>
      <c r="J2728" t="n">
        <v>0</v>
      </c>
      <c r="K2728" t="n">
        <v>0</v>
      </c>
      <c r="L2728" t="n">
        <v>0</v>
      </c>
      <c r="M2728" t="n">
        <v>0</v>
      </c>
      <c r="N2728" t="n">
        <v>0</v>
      </c>
      <c r="O2728" t="n">
        <v>0</v>
      </c>
      <c r="P2728" t="n">
        <v>0</v>
      </c>
      <c r="Q2728" t="n">
        <v>0</v>
      </c>
      <c r="R2728" s="2" t="inlineStr"/>
    </row>
    <row r="2729" ht="15" customHeight="1">
      <c r="A2729" t="inlineStr">
        <is>
          <t>A 8033-2024</t>
        </is>
      </c>
      <c r="B2729" s="1" t="n">
        <v>45350</v>
      </c>
      <c r="C2729" s="1" t="n">
        <v>45802</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8038-2024</t>
        </is>
      </c>
      <c r="B2730" s="1" t="n">
        <v>45350</v>
      </c>
      <c r="C2730" s="1" t="n">
        <v>45802</v>
      </c>
      <c r="D2730" t="inlineStr">
        <is>
          <t>VÄSTERNORRLANDS LÄN</t>
        </is>
      </c>
      <c r="E2730" t="inlineStr">
        <is>
          <t>SOLLEFTEÅ</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8039-2024</t>
        </is>
      </c>
      <c r="B2731" s="1" t="n">
        <v>45350</v>
      </c>
      <c r="C2731" s="1" t="n">
        <v>45802</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8236-2024</t>
        </is>
      </c>
      <c r="B2732" s="1" t="n">
        <v>45352</v>
      </c>
      <c r="C2732" s="1" t="n">
        <v>45802</v>
      </c>
      <c r="D2732" t="inlineStr">
        <is>
          <t>VÄSTERNORRLANDS LÄN</t>
        </is>
      </c>
      <c r="E2732" t="inlineStr">
        <is>
          <t>SOLLEFTEÅ</t>
        </is>
      </c>
      <c r="F2732" t="inlineStr">
        <is>
          <t>SCA</t>
        </is>
      </c>
      <c r="G2732" t="n">
        <v>13.6</v>
      </c>
      <c r="H2732" t="n">
        <v>0</v>
      </c>
      <c r="I2732" t="n">
        <v>0</v>
      </c>
      <c r="J2732" t="n">
        <v>0</v>
      </c>
      <c r="K2732" t="n">
        <v>0</v>
      </c>
      <c r="L2732" t="n">
        <v>0</v>
      </c>
      <c r="M2732" t="n">
        <v>0</v>
      </c>
      <c r="N2732" t="n">
        <v>0</v>
      </c>
      <c r="O2732" t="n">
        <v>0</v>
      </c>
      <c r="P2732" t="n">
        <v>0</v>
      </c>
      <c r="Q2732" t="n">
        <v>0</v>
      </c>
      <c r="R2732" s="2" t="inlineStr"/>
    </row>
    <row r="2733" ht="15" customHeight="1">
      <c r="A2733" t="inlineStr">
        <is>
          <t>A 8244-2024</t>
        </is>
      </c>
      <c r="B2733" s="1" t="n">
        <v>45351</v>
      </c>
      <c r="C2733" s="1" t="n">
        <v>45802</v>
      </c>
      <c r="D2733" t="inlineStr">
        <is>
          <t>VÄSTERNORRLANDS LÄN</t>
        </is>
      </c>
      <c r="E2733" t="inlineStr">
        <is>
          <t>SOLLEFTEÅ</t>
        </is>
      </c>
      <c r="F2733" t="inlineStr">
        <is>
          <t>SCA</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8234-2024</t>
        </is>
      </c>
      <c r="B2734" s="1" t="n">
        <v>45352</v>
      </c>
      <c r="C2734" s="1" t="n">
        <v>45802</v>
      </c>
      <c r="D2734" t="inlineStr">
        <is>
          <t>VÄSTERNORRLANDS LÄN</t>
        </is>
      </c>
      <c r="E2734" t="inlineStr">
        <is>
          <t>SOLLEFTEÅ</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8235-2024</t>
        </is>
      </c>
      <c r="B2735" s="1" t="n">
        <v>45352</v>
      </c>
      <c r="C2735" s="1" t="n">
        <v>45802</v>
      </c>
      <c r="D2735" t="inlineStr">
        <is>
          <t>VÄSTERNORRLANDS LÄN</t>
        </is>
      </c>
      <c r="E2735" t="inlineStr">
        <is>
          <t>SOLLEFTEÅ</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8414-2024</t>
        </is>
      </c>
      <c r="B2736" s="1" t="n">
        <v>45352</v>
      </c>
      <c r="C2736" s="1" t="n">
        <v>45802</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8608-2024</t>
        </is>
      </c>
      <c r="B2737" s="1" t="n">
        <v>45355</v>
      </c>
      <c r="C2737" s="1" t="n">
        <v>45802</v>
      </c>
      <c r="D2737" t="inlineStr">
        <is>
          <t>VÄSTERNORRLANDS LÄN</t>
        </is>
      </c>
      <c r="E2737" t="inlineStr">
        <is>
          <t>SOLLEFTEÅ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8918-2024</t>
        </is>
      </c>
      <c r="B2738" s="1" t="n">
        <v>45355</v>
      </c>
      <c r="C2738" s="1" t="n">
        <v>45802</v>
      </c>
      <c r="D2738" t="inlineStr">
        <is>
          <t>VÄSTERNORRLANDS LÄN</t>
        </is>
      </c>
      <c r="E2738" t="inlineStr">
        <is>
          <t>SOLLEFTEÅ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8653-2024</t>
        </is>
      </c>
      <c r="B2739" s="1" t="n">
        <v>45356</v>
      </c>
      <c r="C2739" s="1" t="n">
        <v>45802</v>
      </c>
      <c r="D2739" t="inlineStr">
        <is>
          <t>VÄSTERNORRLANDS LÄN</t>
        </is>
      </c>
      <c r="E2739" t="inlineStr">
        <is>
          <t>SOLLEFTEÅ</t>
        </is>
      </c>
      <c r="F2739" t="inlineStr">
        <is>
          <t>SCA</t>
        </is>
      </c>
      <c r="G2739" t="n">
        <v>67.8</v>
      </c>
      <c r="H2739" t="n">
        <v>0</v>
      </c>
      <c r="I2739" t="n">
        <v>0</v>
      </c>
      <c r="J2739" t="n">
        <v>0</v>
      </c>
      <c r="K2739" t="n">
        <v>0</v>
      </c>
      <c r="L2739" t="n">
        <v>0</v>
      </c>
      <c r="M2739" t="n">
        <v>0</v>
      </c>
      <c r="N2739" t="n">
        <v>0</v>
      </c>
      <c r="O2739" t="n">
        <v>0</v>
      </c>
      <c r="P2739" t="n">
        <v>0</v>
      </c>
      <c r="Q2739" t="n">
        <v>0</v>
      </c>
      <c r="R2739" s="2" t="inlineStr"/>
    </row>
    <row r="2740" ht="15" customHeight="1">
      <c r="A2740" t="inlineStr">
        <is>
          <t>A 8636-2024</t>
        </is>
      </c>
      <c r="B2740" s="1" t="n">
        <v>45356</v>
      </c>
      <c r="C2740" s="1" t="n">
        <v>45802</v>
      </c>
      <c r="D2740" t="inlineStr">
        <is>
          <t>VÄSTERNORRLANDS LÄN</t>
        </is>
      </c>
      <c r="E2740" t="inlineStr">
        <is>
          <t>SOLLEFTEÅ</t>
        </is>
      </c>
      <c r="F2740" t="inlineStr">
        <is>
          <t>SCA</t>
        </is>
      </c>
      <c r="G2740" t="n">
        <v>31.3</v>
      </c>
      <c r="H2740" t="n">
        <v>0</v>
      </c>
      <c r="I2740" t="n">
        <v>0</v>
      </c>
      <c r="J2740" t="n">
        <v>0</v>
      </c>
      <c r="K2740" t="n">
        <v>0</v>
      </c>
      <c r="L2740" t="n">
        <v>0</v>
      </c>
      <c r="M2740" t="n">
        <v>0</v>
      </c>
      <c r="N2740" t="n">
        <v>0</v>
      </c>
      <c r="O2740" t="n">
        <v>0</v>
      </c>
      <c r="P2740" t="n">
        <v>0</v>
      </c>
      <c r="Q2740" t="n">
        <v>0</v>
      </c>
      <c r="R2740" s="2" t="inlineStr"/>
    </row>
    <row r="2741" ht="15" customHeight="1">
      <c r="A2741" t="inlineStr">
        <is>
          <t>A 8729-2024</t>
        </is>
      </c>
      <c r="B2741" s="1" t="n">
        <v>45356</v>
      </c>
      <c r="C2741" s="1" t="n">
        <v>45802</v>
      </c>
      <c r="D2741" t="inlineStr">
        <is>
          <t>VÄSTERNORRLANDS LÄN</t>
        </is>
      </c>
      <c r="E2741" t="inlineStr">
        <is>
          <t>SOLLEFTEÅ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8652-2024</t>
        </is>
      </c>
      <c r="B2742" s="1" t="n">
        <v>45356</v>
      </c>
      <c r="C2742" s="1" t="n">
        <v>45802</v>
      </c>
      <c r="D2742" t="inlineStr">
        <is>
          <t>VÄSTERNORRLANDS LÄN</t>
        </is>
      </c>
      <c r="E2742" t="inlineStr">
        <is>
          <t>SOLLEFTEÅ</t>
        </is>
      </c>
      <c r="F2742" t="inlineStr">
        <is>
          <t>SCA</t>
        </is>
      </c>
      <c r="G2742" t="n">
        <v>38.6</v>
      </c>
      <c r="H2742" t="n">
        <v>0</v>
      </c>
      <c r="I2742" t="n">
        <v>0</v>
      </c>
      <c r="J2742" t="n">
        <v>0</v>
      </c>
      <c r="K2742" t="n">
        <v>0</v>
      </c>
      <c r="L2742" t="n">
        <v>0</v>
      </c>
      <c r="M2742" t="n">
        <v>0</v>
      </c>
      <c r="N2742" t="n">
        <v>0</v>
      </c>
      <c r="O2742" t="n">
        <v>0</v>
      </c>
      <c r="P2742" t="n">
        <v>0</v>
      </c>
      <c r="Q2742" t="n">
        <v>0</v>
      </c>
      <c r="R2742" s="2" t="inlineStr"/>
    </row>
    <row r="2743" ht="15" customHeight="1">
      <c r="A2743" t="inlineStr">
        <is>
          <t>A 8656-2024</t>
        </is>
      </c>
      <c r="B2743" s="1" t="n">
        <v>45356</v>
      </c>
      <c r="C2743" s="1" t="n">
        <v>45802</v>
      </c>
      <c r="D2743" t="inlineStr">
        <is>
          <t>VÄSTERNORRLANDS LÄN</t>
        </is>
      </c>
      <c r="E2743" t="inlineStr">
        <is>
          <t>SOLLEFTEÅ</t>
        </is>
      </c>
      <c r="F2743" t="inlineStr">
        <is>
          <t>SCA</t>
        </is>
      </c>
      <c r="G2743" t="n">
        <v>18.4</v>
      </c>
      <c r="H2743" t="n">
        <v>0</v>
      </c>
      <c r="I2743" t="n">
        <v>0</v>
      </c>
      <c r="J2743" t="n">
        <v>0</v>
      </c>
      <c r="K2743" t="n">
        <v>0</v>
      </c>
      <c r="L2743" t="n">
        <v>0</v>
      </c>
      <c r="M2743" t="n">
        <v>0</v>
      </c>
      <c r="N2743" t="n">
        <v>0</v>
      </c>
      <c r="O2743" t="n">
        <v>0</v>
      </c>
      <c r="P2743" t="n">
        <v>0</v>
      </c>
      <c r="Q2743" t="n">
        <v>0</v>
      </c>
      <c r="R2743" s="2" t="inlineStr"/>
    </row>
    <row r="2744" ht="15" customHeight="1">
      <c r="A2744" t="inlineStr">
        <is>
          <t>A 8885-2024</t>
        </is>
      </c>
      <c r="B2744" s="1" t="n">
        <v>45357</v>
      </c>
      <c r="C2744" s="1" t="n">
        <v>45802</v>
      </c>
      <c r="D2744" t="inlineStr">
        <is>
          <t>VÄSTERNORRLANDS LÄN</t>
        </is>
      </c>
      <c r="E2744" t="inlineStr">
        <is>
          <t>SOLLEFTEÅ</t>
        </is>
      </c>
      <c r="F2744" t="inlineStr">
        <is>
          <t>SCA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9145-2024</t>
        </is>
      </c>
      <c r="B2745" s="1" t="n">
        <v>45357</v>
      </c>
      <c r="C2745" s="1" t="n">
        <v>45802</v>
      </c>
      <c r="D2745" t="inlineStr">
        <is>
          <t>VÄSTERNORRLANDS LÄN</t>
        </is>
      </c>
      <c r="E2745" t="inlineStr">
        <is>
          <t>SOLLEFTEÅ</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9120-2024</t>
        </is>
      </c>
      <c r="B2746" s="1" t="n">
        <v>45358</v>
      </c>
      <c r="C2746" s="1" t="n">
        <v>45802</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9121-2024</t>
        </is>
      </c>
      <c r="B2747" s="1" t="n">
        <v>45358</v>
      </c>
      <c r="C2747" s="1" t="n">
        <v>45802</v>
      </c>
      <c r="D2747" t="inlineStr">
        <is>
          <t>VÄSTERNORRLANDS LÄN</t>
        </is>
      </c>
      <c r="E2747" t="inlineStr">
        <is>
          <t>SOLLEFTEÅ</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9122-2024</t>
        </is>
      </c>
      <c r="B2748" s="1" t="n">
        <v>45358</v>
      </c>
      <c r="C2748" s="1" t="n">
        <v>45802</v>
      </c>
      <c r="D2748" t="inlineStr">
        <is>
          <t>VÄSTERNORRLANDS LÄN</t>
        </is>
      </c>
      <c r="E2748" t="inlineStr">
        <is>
          <t>SOLLEFTEÅ</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9306-2024</t>
        </is>
      </c>
      <c r="B2749" s="1" t="n">
        <v>45358</v>
      </c>
      <c r="C2749" s="1" t="n">
        <v>45802</v>
      </c>
      <c r="D2749" t="inlineStr">
        <is>
          <t>VÄSTERNORRLANDS LÄN</t>
        </is>
      </c>
      <c r="E2749" t="inlineStr">
        <is>
          <t>SOLLEFTEÅ</t>
        </is>
      </c>
      <c r="G2749" t="n">
        <v>19.6</v>
      </c>
      <c r="H2749" t="n">
        <v>0</v>
      </c>
      <c r="I2749" t="n">
        <v>0</v>
      </c>
      <c r="J2749" t="n">
        <v>0</v>
      </c>
      <c r="K2749" t="n">
        <v>0</v>
      </c>
      <c r="L2749" t="n">
        <v>0</v>
      </c>
      <c r="M2749" t="n">
        <v>0</v>
      </c>
      <c r="N2749" t="n">
        <v>0</v>
      </c>
      <c r="O2749" t="n">
        <v>0</v>
      </c>
      <c r="P2749" t="n">
        <v>0</v>
      </c>
      <c r="Q2749" t="n">
        <v>0</v>
      </c>
      <c r="R2749" s="2" t="inlineStr"/>
    </row>
    <row r="2750" ht="15" customHeight="1">
      <c r="A2750" t="inlineStr">
        <is>
          <t>A 9342-2024</t>
        </is>
      </c>
      <c r="B2750" s="1" t="n">
        <v>45359</v>
      </c>
      <c r="C2750" s="1" t="n">
        <v>45802</v>
      </c>
      <c r="D2750" t="inlineStr">
        <is>
          <t>VÄSTERNORRLANDS LÄN</t>
        </is>
      </c>
      <c r="E2750" t="inlineStr">
        <is>
          <t>SOLLEFTEÅ</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9346-2024</t>
        </is>
      </c>
      <c r="B2751" s="1" t="n">
        <v>45359</v>
      </c>
      <c r="C2751" s="1" t="n">
        <v>45802</v>
      </c>
      <c r="D2751" t="inlineStr">
        <is>
          <t>VÄSTERNORRLANDS LÄN</t>
        </is>
      </c>
      <c r="E2751" t="inlineStr">
        <is>
          <t>SOLLEFTEÅ</t>
        </is>
      </c>
      <c r="F2751" t="inlineStr">
        <is>
          <t>SCA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9304-2024</t>
        </is>
      </c>
      <c r="B2752" s="1" t="n">
        <v>45358</v>
      </c>
      <c r="C2752" s="1" t="n">
        <v>45802</v>
      </c>
      <c r="D2752" t="inlineStr">
        <is>
          <t>VÄSTERNORRLANDS LÄN</t>
        </is>
      </c>
      <c r="E2752" t="inlineStr">
        <is>
          <t>SOLLEFTEÅ</t>
        </is>
      </c>
      <c r="G2752" t="n">
        <v>30.7</v>
      </c>
      <c r="H2752" t="n">
        <v>0</v>
      </c>
      <c r="I2752" t="n">
        <v>0</v>
      </c>
      <c r="J2752" t="n">
        <v>0</v>
      </c>
      <c r="K2752" t="n">
        <v>0</v>
      </c>
      <c r="L2752" t="n">
        <v>0</v>
      </c>
      <c r="M2752" t="n">
        <v>0</v>
      </c>
      <c r="N2752" t="n">
        <v>0</v>
      </c>
      <c r="O2752" t="n">
        <v>0</v>
      </c>
      <c r="P2752" t="n">
        <v>0</v>
      </c>
      <c r="Q2752" t="n">
        <v>0</v>
      </c>
      <c r="R2752" s="2" t="inlineStr"/>
    </row>
    <row r="2753" ht="15" customHeight="1">
      <c r="A2753" t="inlineStr">
        <is>
          <t>A 9328-2024</t>
        </is>
      </c>
      <c r="B2753" s="1" t="n">
        <v>45359</v>
      </c>
      <c r="C2753" s="1" t="n">
        <v>45802</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9309-2024</t>
        </is>
      </c>
      <c r="B2754" s="1" t="n">
        <v>45358</v>
      </c>
      <c r="C2754" s="1" t="n">
        <v>45802</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9339-2024</t>
        </is>
      </c>
      <c r="B2755" s="1" t="n">
        <v>45358</v>
      </c>
      <c r="C2755" s="1" t="n">
        <v>45802</v>
      </c>
      <c r="D2755" t="inlineStr">
        <is>
          <t>VÄSTERNORRLANDS LÄN</t>
        </is>
      </c>
      <c r="E2755" t="inlineStr">
        <is>
          <t>SOLLEFTEÅ</t>
        </is>
      </c>
      <c r="F2755" t="inlineStr">
        <is>
          <t>SCA</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9341-2024</t>
        </is>
      </c>
      <c r="B2756" s="1" t="n">
        <v>45358</v>
      </c>
      <c r="C2756" s="1" t="n">
        <v>45802</v>
      </c>
      <c r="D2756" t="inlineStr">
        <is>
          <t>VÄSTERNORRLANDS LÄN</t>
        </is>
      </c>
      <c r="E2756" t="inlineStr">
        <is>
          <t>SOLLEFTEÅ</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9340-2024</t>
        </is>
      </c>
      <c r="B2757" s="1" t="n">
        <v>45359</v>
      </c>
      <c r="C2757" s="1" t="n">
        <v>45802</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9555-2024</t>
        </is>
      </c>
      <c r="B2758" s="1" t="n">
        <v>45360</v>
      </c>
      <c r="C2758" s="1" t="n">
        <v>45802</v>
      </c>
      <c r="D2758" t="inlineStr">
        <is>
          <t>VÄSTERNORRLANDS LÄN</t>
        </is>
      </c>
      <c r="E2758" t="inlineStr">
        <is>
          <t>SOLLEFTEÅ</t>
        </is>
      </c>
      <c r="F2758" t="inlineStr">
        <is>
          <t>SCA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9557-2024</t>
        </is>
      </c>
      <c r="B2759" s="1" t="n">
        <v>45360</v>
      </c>
      <c r="C2759" s="1" t="n">
        <v>45802</v>
      </c>
      <c r="D2759" t="inlineStr">
        <is>
          <t>VÄSTERNORRLANDS LÄN</t>
        </is>
      </c>
      <c r="E2759" t="inlineStr">
        <is>
          <t>SOLLEFTEÅ</t>
        </is>
      </c>
      <c r="F2759" t="inlineStr">
        <is>
          <t>SCA</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9558-2024</t>
        </is>
      </c>
      <c r="B2760" s="1" t="n">
        <v>45360</v>
      </c>
      <c r="C2760" s="1" t="n">
        <v>45802</v>
      </c>
      <c r="D2760" t="inlineStr">
        <is>
          <t>VÄSTERNORRLANDS LÄN</t>
        </is>
      </c>
      <c r="E2760" t="inlineStr">
        <is>
          <t>SOLLEFTEÅ</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9689-2024</t>
        </is>
      </c>
      <c r="B2761" s="1" t="n">
        <v>45362</v>
      </c>
      <c r="C2761" s="1" t="n">
        <v>45802</v>
      </c>
      <c r="D2761" t="inlineStr">
        <is>
          <t>VÄSTERNORRLANDS LÄN</t>
        </is>
      </c>
      <c r="E2761" t="inlineStr">
        <is>
          <t>SOLLEFTEÅ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9820-2024</t>
        </is>
      </c>
      <c r="B2762" s="1" t="n">
        <v>45363</v>
      </c>
      <c r="C2762" s="1" t="n">
        <v>45802</v>
      </c>
      <c r="D2762" t="inlineStr">
        <is>
          <t>VÄSTERNORRLANDS LÄN</t>
        </is>
      </c>
      <c r="E2762" t="inlineStr">
        <is>
          <t>SOLLEFTEÅ</t>
        </is>
      </c>
      <c r="F2762" t="inlineStr">
        <is>
          <t>Kyrkan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9828-2024</t>
        </is>
      </c>
      <c r="B2763" s="1" t="n">
        <v>45363</v>
      </c>
      <c r="C2763" s="1" t="n">
        <v>45802</v>
      </c>
      <c r="D2763" t="inlineStr">
        <is>
          <t>VÄSTERNORRLANDS LÄN</t>
        </is>
      </c>
      <c r="E2763" t="inlineStr">
        <is>
          <t>SOLLEFTEÅ</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9822-2024</t>
        </is>
      </c>
      <c r="B2764" s="1" t="n">
        <v>45363</v>
      </c>
      <c r="C2764" s="1" t="n">
        <v>45802</v>
      </c>
      <c r="D2764" t="inlineStr">
        <is>
          <t>VÄSTERNORRLANDS LÄN</t>
        </is>
      </c>
      <c r="E2764" t="inlineStr">
        <is>
          <t>SOLLEFTEÅ</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9831-2024</t>
        </is>
      </c>
      <c r="B2765" s="1" t="n">
        <v>45363</v>
      </c>
      <c r="C2765" s="1" t="n">
        <v>45802</v>
      </c>
      <c r="D2765" t="inlineStr">
        <is>
          <t>VÄSTERNORRLANDS LÄN</t>
        </is>
      </c>
      <c r="E2765" t="inlineStr">
        <is>
          <t>SOLLEFTEÅ</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10038-2024</t>
        </is>
      </c>
      <c r="B2766" s="1" t="n">
        <v>45364</v>
      </c>
      <c r="C2766" s="1" t="n">
        <v>45802</v>
      </c>
      <c r="D2766" t="inlineStr">
        <is>
          <t>VÄSTERNORRLANDS LÄN</t>
        </is>
      </c>
      <c r="E2766" t="inlineStr">
        <is>
          <t>SOLLEFTEÅ</t>
        </is>
      </c>
      <c r="F2766" t="inlineStr">
        <is>
          <t>SCA</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10415-2024</t>
        </is>
      </c>
      <c r="B2767" s="1" t="n">
        <v>45365</v>
      </c>
      <c r="C2767" s="1" t="n">
        <v>45802</v>
      </c>
      <c r="D2767" t="inlineStr">
        <is>
          <t>VÄSTERNORRLANDS LÄN</t>
        </is>
      </c>
      <c r="E2767" t="inlineStr">
        <is>
          <t>SOLLEFTEÅ</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10526-2024</t>
        </is>
      </c>
      <c r="B2768" s="1" t="n">
        <v>45366</v>
      </c>
      <c r="C2768" s="1" t="n">
        <v>45802</v>
      </c>
      <c r="D2768" t="inlineStr">
        <is>
          <t>VÄSTERNORRLANDS LÄN</t>
        </is>
      </c>
      <c r="E2768" t="inlineStr">
        <is>
          <t>SOLLEFTEÅ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10532-2024</t>
        </is>
      </c>
      <c r="B2769" s="1" t="n">
        <v>45366</v>
      </c>
      <c r="C2769" s="1" t="n">
        <v>45802</v>
      </c>
      <c r="D2769" t="inlineStr">
        <is>
          <t>VÄSTERNORRLANDS LÄN</t>
        </is>
      </c>
      <c r="E2769" t="inlineStr">
        <is>
          <t>SOLLEFTEÅ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10539-2024</t>
        </is>
      </c>
      <c r="B2770" s="1" t="n">
        <v>45366</v>
      </c>
      <c r="C2770" s="1" t="n">
        <v>45802</v>
      </c>
      <c r="D2770" t="inlineStr">
        <is>
          <t>VÄSTERNORRLANDS LÄN</t>
        </is>
      </c>
      <c r="E2770" t="inlineStr">
        <is>
          <t>SOLLEFTEÅ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10537-2024</t>
        </is>
      </c>
      <c r="B2771" s="1" t="n">
        <v>45366</v>
      </c>
      <c r="C2771" s="1" t="n">
        <v>45802</v>
      </c>
      <c r="D2771" t="inlineStr">
        <is>
          <t>VÄSTERNORRLANDS LÄN</t>
        </is>
      </c>
      <c r="E2771" t="inlineStr">
        <is>
          <t>SOLLEFTEÅ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10569-2024</t>
        </is>
      </c>
      <c r="B2772" s="1" t="n">
        <v>45366</v>
      </c>
      <c r="C2772" s="1" t="n">
        <v>45802</v>
      </c>
      <c r="D2772" t="inlineStr">
        <is>
          <t>VÄSTERNORRLANDS LÄN</t>
        </is>
      </c>
      <c r="E2772" t="inlineStr">
        <is>
          <t>SOLLEFTEÅ</t>
        </is>
      </c>
      <c r="F2772" t="inlineStr">
        <is>
          <t>Holmen skog AB</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10618-2024</t>
        </is>
      </c>
      <c r="B2773" s="1" t="n">
        <v>45367</v>
      </c>
      <c r="C2773" s="1" t="n">
        <v>45802</v>
      </c>
      <c r="D2773" t="inlineStr">
        <is>
          <t>VÄSTERNORRLANDS LÄN</t>
        </is>
      </c>
      <c r="E2773" t="inlineStr">
        <is>
          <t>SOLLEFTEÅ</t>
        </is>
      </c>
      <c r="F2773" t="inlineStr">
        <is>
          <t>SCA</t>
        </is>
      </c>
      <c r="G2773" t="n">
        <v>21.1</v>
      </c>
      <c r="H2773" t="n">
        <v>0</v>
      </c>
      <c r="I2773" t="n">
        <v>0</v>
      </c>
      <c r="J2773" t="n">
        <v>0</v>
      </c>
      <c r="K2773" t="n">
        <v>0</v>
      </c>
      <c r="L2773" t="n">
        <v>0</v>
      </c>
      <c r="M2773" t="n">
        <v>0</v>
      </c>
      <c r="N2773" t="n">
        <v>0</v>
      </c>
      <c r="O2773" t="n">
        <v>0</v>
      </c>
      <c r="P2773" t="n">
        <v>0</v>
      </c>
      <c r="Q2773" t="n">
        <v>0</v>
      </c>
      <c r="R2773" s="2" t="inlineStr"/>
    </row>
    <row r="2774" ht="15" customHeight="1">
      <c r="A2774" t="inlineStr">
        <is>
          <t>A 10687-2024</t>
        </is>
      </c>
      <c r="B2774" s="1" t="n">
        <v>45369</v>
      </c>
      <c r="C2774" s="1" t="n">
        <v>45802</v>
      </c>
      <c r="D2774" t="inlineStr">
        <is>
          <t>VÄSTERNORRLANDS LÄN</t>
        </is>
      </c>
      <c r="E2774" t="inlineStr">
        <is>
          <t>SOLLEFTEÅ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10870-2024</t>
        </is>
      </c>
      <c r="B2775" s="1" t="n">
        <v>45370</v>
      </c>
      <c r="C2775" s="1" t="n">
        <v>45802</v>
      </c>
      <c r="D2775" t="inlineStr">
        <is>
          <t>VÄSTERNORRLANDS LÄN</t>
        </is>
      </c>
      <c r="E2775" t="inlineStr">
        <is>
          <t>SOLLEFTEÅ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10853-2024</t>
        </is>
      </c>
      <c r="B2776" s="1" t="n">
        <v>45370</v>
      </c>
      <c r="C2776" s="1" t="n">
        <v>45802</v>
      </c>
      <c r="D2776" t="inlineStr">
        <is>
          <t>VÄSTERNORRLANDS LÄN</t>
        </is>
      </c>
      <c r="E2776" t="inlineStr">
        <is>
          <t>SOLLEFTEÅ</t>
        </is>
      </c>
      <c r="F2776" t="inlineStr">
        <is>
          <t>SCA</t>
        </is>
      </c>
      <c r="G2776" t="n">
        <v>37.7</v>
      </c>
      <c r="H2776" t="n">
        <v>0</v>
      </c>
      <c r="I2776" t="n">
        <v>0</v>
      </c>
      <c r="J2776" t="n">
        <v>0</v>
      </c>
      <c r="K2776" t="n">
        <v>0</v>
      </c>
      <c r="L2776" t="n">
        <v>0</v>
      </c>
      <c r="M2776" t="n">
        <v>0</v>
      </c>
      <c r="N2776" t="n">
        <v>0</v>
      </c>
      <c r="O2776" t="n">
        <v>0</v>
      </c>
      <c r="P2776" t="n">
        <v>0</v>
      </c>
      <c r="Q2776" t="n">
        <v>0</v>
      </c>
      <c r="R2776" s="2" t="inlineStr"/>
    </row>
    <row r="2777" ht="15" customHeight="1">
      <c r="A2777" t="inlineStr">
        <is>
          <t>A 10869-2024</t>
        </is>
      </c>
      <c r="B2777" s="1" t="n">
        <v>45370</v>
      </c>
      <c r="C2777" s="1" t="n">
        <v>45802</v>
      </c>
      <c r="D2777" t="inlineStr">
        <is>
          <t>VÄSTERNORRLANDS LÄN</t>
        </is>
      </c>
      <c r="E2777" t="inlineStr">
        <is>
          <t>SOLLEFTEÅ</t>
        </is>
      </c>
      <c r="F2777" t="inlineStr">
        <is>
          <t>SCA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11009-2024</t>
        </is>
      </c>
      <c r="B2778" s="1" t="n">
        <v>45370</v>
      </c>
      <c r="C2778" s="1" t="n">
        <v>45802</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11090-2024</t>
        </is>
      </c>
      <c r="B2779" s="1" t="n">
        <v>45370</v>
      </c>
      <c r="C2779" s="1" t="n">
        <v>45802</v>
      </c>
      <c r="D2779" t="inlineStr">
        <is>
          <t>VÄSTERNORRLANDS LÄN</t>
        </is>
      </c>
      <c r="E2779" t="inlineStr">
        <is>
          <t>SOLLEFTEÅ</t>
        </is>
      </c>
      <c r="F2779" t="inlineStr">
        <is>
          <t>SCA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11083-2024</t>
        </is>
      </c>
      <c r="B2780" s="1" t="n">
        <v>45370</v>
      </c>
      <c r="C2780" s="1" t="n">
        <v>45802</v>
      </c>
      <c r="D2780" t="inlineStr">
        <is>
          <t>VÄSTERNORRLANDS LÄN</t>
        </is>
      </c>
      <c r="E2780" t="inlineStr">
        <is>
          <t>SOLLEFTEÅ</t>
        </is>
      </c>
      <c r="F2780" t="inlineStr">
        <is>
          <t>SCA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11087-2024</t>
        </is>
      </c>
      <c r="B2781" s="1" t="n">
        <v>45370</v>
      </c>
      <c r="C2781" s="1" t="n">
        <v>45802</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11089-2024</t>
        </is>
      </c>
      <c r="B2782" s="1" t="n">
        <v>45370</v>
      </c>
      <c r="C2782" s="1" t="n">
        <v>45802</v>
      </c>
      <c r="D2782" t="inlineStr">
        <is>
          <t>VÄSTERNORRLANDS LÄN</t>
        </is>
      </c>
      <c r="E2782" t="inlineStr">
        <is>
          <t>SOLLEFTEÅ</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11334-2024</t>
        </is>
      </c>
      <c r="B2783" s="1" t="n">
        <v>45372</v>
      </c>
      <c r="C2783" s="1" t="n">
        <v>45802</v>
      </c>
      <c r="D2783" t="inlineStr">
        <is>
          <t>VÄSTERNORRLANDS LÄN</t>
        </is>
      </c>
      <c r="E2783" t="inlineStr">
        <is>
          <t>SOLLEFTEÅ</t>
        </is>
      </c>
      <c r="F2783" t="inlineStr">
        <is>
          <t>SCA</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11332-2024</t>
        </is>
      </c>
      <c r="B2784" s="1" t="n">
        <v>45372</v>
      </c>
      <c r="C2784" s="1" t="n">
        <v>45802</v>
      </c>
      <c r="D2784" t="inlineStr">
        <is>
          <t>VÄSTERNORRLANDS LÄN</t>
        </is>
      </c>
      <c r="E2784" t="inlineStr">
        <is>
          <t>SOLLEFTEÅ</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11333-2024</t>
        </is>
      </c>
      <c r="B2785" s="1" t="n">
        <v>45372</v>
      </c>
      <c r="C2785" s="1" t="n">
        <v>45802</v>
      </c>
      <c r="D2785" t="inlineStr">
        <is>
          <t>VÄSTERNORRLANDS LÄN</t>
        </is>
      </c>
      <c r="E2785" t="inlineStr">
        <is>
          <t>SOLLEFTEÅ</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11394-2024</t>
        </is>
      </c>
      <c r="B2786" s="1" t="n">
        <v>45372</v>
      </c>
      <c r="C2786" s="1" t="n">
        <v>45802</v>
      </c>
      <c r="D2786" t="inlineStr">
        <is>
          <t>VÄSTERNORRLANDS LÄN</t>
        </is>
      </c>
      <c r="E2786" t="inlineStr">
        <is>
          <t>SOLLEFTEÅ</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11539-2024</t>
        </is>
      </c>
      <c r="B2787" s="1" t="n">
        <v>45372</v>
      </c>
      <c r="C2787" s="1" t="n">
        <v>45802</v>
      </c>
      <c r="D2787" t="inlineStr">
        <is>
          <t>VÄSTERNORRLANDS LÄN</t>
        </is>
      </c>
      <c r="E2787" t="inlineStr">
        <is>
          <t>SOLLEFTEÅ</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11542-2024</t>
        </is>
      </c>
      <c r="B2788" s="1" t="n">
        <v>45372</v>
      </c>
      <c r="C2788" s="1" t="n">
        <v>45802</v>
      </c>
      <c r="D2788" t="inlineStr">
        <is>
          <t>VÄSTERNORRLANDS LÄN</t>
        </is>
      </c>
      <c r="E2788" t="inlineStr">
        <is>
          <t>SOLLEFTEÅ</t>
        </is>
      </c>
      <c r="F2788" t="inlineStr">
        <is>
          <t>SCA</t>
        </is>
      </c>
      <c r="G2788" t="n">
        <v>13.1</v>
      </c>
      <c r="H2788" t="n">
        <v>0</v>
      </c>
      <c r="I2788" t="n">
        <v>0</v>
      </c>
      <c r="J2788" t="n">
        <v>0</v>
      </c>
      <c r="K2788" t="n">
        <v>0</v>
      </c>
      <c r="L2788" t="n">
        <v>0</v>
      </c>
      <c r="M2788" t="n">
        <v>0</v>
      </c>
      <c r="N2788" t="n">
        <v>0</v>
      </c>
      <c r="O2788" t="n">
        <v>0</v>
      </c>
      <c r="P2788" t="n">
        <v>0</v>
      </c>
      <c r="Q2788" t="n">
        <v>0</v>
      </c>
      <c r="R2788" s="2" t="inlineStr"/>
    </row>
    <row r="2789" ht="15" customHeight="1">
      <c r="A2789" t="inlineStr">
        <is>
          <t>A 11767-2024</t>
        </is>
      </c>
      <c r="B2789" s="1" t="n">
        <v>45373</v>
      </c>
      <c r="C2789" s="1" t="n">
        <v>45802</v>
      </c>
      <c r="D2789" t="inlineStr">
        <is>
          <t>VÄSTERNORRLANDS LÄN</t>
        </is>
      </c>
      <c r="E2789" t="inlineStr">
        <is>
          <t>SOLLEFTEÅ</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11749-2024</t>
        </is>
      </c>
      <c r="B2790" s="1" t="n">
        <v>45373</v>
      </c>
      <c r="C2790" s="1" t="n">
        <v>45802</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11976-2024</t>
        </is>
      </c>
      <c r="B2791" s="1" t="n">
        <v>45376</v>
      </c>
      <c r="C2791" s="1" t="n">
        <v>45802</v>
      </c>
      <c r="D2791" t="inlineStr">
        <is>
          <t>VÄSTERNORRLANDS LÄN</t>
        </is>
      </c>
      <c r="E2791" t="inlineStr">
        <is>
          <t>SOLLEFTEÅ</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11988-2024</t>
        </is>
      </c>
      <c r="B2792" s="1" t="n">
        <v>45376</v>
      </c>
      <c r="C2792" s="1" t="n">
        <v>45802</v>
      </c>
      <c r="D2792" t="inlineStr">
        <is>
          <t>VÄSTERNORRLANDS LÄN</t>
        </is>
      </c>
      <c r="E2792" t="inlineStr">
        <is>
          <t>SOLLEFTEÅ</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12184-2024</t>
        </is>
      </c>
      <c r="B2793" s="1" t="n">
        <v>45377</v>
      </c>
      <c r="C2793" s="1" t="n">
        <v>45802</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12186-2024</t>
        </is>
      </c>
      <c r="B2794" s="1" t="n">
        <v>45377</v>
      </c>
      <c r="C2794" s="1" t="n">
        <v>45802</v>
      </c>
      <c r="D2794" t="inlineStr">
        <is>
          <t>VÄSTERNORRLANDS LÄN</t>
        </is>
      </c>
      <c r="E2794" t="inlineStr">
        <is>
          <t>SOLLEFTEÅ</t>
        </is>
      </c>
      <c r="F2794" t="inlineStr">
        <is>
          <t>SCA</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12187-2024</t>
        </is>
      </c>
      <c r="B2795" s="1" t="n">
        <v>45377</v>
      </c>
      <c r="C2795" s="1" t="n">
        <v>45802</v>
      </c>
      <c r="D2795" t="inlineStr">
        <is>
          <t>VÄSTERNORRLANDS LÄN</t>
        </is>
      </c>
      <c r="E2795" t="inlineStr">
        <is>
          <t>SOLLEFTEÅ</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12354-2024</t>
        </is>
      </c>
      <c r="B2796" s="1" t="n">
        <v>45378</v>
      </c>
      <c r="C2796" s="1" t="n">
        <v>45802</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12368-2024</t>
        </is>
      </c>
      <c r="B2797" s="1" t="n">
        <v>45378</v>
      </c>
      <c r="C2797" s="1" t="n">
        <v>45802</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12351-2024</t>
        </is>
      </c>
      <c r="B2798" s="1" t="n">
        <v>45378</v>
      </c>
      <c r="C2798" s="1" t="n">
        <v>45802</v>
      </c>
      <c r="D2798" t="inlineStr">
        <is>
          <t>VÄSTERNORRLANDS LÄN</t>
        </is>
      </c>
      <c r="E2798" t="inlineStr">
        <is>
          <t>SOLLEFTEÅ</t>
        </is>
      </c>
      <c r="G2798" t="n">
        <v>23.9</v>
      </c>
      <c r="H2798" t="n">
        <v>0</v>
      </c>
      <c r="I2798" t="n">
        <v>0</v>
      </c>
      <c r="J2798" t="n">
        <v>0</v>
      </c>
      <c r="K2798" t="n">
        <v>0</v>
      </c>
      <c r="L2798" t="n">
        <v>0</v>
      </c>
      <c r="M2798" t="n">
        <v>0</v>
      </c>
      <c r="N2798" t="n">
        <v>0</v>
      </c>
      <c r="O2798" t="n">
        <v>0</v>
      </c>
      <c r="P2798" t="n">
        <v>0</v>
      </c>
      <c r="Q2798" t="n">
        <v>0</v>
      </c>
      <c r="R2798" s="2" t="inlineStr"/>
    </row>
    <row r="2799" ht="15" customHeight="1">
      <c r="A2799" t="inlineStr">
        <is>
          <t>A 12355-2024</t>
        </is>
      </c>
      <c r="B2799" s="1" t="n">
        <v>45378</v>
      </c>
      <c r="C2799" s="1" t="n">
        <v>45802</v>
      </c>
      <c r="D2799" t="inlineStr">
        <is>
          <t>VÄSTERNORRLANDS LÄN</t>
        </is>
      </c>
      <c r="E2799" t="inlineStr">
        <is>
          <t>SOLLEFTEÅ</t>
        </is>
      </c>
      <c r="F2799" t="inlineStr">
        <is>
          <t>SCA</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12363-2024</t>
        </is>
      </c>
      <c r="B2800" s="1" t="n">
        <v>45378</v>
      </c>
      <c r="C2800" s="1" t="n">
        <v>45802</v>
      </c>
      <c r="D2800" t="inlineStr">
        <is>
          <t>VÄSTERNORRLANDS LÄN</t>
        </is>
      </c>
      <c r="E2800" t="inlineStr">
        <is>
          <t>SOLLEFTEÅ</t>
        </is>
      </c>
      <c r="F2800" t="inlineStr">
        <is>
          <t>SCA</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12590-2024</t>
        </is>
      </c>
      <c r="B2801" s="1" t="n">
        <v>45379</v>
      </c>
      <c r="C2801" s="1" t="n">
        <v>45802</v>
      </c>
      <c r="D2801" t="inlineStr">
        <is>
          <t>VÄSTERNORRLANDS LÄN</t>
        </is>
      </c>
      <c r="E2801" t="inlineStr">
        <is>
          <t>SOLLEFTEÅ</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12582-2024</t>
        </is>
      </c>
      <c r="B2802" s="1" t="n">
        <v>45379</v>
      </c>
      <c r="C2802" s="1" t="n">
        <v>45802</v>
      </c>
      <c r="D2802" t="inlineStr">
        <is>
          <t>VÄSTERNORRLANDS LÄN</t>
        </is>
      </c>
      <c r="E2802" t="inlineStr">
        <is>
          <t>SOLLEFTEÅ</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12865-2024</t>
        </is>
      </c>
      <c r="B2803" s="1" t="n">
        <v>45384</v>
      </c>
      <c r="C2803" s="1" t="n">
        <v>45802</v>
      </c>
      <c r="D2803" t="inlineStr">
        <is>
          <t>VÄSTERNORRLANDS LÄN</t>
        </is>
      </c>
      <c r="E2803" t="inlineStr">
        <is>
          <t>SOLLEFTEÅ</t>
        </is>
      </c>
      <c r="F2803" t="inlineStr">
        <is>
          <t>SCA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13138-2024</t>
        </is>
      </c>
      <c r="B2804" s="1" t="n">
        <v>45386</v>
      </c>
      <c r="C2804" s="1" t="n">
        <v>45802</v>
      </c>
      <c r="D2804" t="inlineStr">
        <is>
          <t>VÄSTERNORRLANDS LÄN</t>
        </is>
      </c>
      <c r="E2804" t="inlineStr">
        <is>
          <t>SOLLEFTEÅ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13154-2024</t>
        </is>
      </c>
      <c r="B2805" s="1" t="n">
        <v>45386</v>
      </c>
      <c r="C2805" s="1" t="n">
        <v>45802</v>
      </c>
      <c r="D2805" t="inlineStr">
        <is>
          <t>VÄSTERNORRLANDS LÄN</t>
        </is>
      </c>
      <c r="E2805" t="inlineStr">
        <is>
          <t>SOLLEFTEÅ</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13546-2024</t>
        </is>
      </c>
      <c r="B2806" s="1" t="n">
        <v>45388</v>
      </c>
      <c r="C2806" s="1" t="n">
        <v>45802</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13539-2024</t>
        </is>
      </c>
      <c r="B2807" s="1" t="n">
        <v>45388</v>
      </c>
      <c r="C2807" s="1" t="n">
        <v>45802</v>
      </c>
      <c r="D2807" t="inlineStr">
        <is>
          <t>VÄSTERNORRLANDS LÄN</t>
        </is>
      </c>
      <c r="E2807" t="inlineStr">
        <is>
          <t>SOLLEFTEÅ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13942-2024</t>
        </is>
      </c>
      <c r="B2808" s="1" t="n">
        <v>45392</v>
      </c>
      <c r="C2808" s="1" t="n">
        <v>45802</v>
      </c>
      <c r="D2808" t="inlineStr">
        <is>
          <t>VÄSTERNORRLANDS LÄN</t>
        </is>
      </c>
      <c r="E2808" t="inlineStr">
        <is>
          <t>SOLLEFTEÅ</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14109-2024</t>
        </is>
      </c>
      <c r="B2809" s="1" t="n">
        <v>45392</v>
      </c>
      <c r="C2809" s="1" t="n">
        <v>45802</v>
      </c>
      <c r="D2809" t="inlineStr">
        <is>
          <t>VÄSTERNORRLANDS LÄN</t>
        </is>
      </c>
      <c r="E2809" t="inlineStr">
        <is>
          <t>SOLLEFTEÅ</t>
        </is>
      </c>
      <c r="F2809" t="inlineStr">
        <is>
          <t>Övriga Aktiebolag</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14110-2024</t>
        </is>
      </c>
      <c r="B2810" s="1" t="n">
        <v>45392</v>
      </c>
      <c r="C2810" s="1" t="n">
        <v>45802</v>
      </c>
      <c r="D2810" t="inlineStr">
        <is>
          <t>VÄSTERNORRLANDS LÄN</t>
        </is>
      </c>
      <c r="E2810" t="inlineStr">
        <is>
          <t>SOLLEFTEÅ</t>
        </is>
      </c>
      <c r="F2810" t="inlineStr">
        <is>
          <t>Övriga Aktiebolag</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14087-2024</t>
        </is>
      </c>
      <c r="B2811" s="1" t="n">
        <v>45392</v>
      </c>
      <c r="C2811" s="1" t="n">
        <v>45802</v>
      </c>
      <c r="D2811" t="inlineStr">
        <is>
          <t>VÄSTERNORRLANDS LÄN</t>
        </is>
      </c>
      <c r="E2811" t="inlineStr">
        <is>
          <t>SOLLEFTEÅ</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14165-2024</t>
        </is>
      </c>
      <c r="B2812" s="1" t="n">
        <v>45393</v>
      </c>
      <c r="C2812" s="1" t="n">
        <v>45802</v>
      </c>
      <c r="D2812" t="inlineStr">
        <is>
          <t>VÄSTERNORRLANDS LÄN</t>
        </is>
      </c>
      <c r="E2812" t="inlineStr">
        <is>
          <t>SOLLEFTEÅ</t>
        </is>
      </c>
      <c r="F2812" t="inlineStr">
        <is>
          <t>SCA</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14169-2024</t>
        </is>
      </c>
      <c r="B2813" s="1" t="n">
        <v>45393</v>
      </c>
      <c r="C2813" s="1" t="n">
        <v>45802</v>
      </c>
      <c r="D2813" t="inlineStr">
        <is>
          <t>VÄSTERNORRLANDS LÄN</t>
        </is>
      </c>
      <c r="E2813" t="inlineStr">
        <is>
          <t>SOLLEFTEÅ</t>
        </is>
      </c>
      <c r="F2813" t="inlineStr">
        <is>
          <t>SCA</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14344-2024</t>
        </is>
      </c>
      <c r="B2814" s="1" t="n">
        <v>45393</v>
      </c>
      <c r="C2814" s="1" t="n">
        <v>45802</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14365-2024</t>
        </is>
      </c>
      <c r="B2815" s="1" t="n">
        <v>45394</v>
      </c>
      <c r="C2815" s="1" t="n">
        <v>45802</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14554-2024</t>
        </is>
      </c>
      <c r="B2816" s="1" t="n">
        <v>45394</v>
      </c>
      <c r="C2816" s="1" t="n">
        <v>45802</v>
      </c>
      <c r="D2816" t="inlineStr">
        <is>
          <t>VÄSTERNORRLANDS LÄN</t>
        </is>
      </c>
      <c r="E2816" t="inlineStr">
        <is>
          <t>SOLLEFTEÅ</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14581-2024</t>
        </is>
      </c>
      <c r="B2817" s="1" t="n">
        <v>45395</v>
      </c>
      <c r="C2817" s="1" t="n">
        <v>45802</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14571-2024</t>
        </is>
      </c>
      <c r="B2818" s="1" t="n">
        <v>45394</v>
      </c>
      <c r="C2818" s="1" t="n">
        <v>45802</v>
      </c>
      <c r="D2818" t="inlineStr">
        <is>
          <t>VÄSTERNORRLANDS LÄN</t>
        </is>
      </c>
      <c r="E2818" t="inlineStr">
        <is>
          <t>SOLLEFTEÅ</t>
        </is>
      </c>
      <c r="F2818" t="inlineStr">
        <is>
          <t>SCA</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14577-2024</t>
        </is>
      </c>
      <c r="B2819" s="1" t="n">
        <v>45395</v>
      </c>
      <c r="C2819" s="1" t="n">
        <v>45802</v>
      </c>
      <c r="D2819" t="inlineStr">
        <is>
          <t>VÄSTERNORRLANDS LÄN</t>
        </is>
      </c>
      <c r="E2819" t="inlineStr">
        <is>
          <t>SOLLEFTEÅ</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14819-2024</t>
        </is>
      </c>
      <c r="B2820" s="1" t="n">
        <v>45397</v>
      </c>
      <c r="C2820" s="1" t="n">
        <v>45802</v>
      </c>
      <c r="D2820" t="inlineStr">
        <is>
          <t>VÄSTERNORRLANDS LÄN</t>
        </is>
      </c>
      <c r="E2820" t="inlineStr">
        <is>
          <t>SOLLEFTEÅ</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14970-2024</t>
        </is>
      </c>
      <c r="B2821" s="1" t="n">
        <v>45398</v>
      </c>
      <c r="C2821" s="1" t="n">
        <v>45802</v>
      </c>
      <c r="D2821" t="inlineStr">
        <is>
          <t>VÄSTERNORRLANDS LÄN</t>
        </is>
      </c>
      <c r="E2821" t="inlineStr">
        <is>
          <t>SOLLEFTEÅ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14982-2024</t>
        </is>
      </c>
      <c r="B2822" s="1" t="n">
        <v>45399</v>
      </c>
      <c r="C2822" s="1" t="n">
        <v>45802</v>
      </c>
      <c r="D2822" t="inlineStr">
        <is>
          <t>VÄSTERNORRLANDS LÄN</t>
        </is>
      </c>
      <c r="E2822" t="inlineStr">
        <is>
          <t>SOLLEFTEÅ</t>
        </is>
      </c>
      <c r="F2822" t="inlineStr">
        <is>
          <t>SCA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14971-2024</t>
        </is>
      </c>
      <c r="B2823" s="1" t="n">
        <v>45399</v>
      </c>
      <c r="C2823" s="1" t="n">
        <v>45802</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14975-2024</t>
        </is>
      </c>
      <c r="B2824" s="1" t="n">
        <v>45399</v>
      </c>
      <c r="C2824" s="1" t="n">
        <v>45802</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14983-2024</t>
        </is>
      </c>
      <c r="B2825" s="1" t="n">
        <v>45399</v>
      </c>
      <c r="C2825" s="1" t="n">
        <v>45802</v>
      </c>
      <c r="D2825" t="inlineStr">
        <is>
          <t>VÄSTERNORRLANDS LÄN</t>
        </is>
      </c>
      <c r="E2825" t="inlineStr">
        <is>
          <t>SOLLEFTEÅ</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15154-2024</t>
        </is>
      </c>
      <c r="B2826" s="1" t="n">
        <v>45400</v>
      </c>
      <c r="C2826" s="1" t="n">
        <v>45802</v>
      </c>
      <c r="D2826" t="inlineStr">
        <is>
          <t>VÄSTERNORRLANDS LÄN</t>
        </is>
      </c>
      <c r="E2826" t="inlineStr">
        <is>
          <t>SOLLEFTEÅ</t>
        </is>
      </c>
      <c r="F2826" t="inlineStr">
        <is>
          <t>SCA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15147-2024</t>
        </is>
      </c>
      <c r="B2827" s="1" t="n">
        <v>45400</v>
      </c>
      <c r="C2827" s="1" t="n">
        <v>45802</v>
      </c>
      <c r="D2827" t="inlineStr">
        <is>
          <t>VÄSTERNORRLANDS LÄN</t>
        </is>
      </c>
      <c r="E2827" t="inlineStr">
        <is>
          <t>SOLLEFTEÅ</t>
        </is>
      </c>
      <c r="F2827" t="inlineStr">
        <is>
          <t>SCA</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15380-2024</t>
        </is>
      </c>
      <c r="B2828" s="1" t="n">
        <v>45401</v>
      </c>
      <c r="C2828" s="1" t="n">
        <v>45802</v>
      </c>
      <c r="D2828" t="inlineStr">
        <is>
          <t>VÄSTERNORRLANDS LÄN</t>
        </is>
      </c>
      <c r="E2828" t="inlineStr">
        <is>
          <t>SOLLEFTEÅ</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15377-2024</t>
        </is>
      </c>
      <c r="B2829" s="1" t="n">
        <v>45400</v>
      </c>
      <c r="C2829" s="1" t="n">
        <v>45802</v>
      </c>
      <c r="D2829" t="inlineStr">
        <is>
          <t>VÄSTERNORRLANDS LÄN</t>
        </is>
      </c>
      <c r="E2829" t="inlineStr">
        <is>
          <t>SOLLEFTEÅ</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15616-2024</t>
        </is>
      </c>
      <c r="B2830" s="1" t="n">
        <v>45402</v>
      </c>
      <c r="C2830" s="1" t="n">
        <v>45802</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15614-2024</t>
        </is>
      </c>
      <c r="B2831" s="1" t="n">
        <v>45402</v>
      </c>
      <c r="C2831" s="1" t="n">
        <v>45802</v>
      </c>
      <c r="D2831" t="inlineStr">
        <is>
          <t>VÄSTERNORRLANDS LÄN</t>
        </is>
      </c>
      <c r="E2831" t="inlineStr">
        <is>
          <t>SOLLEFTEÅ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15613-2024</t>
        </is>
      </c>
      <c r="B2832" s="1" t="n">
        <v>45402</v>
      </c>
      <c r="C2832" s="1" t="n">
        <v>45802</v>
      </c>
      <c r="D2832" t="inlineStr">
        <is>
          <t>VÄSTERNORRLANDS LÄN</t>
        </is>
      </c>
      <c r="E2832" t="inlineStr">
        <is>
          <t>SOLLEFTEÅ</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15859-2024</t>
        </is>
      </c>
      <c r="B2833" s="1" t="n">
        <v>45405</v>
      </c>
      <c r="C2833" s="1" t="n">
        <v>45802</v>
      </c>
      <c r="D2833" t="inlineStr">
        <is>
          <t>VÄSTERNORRLANDS LÄN</t>
        </is>
      </c>
      <c r="E2833" t="inlineStr">
        <is>
          <t>SOLLEFTEÅ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15863-2024</t>
        </is>
      </c>
      <c r="B2834" s="1" t="n">
        <v>45405</v>
      </c>
      <c r="C2834" s="1" t="n">
        <v>45802</v>
      </c>
      <c r="D2834" t="inlineStr">
        <is>
          <t>VÄSTERNORRLANDS LÄN</t>
        </is>
      </c>
      <c r="E2834" t="inlineStr">
        <is>
          <t>SOLLEFTEÅ</t>
        </is>
      </c>
      <c r="F2834" t="inlineStr">
        <is>
          <t>SCA</t>
        </is>
      </c>
      <c r="G2834" t="n">
        <v>32.2</v>
      </c>
      <c r="H2834" t="n">
        <v>0</v>
      </c>
      <c r="I2834" t="n">
        <v>0</v>
      </c>
      <c r="J2834" t="n">
        <v>0</v>
      </c>
      <c r="K2834" t="n">
        <v>0</v>
      </c>
      <c r="L2834" t="n">
        <v>0</v>
      </c>
      <c r="M2834" t="n">
        <v>0</v>
      </c>
      <c r="N2834" t="n">
        <v>0</v>
      </c>
      <c r="O2834" t="n">
        <v>0</v>
      </c>
      <c r="P2834" t="n">
        <v>0</v>
      </c>
      <c r="Q2834" t="n">
        <v>0</v>
      </c>
      <c r="R2834" s="2" t="inlineStr"/>
    </row>
    <row r="2835" ht="15" customHeight="1">
      <c r="A2835" t="inlineStr">
        <is>
          <t>A 15872-2024</t>
        </is>
      </c>
      <c r="B2835" s="1" t="n">
        <v>45405</v>
      </c>
      <c r="C2835" s="1" t="n">
        <v>45802</v>
      </c>
      <c r="D2835" t="inlineStr">
        <is>
          <t>VÄSTERNORRLANDS LÄN</t>
        </is>
      </c>
      <c r="E2835" t="inlineStr">
        <is>
          <t>SOLLEFTEÅ</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15875-2024</t>
        </is>
      </c>
      <c r="B2836" s="1" t="n">
        <v>45405</v>
      </c>
      <c r="C2836" s="1" t="n">
        <v>45802</v>
      </c>
      <c r="D2836" t="inlineStr">
        <is>
          <t>VÄSTERNORRLANDS LÄN</t>
        </is>
      </c>
      <c r="E2836" t="inlineStr">
        <is>
          <t>SOLLEFTEÅ</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15983-2024</t>
        </is>
      </c>
      <c r="B2837" s="1" t="n">
        <v>45405</v>
      </c>
      <c r="C2837" s="1" t="n">
        <v>45802</v>
      </c>
      <c r="D2837" t="inlineStr">
        <is>
          <t>VÄSTERNORRLANDS LÄN</t>
        </is>
      </c>
      <c r="E2837" t="inlineStr">
        <is>
          <t>SOLLEFTEÅ</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16052-2024</t>
        </is>
      </c>
      <c r="B2838" s="1" t="n">
        <v>45406</v>
      </c>
      <c r="C2838" s="1" t="n">
        <v>45802</v>
      </c>
      <c r="D2838" t="inlineStr">
        <is>
          <t>VÄSTERNORRLANDS LÄN</t>
        </is>
      </c>
      <c r="E2838" t="inlineStr">
        <is>
          <t>SOLLEFTEÅ</t>
        </is>
      </c>
      <c r="F2838" t="inlineStr">
        <is>
          <t>SCA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16051-2024</t>
        </is>
      </c>
      <c r="B2839" s="1" t="n">
        <v>45406</v>
      </c>
      <c r="C2839" s="1" t="n">
        <v>45802</v>
      </c>
      <c r="D2839" t="inlineStr">
        <is>
          <t>VÄSTERNORRLANDS LÄN</t>
        </is>
      </c>
      <c r="E2839" t="inlineStr">
        <is>
          <t>SOLLEFTEÅ</t>
        </is>
      </c>
      <c r="F2839" t="inlineStr">
        <is>
          <t>SCA</t>
        </is>
      </c>
      <c r="G2839" t="n">
        <v>15.7</v>
      </c>
      <c r="H2839" t="n">
        <v>0</v>
      </c>
      <c r="I2839" t="n">
        <v>0</v>
      </c>
      <c r="J2839" t="n">
        <v>0</v>
      </c>
      <c r="K2839" t="n">
        <v>0</v>
      </c>
      <c r="L2839" t="n">
        <v>0</v>
      </c>
      <c r="M2839" t="n">
        <v>0</v>
      </c>
      <c r="N2839" t="n">
        <v>0</v>
      </c>
      <c r="O2839" t="n">
        <v>0</v>
      </c>
      <c r="P2839" t="n">
        <v>0</v>
      </c>
      <c r="Q2839" t="n">
        <v>0</v>
      </c>
      <c r="R2839" s="2" t="inlineStr"/>
    </row>
    <row r="2840" ht="15" customHeight="1">
      <c r="A2840" t="inlineStr">
        <is>
          <t>A 16165-2024</t>
        </is>
      </c>
      <c r="B2840" s="1" t="n">
        <v>45406</v>
      </c>
      <c r="C2840" s="1" t="n">
        <v>45802</v>
      </c>
      <c r="D2840" t="inlineStr">
        <is>
          <t>VÄSTERNORRLANDS LÄN</t>
        </is>
      </c>
      <c r="E2840" t="inlineStr">
        <is>
          <t>SOLLEFTEÅ</t>
        </is>
      </c>
      <c r="G2840" t="n">
        <v>15.2</v>
      </c>
      <c r="H2840" t="n">
        <v>0</v>
      </c>
      <c r="I2840" t="n">
        <v>0</v>
      </c>
      <c r="J2840" t="n">
        <v>0</v>
      </c>
      <c r="K2840" t="n">
        <v>0</v>
      </c>
      <c r="L2840" t="n">
        <v>0</v>
      </c>
      <c r="M2840" t="n">
        <v>0</v>
      </c>
      <c r="N2840" t="n">
        <v>0</v>
      </c>
      <c r="O2840" t="n">
        <v>0</v>
      </c>
      <c r="P2840" t="n">
        <v>0</v>
      </c>
      <c r="Q2840" t="n">
        <v>0</v>
      </c>
      <c r="R2840" s="2" t="inlineStr"/>
    </row>
    <row r="2841" ht="15" customHeight="1">
      <c r="A2841" t="inlineStr">
        <is>
          <t>A 16061-2024</t>
        </is>
      </c>
      <c r="B2841" s="1" t="n">
        <v>45406</v>
      </c>
      <c r="C2841" s="1" t="n">
        <v>45802</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16086-2024</t>
        </is>
      </c>
      <c r="B2842" s="1" t="n">
        <v>45406</v>
      </c>
      <c r="C2842" s="1" t="n">
        <v>45802</v>
      </c>
      <c r="D2842" t="inlineStr">
        <is>
          <t>VÄSTERNORRLANDS LÄN</t>
        </is>
      </c>
      <c r="E2842" t="inlineStr">
        <is>
          <t>SOLLEFTEÅ</t>
        </is>
      </c>
      <c r="G2842" t="n">
        <v>15.9</v>
      </c>
      <c r="H2842" t="n">
        <v>0</v>
      </c>
      <c r="I2842" t="n">
        <v>0</v>
      </c>
      <c r="J2842" t="n">
        <v>0</v>
      </c>
      <c r="K2842" t="n">
        <v>0</v>
      </c>
      <c r="L2842" t="n">
        <v>0</v>
      </c>
      <c r="M2842" t="n">
        <v>0</v>
      </c>
      <c r="N2842" t="n">
        <v>0</v>
      </c>
      <c r="O2842" t="n">
        <v>0</v>
      </c>
      <c r="P2842" t="n">
        <v>0</v>
      </c>
      <c r="Q2842" t="n">
        <v>0</v>
      </c>
      <c r="R2842" s="2" t="inlineStr"/>
    </row>
    <row r="2843" ht="15" customHeight="1">
      <c r="A2843" t="inlineStr">
        <is>
          <t>A 16238-2024</t>
        </is>
      </c>
      <c r="B2843" s="1" t="n">
        <v>45407</v>
      </c>
      <c r="C2843" s="1" t="n">
        <v>45802</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16239-2024</t>
        </is>
      </c>
      <c r="B2844" s="1" t="n">
        <v>45407</v>
      </c>
      <c r="C2844" s="1" t="n">
        <v>45802</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16237-2024</t>
        </is>
      </c>
      <c r="B2845" s="1" t="n">
        <v>45407</v>
      </c>
      <c r="C2845" s="1" t="n">
        <v>45802</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16241-2024</t>
        </is>
      </c>
      <c r="B2846" s="1" t="n">
        <v>45407</v>
      </c>
      <c r="C2846" s="1" t="n">
        <v>45802</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16253-2024</t>
        </is>
      </c>
      <c r="B2847" s="1" t="n">
        <v>45407</v>
      </c>
      <c r="C2847" s="1" t="n">
        <v>45802</v>
      </c>
      <c r="D2847" t="inlineStr">
        <is>
          <t>VÄSTERNORRLANDS LÄN</t>
        </is>
      </c>
      <c r="E2847" t="inlineStr">
        <is>
          <t>SOLLEFTEÅ</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16468-2024</t>
        </is>
      </c>
      <c r="B2848" s="1" t="n">
        <v>45408</v>
      </c>
      <c r="C2848" s="1" t="n">
        <v>45802</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16463-2024</t>
        </is>
      </c>
      <c r="B2849" s="1" t="n">
        <v>45408</v>
      </c>
      <c r="C2849" s="1" t="n">
        <v>45802</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16467-2024</t>
        </is>
      </c>
      <c r="B2850" s="1" t="n">
        <v>45408</v>
      </c>
      <c r="C2850" s="1" t="n">
        <v>45802</v>
      </c>
      <c r="D2850" t="inlineStr">
        <is>
          <t>VÄSTERNORRLANDS LÄN</t>
        </is>
      </c>
      <c r="E2850" t="inlineStr">
        <is>
          <t>SOLLEFTEÅ</t>
        </is>
      </c>
      <c r="F2850" t="inlineStr">
        <is>
          <t>SCA</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16470-2024</t>
        </is>
      </c>
      <c r="B2851" s="1" t="n">
        <v>45408</v>
      </c>
      <c r="C2851" s="1" t="n">
        <v>45802</v>
      </c>
      <c r="D2851" t="inlineStr">
        <is>
          <t>VÄSTERNORRLANDS LÄN</t>
        </is>
      </c>
      <c r="E2851" t="inlineStr">
        <is>
          <t>SOLLEFTEÅ</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16691-2024</t>
        </is>
      </c>
      <c r="B2852" s="1" t="n">
        <v>45408</v>
      </c>
      <c r="C2852" s="1" t="n">
        <v>45802</v>
      </c>
      <c r="D2852" t="inlineStr">
        <is>
          <t>VÄSTERNORRLANDS LÄN</t>
        </is>
      </c>
      <c r="E2852" t="inlineStr">
        <is>
          <t>SOLLEFTEÅ</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16693-2024</t>
        </is>
      </c>
      <c r="B2853" s="1" t="n">
        <v>45408</v>
      </c>
      <c r="C2853" s="1" t="n">
        <v>45802</v>
      </c>
      <c r="D2853" t="inlineStr">
        <is>
          <t>VÄSTERNORRLANDS LÄN</t>
        </is>
      </c>
      <c r="E2853" t="inlineStr">
        <is>
          <t>SOLLEFTEÅ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16710-2024</t>
        </is>
      </c>
      <c r="B2854" s="1" t="n">
        <v>45409</v>
      </c>
      <c r="C2854" s="1" t="n">
        <v>45802</v>
      </c>
      <c r="D2854" t="inlineStr">
        <is>
          <t>VÄSTERNORRLANDS LÄN</t>
        </is>
      </c>
      <c r="E2854" t="inlineStr">
        <is>
          <t>SOLLEFTEÅ</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16703-2024</t>
        </is>
      </c>
      <c r="B2855" s="1" t="n">
        <v>45409</v>
      </c>
      <c r="C2855" s="1" t="n">
        <v>45802</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16701-2024</t>
        </is>
      </c>
      <c r="B2856" s="1" t="n">
        <v>45409</v>
      </c>
      <c r="C2856" s="1" t="n">
        <v>45802</v>
      </c>
      <c r="D2856" t="inlineStr">
        <is>
          <t>VÄSTERNORRLANDS LÄN</t>
        </is>
      </c>
      <c r="E2856" t="inlineStr">
        <is>
          <t>SOLLEFTEÅ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16709-2024</t>
        </is>
      </c>
      <c r="B2857" s="1" t="n">
        <v>45409</v>
      </c>
      <c r="C2857" s="1" t="n">
        <v>45802</v>
      </c>
      <c r="D2857" t="inlineStr">
        <is>
          <t>VÄSTERNORRLANDS LÄN</t>
        </is>
      </c>
      <c r="E2857" t="inlineStr">
        <is>
          <t>SOLLEFTEÅ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16717-2024</t>
        </is>
      </c>
      <c r="B2858" s="1" t="n">
        <v>45409</v>
      </c>
      <c r="C2858" s="1" t="n">
        <v>45802</v>
      </c>
      <c r="D2858" t="inlineStr">
        <is>
          <t>VÄSTERNORRLANDS LÄN</t>
        </is>
      </c>
      <c r="E2858" t="inlineStr">
        <is>
          <t>SOLLEFTEÅ</t>
        </is>
      </c>
      <c r="F2858" t="inlineStr">
        <is>
          <t>SCA</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16726-2024</t>
        </is>
      </c>
      <c r="B2859" s="1" t="n">
        <v>45410</v>
      </c>
      <c r="C2859" s="1" t="n">
        <v>45802</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17172-2024</t>
        </is>
      </c>
      <c r="B2860" s="1" t="n">
        <v>45413</v>
      </c>
      <c r="C2860" s="1" t="n">
        <v>45802</v>
      </c>
      <c r="D2860" t="inlineStr">
        <is>
          <t>VÄSTERNORRLANDS LÄN</t>
        </is>
      </c>
      <c r="E2860" t="inlineStr">
        <is>
          <t>SOLLEFTEÅ</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17120-2024</t>
        </is>
      </c>
      <c r="B2861" s="1" t="n">
        <v>45412</v>
      </c>
      <c r="C2861" s="1" t="n">
        <v>45802</v>
      </c>
      <c r="D2861" t="inlineStr">
        <is>
          <t>VÄSTERNORRLANDS LÄN</t>
        </is>
      </c>
      <c r="E2861" t="inlineStr">
        <is>
          <t>SOLLEFTEÅ</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17173-2024</t>
        </is>
      </c>
      <c r="B2862" s="1" t="n">
        <v>45413</v>
      </c>
      <c r="C2862" s="1" t="n">
        <v>45802</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17111-2024</t>
        </is>
      </c>
      <c r="B2863" s="1" t="n">
        <v>45412</v>
      </c>
      <c r="C2863" s="1" t="n">
        <v>45802</v>
      </c>
      <c r="D2863" t="inlineStr">
        <is>
          <t>VÄSTERNORRLANDS LÄN</t>
        </is>
      </c>
      <c r="E2863" t="inlineStr">
        <is>
          <t>SOLLEFTEÅ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17170-2024</t>
        </is>
      </c>
      <c r="B2864" s="1" t="n">
        <v>45413</v>
      </c>
      <c r="C2864" s="1" t="n">
        <v>45802</v>
      </c>
      <c r="D2864" t="inlineStr">
        <is>
          <t>VÄSTERNORRLANDS LÄN</t>
        </is>
      </c>
      <c r="E2864" t="inlineStr">
        <is>
          <t>SOLLEFTEÅ</t>
        </is>
      </c>
      <c r="F2864" t="inlineStr">
        <is>
          <t>SCA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17209-2024</t>
        </is>
      </c>
      <c r="B2865" s="1" t="n">
        <v>45414</v>
      </c>
      <c r="C2865" s="1" t="n">
        <v>45802</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17263-2024</t>
        </is>
      </c>
      <c r="B2866" s="1" t="n">
        <v>45414</v>
      </c>
      <c r="C2866" s="1" t="n">
        <v>45802</v>
      </c>
      <c r="D2866" t="inlineStr">
        <is>
          <t>VÄSTERNORRLANDS LÄN</t>
        </is>
      </c>
      <c r="E2866" t="inlineStr">
        <is>
          <t>SOLLEFTEÅ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17585-2024</t>
        </is>
      </c>
      <c r="B2867" s="1" t="n">
        <v>45416</v>
      </c>
      <c r="C2867" s="1" t="n">
        <v>45802</v>
      </c>
      <c r="D2867" t="inlineStr">
        <is>
          <t>VÄSTERNORRLANDS LÄN</t>
        </is>
      </c>
      <c r="E2867" t="inlineStr">
        <is>
          <t>SOLLEFTEÅ</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17512-2024</t>
        </is>
      </c>
      <c r="B2868" s="1" t="n">
        <v>45415</v>
      </c>
      <c r="C2868" s="1" t="n">
        <v>45802</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17822-2024</t>
        </is>
      </c>
      <c r="B2869" s="1" t="n">
        <v>45419</v>
      </c>
      <c r="C2869" s="1" t="n">
        <v>45802</v>
      </c>
      <c r="D2869" t="inlineStr">
        <is>
          <t>VÄSTERNORRLANDS LÄN</t>
        </is>
      </c>
      <c r="E2869" t="inlineStr">
        <is>
          <t>SOLLEFTEÅ</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17826-2024</t>
        </is>
      </c>
      <c r="B2870" s="1" t="n">
        <v>45419</v>
      </c>
      <c r="C2870" s="1" t="n">
        <v>45802</v>
      </c>
      <c r="D2870" t="inlineStr">
        <is>
          <t>VÄSTERNORRLANDS LÄN</t>
        </is>
      </c>
      <c r="E2870" t="inlineStr">
        <is>
          <t>SOLLEFTEÅ</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18003-2024</t>
        </is>
      </c>
      <c r="B2871" s="1" t="n">
        <v>45420</v>
      </c>
      <c r="C2871" s="1" t="n">
        <v>45802</v>
      </c>
      <c r="D2871" t="inlineStr">
        <is>
          <t>VÄSTERNORRLANDS LÄN</t>
        </is>
      </c>
      <c r="E2871" t="inlineStr">
        <is>
          <t>SOLLEFTEÅ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18226-2024</t>
        </is>
      </c>
      <c r="B2872" s="1" t="n">
        <v>45420</v>
      </c>
      <c r="C2872" s="1" t="n">
        <v>45802</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18220-2024</t>
        </is>
      </c>
      <c r="B2873" s="1" t="n">
        <v>45420</v>
      </c>
      <c r="C2873" s="1" t="n">
        <v>45802</v>
      </c>
      <c r="D2873" t="inlineStr">
        <is>
          <t>VÄSTERNORRLANDS LÄN</t>
        </is>
      </c>
      <c r="E2873" t="inlineStr">
        <is>
          <t>SOLLEFTEÅ</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18224-2024</t>
        </is>
      </c>
      <c r="B2874" s="1" t="n">
        <v>45421</v>
      </c>
      <c r="C2874" s="1" t="n">
        <v>45802</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18362-2024</t>
        </is>
      </c>
      <c r="B2875" s="1" t="n">
        <v>45422</v>
      </c>
      <c r="C2875" s="1" t="n">
        <v>45802</v>
      </c>
      <c r="D2875" t="inlineStr">
        <is>
          <t>VÄSTERNORRLANDS LÄN</t>
        </is>
      </c>
      <c r="E2875" t="inlineStr">
        <is>
          <t>SOLLEFTEÅ</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18366-2024</t>
        </is>
      </c>
      <c r="B2876" s="1" t="n">
        <v>45422</v>
      </c>
      <c r="C2876" s="1" t="n">
        <v>45802</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18363-2024</t>
        </is>
      </c>
      <c r="B2877" s="1" t="n">
        <v>45422</v>
      </c>
      <c r="C2877" s="1" t="n">
        <v>45802</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18299-2024</t>
        </is>
      </c>
      <c r="B2878" s="1" t="n">
        <v>45422</v>
      </c>
      <c r="C2878" s="1" t="n">
        <v>45802</v>
      </c>
      <c r="D2878" t="inlineStr">
        <is>
          <t>VÄSTERNORRLANDS LÄN</t>
        </is>
      </c>
      <c r="E2878" t="inlineStr">
        <is>
          <t>SOLLEFTEÅ</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18365-2024</t>
        </is>
      </c>
      <c r="B2879" s="1" t="n">
        <v>45422</v>
      </c>
      <c r="C2879" s="1" t="n">
        <v>45802</v>
      </c>
      <c r="D2879" t="inlineStr">
        <is>
          <t>VÄSTERNORRLANDS LÄN</t>
        </is>
      </c>
      <c r="E2879" t="inlineStr">
        <is>
          <t>SOLLEFTEÅ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18364-2024</t>
        </is>
      </c>
      <c r="B2880" s="1" t="n">
        <v>45422</v>
      </c>
      <c r="C2880" s="1" t="n">
        <v>45802</v>
      </c>
      <c r="D2880" t="inlineStr">
        <is>
          <t>VÄSTERNORRLANDS LÄN</t>
        </is>
      </c>
      <c r="E2880" t="inlineStr">
        <is>
          <t>SOLLEFTEÅ</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18623-2024</t>
        </is>
      </c>
      <c r="B2881" s="1" t="n">
        <v>45426</v>
      </c>
      <c r="C2881" s="1" t="n">
        <v>45802</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18436-2024</t>
        </is>
      </c>
      <c r="B2882" s="1" t="n">
        <v>45425</v>
      </c>
      <c r="C2882" s="1" t="n">
        <v>45802</v>
      </c>
      <c r="D2882" t="inlineStr">
        <is>
          <t>VÄSTERNORRLANDS LÄN</t>
        </is>
      </c>
      <c r="E2882" t="inlineStr">
        <is>
          <t>SOLLEFTEÅ</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18587-2024</t>
        </is>
      </c>
      <c r="B2883" s="1" t="n">
        <v>45425</v>
      </c>
      <c r="C2883" s="1" t="n">
        <v>45802</v>
      </c>
      <c r="D2883" t="inlineStr">
        <is>
          <t>VÄSTERNORRLANDS LÄN</t>
        </is>
      </c>
      <c r="E2883" t="inlineStr">
        <is>
          <t>SOLLEFTEÅ</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18620-2024</t>
        </is>
      </c>
      <c r="B2884" s="1" t="n">
        <v>45425</v>
      </c>
      <c r="C2884" s="1" t="n">
        <v>45802</v>
      </c>
      <c r="D2884" t="inlineStr">
        <is>
          <t>VÄSTERNORRLANDS LÄN</t>
        </is>
      </c>
      <c r="E2884" t="inlineStr">
        <is>
          <t>SOLLEFTEÅ</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18648-2024</t>
        </is>
      </c>
      <c r="B2885" s="1" t="n">
        <v>45426</v>
      </c>
      <c r="C2885" s="1" t="n">
        <v>45802</v>
      </c>
      <c r="D2885" t="inlineStr">
        <is>
          <t>VÄSTERNORRLANDS LÄN</t>
        </is>
      </c>
      <c r="E2885" t="inlineStr">
        <is>
          <t>SOLLEFTEÅ</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18621-2024</t>
        </is>
      </c>
      <c r="B2886" s="1" t="n">
        <v>45425</v>
      </c>
      <c r="C2886" s="1" t="n">
        <v>45802</v>
      </c>
      <c r="D2886" t="inlineStr">
        <is>
          <t>VÄSTERNORRLANDS LÄN</t>
        </is>
      </c>
      <c r="E2886" t="inlineStr">
        <is>
          <t>SOLLEFTEÅ</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18649-2024</t>
        </is>
      </c>
      <c r="B2887" s="1" t="n">
        <v>45426</v>
      </c>
      <c r="C2887" s="1" t="n">
        <v>45802</v>
      </c>
      <c r="D2887" t="inlineStr">
        <is>
          <t>VÄSTERNORRLANDS LÄN</t>
        </is>
      </c>
      <c r="E2887" t="inlineStr">
        <is>
          <t>SOLLEFTEÅ</t>
        </is>
      </c>
      <c r="F2887" t="inlineStr">
        <is>
          <t>SCA</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18622-2024</t>
        </is>
      </c>
      <c r="B2888" s="1" t="n">
        <v>45426</v>
      </c>
      <c r="C2888" s="1" t="n">
        <v>45802</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18672-2024</t>
        </is>
      </c>
      <c r="B2889" s="1" t="n">
        <v>45425</v>
      </c>
      <c r="C2889" s="1" t="n">
        <v>45802</v>
      </c>
      <c r="D2889" t="inlineStr">
        <is>
          <t>VÄSTERNORRLANDS LÄN</t>
        </is>
      </c>
      <c r="E2889" t="inlineStr">
        <is>
          <t>SOLLEFTEÅ</t>
        </is>
      </c>
      <c r="G2889" t="n">
        <v>22.8</v>
      </c>
      <c r="H2889" t="n">
        <v>0</v>
      </c>
      <c r="I2889" t="n">
        <v>0</v>
      </c>
      <c r="J2889" t="n">
        <v>0</v>
      </c>
      <c r="K2889" t="n">
        <v>0</v>
      </c>
      <c r="L2889" t="n">
        <v>0</v>
      </c>
      <c r="M2889" t="n">
        <v>0</v>
      </c>
      <c r="N2889" t="n">
        <v>0</v>
      </c>
      <c r="O2889" t="n">
        <v>0</v>
      </c>
      <c r="P2889" t="n">
        <v>0</v>
      </c>
      <c r="Q2889" t="n">
        <v>0</v>
      </c>
      <c r="R2889" s="2" t="inlineStr"/>
    </row>
    <row r="2890" ht="15" customHeight="1">
      <c r="A2890" t="inlineStr">
        <is>
          <t>A 19067-2024</t>
        </is>
      </c>
      <c r="B2890" s="1" t="n">
        <v>45427</v>
      </c>
      <c r="C2890" s="1" t="n">
        <v>45802</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19064-2024</t>
        </is>
      </c>
      <c r="B2891" s="1" t="n">
        <v>45427</v>
      </c>
      <c r="C2891" s="1" t="n">
        <v>45802</v>
      </c>
      <c r="D2891" t="inlineStr">
        <is>
          <t>VÄSTERNORRLANDS LÄN</t>
        </is>
      </c>
      <c r="E2891" t="inlineStr">
        <is>
          <t>SOLLEFTEÅ</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19065-2024</t>
        </is>
      </c>
      <c r="B2892" s="1" t="n">
        <v>45427</v>
      </c>
      <c r="C2892" s="1" t="n">
        <v>45802</v>
      </c>
      <c r="D2892" t="inlineStr">
        <is>
          <t>VÄSTERNORRLANDS LÄN</t>
        </is>
      </c>
      <c r="E2892" t="inlineStr">
        <is>
          <t>SOLLEFTEÅ</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19082-2024</t>
        </is>
      </c>
      <c r="B2893" s="1" t="n">
        <v>45428</v>
      </c>
      <c r="C2893" s="1" t="n">
        <v>45802</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19207-2024</t>
        </is>
      </c>
      <c r="B2894" s="1" t="n">
        <v>45428</v>
      </c>
      <c r="C2894" s="1" t="n">
        <v>45802</v>
      </c>
      <c r="D2894" t="inlineStr">
        <is>
          <t>VÄSTERNORRLANDS LÄN</t>
        </is>
      </c>
      <c r="E2894" t="inlineStr">
        <is>
          <t>SOLLEFTEÅ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19326-2024</t>
        </is>
      </c>
      <c r="B2895" s="1" t="n">
        <v>45428</v>
      </c>
      <c r="C2895" s="1" t="n">
        <v>45802</v>
      </c>
      <c r="D2895" t="inlineStr">
        <is>
          <t>VÄSTERNORRLANDS LÄN</t>
        </is>
      </c>
      <c r="E2895" t="inlineStr">
        <is>
          <t>SOLLEFTEÅ</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19429-2024</t>
        </is>
      </c>
      <c r="B2896" s="1" t="n">
        <v>45429</v>
      </c>
      <c r="C2896" s="1" t="n">
        <v>45802</v>
      </c>
      <c r="D2896" t="inlineStr">
        <is>
          <t>VÄSTERNORRLANDS LÄN</t>
        </is>
      </c>
      <c r="E2896" t="inlineStr">
        <is>
          <t>SOLLEFTEÅ</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19577-2024</t>
        </is>
      </c>
      <c r="B2897" s="1" t="n">
        <v>45429</v>
      </c>
      <c r="C2897" s="1" t="n">
        <v>45802</v>
      </c>
      <c r="D2897" t="inlineStr">
        <is>
          <t>VÄSTERNORRLANDS LÄN</t>
        </is>
      </c>
      <c r="E2897" t="inlineStr">
        <is>
          <t>SOLLEFTEÅ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19556-2024</t>
        </is>
      </c>
      <c r="B2898" s="1" t="n">
        <v>45429</v>
      </c>
      <c r="C2898" s="1" t="n">
        <v>45802</v>
      </c>
      <c r="D2898" t="inlineStr">
        <is>
          <t>VÄSTERNORRLANDS LÄN</t>
        </is>
      </c>
      <c r="E2898" t="inlineStr">
        <is>
          <t>SOLLEFTEÅ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19580-2024</t>
        </is>
      </c>
      <c r="B2899" s="1" t="n">
        <v>45429</v>
      </c>
      <c r="C2899" s="1" t="n">
        <v>45802</v>
      </c>
      <c r="D2899" t="inlineStr">
        <is>
          <t>VÄSTERNORRLANDS LÄN</t>
        </is>
      </c>
      <c r="E2899" t="inlineStr">
        <is>
          <t>SOLLEFTEÅ</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19571-2024</t>
        </is>
      </c>
      <c r="B2900" s="1" t="n">
        <v>45429</v>
      </c>
      <c r="C2900" s="1" t="n">
        <v>45802</v>
      </c>
      <c r="D2900" t="inlineStr">
        <is>
          <t>VÄSTERNORRLANDS LÄN</t>
        </is>
      </c>
      <c r="E2900" t="inlineStr">
        <is>
          <t>SOLLEFTEÅ</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19602-2024</t>
        </is>
      </c>
      <c r="B2901" s="1" t="n">
        <v>45431</v>
      </c>
      <c r="C2901" s="1" t="n">
        <v>45802</v>
      </c>
      <c r="D2901" t="inlineStr">
        <is>
          <t>VÄSTERNORRLANDS LÄN</t>
        </is>
      </c>
      <c r="E2901" t="inlineStr">
        <is>
          <t>SOLLEFTEÅ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20002-2024</t>
        </is>
      </c>
      <c r="B2902" s="1" t="n">
        <v>45433</v>
      </c>
      <c r="C2902" s="1" t="n">
        <v>45802</v>
      </c>
      <c r="D2902" t="inlineStr">
        <is>
          <t>VÄSTERNORRLANDS LÄN</t>
        </is>
      </c>
      <c r="E2902" t="inlineStr">
        <is>
          <t>SOLLEFTEÅ</t>
        </is>
      </c>
      <c r="F2902" t="inlineStr">
        <is>
          <t>SCA</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20022-2024</t>
        </is>
      </c>
      <c r="B2903" s="1" t="n">
        <v>45434</v>
      </c>
      <c r="C2903" s="1" t="n">
        <v>45802</v>
      </c>
      <c r="D2903" t="inlineStr">
        <is>
          <t>VÄSTERNORRLANDS LÄN</t>
        </is>
      </c>
      <c r="E2903" t="inlineStr">
        <is>
          <t>SOLLEFTEÅ</t>
        </is>
      </c>
      <c r="F2903" t="inlineStr">
        <is>
          <t>Holmen skog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20025-2024</t>
        </is>
      </c>
      <c r="B2904" s="1" t="n">
        <v>45434</v>
      </c>
      <c r="C2904" s="1" t="n">
        <v>45802</v>
      </c>
      <c r="D2904" t="inlineStr">
        <is>
          <t>VÄSTERNORRLANDS LÄN</t>
        </is>
      </c>
      <c r="E2904" t="inlineStr">
        <is>
          <t>SOLLEFTEÅ</t>
        </is>
      </c>
      <c r="F2904" t="inlineStr">
        <is>
          <t>Holmen skog AB</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20066-2024</t>
        </is>
      </c>
      <c r="B2905" s="1" t="n">
        <v>45434</v>
      </c>
      <c r="C2905" s="1" t="n">
        <v>45802</v>
      </c>
      <c r="D2905" t="inlineStr">
        <is>
          <t>VÄSTERNORRLANDS LÄN</t>
        </is>
      </c>
      <c r="E2905" t="inlineStr">
        <is>
          <t>SOLLEFTEÅ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20223-2024</t>
        </is>
      </c>
      <c r="B2906" s="1" t="n">
        <v>45434</v>
      </c>
      <c r="C2906" s="1" t="n">
        <v>45802</v>
      </c>
      <c r="D2906" t="inlineStr">
        <is>
          <t>VÄSTERNORRLANDS LÄN</t>
        </is>
      </c>
      <c r="E2906" t="inlineStr">
        <is>
          <t>SOLLEFTEÅ</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20281-2024</t>
        </is>
      </c>
      <c r="B2907" s="1" t="n">
        <v>45435</v>
      </c>
      <c r="C2907" s="1" t="n">
        <v>45802</v>
      </c>
      <c r="D2907" t="inlineStr">
        <is>
          <t>VÄSTERNORRLANDS LÄN</t>
        </is>
      </c>
      <c r="E2907" t="inlineStr">
        <is>
          <t>SOLLEFTEÅ</t>
        </is>
      </c>
      <c r="F2907" t="inlineStr">
        <is>
          <t>SCA</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20280-2024</t>
        </is>
      </c>
      <c r="B2908" s="1" t="n">
        <v>45435</v>
      </c>
      <c r="C2908" s="1" t="n">
        <v>45802</v>
      </c>
      <c r="D2908" t="inlineStr">
        <is>
          <t>VÄSTERNORRLANDS LÄN</t>
        </is>
      </c>
      <c r="E2908" t="inlineStr">
        <is>
          <t>SOLLEFTEÅ</t>
        </is>
      </c>
      <c r="F2908" t="inlineStr">
        <is>
          <t>SCA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20506-2024</t>
        </is>
      </c>
      <c r="B2909" s="1" t="n">
        <v>45436</v>
      </c>
      <c r="C2909" s="1" t="n">
        <v>45802</v>
      </c>
      <c r="D2909" t="inlineStr">
        <is>
          <t>VÄSTERNORRLANDS LÄN</t>
        </is>
      </c>
      <c r="E2909" t="inlineStr">
        <is>
          <t>SOLLEFTEÅ</t>
        </is>
      </c>
      <c r="F2909" t="inlineStr">
        <is>
          <t>SCA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20354-2024</t>
        </is>
      </c>
      <c r="B2910" s="1" t="n">
        <v>45435</v>
      </c>
      <c r="C2910" s="1" t="n">
        <v>45802</v>
      </c>
      <c r="D2910" t="inlineStr">
        <is>
          <t>VÄSTERNORRLANDS LÄN</t>
        </is>
      </c>
      <c r="E2910" t="inlineStr">
        <is>
          <t>SOLLEFTEÅ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20516-2024</t>
        </is>
      </c>
      <c r="B2911" s="1" t="n">
        <v>45435</v>
      </c>
      <c r="C2911" s="1" t="n">
        <v>45802</v>
      </c>
      <c r="D2911" t="inlineStr">
        <is>
          <t>VÄSTERNORRLANDS LÄN</t>
        </is>
      </c>
      <c r="E2911" t="inlineStr">
        <is>
          <t>SOLLEFTEÅ</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20507-2024</t>
        </is>
      </c>
      <c r="B2912" s="1" t="n">
        <v>45435</v>
      </c>
      <c r="C2912" s="1" t="n">
        <v>45802</v>
      </c>
      <c r="D2912" t="inlineStr">
        <is>
          <t>VÄSTERNORRLANDS LÄN</t>
        </is>
      </c>
      <c r="E2912" t="inlineStr">
        <is>
          <t>SOLLEFTEÅ</t>
        </is>
      </c>
      <c r="F2912" t="inlineStr">
        <is>
          <t>SCA</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20515-2024</t>
        </is>
      </c>
      <c r="B2913" s="1" t="n">
        <v>45435</v>
      </c>
      <c r="C2913" s="1" t="n">
        <v>45802</v>
      </c>
      <c r="D2913" t="inlineStr">
        <is>
          <t>VÄSTERNORRLANDS LÄN</t>
        </is>
      </c>
      <c r="E2913" t="inlineStr">
        <is>
          <t>SOLLEFTEÅ</t>
        </is>
      </c>
      <c r="F2913" t="inlineStr">
        <is>
          <t>SCA</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20520-2024</t>
        </is>
      </c>
      <c r="B2914" s="1" t="n">
        <v>45435</v>
      </c>
      <c r="C2914" s="1" t="n">
        <v>45802</v>
      </c>
      <c r="D2914" t="inlineStr">
        <is>
          <t>VÄSTERNORRLANDS LÄN</t>
        </is>
      </c>
      <c r="E2914" t="inlineStr">
        <is>
          <t>SOLLEFTEÅ</t>
        </is>
      </c>
      <c r="F2914" t="inlineStr">
        <is>
          <t>SCA</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20604-2024</t>
        </is>
      </c>
      <c r="B2915" s="1" t="n">
        <v>45436</v>
      </c>
      <c r="C2915" s="1" t="n">
        <v>45802</v>
      </c>
      <c r="D2915" t="inlineStr">
        <is>
          <t>VÄSTERNORRLANDS LÄN</t>
        </is>
      </c>
      <c r="E2915" t="inlineStr">
        <is>
          <t>SOLLEFTEÅ</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20764-2024</t>
        </is>
      </c>
      <c r="B2916" s="1" t="n">
        <v>45436</v>
      </c>
      <c r="C2916" s="1" t="n">
        <v>45802</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20799-2024</t>
        </is>
      </c>
      <c r="B2917" s="1" t="n">
        <v>45438</v>
      </c>
      <c r="C2917" s="1" t="n">
        <v>45802</v>
      </c>
      <c r="D2917" t="inlineStr">
        <is>
          <t>VÄSTERNORRLANDS LÄN</t>
        </is>
      </c>
      <c r="E2917" t="inlineStr">
        <is>
          <t>SOLLEFTEÅ</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21031-2024</t>
        </is>
      </c>
      <c r="B2918" s="1" t="n">
        <v>45439</v>
      </c>
      <c r="C2918" s="1" t="n">
        <v>45802</v>
      </c>
      <c r="D2918" t="inlineStr">
        <is>
          <t>VÄSTERNORRLANDS LÄN</t>
        </is>
      </c>
      <c r="E2918" t="inlineStr">
        <is>
          <t>SOLLEFTEÅ</t>
        </is>
      </c>
      <c r="F2918" t="inlineStr">
        <is>
          <t>Holmen skog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21098-2024</t>
        </is>
      </c>
      <c r="B2919" s="1" t="n">
        <v>45440</v>
      </c>
      <c r="C2919" s="1" t="n">
        <v>45802</v>
      </c>
      <c r="D2919" t="inlineStr">
        <is>
          <t>VÄSTERNORRLANDS LÄN</t>
        </is>
      </c>
      <c r="E2919" t="inlineStr">
        <is>
          <t>SOLLEFTEÅ</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21106-2024</t>
        </is>
      </c>
      <c r="B2920" s="1" t="n">
        <v>45440</v>
      </c>
      <c r="C2920" s="1" t="n">
        <v>45802</v>
      </c>
      <c r="D2920" t="inlineStr">
        <is>
          <t>VÄSTERNORRLANDS LÄN</t>
        </is>
      </c>
      <c r="E2920" t="inlineStr">
        <is>
          <t>SOLLEFTEÅ</t>
        </is>
      </c>
      <c r="F2920" t="inlineStr">
        <is>
          <t>SCA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21096-2024</t>
        </is>
      </c>
      <c r="B2921" s="1" t="n">
        <v>45440</v>
      </c>
      <c r="C2921" s="1" t="n">
        <v>45802</v>
      </c>
      <c r="D2921" t="inlineStr">
        <is>
          <t>VÄSTERNORRLANDS LÄN</t>
        </is>
      </c>
      <c r="E2921" t="inlineStr">
        <is>
          <t>SOLLEFTEÅ</t>
        </is>
      </c>
      <c r="F2921" t="inlineStr">
        <is>
          <t>SCA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21100-2024</t>
        </is>
      </c>
      <c r="B2922" s="1" t="n">
        <v>45440</v>
      </c>
      <c r="C2922" s="1" t="n">
        <v>45802</v>
      </c>
      <c r="D2922" t="inlineStr">
        <is>
          <t>VÄSTERNORRLANDS LÄN</t>
        </is>
      </c>
      <c r="E2922" t="inlineStr">
        <is>
          <t>SOLLEFTEÅ</t>
        </is>
      </c>
      <c r="F2922" t="inlineStr">
        <is>
          <t>SCA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21092-2024</t>
        </is>
      </c>
      <c r="B2923" s="1" t="n">
        <v>45440</v>
      </c>
      <c r="C2923" s="1" t="n">
        <v>45802</v>
      </c>
      <c r="D2923" t="inlineStr">
        <is>
          <t>VÄSTERNORRLANDS LÄN</t>
        </is>
      </c>
      <c r="E2923" t="inlineStr">
        <is>
          <t>SOLLEFTEÅ</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21099-2024</t>
        </is>
      </c>
      <c r="B2924" s="1" t="n">
        <v>45439</v>
      </c>
      <c r="C2924" s="1" t="n">
        <v>45802</v>
      </c>
      <c r="D2924" t="inlineStr">
        <is>
          <t>VÄSTERNORRLANDS LÄN</t>
        </is>
      </c>
      <c r="E2924" t="inlineStr">
        <is>
          <t>SOLLEFTEÅ</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21095-2024</t>
        </is>
      </c>
      <c r="B2925" s="1" t="n">
        <v>45440</v>
      </c>
      <c r="C2925" s="1" t="n">
        <v>45802</v>
      </c>
      <c r="D2925" t="inlineStr">
        <is>
          <t>VÄSTERNORRLANDS LÄN</t>
        </is>
      </c>
      <c r="E2925" t="inlineStr">
        <is>
          <t>SOLLEFTEÅ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21087-2024</t>
        </is>
      </c>
      <c r="B2926" s="1" t="n">
        <v>45440</v>
      </c>
      <c r="C2926" s="1" t="n">
        <v>45802</v>
      </c>
      <c r="D2926" t="inlineStr">
        <is>
          <t>VÄSTERNORRLANDS LÄN</t>
        </is>
      </c>
      <c r="E2926" t="inlineStr">
        <is>
          <t>SOLLEFTEÅ</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21101-2024</t>
        </is>
      </c>
      <c r="B2927" s="1" t="n">
        <v>45439</v>
      </c>
      <c r="C2927" s="1" t="n">
        <v>45802</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21137-2024</t>
        </is>
      </c>
      <c r="B2928" s="1" t="n">
        <v>45440</v>
      </c>
      <c r="C2928" s="1" t="n">
        <v>45802</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21364-2024</t>
        </is>
      </c>
      <c r="B2929" s="1" t="n">
        <v>45441</v>
      </c>
      <c r="C2929" s="1" t="n">
        <v>45802</v>
      </c>
      <c r="D2929" t="inlineStr">
        <is>
          <t>VÄSTERNORRLANDS LÄN</t>
        </is>
      </c>
      <c r="E2929" t="inlineStr">
        <is>
          <t>SOLLEFTEÅ</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21363-2024</t>
        </is>
      </c>
      <c r="B2930" s="1" t="n">
        <v>45441</v>
      </c>
      <c r="C2930" s="1" t="n">
        <v>45802</v>
      </c>
      <c r="D2930" t="inlineStr">
        <is>
          <t>VÄSTERNORRLANDS LÄN</t>
        </is>
      </c>
      <c r="E2930" t="inlineStr">
        <is>
          <t>SOLLEFTEÅ</t>
        </is>
      </c>
      <c r="F2930" t="inlineStr">
        <is>
          <t>SCA</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21384-2024</t>
        </is>
      </c>
      <c r="B2931" s="1" t="n">
        <v>45440</v>
      </c>
      <c r="C2931" s="1" t="n">
        <v>45802</v>
      </c>
      <c r="D2931" t="inlineStr">
        <is>
          <t>VÄSTERNORRLANDS LÄN</t>
        </is>
      </c>
      <c r="E2931" t="inlineStr">
        <is>
          <t>SOLLEFTEÅ</t>
        </is>
      </c>
      <c r="F2931" t="inlineStr">
        <is>
          <t>SCA</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21852-2024</t>
        </is>
      </c>
      <c r="B2932" s="1" t="n">
        <v>45443</v>
      </c>
      <c r="C2932" s="1" t="n">
        <v>45802</v>
      </c>
      <c r="D2932" t="inlineStr">
        <is>
          <t>VÄSTERNORRLANDS LÄN</t>
        </is>
      </c>
      <c r="E2932" t="inlineStr">
        <is>
          <t>SOLLEFTEÅ</t>
        </is>
      </c>
      <c r="F2932" t="inlineStr">
        <is>
          <t>SCA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22100-2024</t>
        </is>
      </c>
      <c r="B2933" s="1" t="n">
        <v>45444</v>
      </c>
      <c r="C2933" s="1" t="n">
        <v>45802</v>
      </c>
      <c r="D2933" t="inlineStr">
        <is>
          <t>VÄSTERNORRLANDS LÄN</t>
        </is>
      </c>
      <c r="E2933" t="inlineStr">
        <is>
          <t>SOLLEFTEÅ</t>
        </is>
      </c>
      <c r="F2933" t="inlineStr">
        <is>
          <t>SCA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22118-2024</t>
        </is>
      </c>
      <c r="B2934" s="1" t="n">
        <v>45443</v>
      </c>
      <c r="C2934" s="1" t="n">
        <v>45802</v>
      </c>
      <c r="D2934" t="inlineStr">
        <is>
          <t>VÄSTERNORRLANDS LÄN</t>
        </is>
      </c>
      <c r="E2934" t="inlineStr">
        <is>
          <t>SOLLEFTEÅ</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22471-2024</t>
        </is>
      </c>
      <c r="B2935" s="1" t="n">
        <v>45446</v>
      </c>
      <c r="C2935" s="1" t="n">
        <v>45802</v>
      </c>
      <c r="D2935" t="inlineStr">
        <is>
          <t>VÄSTERNORRLANDS LÄN</t>
        </is>
      </c>
      <c r="E2935" t="inlineStr">
        <is>
          <t>SOLLEFTEÅ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22475-2024</t>
        </is>
      </c>
      <c r="B2936" s="1" t="n">
        <v>45447</v>
      </c>
      <c r="C2936" s="1" t="n">
        <v>45802</v>
      </c>
      <c r="D2936" t="inlineStr">
        <is>
          <t>VÄSTERNORRLANDS LÄN</t>
        </is>
      </c>
      <c r="E2936" t="inlineStr">
        <is>
          <t>SOLLEFTEÅ</t>
        </is>
      </c>
      <c r="F2936" t="inlineStr">
        <is>
          <t>SCA</t>
        </is>
      </c>
      <c r="G2936" t="n">
        <v>18.5</v>
      </c>
      <c r="H2936" t="n">
        <v>0</v>
      </c>
      <c r="I2936" t="n">
        <v>0</v>
      </c>
      <c r="J2936" t="n">
        <v>0</v>
      </c>
      <c r="K2936" t="n">
        <v>0</v>
      </c>
      <c r="L2936" t="n">
        <v>0</v>
      </c>
      <c r="M2936" t="n">
        <v>0</v>
      </c>
      <c r="N2936" t="n">
        <v>0</v>
      </c>
      <c r="O2936" t="n">
        <v>0</v>
      </c>
      <c r="P2936" t="n">
        <v>0</v>
      </c>
      <c r="Q2936" t="n">
        <v>0</v>
      </c>
      <c r="R2936" s="2" t="inlineStr"/>
    </row>
    <row r="2937" ht="15" customHeight="1">
      <c r="A2937" t="inlineStr">
        <is>
          <t>A 22473-2024</t>
        </is>
      </c>
      <c r="B2937" s="1" t="n">
        <v>45446</v>
      </c>
      <c r="C2937" s="1" t="n">
        <v>45802</v>
      </c>
      <c r="D2937" t="inlineStr">
        <is>
          <t>VÄSTERNORRLANDS LÄN</t>
        </is>
      </c>
      <c r="E2937" t="inlineStr">
        <is>
          <t>SOLLEFTEÅ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22457-2024</t>
        </is>
      </c>
      <c r="B2938" s="1" t="n">
        <v>45446</v>
      </c>
      <c r="C2938" s="1" t="n">
        <v>45802</v>
      </c>
      <c r="D2938" t="inlineStr">
        <is>
          <t>VÄSTERNORRLANDS LÄN</t>
        </is>
      </c>
      <c r="E2938" t="inlineStr">
        <is>
          <t>SOLLEFTEÅ</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22208-2024</t>
        </is>
      </c>
      <c r="B2939" s="1" t="n">
        <v>45446</v>
      </c>
      <c r="C2939" s="1" t="n">
        <v>45802</v>
      </c>
      <c r="D2939" t="inlineStr">
        <is>
          <t>VÄSTERNORRLANDS LÄN</t>
        </is>
      </c>
      <c r="E2939" t="inlineStr">
        <is>
          <t>SOLLEFTEÅ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22456-2024</t>
        </is>
      </c>
      <c r="B2940" s="1" t="n">
        <v>45447</v>
      </c>
      <c r="C2940" s="1" t="n">
        <v>45802</v>
      </c>
      <c r="D2940" t="inlineStr">
        <is>
          <t>VÄSTERNORRLANDS LÄN</t>
        </is>
      </c>
      <c r="E2940" t="inlineStr">
        <is>
          <t>SOLLEFTEÅ</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22468-2024</t>
        </is>
      </c>
      <c r="B2941" s="1" t="n">
        <v>45447</v>
      </c>
      <c r="C2941" s="1" t="n">
        <v>45802</v>
      </c>
      <c r="D2941" t="inlineStr">
        <is>
          <t>VÄSTERNORRLANDS LÄN</t>
        </is>
      </c>
      <c r="E2941" t="inlineStr">
        <is>
          <t>SOLLEFTEÅ</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22472-2024</t>
        </is>
      </c>
      <c r="B2942" s="1" t="n">
        <v>45447</v>
      </c>
      <c r="C2942" s="1" t="n">
        <v>45802</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22476-2024</t>
        </is>
      </c>
      <c r="B2943" s="1" t="n">
        <v>45446</v>
      </c>
      <c r="C2943" s="1" t="n">
        <v>45802</v>
      </c>
      <c r="D2943" t="inlineStr">
        <is>
          <t>VÄSTERNORRLANDS LÄN</t>
        </is>
      </c>
      <c r="E2943" t="inlineStr">
        <is>
          <t>SOLLEFTEÅ</t>
        </is>
      </c>
      <c r="F2943" t="inlineStr">
        <is>
          <t>SCA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22462-2024</t>
        </is>
      </c>
      <c r="B2944" s="1" t="n">
        <v>45446</v>
      </c>
      <c r="C2944" s="1" t="n">
        <v>45802</v>
      </c>
      <c r="D2944" t="inlineStr">
        <is>
          <t>VÄSTERNORRLANDS LÄN</t>
        </is>
      </c>
      <c r="E2944" t="inlineStr">
        <is>
          <t>SOLLEFTEÅ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22243-2024</t>
        </is>
      </c>
      <c r="B2945" s="1" t="n">
        <v>45446</v>
      </c>
      <c r="C2945" s="1" t="n">
        <v>45802</v>
      </c>
      <c r="D2945" t="inlineStr">
        <is>
          <t>VÄSTERNORRLANDS LÄN</t>
        </is>
      </c>
      <c r="E2945" t="inlineStr">
        <is>
          <t>SOLLEFTEÅ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22235-2024</t>
        </is>
      </c>
      <c r="B2946" s="1" t="n">
        <v>45446</v>
      </c>
      <c r="C2946" s="1" t="n">
        <v>45802</v>
      </c>
      <c r="D2946" t="inlineStr">
        <is>
          <t>VÄSTERNORRLANDS LÄN</t>
        </is>
      </c>
      <c r="E2946" t="inlineStr">
        <is>
          <t>SOLLEFTEÅ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22671-2024</t>
        </is>
      </c>
      <c r="B2947" s="1" t="n">
        <v>45448</v>
      </c>
      <c r="C2947" s="1" t="n">
        <v>45802</v>
      </c>
      <c r="D2947" t="inlineStr">
        <is>
          <t>VÄSTERNORRLANDS LÄN</t>
        </is>
      </c>
      <c r="E2947" t="inlineStr">
        <is>
          <t>SOLLEFTEÅ</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22675-2024</t>
        </is>
      </c>
      <c r="B2948" s="1" t="n">
        <v>45448</v>
      </c>
      <c r="C2948" s="1" t="n">
        <v>45802</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22666-2024</t>
        </is>
      </c>
      <c r="B2949" s="1" t="n">
        <v>45447</v>
      </c>
      <c r="C2949" s="1" t="n">
        <v>45802</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22661-2024</t>
        </is>
      </c>
      <c r="B2950" s="1" t="n">
        <v>45448</v>
      </c>
      <c r="C2950" s="1" t="n">
        <v>45802</v>
      </c>
      <c r="D2950" t="inlineStr">
        <is>
          <t>VÄSTERNORRLANDS LÄN</t>
        </is>
      </c>
      <c r="E2950" t="inlineStr">
        <is>
          <t>SOLLEFTEÅ</t>
        </is>
      </c>
      <c r="F2950" t="inlineStr">
        <is>
          <t>SCA</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22665-2024</t>
        </is>
      </c>
      <c r="B2951" s="1" t="n">
        <v>45448</v>
      </c>
      <c r="C2951" s="1" t="n">
        <v>45802</v>
      </c>
      <c r="D2951" t="inlineStr">
        <is>
          <t>VÄSTERNORRLANDS LÄN</t>
        </is>
      </c>
      <c r="E2951" t="inlineStr">
        <is>
          <t>SOLLEFTEÅ</t>
        </is>
      </c>
      <c r="F2951" t="inlineStr">
        <is>
          <t>SCA</t>
        </is>
      </c>
      <c r="G2951" t="n">
        <v>35.6</v>
      </c>
      <c r="H2951" t="n">
        <v>0</v>
      </c>
      <c r="I2951" t="n">
        <v>0</v>
      </c>
      <c r="J2951" t="n">
        <v>0</v>
      </c>
      <c r="K2951" t="n">
        <v>0</v>
      </c>
      <c r="L2951" t="n">
        <v>0</v>
      </c>
      <c r="M2951" t="n">
        <v>0</v>
      </c>
      <c r="N2951" t="n">
        <v>0</v>
      </c>
      <c r="O2951" t="n">
        <v>0</v>
      </c>
      <c r="P2951" t="n">
        <v>0</v>
      </c>
      <c r="Q2951" t="n">
        <v>0</v>
      </c>
      <c r="R2951" s="2" t="inlineStr"/>
    </row>
    <row r="2952" ht="15" customHeight="1">
      <c r="A2952" t="inlineStr">
        <is>
          <t>A 22664-2024</t>
        </is>
      </c>
      <c r="B2952" s="1" t="n">
        <v>45448</v>
      </c>
      <c r="C2952" s="1" t="n">
        <v>45802</v>
      </c>
      <c r="D2952" t="inlineStr">
        <is>
          <t>VÄSTERNORRLANDS LÄN</t>
        </is>
      </c>
      <c r="E2952" t="inlineStr">
        <is>
          <t>SOLLEFTEÅ</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22668-2024</t>
        </is>
      </c>
      <c r="B2953" s="1" t="n">
        <v>45448</v>
      </c>
      <c r="C2953" s="1" t="n">
        <v>45802</v>
      </c>
      <c r="D2953" t="inlineStr">
        <is>
          <t>VÄSTERNORRLANDS LÄN</t>
        </is>
      </c>
      <c r="E2953" t="inlineStr">
        <is>
          <t>SOLLEFTEÅ</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22673-2024</t>
        </is>
      </c>
      <c r="B2954" s="1" t="n">
        <v>45448</v>
      </c>
      <c r="C2954" s="1" t="n">
        <v>45802</v>
      </c>
      <c r="D2954" t="inlineStr">
        <is>
          <t>VÄSTERNORRLANDS LÄN</t>
        </is>
      </c>
      <c r="E2954" t="inlineStr">
        <is>
          <t>SOLLEFTEÅ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22682-2024</t>
        </is>
      </c>
      <c r="B2955" s="1" t="n">
        <v>45447</v>
      </c>
      <c r="C2955" s="1" t="n">
        <v>45802</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22672-2024</t>
        </is>
      </c>
      <c r="B2956" s="1" t="n">
        <v>45448</v>
      </c>
      <c r="C2956" s="1" t="n">
        <v>45802</v>
      </c>
      <c r="D2956" t="inlineStr">
        <is>
          <t>VÄSTERNORRLANDS LÄN</t>
        </is>
      </c>
      <c r="E2956" t="inlineStr">
        <is>
          <t>SOLLEFTEÅ</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22690-2024</t>
        </is>
      </c>
      <c r="B2957" s="1" t="n">
        <v>45448</v>
      </c>
      <c r="C2957" s="1" t="n">
        <v>45802</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22938-2024</t>
        </is>
      </c>
      <c r="B2958" s="1" t="n">
        <v>45448</v>
      </c>
      <c r="C2958" s="1" t="n">
        <v>45802</v>
      </c>
      <c r="D2958" t="inlineStr">
        <is>
          <t>VÄSTERNORRLANDS LÄN</t>
        </is>
      </c>
      <c r="E2958" t="inlineStr">
        <is>
          <t>SOLLEFTEÅ</t>
        </is>
      </c>
      <c r="F2958" t="inlineStr">
        <is>
          <t>SCA</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22939-2024</t>
        </is>
      </c>
      <c r="B2959" s="1" t="n">
        <v>45449</v>
      </c>
      <c r="C2959" s="1" t="n">
        <v>45802</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23021-2024</t>
        </is>
      </c>
      <c r="B2960" s="1" t="n">
        <v>45450</v>
      </c>
      <c r="C2960" s="1" t="n">
        <v>45802</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23025-2024</t>
        </is>
      </c>
      <c r="B2961" s="1" t="n">
        <v>45450</v>
      </c>
      <c r="C2961" s="1" t="n">
        <v>45802</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23542-2024</t>
        </is>
      </c>
      <c r="B2962" s="1" t="n">
        <v>45454</v>
      </c>
      <c r="C2962" s="1" t="n">
        <v>45802</v>
      </c>
      <c r="D2962" t="inlineStr">
        <is>
          <t>VÄSTERNORRLANDS LÄN</t>
        </is>
      </c>
      <c r="E2962" t="inlineStr">
        <is>
          <t>SOLLEFTEÅ</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23530-2024</t>
        </is>
      </c>
      <c r="B2963" s="1" t="n">
        <v>45454</v>
      </c>
      <c r="C2963" s="1" t="n">
        <v>45802</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23540-2024</t>
        </is>
      </c>
      <c r="B2964" s="1" t="n">
        <v>45454</v>
      </c>
      <c r="C2964" s="1" t="n">
        <v>45802</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23532-2024</t>
        </is>
      </c>
      <c r="B2965" s="1" t="n">
        <v>45454</v>
      </c>
      <c r="C2965" s="1" t="n">
        <v>45802</v>
      </c>
      <c r="D2965" t="inlineStr">
        <is>
          <t>VÄSTERNORRLANDS LÄN</t>
        </is>
      </c>
      <c r="E2965" t="inlineStr">
        <is>
          <t>SOLLEFTEÅ</t>
        </is>
      </c>
      <c r="F2965" t="inlineStr">
        <is>
          <t>SCA</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23547-2024</t>
        </is>
      </c>
      <c r="B2966" s="1" t="n">
        <v>45454</v>
      </c>
      <c r="C2966" s="1" t="n">
        <v>45802</v>
      </c>
      <c r="D2966" t="inlineStr">
        <is>
          <t>VÄSTERNORRLANDS LÄN</t>
        </is>
      </c>
      <c r="E2966" t="inlineStr">
        <is>
          <t>SOLLEFTEÅ</t>
        </is>
      </c>
      <c r="F2966" t="inlineStr">
        <is>
          <t>SCA</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23529-2024</t>
        </is>
      </c>
      <c r="B2967" s="1" t="n">
        <v>45454</v>
      </c>
      <c r="C2967" s="1" t="n">
        <v>45802</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23541-2024</t>
        </is>
      </c>
      <c r="B2968" s="1" t="n">
        <v>45454</v>
      </c>
      <c r="C2968" s="1" t="n">
        <v>45802</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23731-2024</t>
        </is>
      </c>
      <c r="B2969" s="1" t="n">
        <v>45455</v>
      </c>
      <c r="C2969" s="1" t="n">
        <v>45802</v>
      </c>
      <c r="D2969" t="inlineStr">
        <is>
          <t>VÄSTERNORRLANDS LÄN</t>
        </is>
      </c>
      <c r="E2969" t="inlineStr">
        <is>
          <t>SOLLEFTEÅ</t>
        </is>
      </c>
      <c r="F2969" t="inlineStr">
        <is>
          <t>SCA</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23730-2024</t>
        </is>
      </c>
      <c r="B2970" s="1" t="n">
        <v>45455</v>
      </c>
      <c r="C2970" s="1" t="n">
        <v>45802</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23936-2024</t>
        </is>
      </c>
      <c r="B2971" s="1" t="n">
        <v>45456</v>
      </c>
      <c r="C2971" s="1" t="n">
        <v>45802</v>
      </c>
      <c r="D2971" t="inlineStr">
        <is>
          <t>VÄSTERNORRLANDS LÄN</t>
        </is>
      </c>
      <c r="E2971" t="inlineStr">
        <is>
          <t>SOLLEFTEÅ</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23969-2024</t>
        </is>
      </c>
      <c r="B2972" s="1" t="n">
        <v>45456</v>
      </c>
      <c r="C2972" s="1" t="n">
        <v>45802</v>
      </c>
      <c r="D2972" t="inlineStr">
        <is>
          <t>VÄSTERNORRLANDS LÄN</t>
        </is>
      </c>
      <c r="E2972" t="inlineStr">
        <is>
          <t>SOLLEFTEÅ</t>
        </is>
      </c>
      <c r="F2972" t="inlineStr">
        <is>
          <t>SCA</t>
        </is>
      </c>
      <c r="G2972" t="n">
        <v>16.7</v>
      </c>
      <c r="H2972" t="n">
        <v>0</v>
      </c>
      <c r="I2972" t="n">
        <v>0</v>
      </c>
      <c r="J2972" t="n">
        <v>0</v>
      </c>
      <c r="K2972" t="n">
        <v>0</v>
      </c>
      <c r="L2972" t="n">
        <v>0</v>
      </c>
      <c r="M2972" t="n">
        <v>0</v>
      </c>
      <c r="N2972" t="n">
        <v>0</v>
      </c>
      <c r="O2972" t="n">
        <v>0</v>
      </c>
      <c r="P2972" t="n">
        <v>0</v>
      </c>
      <c r="Q2972" t="n">
        <v>0</v>
      </c>
      <c r="R2972" s="2" t="inlineStr"/>
    </row>
    <row r="2973" ht="15" customHeight="1">
      <c r="A2973" t="inlineStr">
        <is>
          <t>A 23935-2024</t>
        </is>
      </c>
      <c r="B2973" s="1" t="n">
        <v>45456</v>
      </c>
      <c r="C2973" s="1" t="n">
        <v>45802</v>
      </c>
      <c r="D2973" t="inlineStr">
        <is>
          <t>VÄSTERNORRLANDS LÄN</t>
        </is>
      </c>
      <c r="E2973" t="inlineStr">
        <is>
          <t>SOLLEFTEÅ</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23968-2024</t>
        </is>
      </c>
      <c r="B2974" s="1" t="n">
        <v>45456</v>
      </c>
      <c r="C2974" s="1" t="n">
        <v>45802</v>
      </c>
      <c r="D2974" t="inlineStr">
        <is>
          <t>VÄSTERNORRLANDS LÄN</t>
        </is>
      </c>
      <c r="E2974" t="inlineStr">
        <is>
          <t>SOLLEFTEÅ</t>
        </is>
      </c>
      <c r="F2974" t="inlineStr">
        <is>
          <t>SCA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24199-2024</t>
        </is>
      </c>
      <c r="B2975" s="1" t="n">
        <v>45457</v>
      </c>
      <c r="C2975" s="1" t="n">
        <v>45802</v>
      </c>
      <c r="D2975" t="inlineStr">
        <is>
          <t>VÄSTERNORRLANDS LÄN</t>
        </is>
      </c>
      <c r="E2975" t="inlineStr">
        <is>
          <t>SOLLEFTEÅ</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24211-2024</t>
        </is>
      </c>
      <c r="B2976" s="1" t="n">
        <v>45457</v>
      </c>
      <c r="C2976" s="1" t="n">
        <v>45802</v>
      </c>
      <c r="D2976" t="inlineStr">
        <is>
          <t>VÄSTERNORRLANDS LÄN</t>
        </is>
      </c>
      <c r="E2976" t="inlineStr">
        <is>
          <t>SOLLEFTEÅ</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24209-2024</t>
        </is>
      </c>
      <c r="B2977" s="1" t="n">
        <v>45457</v>
      </c>
      <c r="C2977" s="1" t="n">
        <v>45802</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24210-2024</t>
        </is>
      </c>
      <c r="B2978" s="1" t="n">
        <v>45457</v>
      </c>
      <c r="C2978" s="1" t="n">
        <v>45802</v>
      </c>
      <c r="D2978" t="inlineStr">
        <is>
          <t>VÄSTERNORRLANDS LÄN</t>
        </is>
      </c>
      <c r="E2978" t="inlineStr">
        <is>
          <t>SOLLEFTEÅ</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24208-2024</t>
        </is>
      </c>
      <c r="B2979" s="1" t="n">
        <v>45457</v>
      </c>
      <c r="C2979" s="1" t="n">
        <v>45802</v>
      </c>
      <c r="D2979" t="inlineStr">
        <is>
          <t>VÄSTERNORRLANDS LÄN</t>
        </is>
      </c>
      <c r="E2979" t="inlineStr">
        <is>
          <t>SOLLEFTEÅ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24461-2024</t>
        </is>
      </c>
      <c r="B2980" s="1" t="n">
        <v>45458</v>
      </c>
      <c r="C2980" s="1" t="n">
        <v>45802</v>
      </c>
      <c r="D2980" t="inlineStr">
        <is>
          <t>VÄSTERNORRLANDS LÄN</t>
        </is>
      </c>
      <c r="E2980" t="inlineStr">
        <is>
          <t>SOLLEFTEÅ</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24239-2024</t>
        </is>
      </c>
      <c r="B2981" s="1" t="n">
        <v>45457</v>
      </c>
      <c r="C2981" s="1" t="n">
        <v>45802</v>
      </c>
      <c r="D2981" t="inlineStr">
        <is>
          <t>VÄSTERNORRLANDS LÄN</t>
        </is>
      </c>
      <c r="E2981" t="inlineStr">
        <is>
          <t>SOLLEFTEÅ</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24777-2024</t>
        </is>
      </c>
      <c r="B2982" s="1" t="n">
        <v>45460</v>
      </c>
      <c r="C2982" s="1" t="n">
        <v>45802</v>
      </c>
      <c r="D2982" t="inlineStr">
        <is>
          <t>VÄSTERNORRLANDS LÄN</t>
        </is>
      </c>
      <c r="E2982" t="inlineStr">
        <is>
          <t>SOLLEFTEÅ</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25023-2024</t>
        </is>
      </c>
      <c r="B2983" s="1" t="n">
        <v>45462</v>
      </c>
      <c r="C2983" s="1" t="n">
        <v>45802</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25035-2024</t>
        </is>
      </c>
      <c r="B2984" s="1" t="n">
        <v>45462</v>
      </c>
      <c r="C2984" s="1" t="n">
        <v>45802</v>
      </c>
      <c r="D2984" t="inlineStr">
        <is>
          <t>VÄSTERNORRLANDS LÄN</t>
        </is>
      </c>
      <c r="E2984" t="inlineStr">
        <is>
          <t>SOLLEFTEÅ</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25026-2024</t>
        </is>
      </c>
      <c r="B2985" s="1" t="n">
        <v>45462</v>
      </c>
      <c r="C2985" s="1" t="n">
        <v>45802</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25356-2024</t>
        </is>
      </c>
      <c r="B2986" s="1" t="n">
        <v>45463</v>
      </c>
      <c r="C2986" s="1" t="n">
        <v>45802</v>
      </c>
      <c r="D2986" t="inlineStr">
        <is>
          <t>VÄSTERNORRLANDS LÄN</t>
        </is>
      </c>
      <c r="E2986" t="inlineStr">
        <is>
          <t>SOLLEFTEÅ</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25364-2024</t>
        </is>
      </c>
      <c r="B2987" s="1" t="n">
        <v>45463</v>
      </c>
      <c r="C2987" s="1" t="n">
        <v>45802</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25363-2024</t>
        </is>
      </c>
      <c r="B2988" s="1" t="n">
        <v>45463</v>
      </c>
      <c r="C2988" s="1" t="n">
        <v>45802</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25384-2024</t>
        </is>
      </c>
      <c r="B2989" s="1" t="n">
        <v>45463</v>
      </c>
      <c r="C2989" s="1" t="n">
        <v>45802</v>
      </c>
      <c r="D2989" t="inlineStr">
        <is>
          <t>VÄSTERNORRLANDS LÄN</t>
        </is>
      </c>
      <c r="E2989" t="inlineStr">
        <is>
          <t>SOLLEFTEÅ</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25334-2024</t>
        </is>
      </c>
      <c r="B2990" s="1" t="n">
        <v>45462</v>
      </c>
      <c r="C2990" s="1" t="n">
        <v>45802</v>
      </c>
      <c r="D2990" t="inlineStr">
        <is>
          <t>VÄSTERNORRLANDS LÄN</t>
        </is>
      </c>
      <c r="E2990" t="inlineStr">
        <is>
          <t>SOLLEFTEÅ</t>
        </is>
      </c>
      <c r="G2990" t="n">
        <v>11.1</v>
      </c>
      <c r="H2990" t="n">
        <v>0</v>
      </c>
      <c r="I2990" t="n">
        <v>0</v>
      </c>
      <c r="J2990" t="n">
        <v>0</v>
      </c>
      <c r="K2990" t="n">
        <v>0</v>
      </c>
      <c r="L2990" t="n">
        <v>0</v>
      </c>
      <c r="M2990" t="n">
        <v>0</v>
      </c>
      <c r="N2990" t="n">
        <v>0</v>
      </c>
      <c r="O2990" t="n">
        <v>0</v>
      </c>
      <c r="P2990" t="n">
        <v>0</v>
      </c>
      <c r="Q2990" t="n">
        <v>0</v>
      </c>
      <c r="R2990" s="2" t="inlineStr"/>
    </row>
    <row r="2991" ht="15" customHeight="1">
      <c r="A2991" t="inlineStr">
        <is>
          <t>A 25357-2024</t>
        </is>
      </c>
      <c r="B2991" s="1" t="n">
        <v>45462</v>
      </c>
      <c r="C2991" s="1" t="n">
        <v>45802</v>
      </c>
      <c r="D2991" t="inlineStr">
        <is>
          <t>VÄSTERNORRLANDS LÄN</t>
        </is>
      </c>
      <c r="E2991" t="inlineStr">
        <is>
          <t>SOLLEFTEÅ</t>
        </is>
      </c>
      <c r="F2991" t="inlineStr">
        <is>
          <t>SCA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25139-2024</t>
        </is>
      </c>
      <c r="B2992" s="1" t="n">
        <v>45462</v>
      </c>
      <c r="C2992" s="1" t="n">
        <v>45802</v>
      </c>
      <c r="D2992" t="inlineStr">
        <is>
          <t>VÄSTERNORRLANDS LÄN</t>
        </is>
      </c>
      <c r="E2992" t="inlineStr">
        <is>
          <t>SOLLEFTEÅ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25131-2024</t>
        </is>
      </c>
      <c r="B2993" s="1" t="n">
        <v>45462</v>
      </c>
      <c r="C2993" s="1" t="n">
        <v>45802</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25703-2024</t>
        </is>
      </c>
      <c r="B2994" s="1" t="n">
        <v>45463</v>
      </c>
      <c r="C2994" s="1" t="n">
        <v>45802</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25711-2024</t>
        </is>
      </c>
      <c r="B2995" s="1" t="n">
        <v>45463</v>
      </c>
      <c r="C2995" s="1" t="n">
        <v>45802</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25704-2024</t>
        </is>
      </c>
      <c r="B2996" s="1" t="n">
        <v>45464</v>
      </c>
      <c r="C2996" s="1" t="n">
        <v>45802</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25702-2024</t>
        </is>
      </c>
      <c r="B2997" s="1" t="n">
        <v>45463</v>
      </c>
      <c r="C2997" s="1" t="n">
        <v>45802</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25514-2024</t>
        </is>
      </c>
      <c r="B2998" s="1" t="n">
        <v>45463</v>
      </c>
      <c r="C2998" s="1" t="n">
        <v>45802</v>
      </c>
      <c r="D2998" t="inlineStr">
        <is>
          <t>VÄSTERNORRLANDS LÄN</t>
        </is>
      </c>
      <c r="E2998" t="inlineStr">
        <is>
          <t>SOLLEFTEÅ</t>
        </is>
      </c>
      <c r="F2998" t="inlineStr">
        <is>
          <t>Kyrkan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25799-2024</t>
        </is>
      </c>
      <c r="B2999" s="1" t="n">
        <v>45463</v>
      </c>
      <c r="C2999" s="1" t="n">
        <v>45802</v>
      </c>
      <c r="D2999" t="inlineStr">
        <is>
          <t>VÄSTERNORRLANDS LÄN</t>
        </is>
      </c>
      <c r="E2999" t="inlineStr">
        <is>
          <t>SOLLEFTEÅ</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25847-2024</t>
        </is>
      </c>
      <c r="B3000" s="1" t="n">
        <v>45467</v>
      </c>
      <c r="C3000" s="1" t="n">
        <v>45802</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25851-2024</t>
        </is>
      </c>
      <c r="B3001" s="1" t="n">
        <v>45467</v>
      </c>
      <c r="C3001" s="1" t="n">
        <v>45802</v>
      </c>
      <c r="D3001" t="inlineStr">
        <is>
          <t>VÄSTERNORRLANDS LÄN</t>
        </is>
      </c>
      <c r="E3001" t="inlineStr">
        <is>
          <t>SOLLEFTEÅ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25907-2024</t>
        </is>
      </c>
      <c r="B3002" s="1" t="n">
        <v>45467</v>
      </c>
      <c r="C3002" s="1" t="n">
        <v>45802</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26005-2024</t>
        </is>
      </c>
      <c r="B3003" s="1" t="n">
        <v>45468</v>
      </c>
      <c r="C3003" s="1" t="n">
        <v>45802</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26022-2024</t>
        </is>
      </c>
      <c r="B3004" s="1" t="n">
        <v>45467</v>
      </c>
      <c r="C3004" s="1" t="n">
        <v>45802</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26046-2024</t>
        </is>
      </c>
      <c r="B3005" s="1" t="n">
        <v>45467</v>
      </c>
      <c r="C3005" s="1" t="n">
        <v>45802</v>
      </c>
      <c r="D3005" t="inlineStr">
        <is>
          <t>VÄSTERNORRLANDS LÄN</t>
        </is>
      </c>
      <c r="E3005" t="inlineStr">
        <is>
          <t>SOLLEFTEÅ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26023-2024</t>
        </is>
      </c>
      <c r="B3006" s="1" t="n">
        <v>45468</v>
      </c>
      <c r="C3006" s="1" t="n">
        <v>45802</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26391-2024</t>
        </is>
      </c>
      <c r="B3007" s="1" t="n">
        <v>45468</v>
      </c>
      <c r="C3007" s="1" t="n">
        <v>45802</v>
      </c>
      <c r="D3007" t="inlineStr">
        <is>
          <t>VÄSTERNORRLANDS LÄN</t>
        </is>
      </c>
      <c r="E3007" t="inlineStr">
        <is>
          <t>SOLLEFTEÅ</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26325-2024</t>
        </is>
      </c>
      <c r="B3008" s="1" t="n">
        <v>45468</v>
      </c>
      <c r="C3008" s="1" t="n">
        <v>45802</v>
      </c>
      <c r="D3008" t="inlineStr">
        <is>
          <t>VÄSTERNORRLANDS LÄN</t>
        </is>
      </c>
      <c r="E3008" t="inlineStr">
        <is>
          <t>SOLLEFTEÅ</t>
        </is>
      </c>
      <c r="F3008" t="inlineStr">
        <is>
          <t>SCA</t>
        </is>
      </c>
      <c r="G3008" t="n">
        <v>11.8</v>
      </c>
      <c r="H3008" t="n">
        <v>0</v>
      </c>
      <c r="I3008" t="n">
        <v>0</v>
      </c>
      <c r="J3008" t="n">
        <v>0</v>
      </c>
      <c r="K3008" t="n">
        <v>0</v>
      </c>
      <c r="L3008" t="n">
        <v>0</v>
      </c>
      <c r="M3008" t="n">
        <v>0</v>
      </c>
      <c r="N3008" t="n">
        <v>0</v>
      </c>
      <c r="O3008" t="n">
        <v>0</v>
      </c>
      <c r="P3008" t="n">
        <v>0</v>
      </c>
      <c r="Q3008" t="n">
        <v>0</v>
      </c>
      <c r="R3008" s="2" t="inlineStr"/>
    </row>
    <row r="3009" ht="15" customHeight="1">
      <c r="A3009" t="inlineStr">
        <is>
          <t>A 26323-2024</t>
        </is>
      </c>
      <c r="B3009" s="1" t="n">
        <v>45469</v>
      </c>
      <c r="C3009" s="1" t="n">
        <v>45802</v>
      </c>
      <c r="D3009" t="inlineStr">
        <is>
          <t>VÄSTERNORRLANDS LÄN</t>
        </is>
      </c>
      <c r="E3009" t="inlineStr">
        <is>
          <t>SOLLEFTEÅ</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26319-2024</t>
        </is>
      </c>
      <c r="B3010" s="1" t="n">
        <v>45469</v>
      </c>
      <c r="C3010" s="1" t="n">
        <v>45802</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26172-2024</t>
        </is>
      </c>
      <c r="B3011" s="1" t="n">
        <v>45468</v>
      </c>
      <c r="C3011" s="1" t="n">
        <v>45802</v>
      </c>
      <c r="D3011" t="inlineStr">
        <is>
          <t>VÄSTERNORRLANDS LÄN</t>
        </is>
      </c>
      <c r="E3011" t="inlineStr">
        <is>
          <t>SOLLEFTEÅ</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26163-2024</t>
        </is>
      </c>
      <c r="B3012" s="1" t="n">
        <v>45468</v>
      </c>
      <c r="C3012" s="1" t="n">
        <v>45802</v>
      </c>
      <c r="D3012" t="inlineStr">
        <is>
          <t>VÄSTERNORRLANDS LÄN</t>
        </is>
      </c>
      <c r="E3012" t="inlineStr">
        <is>
          <t>SOLLEFTEÅ</t>
        </is>
      </c>
      <c r="G3012" t="n">
        <v>16.9</v>
      </c>
      <c r="H3012" t="n">
        <v>0</v>
      </c>
      <c r="I3012" t="n">
        <v>0</v>
      </c>
      <c r="J3012" t="n">
        <v>0</v>
      </c>
      <c r="K3012" t="n">
        <v>0</v>
      </c>
      <c r="L3012" t="n">
        <v>0</v>
      </c>
      <c r="M3012" t="n">
        <v>0</v>
      </c>
      <c r="N3012" t="n">
        <v>0</v>
      </c>
      <c r="O3012" t="n">
        <v>0</v>
      </c>
      <c r="P3012" t="n">
        <v>0</v>
      </c>
      <c r="Q3012" t="n">
        <v>0</v>
      </c>
      <c r="R3012" s="2" t="inlineStr"/>
    </row>
    <row r="3013" ht="15" customHeight="1">
      <c r="A3013" t="inlineStr">
        <is>
          <t>A 26296-2024</t>
        </is>
      </c>
      <c r="B3013" s="1" t="n">
        <v>45468</v>
      </c>
      <c r="C3013" s="1" t="n">
        <v>45802</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26444-2024</t>
        </is>
      </c>
      <c r="B3014" s="1" t="n">
        <v>45469</v>
      </c>
      <c r="C3014" s="1" t="n">
        <v>45802</v>
      </c>
      <c r="D3014" t="inlineStr">
        <is>
          <t>VÄSTERNORRLANDS LÄN</t>
        </is>
      </c>
      <c r="E3014" t="inlineStr">
        <is>
          <t>SOLLEFTEÅ</t>
        </is>
      </c>
      <c r="F3014" t="inlineStr">
        <is>
          <t>Holmen skog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26500-2024</t>
        </is>
      </c>
      <c r="B3015" s="1" t="n">
        <v>45469</v>
      </c>
      <c r="C3015" s="1" t="n">
        <v>45802</v>
      </c>
      <c r="D3015" t="inlineStr">
        <is>
          <t>VÄSTERNORRLANDS LÄN</t>
        </is>
      </c>
      <c r="E3015" t="inlineStr">
        <is>
          <t>SOLLEFTEÅ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26655-2024</t>
        </is>
      </c>
      <c r="B3016" s="1" t="n">
        <v>45469</v>
      </c>
      <c r="C3016" s="1" t="n">
        <v>45802</v>
      </c>
      <c r="D3016" t="inlineStr">
        <is>
          <t>VÄSTERNORRLANDS LÄN</t>
        </is>
      </c>
      <c r="E3016" t="inlineStr">
        <is>
          <t>SOLLEFTEÅ</t>
        </is>
      </c>
      <c r="F3016" t="inlineStr">
        <is>
          <t>SCA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26962-2024</t>
        </is>
      </c>
      <c r="B3017" s="1" t="n">
        <v>45471</v>
      </c>
      <c r="C3017" s="1" t="n">
        <v>45802</v>
      </c>
      <c r="D3017" t="inlineStr">
        <is>
          <t>VÄSTERNORRLANDS LÄN</t>
        </is>
      </c>
      <c r="E3017" t="inlineStr">
        <is>
          <t>SOLLEFTEÅ</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26955-2024</t>
        </is>
      </c>
      <c r="B3018" s="1" t="n">
        <v>45471</v>
      </c>
      <c r="C3018" s="1" t="n">
        <v>45802</v>
      </c>
      <c r="D3018" t="inlineStr">
        <is>
          <t>VÄSTERNORRLANDS LÄN</t>
        </is>
      </c>
      <c r="E3018" t="inlineStr">
        <is>
          <t>SOLLEFTEÅ</t>
        </is>
      </c>
      <c r="F3018" t="inlineStr">
        <is>
          <t>SCA</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26963-2024</t>
        </is>
      </c>
      <c r="B3019" s="1" t="n">
        <v>45471</v>
      </c>
      <c r="C3019" s="1" t="n">
        <v>45802</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26890-2024</t>
        </is>
      </c>
      <c r="B3020" s="1" t="n">
        <v>45470</v>
      </c>
      <c r="C3020" s="1" t="n">
        <v>45802</v>
      </c>
      <c r="D3020" t="inlineStr">
        <is>
          <t>VÄSTERNORRLANDS LÄN</t>
        </is>
      </c>
      <c r="E3020" t="inlineStr">
        <is>
          <t>SOLLEFTEÅ</t>
        </is>
      </c>
      <c r="F3020" t="inlineStr">
        <is>
          <t>Holmen skog AB</t>
        </is>
      </c>
      <c r="G3020" t="n">
        <v>12.8</v>
      </c>
      <c r="H3020" t="n">
        <v>0</v>
      </c>
      <c r="I3020" t="n">
        <v>0</v>
      </c>
      <c r="J3020" t="n">
        <v>0</v>
      </c>
      <c r="K3020" t="n">
        <v>0</v>
      </c>
      <c r="L3020" t="n">
        <v>0</v>
      </c>
      <c r="M3020" t="n">
        <v>0</v>
      </c>
      <c r="N3020" t="n">
        <v>0</v>
      </c>
      <c r="O3020" t="n">
        <v>0</v>
      </c>
      <c r="P3020" t="n">
        <v>0</v>
      </c>
      <c r="Q3020" t="n">
        <v>0</v>
      </c>
      <c r="R3020" s="2" t="inlineStr"/>
    </row>
    <row r="3021" ht="15" customHeight="1">
      <c r="A3021" t="inlineStr">
        <is>
          <t>A 26936-2024</t>
        </is>
      </c>
      <c r="B3021" s="1" t="n">
        <v>45470</v>
      </c>
      <c r="C3021" s="1" t="n">
        <v>45802</v>
      </c>
      <c r="D3021" t="inlineStr">
        <is>
          <t>VÄSTERNORRLANDS LÄN</t>
        </is>
      </c>
      <c r="E3021" t="inlineStr">
        <is>
          <t>SOLLEFTEÅ</t>
        </is>
      </c>
      <c r="F3021" t="inlineStr">
        <is>
          <t>SCA</t>
        </is>
      </c>
      <c r="G3021" t="n">
        <v>10.7</v>
      </c>
      <c r="H3021" t="n">
        <v>0</v>
      </c>
      <c r="I3021" t="n">
        <v>0</v>
      </c>
      <c r="J3021" t="n">
        <v>0</v>
      </c>
      <c r="K3021" t="n">
        <v>0</v>
      </c>
      <c r="L3021" t="n">
        <v>0</v>
      </c>
      <c r="M3021" t="n">
        <v>0</v>
      </c>
      <c r="N3021" t="n">
        <v>0</v>
      </c>
      <c r="O3021" t="n">
        <v>0</v>
      </c>
      <c r="P3021" t="n">
        <v>0</v>
      </c>
      <c r="Q3021" t="n">
        <v>0</v>
      </c>
      <c r="R3021" s="2" t="inlineStr"/>
    </row>
    <row r="3022" ht="15" customHeight="1">
      <c r="A3022" t="inlineStr">
        <is>
          <t>A 26941-2024</t>
        </is>
      </c>
      <c r="B3022" s="1" t="n">
        <v>45470</v>
      </c>
      <c r="C3022" s="1" t="n">
        <v>45802</v>
      </c>
      <c r="D3022" t="inlineStr">
        <is>
          <t>VÄSTERNORRLANDS LÄN</t>
        </is>
      </c>
      <c r="E3022" t="inlineStr">
        <is>
          <t>SOLLEFTEÅ</t>
        </is>
      </c>
      <c r="F3022" t="inlineStr">
        <is>
          <t>SCA</t>
        </is>
      </c>
      <c r="G3022" t="n">
        <v>31.9</v>
      </c>
      <c r="H3022" t="n">
        <v>0</v>
      </c>
      <c r="I3022" t="n">
        <v>0</v>
      </c>
      <c r="J3022" t="n">
        <v>0</v>
      </c>
      <c r="K3022" t="n">
        <v>0</v>
      </c>
      <c r="L3022" t="n">
        <v>0</v>
      </c>
      <c r="M3022" t="n">
        <v>0</v>
      </c>
      <c r="N3022" t="n">
        <v>0</v>
      </c>
      <c r="O3022" t="n">
        <v>0</v>
      </c>
      <c r="P3022" t="n">
        <v>0</v>
      </c>
      <c r="Q3022" t="n">
        <v>0</v>
      </c>
      <c r="R3022" s="2" t="inlineStr"/>
    </row>
    <row r="3023" ht="15" customHeight="1">
      <c r="A3023" t="inlineStr">
        <is>
          <t>A 26937-2024</t>
        </is>
      </c>
      <c r="B3023" s="1" t="n">
        <v>45471</v>
      </c>
      <c r="C3023" s="1" t="n">
        <v>45802</v>
      </c>
      <c r="D3023" t="inlineStr">
        <is>
          <t>VÄSTERNORRLANDS LÄN</t>
        </is>
      </c>
      <c r="E3023" t="inlineStr">
        <is>
          <t>SOLLEFTEÅ</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27025-2024</t>
        </is>
      </c>
      <c r="B3024" s="1" t="n">
        <v>45471</v>
      </c>
      <c r="C3024" s="1" t="n">
        <v>45802</v>
      </c>
      <c r="D3024" t="inlineStr">
        <is>
          <t>VÄSTERNORRLANDS LÄN</t>
        </is>
      </c>
      <c r="E3024" t="inlineStr">
        <is>
          <t>SOLLEFTEÅ</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27071-2024</t>
        </is>
      </c>
      <c r="B3025" s="1" t="n">
        <v>45471</v>
      </c>
      <c r="C3025" s="1" t="n">
        <v>45802</v>
      </c>
      <c r="D3025" t="inlineStr">
        <is>
          <t>VÄSTERNORRLANDS LÄN</t>
        </is>
      </c>
      <c r="E3025" t="inlineStr">
        <is>
          <t>SOLLEFTEÅ</t>
        </is>
      </c>
      <c r="F3025" t="inlineStr">
        <is>
          <t>Holmen skog AB</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27293-2024</t>
        </is>
      </c>
      <c r="B3026" s="1" t="n">
        <v>45472</v>
      </c>
      <c r="C3026" s="1" t="n">
        <v>45802</v>
      </c>
      <c r="D3026" t="inlineStr">
        <is>
          <t>VÄSTERNORRLANDS LÄN</t>
        </is>
      </c>
      <c r="E3026" t="inlineStr">
        <is>
          <t>SOLLEFTEÅ</t>
        </is>
      </c>
      <c r="F3026" t="inlineStr">
        <is>
          <t>SCA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27314-2024</t>
        </is>
      </c>
      <c r="B3027" s="1" t="n">
        <v>45472</v>
      </c>
      <c r="C3027" s="1" t="n">
        <v>45802</v>
      </c>
      <c r="D3027" t="inlineStr">
        <is>
          <t>VÄSTERNORRLANDS LÄN</t>
        </is>
      </c>
      <c r="E3027" t="inlineStr">
        <is>
          <t>SOLLEFTEÅ</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27377-2024</t>
        </is>
      </c>
      <c r="B3028" s="1" t="n">
        <v>45473</v>
      </c>
      <c r="C3028" s="1" t="n">
        <v>45802</v>
      </c>
      <c r="D3028" t="inlineStr">
        <is>
          <t>VÄSTERNORRLANDS LÄN</t>
        </is>
      </c>
      <c r="E3028" t="inlineStr">
        <is>
          <t>SOLLEFTEÅ</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27639-2024</t>
        </is>
      </c>
      <c r="B3029" s="1" t="n">
        <v>45474</v>
      </c>
      <c r="C3029" s="1" t="n">
        <v>45802</v>
      </c>
      <c r="D3029" t="inlineStr">
        <is>
          <t>VÄSTERNORRLANDS LÄN</t>
        </is>
      </c>
      <c r="E3029" t="inlineStr">
        <is>
          <t>SOLLEFTEÅ</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27634-2024</t>
        </is>
      </c>
      <c r="B3030" s="1" t="n">
        <v>45475</v>
      </c>
      <c r="C3030" s="1" t="n">
        <v>45802</v>
      </c>
      <c r="D3030" t="inlineStr">
        <is>
          <t>VÄSTERNORRLANDS LÄN</t>
        </is>
      </c>
      <c r="E3030" t="inlineStr">
        <is>
          <t>SOLLEFTEÅ</t>
        </is>
      </c>
      <c r="F3030" t="inlineStr">
        <is>
          <t>SCA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27633-2024</t>
        </is>
      </c>
      <c r="B3031" s="1" t="n">
        <v>45475</v>
      </c>
      <c r="C3031" s="1" t="n">
        <v>45802</v>
      </c>
      <c r="D3031" t="inlineStr">
        <is>
          <t>VÄSTERNORRLANDS LÄN</t>
        </is>
      </c>
      <c r="E3031" t="inlineStr">
        <is>
          <t>SOLLEFTEÅ</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27641-2024</t>
        </is>
      </c>
      <c r="B3032" s="1" t="n">
        <v>45475</v>
      </c>
      <c r="C3032" s="1" t="n">
        <v>45802</v>
      </c>
      <c r="D3032" t="inlineStr">
        <is>
          <t>VÄSTERNORRLANDS LÄN</t>
        </is>
      </c>
      <c r="E3032" t="inlineStr">
        <is>
          <t>SOLLEFTEÅ</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27922-2024</t>
        </is>
      </c>
      <c r="B3033" s="1" t="n">
        <v>45476</v>
      </c>
      <c r="C3033" s="1" t="n">
        <v>45802</v>
      </c>
      <c r="D3033" t="inlineStr">
        <is>
          <t>VÄSTERNORRLANDS LÄN</t>
        </is>
      </c>
      <c r="E3033" t="inlineStr">
        <is>
          <t>SOLLEFTEÅ</t>
        </is>
      </c>
      <c r="F3033" t="inlineStr">
        <is>
          <t>SCA</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27927-2024</t>
        </is>
      </c>
      <c r="B3034" s="1" t="n">
        <v>45475</v>
      </c>
      <c r="C3034" s="1" t="n">
        <v>45802</v>
      </c>
      <c r="D3034" t="inlineStr">
        <is>
          <t>VÄSTERNORRLANDS LÄN</t>
        </is>
      </c>
      <c r="E3034" t="inlineStr">
        <is>
          <t>SOLLEFTEÅ</t>
        </is>
      </c>
      <c r="F3034" t="inlineStr">
        <is>
          <t>SCA</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27911-2024</t>
        </is>
      </c>
      <c r="B3035" s="1" t="n">
        <v>45475</v>
      </c>
      <c r="C3035" s="1" t="n">
        <v>45802</v>
      </c>
      <c r="D3035" t="inlineStr">
        <is>
          <t>VÄSTERNORRLANDS LÄN</t>
        </is>
      </c>
      <c r="E3035" t="inlineStr">
        <is>
          <t>SOLLEFTEÅ</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27908-2024</t>
        </is>
      </c>
      <c r="B3036" s="1" t="n">
        <v>45476</v>
      </c>
      <c r="C3036" s="1" t="n">
        <v>45802</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27916-2024</t>
        </is>
      </c>
      <c r="B3037" s="1" t="n">
        <v>45476</v>
      </c>
      <c r="C3037" s="1" t="n">
        <v>45802</v>
      </c>
      <c r="D3037" t="inlineStr">
        <is>
          <t>VÄSTERNORRLANDS LÄN</t>
        </is>
      </c>
      <c r="E3037" t="inlineStr">
        <is>
          <t>SOLLEFTEÅ</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27848-2024</t>
        </is>
      </c>
      <c r="B3038" s="1" t="n">
        <v>45475</v>
      </c>
      <c r="C3038" s="1" t="n">
        <v>45802</v>
      </c>
      <c r="D3038" t="inlineStr">
        <is>
          <t>VÄSTERNORRLANDS LÄN</t>
        </is>
      </c>
      <c r="E3038" t="inlineStr">
        <is>
          <t>SOLLEFTEÅ</t>
        </is>
      </c>
      <c r="F3038" t="inlineStr">
        <is>
          <t>Holmen skog AB</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27925-2024</t>
        </is>
      </c>
      <c r="B3039" s="1" t="n">
        <v>45475</v>
      </c>
      <c r="C3039" s="1" t="n">
        <v>45802</v>
      </c>
      <c r="D3039" t="inlineStr">
        <is>
          <t>VÄSTERNORRLANDS LÄN</t>
        </is>
      </c>
      <c r="E3039" t="inlineStr">
        <is>
          <t>SOLLEFTEÅ</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27789-2024</t>
        </is>
      </c>
      <c r="B3040" s="1" t="n">
        <v>45475</v>
      </c>
      <c r="C3040" s="1" t="n">
        <v>45802</v>
      </c>
      <c r="D3040" t="inlineStr">
        <is>
          <t>VÄSTERNORRLANDS LÄN</t>
        </is>
      </c>
      <c r="E3040" t="inlineStr">
        <is>
          <t>SOLLEFTEÅ</t>
        </is>
      </c>
      <c r="F3040" t="inlineStr">
        <is>
          <t>SCA</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27924-2024</t>
        </is>
      </c>
      <c r="B3041" s="1" t="n">
        <v>45475</v>
      </c>
      <c r="C3041" s="1" t="n">
        <v>45802</v>
      </c>
      <c r="D3041" t="inlineStr">
        <is>
          <t>VÄSTERNORRLANDS LÄN</t>
        </is>
      </c>
      <c r="E3041" t="inlineStr">
        <is>
          <t>SOLLEFTEÅ</t>
        </is>
      </c>
      <c r="F3041" t="inlineStr">
        <is>
          <t>SCA</t>
        </is>
      </c>
      <c r="G3041" t="n">
        <v>23.5</v>
      </c>
      <c r="H3041" t="n">
        <v>0</v>
      </c>
      <c r="I3041" t="n">
        <v>0</v>
      </c>
      <c r="J3041" t="n">
        <v>0</v>
      </c>
      <c r="K3041" t="n">
        <v>0</v>
      </c>
      <c r="L3041" t="n">
        <v>0</v>
      </c>
      <c r="M3041" t="n">
        <v>0</v>
      </c>
      <c r="N3041" t="n">
        <v>0</v>
      </c>
      <c r="O3041" t="n">
        <v>0</v>
      </c>
      <c r="P3041" t="n">
        <v>0</v>
      </c>
      <c r="Q3041" t="n">
        <v>0</v>
      </c>
      <c r="R3041" s="2" t="inlineStr"/>
    </row>
    <row r="3042" ht="15" customHeight="1">
      <c r="A3042" t="inlineStr">
        <is>
          <t>A 27936-2024</t>
        </is>
      </c>
      <c r="B3042" s="1" t="n">
        <v>45476</v>
      </c>
      <c r="C3042" s="1" t="n">
        <v>45802</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28159-2024</t>
        </is>
      </c>
      <c r="B3043" s="1" t="n">
        <v>45477</v>
      </c>
      <c r="C3043" s="1" t="n">
        <v>45802</v>
      </c>
      <c r="D3043" t="inlineStr">
        <is>
          <t>VÄSTERNORRLANDS LÄN</t>
        </is>
      </c>
      <c r="E3043" t="inlineStr">
        <is>
          <t>SOLLEFTEÅ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28164-2024</t>
        </is>
      </c>
      <c r="B3044" s="1" t="n">
        <v>45476</v>
      </c>
      <c r="C3044" s="1" t="n">
        <v>45802</v>
      </c>
      <c r="D3044" t="inlineStr">
        <is>
          <t>VÄSTERNORRLANDS LÄN</t>
        </is>
      </c>
      <c r="E3044" t="inlineStr">
        <is>
          <t>SOLLEFTEÅ</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28170-2024</t>
        </is>
      </c>
      <c r="B3045" s="1" t="n">
        <v>45477</v>
      </c>
      <c r="C3045" s="1" t="n">
        <v>45802</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28162-2024</t>
        </is>
      </c>
      <c r="B3046" s="1" t="n">
        <v>45476</v>
      </c>
      <c r="C3046" s="1" t="n">
        <v>45802</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28327-2024</t>
        </is>
      </c>
      <c r="B3047" s="1" t="n">
        <v>45477</v>
      </c>
      <c r="C3047" s="1" t="n">
        <v>45802</v>
      </c>
      <c r="D3047" t="inlineStr">
        <is>
          <t>VÄSTERNORRLANDS LÄN</t>
        </is>
      </c>
      <c r="E3047" t="inlineStr">
        <is>
          <t>SOLLEFTEÅ</t>
        </is>
      </c>
      <c r="F3047" t="inlineStr">
        <is>
          <t>Holmen skog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28269-2024</t>
        </is>
      </c>
      <c r="B3048" s="1" t="n">
        <v>45477</v>
      </c>
      <c r="C3048" s="1" t="n">
        <v>45802</v>
      </c>
      <c r="D3048" t="inlineStr">
        <is>
          <t>VÄSTERNORRLANDS LÄN</t>
        </is>
      </c>
      <c r="E3048" t="inlineStr">
        <is>
          <t>SOLLEFTEÅ</t>
        </is>
      </c>
      <c r="F3048" t="inlineStr">
        <is>
          <t>Holmen skog AB</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28499-2024</t>
        </is>
      </c>
      <c r="B3049" s="1" t="n">
        <v>45478</v>
      </c>
      <c r="C3049" s="1" t="n">
        <v>45802</v>
      </c>
      <c r="D3049" t="inlineStr">
        <is>
          <t>VÄSTERNORRLANDS LÄN</t>
        </is>
      </c>
      <c r="E3049" t="inlineStr">
        <is>
          <t>SOLLEFTEÅ</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28354-2024</t>
        </is>
      </c>
      <c r="B3050" s="1" t="n">
        <v>45477</v>
      </c>
      <c r="C3050" s="1" t="n">
        <v>45802</v>
      </c>
      <c r="D3050" t="inlineStr">
        <is>
          <t>VÄSTERNORRLANDS LÄN</t>
        </is>
      </c>
      <c r="E3050" t="inlineStr">
        <is>
          <t>SOLLEFTEÅ</t>
        </is>
      </c>
      <c r="F3050" t="inlineStr">
        <is>
          <t>Holmen skog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28290-2024</t>
        </is>
      </c>
      <c r="B3051" s="1" t="n">
        <v>45477</v>
      </c>
      <c r="C3051" s="1" t="n">
        <v>45802</v>
      </c>
      <c r="D3051" t="inlineStr">
        <is>
          <t>VÄSTERNORRLANDS LÄN</t>
        </is>
      </c>
      <c r="E3051" t="inlineStr">
        <is>
          <t>SOLLEFTEÅ</t>
        </is>
      </c>
      <c r="F3051" t="inlineStr">
        <is>
          <t>Holmen skog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28579-2024</t>
        </is>
      </c>
      <c r="B3052" s="1" t="n">
        <v>45478</v>
      </c>
      <c r="C3052" s="1" t="n">
        <v>45802</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28576-2024</t>
        </is>
      </c>
      <c r="B3053" s="1" t="n">
        <v>45478</v>
      </c>
      <c r="C3053" s="1" t="n">
        <v>45802</v>
      </c>
      <c r="D3053" t="inlineStr">
        <is>
          <t>VÄSTERNORRLANDS LÄN</t>
        </is>
      </c>
      <c r="E3053" t="inlineStr">
        <is>
          <t>SOLLEFTEÅ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28580-2024</t>
        </is>
      </c>
      <c r="B3054" s="1" t="n">
        <v>45478</v>
      </c>
      <c r="C3054" s="1" t="n">
        <v>45802</v>
      </c>
      <c r="D3054" t="inlineStr">
        <is>
          <t>VÄSTERNORRLANDS LÄN</t>
        </is>
      </c>
      <c r="E3054" t="inlineStr">
        <is>
          <t>SOLLEFTEÅ</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28866-2024</t>
        </is>
      </c>
      <c r="B3055" s="1" t="n">
        <v>45478</v>
      </c>
      <c r="C3055" s="1" t="n">
        <v>45802</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28790-2024</t>
        </is>
      </c>
      <c r="B3056" s="1" t="n">
        <v>45478</v>
      </c>
      <c r="C3056" s="1" t="n">
        <v>45802</v>
      </c>
      <c r="D3056" t="inlineStr">
        <is>
          <t>VÄSTERNORRLANDS LÄN</t>
        </is>
      </c>
      <c r="E3056" t="inlineStr">
        <is>
          <t>SOLLEFTEÅ</t>
        </is>
      </c>
      <c r="F3056" t="inlineStr">
        <is>
          <t>Holmen skog AB</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29059-2024</t>
        </is>
      </c>
      <c r="B3057" s="1" t="n">
        <v>45481</v>
      </c>
      <c r="C3057" s="1" t="n">
        <v>45802</v>
      </c>
      <c r="D3057" t="inlineStr">
        <is>
          <t>VÄSTERNORRLANDS LÄN</t>
        </is>
      </c>
      <c r="E3057" t="inlineStr">
        <is>
          <t>SOLLEFTEÅ</t>
        </is>
      </c>
      <c r="F3057" t="inlineStr">
        <is>
          <t>Kyrkan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29055-2024</t>
        </is>
      </c>
      <c r="B3058" s="1" t="n">
        <v>45481</v>
      </c>
      <c r="C3058" s="1" t="n">
        <v>45802</v>
      </c>
      <c r="D3058" t="inlineStr">
        <is>
          <t>VÄSTERNORRLANDS LÄN</t>
        </is>
      </c>
      <c r="E3058" t="inlineStr">
        <is>
          <t>SOLLEFTEÅ</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29054-2024</t>
        </is>
      </c>
      <c r="B3059" s="1" t="n">
        <v>45481</v>
      </c>
      <c r="C3059" s="1" t="n">
        <v>45802</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29211-2024</t>
        </is>
      </c>
      <c r="B3060" s="1" t="n">
        <v>45482</v>
      </c>
      <c r="C3060" s="1" t="n">
        <v>45802</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29258-2024</t>
        </is>
      </c>
      <c r="B3061" s="1" t="n">
        <v>45483</v>
      </c>
      <c r="C3061" s="1" t="n">
        <v>45802</v>
      </c>
      <c r="D3061" t="inlineStr">
        <is>
          <t>VÄSTERNORRLANDS LÄN</t>
        </is>
      </c>
      <c r="E3061" t="inlineStr">
        <is>
          <t>SOLLEFTEÅ</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29248-2024</t>
        </is>
      </c>
      <c r="B3062" s="1" t="n">
        <v>45482</v>
      </c>
      <c r="C3062" s="1" t="n">
        <v>45802</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29457-2024</t>
        </is>
      </c>
      <c r="B3063" s="1" t="n">
        <v>45484</v>
      </c>
      <c r="C3063" s="1" t="n">
        <v>45802</v>
      </c>
      <c r="D3063" t="inlineStr">
        <is>
          <t>VÄSTERNORRLANDS LÄN</t>
        </is>
      </c>
      <c r="E3063" t="inlineStr">
        <is>
          <t>SOLLEFTEÅ</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29459-2024</t>
        </is>
      </c>
      <c r="B3064" s="1" t="n">
        <v>45484</v>
      </c>
      <c r="C3064" s="1" t="n">
        <v>45802</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29693-2024</t>
        </is>
      </c>
      <c r="B3065" s="1" t="n">
        <v>45485</v>
      </c>
      <c r="C3065" s="1" t="n">
        <v>45802</v>
      </c>
      <c r="D3065" t="inlineStr">
        <is>
          <t>VÄSTERNORRLANDS LÄN</t>
        </is>
      </c>
      <c r="E3065" t="inlineStr">
        <is>
          <t>SOLLEFTEÅ</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29575-2024</t>
        </is>
      </c>
      <c r="B3066" s="1" t="n">
        <v>45484</v>
      </c>
      <c r="C3066" s="1" t="n">
        <v>45802</v>
      </c>
      <c r="D3066" t="inlineStr">
        <is>
          <t>VÄSTERNORRLANDS LÄN</t>
        </is>
      </c>
      <c r="E3066" t="inlineStr">
        <is>
          <t>SOLLEFTEÅ</t>
        </is>
      </c>
      <c r="G3066" t="n">
        <v>12.9</v>
      </c>
      <c r="H3066" t="n">
        <v>0</v>
      </c>
      <c r="I3066" t="n">
        <v>0</v>
      </c>
      <c r="J3066" t="n">
        <v>0</v>
      </c>
      <c r="K3066" t="n">
        <v>0</v>
      </c>
      <c r="L3066" t="n">
        <v>0</v>
      </c>
      <c r="M3066" t="n">
        <v>0</v>
      </c>
      <c r="N3066" t="n">
        <v>0</v>
      </c>
      <c r="O3066" t="n">
        <v>0</v>
      </c>
      <c r="P3066" t="n">
        <v>0</v>
      </c>
      <c r="Q3066" t="n">
        <v>0</v>
      </c>
      <c r="R3066" s="2" t="inlineStr"/>
    </row>
    <row r="3067" ht="15" customHeight="1">
      <c r="A3067" t="inlineStr">
        <is>
          <t>A 29839-2024</t>
        </is>
      </c>
      <c r="B3067" s="1" t="n">
        <v>45485</v>
      </c>
      <c r="C3067" s="1" t="n">
        <v>45802</v>
      </c>
      <c r="D3067" t="inlineStr">
        <is>
          <t>VÄSTERNORRLANDS LÄN</t>
        </is>
      </c>
      <c r="E3067" t="inlineStr">
        <is>
          <t>SOLLEFTEÅ</t>
        </is>
      </c>
      <c r="F3067" t="inlineStr">
        <is>
          <t>Holmen skog AB</t>
        </is>
      </c>
      <c r="G3067" t="n">
        <v>16.1</v>
      </c>
      <c r="H3067" t="n">
        <v>0</v>
      </c>
      <c r="I3067" t="n">
        <v>0</v>
      </c>
      <c r="J3067" t="n">
        <v>0</v>
      </c>
      <c r="K3067" t="n">
        <v>0</v>
      </c>
      <c r="L3067" t="n">
        <v>0</v>
      </c>
      <c r="M3067" t="n">
        <v>0</v>
      </c>
      <c r="N3067" t="n">
        <v>0</v>
      </c>
      <c r="O3067" t="n">
        <v>0</v>
      </c>
      <c r="P3067" t="n">
        <v>0</v>
      </c>
      <c r="Q3067" t="n">
        <v>0</v>
      </c>
      <c r="R3067" s="2" t="inlineStr"/>
    </row>
    <row r="3068" ht="15" customHeight="1">
      <c r="A3068" t="inlineStr">
        <is>
          <t>A 29755-2024</t>
        </is>
      </c>
      <c r="B3068" s="1" t="n">
        <v>45485</v>
      </c>
      <c r="C3068" s="1" t="n">
        <v>45802</v>
      </c>
      <c r="D3068" t="inlineStr">
        <is>
          <t>VÄSTERNORRLANDS LÄN</t>
        </is>
      </c>
      <c r="E3068" t="inlineStr">
        <is>
          <t>SOLLEFTEÅ</t>
        </is>
      </c>
      <c r="F3068" t="inlineStr">
        <is>
          <t>Holmen skog AB</t>
        </is>
      </c>
      <c r="G3068" t="n">
        <v>9.199999999999999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29870-2024</t>
        </is>
      </c>
      <c r="B3069" s="1" t="n">
        <v>45486</v>
      </c>
      <c r="C3069" s="1" t="n">
        <v>45802</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29869-2024</t>
        </is>
      </c>
      <c r="B3070" s="1" t="n">
        <v>45486</v>
      </c>
      <c r="C3070" s="1" t="n">
        <v>45802</v>
      </c>
      <c r="D3070" t="inlineStr">
        <is>
          <t>VÄSTERNORRLANDS LÄN</t>
        </is>
      </c>
      <c r="E3070" t="inlineStr">
        <is>
          <t>SOLLEFTEÅ</t>
        </is>
      </c>
      <c r="F3070" t="inlineStr">
        <is>
          <t>SCA</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29914-2024</t>
        </is>
      </c>
      <c r="B3071" s="1" t="n">
        <v>45488</v>
      </c>
      <c r="C3071" s="1" t="n">
        <v>45802</v>
      </c>
      <c r="D3071" t="inlineStr">
        <is>
          <t>VÄSTERNORRLANDS LÄN</t>
        </is>
      </c>
      <c r="E3071" t="inlineStr">
        <is>
          <t>SOLLEFTEÅ</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29915-2024</t>
        </is>
      </c>
      <c r="B3072" s="1" t="n">
        <v>45488</v>
      </c>
      <c r="C3072" s="1" t="n">
        <v>45802</v>
      </c>
      <c r="D3072" t="inlineStr">
        <is>
          <t>VÄSTERNORRLANDS LÄN</t>
        </is>
      </c>
      <c r="E3072" t="inlineStr">
        <is>
          <t>SOLLEFTEÅ</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29913-2024</t>
        </is>
      </c>
      <c r="B3073" s="1" t="n">
        <v>45488</v>
      </c>
      <c r="C3073" s="1" t="n">
        <v>45802</v>
      </c>
      <c r="D3073" t="inlineStr">
        <is>
          <t>VÄSTERNORRLANDS LÄN</t>
        </is>
      </c>
      <c r="E3073" t="inlineStr">
        <is>
          <t>SOLLEFTEÅ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29916-2024</t>
        </is>
      </c>
      <c r="B3074" s="1" t="n">
        <v>45488</v>
      </c>
      <c r="C3074" s="1" t="n">
        <v>45802</v>
      </c>
      <c r="D3074" t="inlineStr">
        <is>
          <t>VÄSTERNORRLANDS LÄN</t>
        </is>
      </c>
      <c r="E3074" t="inlineStr">
        <is>
          <t>SOLLEFTEÅ</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30063-2024</t>
        </is>
      </c>
      <c r="B3075" s="1" t="n">
        <v>45489</v>
      </c>
      <c r="C3075" s="1" t="n">
        <v>45802</v>
      </c>
      <c r="D3075" t="inlineStr">
        <is>
          <t>VÄSTERNORRLANDS LÄN</t>
        </is>
      </c>
      <c r="E3075" t="inlineStr">
        <is>
          <t>SOLLEFTEÅ</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30060-2024</t>
        </is>
      </c>
      <c r="B3076" s="1" t="n">
        <v>45489</v>
      </c>
      <c r="C3076" s="1" t="n">
        <v>45802</v>
      </c>
      <c r="D3076" t="inlineStr">
        <is>
          <t>VÄSTERNORRLANDS LÄN</t>
        </is>
      </c>
      <c r="E3076" t="inlineStr">
        <is>
          <t>SOLLEFTEÅ</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30068-2024</t>
        </is>
      </c>
      <c r="B3077" s="1" t="n">
        <v>45489</v>
      </c>
      <c r="C3077" s="1" t="n">
        <v>45802</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30061-2024</t>
        </is>
      </c>
      <c r="B3078" s="1" t="n">
        <v>45489</v>
      </c>
      <c r="C3078" s="1" t="n">
        <v>45802</v>
      </c>
      <c r="D3078" t="inlineStr">
        <is>
          <t>VÄSTERNORRLANDS LÄN</t>
        </is>
      </c>
      <c r="E3078" t="inlineStr">
        <is>
          <t>SOLLEFTEÅ</t>
        </is>
      </c>
      <c r="F3078" t="inlineStr">
        <is>
          <t>SCA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30069-2024</t>
        </is>
      </c>
      <c r="B3079" s="1" t="n">
        <v>45489</v>
      </c>
      <c r="C3079" s="1" t="n">
        <v>45802</v>
      </c>
      <c r="D3079" t="inlineStr">
        <is>
          <t>VÄSTERNORRLANDS LÄN</t>
        </is>
      </c>
      <c r="E3079" t="inlineStr">
        <is>
          <t>SOLLEFTEÅ</t>
        </is>
      </c>
      <c r="F3079" t="inlineStr">
        <is>
          <t>SCA</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30214-2024</t>
        </is>
      </c>
      <c r="B3080" s="1" t="n">
        <v>45490</v>
      </c>
      <c r="C3080" s="1" t="n">
        <v>45802</v>
      </c>
      <c r="D3080" t="inlineStr">
        <is>
          <t>VÄSTERNORRLANDS LÄN</t>
        </is>
      </c>
      <c r="E3080" t="inlineStr">
        <is>
          <t>SOLLEFTEÅ</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30327-2024</t>
        </is>
      </c>
      <c r="B3081" s="1" t="n">
        <v>45491</v>
      </c>
      <c r="C3081" s="1" t="n">
        <v>45802</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30328-2024</t>
        </is>
      </c>
      <c r="B3082" s="1" t="n">
        <v>45491</v>
      </c>
      <c r="C3082" s="1" t="n">
        <v>45802</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30329-2024</t>
        </is>
      </c>
      <c r="B3083" s="1" t="n">
        <v>45491</v>
      </c>
      <c r="C3083" s="1" t="n">
        <v>45802</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30325-2024</t>
        </is>
      </c>
      <c r="B3084" s="1" t="n">
        <v>45491</v>
      </c>
      <c r="C3084" s="1" t="n">
        <v>45802</v>
      </c>
      <c r="D3084" t="inlineStr">
        <is>
          <t>VÄSTERNORRLANDS LÄN</t>
        </is>
      </c>
      <c r="E3084" t="inlineStr">
        <is>
          <t>SOLLEFTEÅ</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30466-2024</t>
        </is>
      </c>
      <c r="B3085" s="1" t="n">
        <v>45492</v>
      </c>
      <c r="C3085" s="1" t="n">
        <v>45802</v>
      </c>
      <c r="D3085" t="inlineStr">
        <is>
          <t>VÄSTERNORRLANDS LÄN</t>
        </is>
      </c>
      <c r="E3085" t="inlineStr">
        <is>
          <t>SOLLEFTEÅ</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30476-2024</t>
        </is>
      </c>
      <c r="B3086" s="1" t="n">
        <v>45492</v>
      </c>
      <c r="C3086" s="1" t="n">
        <v>45802</v>
      </c>
      <c r="D3086" t="inlineStr">
        <is>
          <t>VÄSTERNORRLANDS LÄN</t>
        </is>
      </c>
      <c r="E3086" t="inlineStr">
        <is>
          <t>SOLLEFTEÅ</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30464-2024</t>
        </is>
      </c>
      <c r="B3087" s="1" t="n">
        <v>45492</v>
      </c>
      <c r="C3087" s="1" t="n">
        <v>45802</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30570-2024</t>
        </is>
      </c>
      <c r="B3088" s="1" t="n">
        <v>45493</v>
      </c>
      <c r="C3088" s="1" t="n">
        <v>45802</v>
      </c>
      <c r="D3088" t="inlineStr">
        <is>
          <t>VÄSTERNORRLANDS LÄN</t>
        </is>
      </c>
      <c r="E3088" t="inlineStr">
        <is>
          <t>SOLLEFTEÅ</t>
        </is>
      </c>
      <c r="F3088" t="inlineStr">
        <is>
          <t>SCA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30812-2024</t>
        </is>
      </c>
      <c r="B3089" s="1" t="n">
        <v>45497</v>
      </c>
      <c r="C3089" s="1" t="n">
        <v>45802</v>
      </c>
      <c r="D3089" t="inlineStr">
        <is>
          <t>VÄSTERNORRLANDS LÄN</t>
        </is>
      </c>
      <c r="E3089" t="inlineStr">
        <is>
          <t>SOLLEFTEÅ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31521-2024</t>
        </is>
      </c>
      <c r="B3090" s="1" t="n">
        <v>45505</v>
      </c>
      <c r="C3090" s="1" t="n">
        <v>45802</v>
      </c>
      <c r="D3090" t="inlineStr">
        <is>
          <t>VÄSTERNORRLANDS LÄN</t>
        </is>
      </c>
      <c r="E3090" t="inlineStr">
        <is>
          <t>SOLLEFTEÅ</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31482-2024</t>
        </is>
      </c>
      <c r="B3091" s="1" t="n">
        <v>45505</v>
      </c>
      <c r="C3091" s="1" t="n">
        <v>45802</v>
      </c>
      <c r="D3091" t="inlineStr">
        <is>
          <t>VÄSTERNORRLANDS LÄN</t>
        </is>
      </c>
      <c r="E3091" t="inlineStr">
        <is>
          <t>SOLLEFTEÅ</t>
        </is>
      </c>
      <c r="F3091" t="inlineStr">
        <is>
          <t>SCA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31555-2024</t>
        </is>
      </c>
      <c r="B3092" s="1" t="n">
        <v>45506</v>
      </c>
      <c r="C3092" s="1" t="n">
        <v>45802</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31547-2024</t>
        </is>
      </c>
      <c r="B3093" s="1" t="n">
        <v>45506</v>
      </c>
      <c r="C3093" s="1" t="n">
        <v>45802</v>
      </c>
      <c r="D3093" t="inlineStr">
        <is>
          <t>VÄSTERNORRLANDS LÄN</t>
        </is>
      </c>
      <c r="E3093" t="inlineStr">
        <is>
          <t>SOLLEFTEÅ</t>
        </is>
      </c>
      <c r="F3093" t="inlineStr">
        <is>
          <t>SCA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31556-2024</t>
        </is>
      </c>
      <c r="B3094" s="1" t="n">
        <v>45505</v>
      </c>
      <c r="C3094" s="1" t="n">
        <v>45802</v>
      </c>
      <c r="D3094" t="inlineStr">
        <is>
          <t>VÄSTERNORRLANDS LÄN</t>
        </is>
      </c>
      <c r="E3094" t="inlineStr">
        <is>
          <t>SOLLEFTEÅ</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31480-2024</t>
        </is>
      </c>
      <c r="B3095" s="1" t="n">
        <v>45506</v>
      </c>
      <c r="C3095" s="1" t="n">
        <v>45802</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31496-2024</t>
        </is>
      </c>
      <c r="B3096" s="1" t="n">
        <v>45506</v>
      </c>
      <c r="C3096" s="1" t="n">
        <v>45802</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31562-2024</t>
        </is>
      </c>
      <c r="B3097" s="1" t="n">
        <v>45505</v>
      </c>
      <c r="C3097" s="1" t="n">
        <v>45802</v>
      </c>
      <c r="D3097" t="inlineStr">
        <is>
          <t>VÄSTERNORRLANDS LÄN</t>
        </is>
      </c>
      <c r="E3097" t="inlineStr">
        <is>
          <t>SOLLEFTEÅ</t>
        </is>
      </c>
      <c r="F3097" t="inlineStr">
        <is>
          <t>SCA</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31549-2024</t>
        </is>
      </c>
      <c r="B3098" s="1" t="n">
        <v>45506</v>
      </c>
      <c r="C3098" s="1" t="n">
        <v>45802</v>
      </c>
      <c r="D3098" t="inlineStr">
        <is>
          <t>VÄSTERNORRLANDS LÄN</t>
        </is>
      </c>
      <c r="E3098" t="inlineStr">
        <is>
          <t>SOLLEFTEÅ</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31537-2024</t>
        </is>
      </c>
      <c r="B3099" s="1" t="n">
        <v>45506</v>
      </c>
      <c r="C3099" s="1" t="n">
        <v>45802</v>
      </c>
      <c r="D3099" t="inlineStr">
        <is>
          <t>VÄSTERNORRLANDS LÄN</t>
        </is>
      </c>
      <c r="E3099" t="inlineStr">
        <is>
          <t>SOLLEFTEÅ</t>
        </is>
      </c>
      <c r="F3099" t="inlineStr">
        <is>
          <t>SCA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31511-2024</t>
        </is>
      </c>
      <c r="B3100" s="1" t="n">
        <v>45506</v>
      </c>
      <c r="C3100" s="1" t="n">
        <v>45802</v>
      </c>
      <c r="D3100" t="inlineStr">
        <is>
          <t>VÄSTERNORRLANDS LÄN</t>
        </is>
      </c>
      <c r="E3100" t="inlineStr">
        <is>
          <t>SOLLEFTEÅ</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31481-2024</t>
        </is>
      </c>
      <c r="B3101" s="1" t="n">
        <v>45505</v>
      </c>
      <c r="C3101" s="1" t="n">
        <v>45802</v>
      </c>
      <c r="D3101" t="inlineStr">
        <is>
          <t>VÄSTERNORRLANDS LÄN</t>
        </is>
      </c>
      <c r="E3101" t="inlineStr">
        <is>
          <t>SOLLEFTEÅ</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31559-2024</t>
        </is>
      </c>
      <c r="B3102" s="1" t="n">
        <v>45506</v>
      </c>
      <c r="C3102" s="1" t="n">
        <v>45802</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31554-2024</t>
        </is>
      </c>
      <c r="B3103" s="1" t="n">
        <v>45506</v>
      </c>
      <c r="C3103" s="1" t="n">
        <v>45802</v>
      </c>
      <c r="D3103" t="inlineStr">
        <is>
          <t>VÄSTERNORRLANDS LÄN</t>
        </is>
      </c>
      <c r="E3103" t="inlineStr">
        <is>
          <t>SOLLEFTEÅ</t>
        </is>
      </c>
      <c r="F3103" t="inlineStr">
        <is>
          <t>SCA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31550-2024</t>
        </is>
      </c>
      <c r="B3104" s="1" t="n">
        <v>45505</v>
      </c>
      <c r="C3104" s="1" t="n">
        <v>45802</v>
      </c>
      <c r="D3104" t="inlineStr">
        <is>
          <t>VÄSTERNORRLANDS LÄN</t>
        </is>
      </c>
      <c r="E3104" t="inlineStr">
        <is>
          <t>SOLLEFTEÅ</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31477-2024</t>
        </is>
      </c>
      <c r="B3105" s="1" t="n">
        <v>45505</v>
      </c>
      <c r="C3105" s="1" t="n">
        <v>45802</v>
      </c>
      <c r="D3105" t="inlineStr">
        <is>
          <t>VÄSTERNORRLANDS LÄN</t>
        </is>
      </c>
      <c r="E3105" t="inlineStr">
        <is>
          <t>SOLLEFTEÅ</t>
        </is>
      </c>
      <c r="F3105" t="inlineStr">
        <is>
          <t>SCA</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31528-2024</t>
        </is>
      </c>
      <c r="B3106" s="1" t="n">
        <v>45505</v>
      </c>
      <c r="C3106" s="1" t="n">
        <v>45802</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31520-2024</t>
        </is>
      </c>
      <c r="B3107" s="1" t="n">
        <v>45505</v>
      </c>
      <c r="C3107" s="1" t="n">
        <v>45802</v>
      </c>
      <c r="D3107" t="inlineStr">
        <is>
          <t>VÄSTERNORRLANDS LÄN</t>
        </is>
      </c>
      <c r="E3107" t="inlineStr">
        <is>
          <t>SOLLEFTEÅ</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31516-2024</t>
        </is>
      </c>
      <c r="B3108" s="1" t="n">
        <v>45505</v>
      </c>
      <c r="C3108" s="1" t="n">
        <v>45802</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31569-2024</t>
        </is>
      </c>
      <c r="B3109" s="1" t="n">
        <v>45505</v>
      </c>
      <c r="C3109" s="1" t="n">
        <v>45802</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31548-2024</t>
        </is>
      </c>
      <c r="B3110" s="1" t="n">
        <v>45506</v>
      </c>
      <c r="C3110" s="1" t="n">
        <v>45802</v>
      </c>
      <c r="D3110" t="inlineStr">
        <is>
          <t>VÄSTERNORRLANDS LÄN</t>
        </is>
      </c>
      <c r="E3110" t="inlineStr">
        <is>
          <t>SOLLEFTEÅ</t>
        </is>
      </c>
      <c r="F3110" t="inlineStr">
        <is>
          <t>SCA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31680-2024</t>
        </is>
      </c>
      <c r="B3111" s="1" t="n">
        <v>45507</v>
      </c>
      <c r="C3111" s="1" t="n">
        <v>45802</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31669-2024</t>
        </is>
      </c>
      <c r="B3112" s="1" t="n">
        <v>45507</v>
      </c>
      <c r="C3112" s="1" t="n">
        <v>45802</v>
      </c>
      <c r="D3112" t="inlineStr">
        <is>
          <t>VÄSTERNORRLANDS LÄN</t>
        </is>
      </c>
      <c r="E3112" t="inlineStr">
        <is>
          <t>SOLLEFTEÅ</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31614-2024</t>
        </is>
      </c>
      <c r="B3113" s="1" t="n">
        <v>45506</v>
      </c>
      <c r="C3113" s="1" t="n">
        <v>45802</v>
      </c>
      <c r="D3113" t="inlineStr">
        <is>
          <t>VÄSTERNORRLANDS LÄN</t>
        </is>
      </c>
      <c r="E3113" t="inlineStr">
        <is>
          <t>SOLLEFTEÅ</t>
        </is>
      </c>
      <c r="F3113" t="inlineStr">
        <is>
          <t>Kommuner</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31681-2024</t>
        </is>
      </c>
      <c r="B3114" s="1" t="n">
        <v>45507</v>
      </c>
      <c r="C3114" s="1" t="n">
        <v>45802</v>
      </c>
      <c r="D3114" t="inlineStr">
        <is>
          <t>VÄSTERNORRLANDS LÄN</t>
        </is>
      </c>
      <c r="E3114" t="inlineStr">
        <is>
          <t>SOLLEFTEÅ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31658-2024</t>
        </is>
      </c>
      <c r="B3115" s="1" t="n">
        <v>45506</v>
      </c>
      <c r="C3115" s="1" t="n">
        <v>45802</v>
      </c>
      <c r="D3115" t="inlineStr">
        <is>
          <t>VÄSTERNORRLANDS LÄN</t>
        </is>
      </c>
      <c r="E3115" t="inlineStr">
        <is>
          <t>SOLLEFTEÅ</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31662-2024</t>
        </is>
      </c>
      <c r="B3116" s="1" t="n">
        <v>45507</v>
      </c>
      <c r="C3116" s="1" t="n">
        <v>45802</v>
      </c>
      <c r="D3116" t="inlineStr">
        <is>
          <t>VÄSTERNORRLANDS LÄN</t>
        </is>
      </c>
      <c r="E3116" t="inlineStr">
        <is>
          <t>SOLLEFTEÅ</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31670-2024</t>
        </is>
      </c>
      <c r="B3117" s="1" t="n">
        <v>45507</v>
      </c>
      <c r="C3117" s="1" t="n">
        <v>45802</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31686-2024</t>
        </is>
      </c>
      <c r="B3118" s="1" t="n">
        <v>45506</v>
      </c>
      <c r="C3118" s="1" t="n">
        <v>45802</v>
      </c>
      <c r="D3118" t="inlineStr">
        <is>
          <t>VÄSTERNORRLANDS LÄN</t>
        </is>
      </c>
      <c r="E3118" t="inlineStr">
        <is>
          <t>SOLLEFTEÅ</t>
        </is>
      </c>
      <c r="F3118" t="inlineStr">
        <is>
          <t>SCA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31708-2024</t>
        </is>
      </c>
      <c r="B3119" s="1" t="n">
        <v>45509</v>
      </c>
      <c r="C3119" s="1" t="n">
        <v>45802</v>
      </c>
      <c r="D3119" t="inlineStr">
        <is>
          <t>VÄSTERNORRLANDS LÄN</t>
        </is>
      </c>
      <c r="E3119" t="inlineStr">
        <is>
          <t>SOLLEFTEÅ</t>
        </is>
      </c>
      <c r="F3119" t="inlineStr">
        <is>
          <t>SCA</t>
        </is>
      </c>
      <c r="G3119" t="n">
        <v>13.9</v>
      </c>
      <c r="H3119" t="n">
        <v>0</v>
      </c>
      <c r="I3119" t="n">
        <v>0</v>
      </c>
      <c r="J3119" t="n">
        <v>0</v>
      </c>
      <c r="K3119" t="n">
        <v>0</v>
      </c>
      <c r="L3119" t="n">
        <v>0</v>
      </c>
      <c r="M3119" t="n">
        <v>0</v>
      </c>
      <c r="N3119" t="n">
        <v>0</v>
      </c>
      <c r="O3119" t="n">
        <v>0</v>
      </c>
      <c r="P3119" t="n">
        <v>0</v>
      </c>
      <c r="Q3119" t="n">
        <v>0</v>
      </c>
      <c r="R3119" s="2" t="inlineStr"/>
    </row>
    <row r="3120" ht="15" customHeight="1">
      <c r="A3120" t="inlineStr">
        <is>
          <t>A 31807-2024</t>
        </is>
      </c>
      <c r="B3120" s="1" t="n">
        <v>45509</v>
      </c>
      <c r="C3120" s="1" t="n">
        <v>45802</v>
      </c>
      <c r="D3120" t="inlineStr">
        <is>
          <t>VÄSTERNORRLANDS LÄN</t>
        </is>
      </c>
      <c r="E3120" t="inlineStr">
        <is>
          <t>SOLLEFTEÅ</t>
        </is>
      </c>
      <c r="F3120" t="inlineStr">
        <is>
          <t>Holmen skog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31886-2024</t>
        </is>
      </c>
      <c r="B3121" s="1" t="n">
        <v>45510</v>
      </c>
      <c r="C3121" s="1" t="n">
        <v>45802</v>
      </c>
      <c r="D3121" t="inlineStr">
        <is>
          <t>VÄSTERNORRLANDS LÄN</t>
        </is>
      </c>
      <c r="E3121" t="inlineStr">
        <is>
          <t>SOLLEFTEÅ</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31881-2024</t>
        </is>
      </c>
      <c r="B3122" s="1" t="n">
        <v>45509</v>
      </c>
      <c r="C3122" s="1" t="n">
        <v>45802</v>
      </c>
      <c r="D3122" t="inlineStr">
        <is>
          <t>VÄSTERNORRLANDS LÄN</t>
        </is>
      </c>
      <c r="E3122" t="inlineStr">
        <is>
          <t>SOLLEFTEÅ</t>
        </is>
      </c>
      <c r="F3122" t="inlineStr">
        <is>
          <t>SCA</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31889-2024</t>
        </is>
      </c>
      <c r="B3123" s="1" t="n">
        <v>45510</v>
      </c>
      <c r="C3123" s="1" t="n">
        <v>45802</v>
      </c>
      <c r="D3123" t="inlineStr">
        <is>
          <t>VÄSTERNORRLANDS LÄN</t>
        </is>
      </c>
      <c r="E3123" t="inlineStr">
        <is>
          <t>SOLLEFTEÅ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31880-2024</t>
        </is>
      </c>
      <c r="B3124" s="1" t="n">
        <v>45509</v>
      </c>
      <c r="C3124" s="1" t="n">
        <v>45802</v>
      </c>
      <c r="D3124" t="inlineStr">
        <is>
          <t>VÄSTERNORRLANDS LÄN</t>
        </is>
      </c>
      <c r="E3124" t="inlineStr">
        <is>
          <t>SOLLEFTEÅ</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32062-2024</t>
        </is>
      </c>
      <c r="B3125" s="1" t="n">
        <v>45510</v>
      </c>
      <c r="C3125" s="1" t="n">
        <v>45802</v>
      </c>
      <c r="D3125" t="inlineStr">
        <is>
          <t>VÄSTERNORRLANDS LÄN</t>
        </is>
      </c>
      <c r="E3125" t="inlineStr">
        <is>
          <t>SOLLEFTEÅ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32071-2024</t>
        </is>
      </c>
      <c r="B3126" s="1" t="n">
        <v>45511</v>
      </c>
      <c r="C3126" s="1" t="n">
        <v>45802</v>
      </c>
      <c r="D3126" t="inlineStr">
        <is>
          <t>VÄSTERNORRLANDS LÄN</t>
        </is>
      </c>
      <c r="E3126" t="inlineStr">
        <is>
          <t>SOLLEFTEÅ</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32242-2024</t>
        </is>
      </c>
      <c r="B3127" s="1" t="n">
        <v>45512</v>
      </c>
      <c r="C3127" s="1" t="n">
        <v>45802</v>
      </c>
      <c r="D3127" t="inlineStr">
        <is>
          <t>VÄSTERNORRLANDS LÄN</t>
        </is>
      </c>
      <c r="E3127" t="inlineStr">
        <is>
          <t>SOLLEFTEÅ</t>
        </is>
      </c>
      <c r="F3127" t="inlineStr">
        <is>
          <t>SCA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32255-2024</t>
        </is>
      </c>
      <c r="B3128" s="1" t="n">
        <v>45512</v>
      </c>
      <c r="C3128" s="1" t="n">
        <v>45802</v>
      </c>
      <c r="D3128" t="inlineStr">
        <is>
          <t>VÄSTERNORRLANDS LÄN</t>
        </is>
      </c>
      <c r="E3128" t="inlineStr">
        <is>
          <t>SOLLEFTEÅ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32140-2024</t>
        </is>
      </c>
      <c r="B3129" s="1" t="n">
        <v>45511</v>
      </c>
      <c r="C3129" s="1" t="n">
        <v>45802</v>
      </c>
      <c r="D3129" t="inlineStr">
        <is>
          <t>VÄSTERNORRLANDS LÄN</t>
        </is>
      </c>
      <c r="E3129" t="inlineStr">
        <is>
          <t>SOLLEFTEÅ</t>
        </is>
      </c>
      <c r="F3129" t="inlineStr">
        <is>
          <t>Holmen skog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32157-2024</t>
        </is>
      </c>
      <c r="B3130" s="1" t="n">
        <v>45511</v>
      </c>
      <c r="C3130" s="1" t="n">
        <v>45802</v>
      </c>
      <c r="D3130" t="inlineStr">
        <is>
          <t>VÄSTERNORRLANDS LÄN</t>
        </is>
      </c>
      <c r="E3130" t="inlineStr">
        <is>
          <t>SOLLEFTEÅ</t>
        </is>
      </c>
      <c r="F3130" t="inlineStr">
        <is>
          <t>Holmen skog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32467-2024</t>
        </is>
      </c>
      <c r="B3131" s="1" t="n">
        <v>45512</v>
      </c>
      <c r="C3131" s="1" t="n">
        <v>45802</v>
      </c>
      <c r="D3131" t="inlineStr">
        <is>
          <t>VÄSTERNORRLANDS LÄN</t>
        </is>
      </c>
      <c r="E3131" t="inlineStr">
        <is>
          <t>SOLLEFTEÅ</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32754-2024</t>
        </is>
      </c>
      <c r="B3132" s="1" t="n">
        <v>45516</v>
      </c>
      <c r="C3132" s="1" t="n">
        <v>45802</v>
      </c>
      <c r="D3132" t="inlineStr">
        <is>
          <t>VÄSTERNORRLANDS LÄN</t>
        </is>
      </c>
      <c r="E3132" t="inlineStr">
        <is>
          <t>SOLLEFTEÅ</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32924-2024</t>
        </is>
      </c>
      <c r="B3133" s="1" t="n">
        <v>45517</v>
      </c>
      <c r="C3133" s="1" t="n">
        <v>45802</v>
      </c>
      <c r="D3133" t="inlineStr">
        <is>
          <t>VÄSTERNORRLANDS LÄN</t>
        </is>
      </c>
      <c r="E3133" t="inlineStr">
        <is>
          <t>SOLLEFTEÅ</t>
        </is>
      </c>
      <c r="F3133" t="inlineStr">
        <is>
          <t>SCA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32812-2024</t>
        </is>
      </c>
      <c r="B3134" s="1" t="n">
        <v>45516</v>
      </c>
      <c r="C3134" s="1" t="n">
        <v>45802</v>
      </c>
      <c r="D3134" t="inlineStr">
        <is>
          <t>VÄSTERNORRLANDS LÄN</t>
        </is>
      </c>
      <c r="E3134" t="inlineStr">
        <is>
          <t>SOLLEFTEÅ</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32702-2024</t>
        </is>
      </c>
      <c r="B3135" s="1" t="n">
        <v>45516</v>
      </c>
      <c r="C3135" s="1" t="n">
        <v>45802</v>
      </c>
      <c r="D3135" t="inlineStr">
        <is>
          <t>VÄSTERNORRLANDS LÄN</t>
        </is>
      </c>
      <c r="E3135" t="inlineStr">
        <is>
          <t>SOLLEFTEÅ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33110-2024</t>
        </is>
      </c>
      <c r="B3136" s="1" t="n">
        <v>45517</v>
      </c>
      <c r="C3136" s="1" t="n">
        <v>45802</v>
      </c>
      <c r="D3136" t="inlineStr">
        <is>
          <t>VÄSTERNORRLANDS LÄN</t>
        </is>
      </c>
      <c r="E3136" t="inlineStr">
        <is>
          <t>SOLLEFTEÅ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33111-2024</t>
        </is>
      </c>
      <c r="B3137" s="1" t="n">
        <v>45517</v>
      </c>
      <c r="C3137" s="1" t="n">
        <v>45802</v>
      </c>
      <c r="D3137" t="inlineStr">
        <is>
          <t>VÄSTERNORRLANDS LÄN</t>
        </is>
      </c>
      <c r="E3137" t="inlineStr">
        <is>
          <t>SOLLEFTEÅ</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33031-2024</t>
        </is>
      </c>
      <c r="B3138" s="1" t="n">
        <v>45517</v>
      </c>
      <c r="C3138" s="1" t="n">
        <v>45802</v>
      </c>
      <c r="D3138" t="inlineStr">
        <is>
          <t>VÄSTERNORRLANDS LÄN</t>
        </is>
      </c>
      <c r="E3138" t="inlineStr">
        <is>
          <t>SOLLEFTEÅ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33241-2024</t>
        </is>
      </c>
      <c r="B3139" s="1" t="n">
        <v>45518</v>
      </c>
      <c r="C3139" s="1" t="n">
        <v>45802</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33316-2024</t>
        </is>
      </c>
      <c r="B3140" s="1" t="n">
        <v>45519</v>
      </c>
      <c r="C3140" s="1" t="n">
        <v>45802</v>
      </c>
      <c r="D3140" t="inlineStr">
        <is>
          <t>VÄSTERNORRLANDS LÄN</t>
        </is>
      </c>
      <c r="E3140" t="inlineStr">
        <is>
          <t>SOLLEFTEÅ</t>
        </is>
      </c>
      <c r="F3140" t="inlineStr">
        <is>
          <t>SCA</t>
        </is>
      </c>
      <c r="G3140" t="n">
        <v>12.9</v>
      </c>
      <c r="H3140" t="n">
        <v>0</v>
      </c>
      <c r="I3140" t="n">
        <v>0</v>
      </c>
      <c r="J3140" t="n">
        <v>0</v>
      </c>
      <c r="K3140" t="n">
        <v>0</v>
      </c>
      <c r="L3140" t="n">
        <v>0</v>
      </c>
      <c r="M3140" t="n">
        <v>0</v>
      </c>
      <c r="N3140" t="n">
        <v>0</v>
      </c>
      <c r="O3140" t="n">
        <v>0</v>
      </c>
      <c r="P3140" t="n">
        <v>0</v>
      </c>
      <c r="Q3140" t="n">
        <v>0</v>
      </c>
      <c r="R3140" s="2" t="inlineStr"/>
    </row>
    <row r="3141" ht="15" customHeight="1">
      <c r="A3141" t="inlineStr">
        <is>
          <t>A 33312-2024</t>
        </is>
      </c>
      <c r="B3141" s="1" t="n">
        <v>45519</v>
      </c>
      <c r="C3141" s="1" t="n">
        <v>45802</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33141-2024</t>
        </is>
      </c>
      <c r="B3142" s="1" t="n">
        <v>45518</v>
      </c>
      <c r="C3142" s="1" t="n">
        <v>45802</v>
      </c>
      <c r="D3142" t="inlineStr">
        <is>
          <t>VÄSTERNORRLANDS LÄN</t>
        </is>
      </c>
      <c r="E3142" t="inlineStr">
        <is>
          <t>SOLLEFTEÅ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33134-2024</t>
        </is>
      </c>
      <c r="B3143" s="1" t="n">
        <v>45518</v>
      </c>
      <c r="C3143" s="1" t="n">
        <v>45802</v>
      </c>
      <c r="D3143" t="inlineStr">
        <is>
          <t>VÄSTERNORRLANDS LÄN</t>
        </is>
      </c>
      <c r="E3143" t="inlineStr">
        <is>
          <t>SOLLEFTEÅ</t>
        </is>
      </c>
      <c r="F3143" t="inlineStr">
        <is>
          <t>Holmen skog AB</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33314-2024</t>
        </is>
      </c>
      <c r="B3144" s="1" t="n">
        <v>45519</v>
      </c>
      <c r="C3144" s="1" t="n">
        <v>45802</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33332-2024</t>
        </is>
      </c>
      <c r="B3145" s="1" t="n">
        <v>45519</v>
      </c>
      <c r="C3145" s="1" t="n">
        <v>45802</v>
      </c>
      <c r="D3145" t="inlineStr">
        <is>
          <t>VÄSTERNORRLANDS LÄN</t>
        </is>
      </c>
      <c r="E3145" t="inlineStr">
        <is>
          <t>SOLLEFTEÅ</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33490-2024</t>
        </is>
      </c>
      <c r="B3146" s="1" t="n">
        <v>45519</v>
      </c>
      <c r="C3146" s="1" t="n">
        <v>45802</v>
      </c>
      <c r="D3146" t="inlineStr">
        <is>
          <t>VÄSTERNORRLANDS LÄN</t>
        </is>
      </c>
      <c r="E3146" t="inlineStr">
        <is>
          <t>SOLLEFTEÅ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33617-2024</t>
        </is>
      </c>
      <c r="B3147" s="1" t="n">
        <v>45520</v>
      </c>
      <c r="C3147" s="1" t="n">
        <v>45802</v>
      </c>
      <c r="D3147" t="inlineStr">
        <is>
          <t>VÄSTERNORRLANDS LÄN</t>
        </is>
      </c>
      <c r="E3147" t="inlineStr">
        <is>
          <t>SOLLEFTEÅ</t>
        </is>
      </c>
      <c r="F3147" t="inlineStr">
        <is>
          <t>Holmen skog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33628-2024</t>
        </is>
      </c>
      <c r="B3148" s="1" t="n">
        <v>45520</v>
      </c>
      <c r="C3148" s="1" t="n">
        <v>45802</v>
      </c>
      <c r="D3148" t="inlineStr">
        <is>
          <t>VÄSTERNORRLANDS LÄN</t>
        </is>
      </c>
      <c r="E3148" t="inlineStr">
        <is>
          <t>SOLLEFTEÅ</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33677-2024</t>
        </is>
      </c>
      <c r="B3149" s="1" t="n">
        <v>45520</v>
      </c>
      <c r="C3149" s="1" t="n">
        <v>45802</v>
      </c>
      <c r="D3149" t="inlineStr">
        <is>
          <t>VÄSTERNORRLANDS LÄN</t>
        </is>
      </c>
      <c r="E3149" t="inlineStr">
        <is>
          <t>SOLLEFTEÅ</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33739-2024</t>
        </is>
      </c>
      <c r="B3150" s="1" t="n">
        <v>45520</v>
      </c>
      <c r="C3150" s="1" t="n">
        <v>45802</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33656-2024</t>
        </is>
      </c>
      <c r="B3151" s="1" t="n">
        <v>45520</v>
      </c>
      <c r="C3151" s="1" t="n">
        <v>45802</v>
      </c>
      <c r="D3151" t="inlineStr">
        <is>
          <t>VÄSTERNORRLANDS LÄN</t>
        </is>
      </c>
      <c r="E3151" t="inlineStr">
        <is>
          <t>SOLLEFTEÅ</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33799-2024</t>
        </is>
      </c>
      <c r="B3152" s="1" t="n">
        <v>45520</v>
      </c>
      <c r="C3152" s="1" t="n">
        <v>45802</v>
      </c>
      <c r="D3152" t="inlineStr">
        <is>
          <t>VÄSTERNORRLANDS LÄN</t>
        </is>
      </c>
      <c r="E3152" t="inlineStr">
        <is>
          <t>SOLLEFTEÅ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33815-2024</t>
        </is>
      </c>
      <c r="B3153" s="1" t="n">
        <v>45520</v>
      </c>
      <c r="C3153" s="1" t="n">
        <v>45802</v>
      </c>
      <c r="D3153" t="inlineStr">
        <is>
          <t>VÄSTERNORRLANDS LÄN</t>
        </is>
      </c>
      <c r="E3153" t="inlineStr">
        <is>
          <t>SOLLEFTEÅ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34318-2024</t>
        </is>
      </c>
      <c r="B3154" s="1" t="n">
        <v>45524</v>
      </c>
      <c r="C3154" s="1" t="n">
        <v>45802</v>
      </c>
      <c r="D3154" t="inlineStr">
        <is>
          <t>VÄSTERNORRLANDS LÄN</t>
        </is>
      </c>
      <c r="E3154" t="inlineStr">
        <is>
          <t>SOLLEFTEÅ</t>
        </is>
      </c>
      <c r="F3154" t="inlineStr">
        <is>
          <t>Övriga statliga verk och myndigheter</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34216-2024</t>
        </is>
      </c>
      <c r="B3155" s="1" t="n">
        <v>45524</v>
      </c>
      <c r="C3155" s="1" t="n">
        <v>45802</v>
      </c>
      <c r="D3155" t="inlineStr">
        <is>
          <t>VÄSTERNORRLANDS LÄN</t>
        </is>
      </c>
      <c r="E3155" t="inlineStr">
        <is>
          <t>SOLLEFTEÅ</t>
        </is>
      </c>
      <c r="F3155" t="inlineStr">
        <is>
          <t>Kommuner</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34313-2024</t>
        </is>
      </c>
      <c r="B3156" s="1" t="n">
        <v>45524</v>
      </c>
      <c r="C3156" s="1" t="n">
        <v>45802</v>
      </c>
      <c r="D3156" t="inlineStr">
        <is>
          <t>VÄSTERNORRLANDS LÄN</t>
        </is>
      </c>
      <c r="E3156" t="inlineStr">
        <is>
          <t>SOLLEFTEÅ</t>
        </is>
      </c>
      <c r="F3156" t="inlineStr">
        <is>
          <t>Övriga statliga verk och myndigheter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34316-2024</t>
        </is>
      </c>
      <c r="B3157" s="1" t="n">
        <v>45524</v>
      </c>
      <c r="C3157" s="1" t="n">
        <v>45802</v>
      </c>
      <c r="D3157" t="inlineStr">
        <is>
          <t>VÄSTERNORRLANDS LÄN</t>
        </is>
      </c>
      <c r="E3157" t="inlineStr">
        <is>
          <t>SOLLEFTEÅ</t>
        </is>
      </c>
      <c r="F3157" t="inlineStr">
        <is>
          <t>Övriga statliga verk och myndigheter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34398-2024</t>
        </is>
      </c>
      <c r="B3158" s="1" t="n">
        <v>45525</v>
      </c>
      <c r="C3158" s="1" t="n">
        <v>45802</v>
      </c>
      <c r="D3158" t="inlineStr">
        <is>
          <t>VÄSTERNORRLANDS LÄN</t>
        </is>
      </c>
      <c r="E3158" t="inlineStr">
        <is>
          <t>SOLLEFTEÅ</t>
        </is>
      </c>
      <c r="F3158" t="inlineStr">
        <is>
          <t>Holmen skog AB</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34458-2024</t>
        </is>
      </c>
      <c r="B3159" s="1" t="n">
        <v>45525</v>
      </c>
      <c r="C3159" s="1" t="n">
        <v>45802</v>
      </c>
      <c r="D3159" t="inlineStr">
        <is>
          <t>VÄSTERNORRLANDS LÄN</t>
        </is>
      </c>
      <c r="E3159" t="inlineStr">
        <is>
          <t>SOLLEFTEÅ</t>
        </is>
      </c>
      <c r="F3159" t="inlineStr">
        <is>
          <t>Kommuner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34388-2024</t>
        </is>
      </c>
      <c r="B3160" s="1" t="n">
        <v>45525</v>
      </c>
      <c r="C3160" s="1" t="n">
        <v>45802</v>
      </c>
      <c r="D3160" t="inlineStr">
        <is>
          <t>VÄSTERNORRLANDS LÄN</t>
        </is>
      </c>
      <c r="E3160" t="inlineStr">
        <is>
          <t>SOLLEFTEÅ</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34376-2024</t>
        </is>
      </c>
      <c r="B3161" s="1" t="n">
        <v>45525</v>
      </c>
      <c r="C3161" s="1" t="n">
        <v>45802</v>
      </c>
      <c r="D3161" t="inlineStr">
        <is>
          <t>VÄSTERNORRLANDS LÄN</t>
        </is>
      </c>
      <c r="E3161" t="inlineStr">
        <is>
          <t>SOLLEFTEÅ</t>
        </is>
      </c>
      <c r="F3161" t="inlineStr">
        <is>
          <t>Övriga statliga verk och myndigheter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34460-2024</t>
        </is>
      </c>
      <c r="B3162" s="1" t="n">
        <v>45525</v>
      </c>
      <c r="C3162" s="1" t="n">
        <v>45802</v>
      </c>
      <c r="D3162" t="inlineStr">
        <is>
          <t>VÄSTERNORRLANDS LÄN</t>
        </is>
      </c>
      <c r="E3162" t="inlineStr">
        <is>
          <t>SOLLEFTEÅ</t>
        </is>
      </c>
      <c r="F3162" t="inlineStr">
        <is>
          <t>Kommuner</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34640-2024</t>
        </is>
      </c>
      <c r="B3163" s="1" t="n">
        <v>45526</v>
      </c>
      <c r="C3163" s="1" t="n">
        <v>45802</v>
      </c>
      <c r="D3163" t="inlineStr">
        <is>
          <t>VÄSTERNORRLANDS LÄN</t>
        </is>
      </c>
      <c r="E3163" t="inlineStr">
        <is>
          <t>SOLLEFTEÅ</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34700-2024</t>
        </is>
      </c>
      <c r="B3164" s="1" t="n">
        <v>45526</v>
      </c>
      <c r="C3164" s="1" t="n">
        <v>45802</v>
      </c>
      <c r="D3164" t="inlineStr">
        <is>
          <t>VÄSTERNORRLANDS LÄN</t>
        </is>
      </c>
      <c r="E3164" t="inlineStr">
        <is>
          <t>SOLLEFTEÅ</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34560-2024</t>
        </is>
      </c>
      <c r="B3165" s="1" t="n">
        <v>45526</v>
      </c>
      <c r="C3165" s="1" t="n">
        <v>45802</v>
      </c>
      <c r="D3165" t="inlineStr">
        <is>
          <t>VÄSTERNORRLANDS LÄN</t>
        </is>
      </c>
      <c r="E3165" t="inlineStr">
        <is>
          <t>SOLLEFTEÅ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34765-2024</t>
        </is>
      </c>
      <c r="B3166" s="1" t="n">
        <v>45526</v>
      </c>
      <c r="C3166" s="1" t="n">
        <v>45802</v>
      </c>
      <c r="D3166" t="inlineStr">
        <is>
          <t>VÄSTERNORRLANDS LÄN</t>
        </is>
      </c>
      <c r="E3166" t="inlineStr">
        <is>
          <t>SOLLEFTEÅ</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34638-2024</t>
        </is>
      </c>
      <c r="B3167" s="1" t="n">
        <v>45526</v>
      </c>
      <c r="C3167" s="1" t="n">
        <v>45802</v>
      </c>
      <c r="D3167" t="inlineStr">
        <is>
          <t>VÄSTERNORRLANDS LÄN</t>
        </is>
      </c>
      <c r="E3167" t="inlineStr">
        <is>
          <t>SOLLEFTEÅ</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34878-2024</t>
        </is>
      </c>
      <c r="B3168" s="1" t="n">
        <v>45527</v>
      </c>
      <c r="C3168" s="1" t="n">
        <v>45802</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35217-2024</t>
        </is>
      </c>
      <c r="B3169" s="1" t="n">
        <v>45530</v>
      </c>
      <c r="C3169" s="1" t="n">
        <v>45802</v>
      </c>
      <c r="D3169" t="inlineStr">
        <is>
          <t>VÄSTERNORRLANDS LÄN</t>
        </is>
      </c>
      <c r="E3169" t="inlineStr">
        <is>
          <t>SOLLEFTEÅ</t>
        </is>
      </c>
      <c r="F3169" t="inlineStr">
        <is>
          <t>Kommuner</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35391-2024</t>
        </is>
      </c>
      <c r="B3170" s="1" t="n">
        <v>45531</v>
      </c>
      <c r="C3170" s="1" t="n">
        <v>45802</v>
      </c>
      <c r="D3170" t="inlineStr">
        <is>
          <t>VÄSTERNORRLANDS LÄN</t>
        </is>
      </c>
      <c r="E3170" t="inlineStr">
        <is>
          <t>SOLLEFTEÅ</t>
        </is>
      </c>
      <c r="F3170" t="inlineStr">
        <is>
          <t>SCA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35417-2024</t>
        </is>
      </c>
      <c r="B3171" s="1" t="n">
        <v>45531</v>
      </c>
      <c r="C3171" s="1" t="n">
        <v>45802</v>
      </c>
      <c r="D3171" t="inlineStr">
        <is>
          <t>VÄSTERNORRLANDS LÄN</t>
        </is>
      </c>
      <c r="E3171" t="inlineStr">
        <is>
          <t>SOLLEFTEÅ</t>
        </is>
      </c>
      <c r="F3171" t="inlineStr">
        <is>
          <t>SCA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35469-2024</t>
        </is>
      </c>
      <c r="B3172" s="1" t="n">
        <v>45531</v>
      </c>
      <c r="C3172" s="1" t="n">
        <v>45802</v>
      </c>
      <c r="D3172" t="inlineStr">
        <is>
          <t>VÄSTERNORRLANDS LÄN</t>
        </is>
      </c>
      <c r="E3172" t="inlineStr">
        <is>
          <t>SOLLEFTEÅ</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35502-2024</t>
        </is>
      </c>
      <c r="B3173" s="1" t="n">
        <v>45531</v>
      </c>
      <c r="C3173" s="1" t="n">
        <v>45802</v>
      </c>
      <c r="D3173" t="inlineStr">
        <is>
          <t>VÄSTERNORRLANDS LÄN</t>
        </is>
      </c>
      <c r="E3173" t="inlineStr">
        <is>
          <t>SOLLEFTEÅ</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35420-2024</t>
        </is>
      </c>
      <c r="B3174" s="1" t="n">
        <v>45531</v>
      </c>
      <c r="C3174" s="1" t="n">
        <v>45802</v>
      </c>
      <c r="D3174" t="inlineStr">
        <is>
          <t>VÄSTERNORRLANDS LÄN</t>
        </is>
      </c>
      <c r="E3174" t="inlineStr">
        <is>
          <t>SOLLEFTEÅ</t>
        </is>
      </c>
      <c r="F3174" t="inlineStr">
        <is>
          <t>SCA</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35509-2024</t>
        </is>
      </c>
      <c r="B3175" s="1" t="n">
        <v>45531</v>
      </c>
      <c r="C3175" s="1" t="n">
        <v>45802</v>
      </c>
      <c r="D3175" t="inlineStr">
        <is>
          <t>VÄSTERNORRLANDS LÄN</t>
        </is>
      </c>
      <c r="E3175" t="inlineStr">
        <is>
          <t>SOLLEFTEÅ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35513-2024</t>
        </is>
      </c>
      <c r="B3176" s="1" t="n">
        <v>45531</v>
      </c>
      <c r="C3176" s="1" t="n">
        <v>45802</v>
      </c>
      <c r="D3176" t="inlineStr">
        <is>
          <t>VÄSTERNORRLANDS LÄN</t>
        </is>
      </c>
      <c r="E3176" t="inlineStr">
        <is>
          <t>SOLLEFTEÅ</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35463-2024</t>
        </is>
      </c>
      <c r="B3177" s="1" t="n">
        <v>45531</v>
      </c>
      <c r="C3177" s="1" t="n">
        <v>45802</v>
      </c>
      <c r="D3177" t="inlineStr">
        <is>
          <t>VÄSTERNORRLANDS LÄN</t>
        </is>
      </c>
      <c r="E3177" t="inlineStr">
        <is>
          <t>SOLLEFTEÅ</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35508-2024</t>
        </is>
      </c>
      <c r="B3178" s="1" t="n">
        <v>45531</v>
      </c>
      <c r="C3178" s="1" t="n">
        <v>45802</v>
      </c>
      <c r="D3178" t="inlineStr">
        <is>
          <t>VÄSTERNORRLANDS LÄN</t>
        </is>
      </c>
      <c r="E3178" t="inlineStr">
        <is>
          <t>SOLLEFTEÅ</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35673-2024</t>
        </is>
      </c>
      <c r="B3179" s="1" t="n">
        <v>45532</v>
      </c>
      <c r="C3179" s="1" t="n">
        <v>45802</v>
      </c>
      <c r="D3179" t="inlineStr">
        <is>
          <t>VÄSTERNORRLANDS LÄN</t>
        </is>
      </c>
      <c r="E3179" t="inlineStr">
        <is>
          <t>SOLLEFTEÅ</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35794-2024</t>
        </is>
      </c>
      <c r="B3180" s="1" t="n">
        <v>45532</v>
      </c>
      <c r="C3180" s="1" t="n">
        <v>45802</v>
      </c>
      <c r="D3180" t="inlineStr">
        <is>
          <t>VÄSTERNORRLANDS LÄN</t>
        </is>
      </c>
      <c r="E3180" t="inlineStr">
        <is>
          <t>SOLLEFTEÅ</t>
        </is>
      </c>
      <c r="F3180" t="inlineStr">
        <is>
          <t>SCA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35795-2024</t>
        </is>
      </c>
      <c r="B3181" s="1" t="n">
        <v>45532</v>
      </c>
      <c r="C3181" s="1" t="n">
        <v>45802</v>
      </c>
      <c r="D3181" t="inlineStr">
        <is>
          <t>VÄSTERNORRLANDS LÄN</t>
        </is>
      </c>
      <c r="E3181" t="inlineStr">
        <is>
          <t>SOLLEFTEÅ</t>
        </is>
      </c>
      <c r="F3181" t="inlineStr">
        <is>
          <t>SCA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35803-2024</t>
        </is>
      </c>
      <c r="B3182" s="1" t="n">
        <v>45532</v>
      </c>
      <c r="C3182" s="1" t="n">
        <v>45802</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35827-2024</t>
        </is>
      </c>
      <c r="B3183" s="1" t="n">
        <v>45532</v>
      </c>
      <c r="C3183" s="1" t="n">
        <v>45802</v>
      </c>
      <c r="D3183" t="inlineStr">
        <is>
          <t>VÄSTERNORRLANDS LÄN</t>
        </is>
      </c>
      <c r="E3183" t="inlineStr">
        <is>
          <t>SOLLEFTEÅ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35793-2024</t>
        </is>
      </c>
      <c r="B3184" s="1" t="n">
        <v>45532</v>
      </c>
      <c r="C3184" s="1" t="n">
        <v>45802</v>
      </c>
      <c r="D3184" t="inlineStr">
        <is>
          <t>VÄSTERNORRLANDS LÄN</t>
        </is>
      </c>
      <c r="E3184" t="inlineStr">
        <is>
          <t>SOLLEFTEÅ</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35873-2024</t>
        </is>
      </c>
      <c r="B3185" s="1" t="n">
        <v>45533</v>
      </c>
      <c r="C3185" s="1" t="n">
        <v>45802</v>
      </c>
      <c r="D3185" t="inlineStr">
        <is>
          <t>VÄSTERNORRLANDS LÄN</t>
        </is>
      </c>
      <c r="E3185" t="inlineStr">
        <is>
          <t>SOLLEFTEÅ</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35905-2024</t>
        </is>
      </c>
      <c r="B3186" s="1" t="n">
        <v>45533</v>
      </c>
      <c r="C3186" s="1" t="n">
        <v>45802</v>
      </c>
      <c r="D3186" t="inlineStr">
        <is>
          <t>VÄSTERNORRLANDS LÄN</t>
        </is>
      </c>
      <c r="E3186" t="inlineStr">
        <is>
          <t>SOLLEFTEÅ</t>
        </is>
      </c>
      <c r="F3186" t="inlineStr">
        <is>
          <t>SCA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35872-2024</t>
        </is>
      </c>
      <c r="B3187" s="1" t="n">
        <v>45533</v>
      </c>
      <c r="C3187" s="1" t="n">
        <v>45802</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35875-2024</t>
        </is>
      </c>
      <c r="B3188" s="1" t="n">
        <v>45533</v>
      </c>
      <c r="C3188" s="1" t="n">
        <v>45802</v>
      </c>
      <c r="D3188" t="inlineStr">
        <is>
          <t>VÄSTERNORRLANDS LÄN</t>
        </is>
      </c>
      <c r="E3188" t="inlineStr">
        <is>
          <t>SOLLEFTEÅ</t>
        </is>
      </c>
      <c r="F3188" t="inlineStr">
        <is>
          <t>SCA</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36039-2024</t>
        </is>
      </c>
      <c r="B3189" s="1" t="n">
        <v>45533</v>
      </c>
      <c r="C3189" s="1" t="n">
        <v>45802</v>
      </c>
      <c r="D3189" t="inlineStr">
        <is>
          <t>VÄSTERNORRLANDS LÄN</t>
        </is>
      </c>
      <c r="E3189" t="inlineStr">
        <is>
          <t>SOLLEFTEÅ</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36009-2024</t>
        </is>
      </c>
      <c r="B3190" s="1" t="n">
        <v>45533</v>
      </c>
      <c r="C3190" s="1" t="n">
        <v>45802</v>
      </c>
      <c r="D3190" t="inlineStr">
        <is>
          <t>VÄSTERNORRLANDS LÄN</t>
        </is>
      </c>
      <c r="E3190" t="inlineStr">
        <is>
          <t>SOLLEFTEÅ</t>
        </is>
      </c>
      <c r="F3190" t="inlineStr">
        <is>
          <t>Holmen skog AB</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36004-2024</t>
        </is>
      </c>
      <c r="B3191" s="1" t="n">
        <v>45533</v>
      </c>
      <c r="C3191" s="1" t="n">
        <v>45802</v>
      </c>
      <c r="D3191" t="inlineStr">
        <is>
          <t>VÄSTERNORRLANDS LÄN</t>
        </is>
      </c>
      <c r="E3191" t="inlineStr">
        <is>
          <t>SOLLEFTEÅ</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36137-2024</t>
        </is>
      </c>
      <c r="B3192" s="1" t="n">
        <v>45534</v>
      </c>
      <c r="C3192" s="1" t="n">
        <v>45802</v>
      </c>
      <c r="D3192" t="inlineStr">
        <is>
          <t>VÄSTERNORRLANDS LÄN</t>
        </is>
      </c>
      <c r="E3192" t="inlineStr">
        <is>
          <t>SOLLEFTEÅ</t>
        </is>
      </c>
      <c r="G3192" t="n">
        <v>17.9</v>
      </c>
      <c r="H3192" t="n">
        <v>0</v>
      </c>
      <c r="I3192" t="n">
        <v>0</v>
      </c>
      <c r="J3192" t="n">
        <v>0</v>
      </c>
      <c r="K3192" t="n">
        <v>0</v>
      </c>
      <c r="L3192" t="n">
        <v>0</v>
      </c>
      <c r="M3192" t="n">
        <v>0</v>
      </c>
      <c r="N3192" t="n">
        <v>0</v>
      </c>
      <c r="O3192" t="n">
        <v>0</v>
      </c>
      <c r="P3192" t="n">
        <v>0</v>
      </c>
      <c r="Q3192" t="n">
        <v>0</v>
      </c>
      <c r="R3192" s="2" t="inlineStr"/>
    </row>
    <row r="3193" ht="15" customHeight="1">
      <c r="A3193" t="inlineStr">
        <is>
          <t>A 36141-2024</t>
        </is>
      </c>
      <c r="B3193" s="1" t="n">
        <v>45534</v>
      </c>
      <c r="C3193" s="1" t="n">
        <v>45802</v>
      </c>
      <c r="D3193" t="inlineStr">
        <is>
          <t>VÄSTERNORRLANDS LÄN</t>
        </is>
      </c>
      <c r="E3193" t="inlineStr">
        <is>
          <t>SOLLEFTEÅ</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36139-2024</t>
        </is>
      </c>
      <c r="B3194" s="1" t="n">
        <v>45534</v>
      </c>
      <c r="C3194" s="1" t="n">
        <v>45802</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36142-2024</t>
        </is>
      </c>
      <c r="B3195" s="1" t="n">
        <v>45534</v>
      </c>
      <c r="C3195" s="1" t="n">
        <v>45802</v>
      </c>
      <c r="D3195" t="inlineStr">
        <is>
          <t>VÄSTERNORRLANDS LÄN</t>
        </is>
      </c>
      <c r="E3195" t="inlineStr">
        <is>
          <t>SOLLEFTEÅ</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36322-2024</t>
        </is>
      </c>
      <c r="B3196" s="1" t="n">
        <v>45534</v>
      </c>
      <c r="C3196" s="1" t="n">
        <v>45802</v>
      </c>
      <c r="D3196" t="inlineStr">
        <is>
          <t>VÄSTERNORRLANDS LÄN</t>
        </is>
      </c>
      <c r="E3196" t="inlineStr">
        <is>
          <t>SOLLEFTEÅ</t>
        </is>
      </c>
      <c r="F3196" t="inlineStr">
        <is>
          <t>SCA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36144-2024</t>
        </is>
      </c>
      <c r="B3197" s="1" t="n">
        <v>45534</v>
      </c>
      <c r="C3197" s="1" t="n">
        <v>45802</v>
      </c>
      <c r="D3197" t="inlineStr">
        <is>
          <t>VÄSTERNORRLANDS LÄN</t>
        </is>
      </c>
      <c r="E3197" t="inlineStr">
        <is>
          <t>SOLLEFTEÅ</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36337-2024</t>
        </is>
      </c>
      <c r="B3198" s="1" t="n">
        <v>45534</v>
      </c>
      <c r="C3198" s="1" t="n">
        <v>45802</v>
      </c>
      <c r="D3198" t="inlineStr">
        <is>
          <t>VÄSTERNORRLANDS LÄN</t>
        </is>
      </c>
      <c r="E3198" t="inlineStr">
        <is>
          <t>SOLLEFTEÅ</t>
        </is>
      </c>
      <c r="F3198" t="inlineStr">
        <is>
          <t>SCA</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36341-2024</t>
        </is>
      </c>
      <c r="B3199" s="1" t="n">
        <v>45534</v>
      </c>
      <c r="C3199" s="1" t="n">
        <v>45802</v>
      </c>
      <c r="D3199" t="inlineStr">
        <is>
          <t>VÄSTERNORRLANDS LÄN</t>
        </is>
      </c>
      <c r="E3199" t="inlineStr">
        <is>
          <t>SOLLEFTEÅ</t>
        </is>
      </c>
      <c r="F3199" t="inlineStr">
        <is>
          <t>SCA</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36319-2024</t>
        </is>
      </c>
      <c r="B3200" s="1" t="n">
        <v>45534</v>
      </c>
      <c r="C3200" s="1" t="n">
        <v>45802</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36352-2024</t>
        </is>
      </c>
      <c r="B3201" s="1" t="n">
        <v>45534</v>
      </c>
      <c r="C3201" s="1" t="n">
        <v>45802</v>
      </c>
      <c r="D3201" t="inlineStr">
        <is>
          <t>VÄSTERNORRLANDS LÄN</t>
        </is>
      </c>
      <c r="E3201" t="inlineStr">
        <is>
          <t>SOLLEFTEÅ</t>
        </is>
      </c>
      <c r="F3201" t="inlineStr">
        <is>
          <t>SCA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36463-2024</t>
        </is>
      </c>
      <c r="B3202" s="1" t="n">
        <v>45537</v>
      </c>
      <c r="C3202" s="1" t="n">
        <v>45802</v>
      </c>
      <c r="D3202" t="inlineStr">
        <is>
          <t>VÄSTERNORRLANDS LÄN</t>
        </is>
      </c>
      <c r="E3202" t="inlineStr">
        <is>
          <t>SOLLEFTEÅ</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36471-2024</t>
        </is>
      </c>
      <c r="B3203" s="1" t="n">
        <v>45537</v>
      </c>
      <c r="C3203" s="1" t="n">
        <v>45802</v>
      </c>
      <c r="D3203" t="inlineStr">
        <is>
          <t>VÄSTERNORRLANDS LÄN</t>
        </is>
      </c>
      <c r="E3203" t="inlineStr">
        <is>
          <t>SOLLEFTEÅ</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36685-2024</t>
        </is>
      </c>
      <c r="B3204" s="1" t="n">
        <v>45537</v>
      </c>
      <c r="C3204" s="1" t="n">
        <v>45802</v>
      </c>
      <c r="D3204" t="inlineStr">
        <is>
          <t>VÄSTERNORRLANDS LÄN</t>
        </is>
      </c>
      <c r="E3204" t="inlineStr">
        <is>
          <t>SOLLEFTEÅ</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37197-2024</t>
        </is>
      </c>
      <c r="B3205" s="1" t="n">
        <v>45539</v>
      </c>
      <c r="C3205" s="1" t="n">
        <v>45802</v>
      </c>
      <c r="D3205" t="inlineStr">
        <is>
          <t>VÄSTERNORRLANDS LÄN</t>
        </is>
      </c>
      <c r="E3205" t="inlineStr">
        <is>
          <t>SOLLEFTEÅ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37201-2024</t>
        </is>
      </c>
      <c r="B3206" s="1" t="n">
        <v>45539</v>
      </c>
      <c r="C3206" s="1" t="n">
        <v>45802</v>
      </c>
      <c r="D3206" t="inlineStr">
        <is>
          <t>VÄSTERNORRLANDS LÄN</t>
        </is>
      </c>
      <c r="E3206" t="inlineStr">
        <is>
          <t>SOLLEFTEÅ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37046-2024</t>
        </is>
      </c>
      <c r="B3207" s="1" t="n">
        <v>45539</v>
      </c>
      <c r="C3207" s="1" t="n">
        <v>45802</v>
      </c>
      <c r="D3207" t="inlineStr">
        <is>
          <t>VÄSTERNORRLANDS LÄN</t>
        </is>
      </c>
      <c r="E3207" t="inlineStr">
        <is>
          <t>SOLLEFTEÅ</t>
        </is>
      </c>
      <c r="F3207" t="inlineStr">
        <is>
          <t>SCA</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37269-2024</t>
        </is>
      </c>
      <c r="B3208" s="1" t="n">
        <v>45540</v>
      </c>
      <c r="C3208" s="1" t="n">
        <v>45802</v>
      </c>
      <c r="D3208" t="inlineStr">
        <is>
          <t>VÄSTERNORRLANDS LÄN</t>
        </is>
      </c>
      <c r="E3208" t="inlineStr">
        <is>
          <t>SOLLEFTEÅ</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37354-2024</t>
        </is>
      </c>
      <c r="B3209" s="1" t="n">
        <v>45540</v>
      </c>
      <c r="C3209" s="1" t="n">
        <v>45802</v>
      </c>
      <c r="D3209" t="inlineStr">
        <is>
          <t>VÄSTERNORRLANDS LÄN</t>
        </is>
      </c>
      <c r="E3209" t="inlineStr">
        <is>
          <t>SOLLEFTEÅ</t>
        </is>
      </c>
      <c r="F3209" t="inlineStr">
        <is>
          <t>Holmen skog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38054-2024</t>
        </is>
      </c>
      <c r="B3210" s="1" t="n">
        <v>45544</v>
      </c>
      <c r="C3210" s="1" t="n">
        <v>45802</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38053-2024</t>
        </is>
      </c>
      <c r="B3211" s="1" t="n">
        <v>45544</v>
      </c>
      <c r="C3211" s="1" t="n">
        <v>45802</v>
      </c>
      <c r="D3211" t="inlineStr">
        <is>
          <t>VÄSTERNORRLANDS LÄN</t>
        </is>
      </c>
      <c r="E3211" t="inlineStr">
        <is>
          <t>SOLLEFTEÅ</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38095-2024</t>
        </is>
      </c>
      <c r="B3212" s="1" t="n">
        <v>45545</v>
      </c>
      <c r="C3212" s="1" t="n">
        <v>45802</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38231-2024</t>
        </is>
      </c>
      <c r="B3213" s="1" t="n">
        <v>45545</v>
      </c>
      <c r="C3213" s="1" t="n">
        <v>45802</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38245-2024</t>
        </is>
      </c>
      <c r="B3214" s="1" t="n">
        <v>45545</v>
      </c>
      <c r="C3214" s="1" t="n">
        <v>45802</v>
      </c>
      <c r="D3214" t="inlineStr">
        <is>
          <t>VÄSTERNORRLANDS LÄN</t>
        </is>
      </c>
      <c r="E3214" t="inlineStr">
        <is>
          <t>SOLLEFTEÅ</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38273-2024</t>
        </is>
      </c>
      <c r="B3215" s="1" t="n">
        <v>45545</v>
      </c>
      <c r="C3215" s="1" t="n">
        <v>45802</v>
      </c>
      <c r="D3215" t="inlineStr">
        <is>
          <t>VÄSTERNORRLANDS LÄN</t>
        </is>
      </c>
      <c r="E3215" t="inlineStr">
        <is>
          <t>SOLLEFTEÅ</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38234-2024</t>
        </is>
      </c>
      <c r="B3216" s="1" t="n">
        <v>45545</v>
      </c>
      <c r="C3216" s="1" t="n">
        <v>45802</v>
      </c>
      <c r="D3216" t="inlineStr">
        <is>
          <t>VÄSTERNORRLANDS LÄN</t>
        </is>
      </c>
      <c r="E3216" t="inlineStr">
        <is>
          <t>SOLLEFTEÅ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38250-2024</t>
        </is>
      </c>
      <c r="B3217" s="1" t="n">
        <v>45545</v>
      </c>
      <c r="C3217" s="1" t="n">
        <v>45802</v>
      </c>
      <c r="D3217" t="inlineStr">
        <is>
          <t>VÄSTERNORRLANDS LÄN</t>
        </is>
      </c>
      <c r="E3217" t="inlineStr">
        <is>
          <t>SOLLEFTEÅ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38275-2024</t>
        </is>
      </c>
      <c r="B3218" s="1" t="n">
        <v>45545</v>
      </c>
      <c r="C3218" s="1" t="n">
        <v>45802</v>
      </c>
      <c r="D3218" t="inlineStr">
        <is>
          <t>VÄSTERNORRLANDS LÄN</t>
        </is>
      </c>
      <c r="E3218" t="inlineStr">
        <is>
          <t>SOLLEFTEÅ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38592-2024</t>
        </is>
      </c>
      <c r="B3219" s="1" t="n">
        <v>45546</v>
      </c>
      <c r="C3219" s="1" t="n">
        <v>45802</v>
      </c>
      <c r="D3219" t="inlineStr">
        <is>
          <t>VÄSTERNORRLANDS LÄN</t>
        </is>
      </c>
      <c r="E3219" t="inlineStr">
        <is>
          <t>SOLLEFTEÅ</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41170-2024</t>
        </is>
      </c>
      <c r="B3220" s="1" t="n">
        <v>45546</v>
      </c>
      <c r="C3220" s="1" t="n">
        <v>45802</v>
      </c>
      <c r="D3220" t="inlineStr">
        <is>
          <t>VÄSTERNORRLANDS LÄN</t>
        </is>
      </c>
      <c r="E3220" t="inlineStr">
        <is>
          <t>SOLLEFTEÅ</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38749-2024</t>
        </is>
      </c>
      <c r="B3221" s="1" t="n">
        <v>45547</v>
      </c>
      <c r="C3221" s="1" t="n">
        <v>45802</v>
      </c>
      <c r="D3221" t="inlineStr">
        <is>
          <t>VÄSTERNORRLANDS LÄN</t>
        </is>
      </c>
      <c r="E3221" t="inlineStr">
        <is>
          <t>SOLLEFTEÅ</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38768-2024</t>
        </is>
      </c>
      <c r="B3222" s="1" t="n">
        <v>45547</v>
      </c>
      <c r="C3222" s="1" t="n">
        <v>45802</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38769-2024</t>
        </is>
      </c>
      <c r="B3223" s="1" t="n">
        <v>45547</v>
      </c>
      <c r="C3223" s="1" t="n">
        <v>45802</v>
      </c>
      <c r="D3223" t="inlineStr">
        <is>
          <t>VÄSTERNORRLANDS LÄN</t>
        </is>
      </c>
      <c r="E3223" t="inlineStr">
        <is>
          <t>SOLLEFTEÅ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38766-2024</t>
        </is>
      </c>
      <c r="B3224" s="1" t="n">
        <v>45547</v>
      </c>
      <c r="C3224" s="1" t="n">
        <v>45802</v>
      </c>
      <c r="D3224" t="inlineStr">
        <is>
          <t>VÄSTERNORRLANDS LÄN</t>
        </is>
      </c>
      <c r="E3224" t="inlineStr">
        <is>
          <t>SOLLEFTEÅ</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38767-2024</t>
        </is>
      </c>
      <c r="B3225" s="1" t="n">
        <v>45547</v>
      </c>
      <c r="C3225" s="1" t="n">
        <v>45802</v>
      </c>
      <c r="D3225" t="inlineStr">
        <is>
          <t>VÄSTERNORRLANDS LÄN</t>
        </is>
      </c>
      <c r="E3225" t="inlineStr">
        <is>
          <t>SOLLEFTEÅ</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39142-2024</t>
        </is>
      </c>
      <c r="B3226" s="1" t="n">
        <v>45548</v>
      </c>
      <c r="C3226" s="1" t="n">
        <v>45802</v>
      </c>
      <c r="D3226" t="inlineStr">
        <is>
          <t>VÄSTERNORRLANDS LÄN</t>
        </is>
      </c>
      <c r="E3226" t="inlineStr">
        <is>
          <t>SOLLEFTEÅ</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39177-2024</t>
        </is>
      </c>
      <c r="B3227" s="1" t="n">
        <v>45548</v>
      </c>
      <c r="C3227" s="1" t="n">
        <v>45802</v>
      </c>
      <c r="D3227" t="inlineStr">
        <is>
          <t>VÄSTERNORRLANDS LÄN</t>
        </is>
      </c>
      <c r="E3227" t="inlineStr">
        <is>
          <t>SOLLEFTEÅ</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39271-2024</t>
        </is>
      </c>
      <c r="B3228" s="1" t="n">
        <v>45551</v>
      </c>
      <c r="C3228" s="1" t="n">
        <v>45802</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39429-2024</t>
        </is>
      </c>
      <c r="B3229" s="1" t="n">
        <v>45551</v>
      </c>
      <c r="C3229" s="1" t="n">
        <v>45802</v>
      </c>
      <c r="D3229" t="inlineStr">
        <is>
          <t>VÄSTERNORRLANDS LÄN</t>
        </is>
      </c>
      <c r="E3229" t="inlineStr">
        <is>
          <t>SOLLEFTEÅ</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39449-2024</t>
        </is>
      </c>
      <c r="B3230" s="1" t="n">
        <v>45551</v>
      </c>
      <c r="C3230" s="1" t="n">
        <v>45802</v>
      </c>
      <c r="D3230" t="inlineStr">
        <is>
          <t>VÄSTERNORRLANDS LÄN</t>
        </is>
      </c>
      <c r="E3230" t="inlineStr">
        <is>
          <t>SOLLEFTEÅ</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39469-2024</t>
        </is>
      </c>
      <c r="B3231" s="1" t="n">
        <v>45551</v>
      </c>
      <c r="C3231" s="1" t="n">
        <v>45802</v>
      </c>
      <c r="D3231" t="inlineStr">
        <is>
          <t>VÄSTERNORRLANDS LÄN</t>
        </is>
      </c>
      <c r="E3231" t="inlineStr">
        <is>
          <t>SOLLEFTEÅ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39446-2024</t>
        </is>
      </c>
      <c r="B3232" s="1" t="n">
        <v>45551</v>
      </c>
      <c r="C3232" s="1" t="n">
        <v>45802</v>
      </c>
      <c r="D3232" t="inlineStr">
        <is>
          <t>VÄSTERNORRLANDS LÄN</t>
        </is>
      </c>
      <c r="E3232" t="inlineStr">
        <is>
          <t>SOLLEFTEÅ</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39500-2024</t>
        </is>
      </c>
      <c r="B3233" s="1" t="n">
        <v>45551</v>
      </c>
      <c r="C3233" s="1" t="n">
        <v>45802</v>
      </c>
      <c r="D3233" t="inlineStr">
        <is>
          <t>VÄSTERNORRLANDS LÄN</t>
        </is>
      </c>
      <c r="E3233" t="inlineStr">
        <is>
          <t>SOLLEFTEÅ</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39755-2024</t>
        </is>
      </c>
      <c r="B3234" s="1" t="n">
        <v>45552</v>
      </c>
      <c r="C3234" s="1" t="n">
        <v>45802</v>
      </c>
      <c r="D3234" t="inlineStr">
        <is>
          <t>VÄSTERNORRLANDS LÄN</t>
        </is>
      </c>
      <c r="E3234" t="inlineStr">
        <is>
          <t>SOLLEFTEÅ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39744-2024</t>
        </is>
      </c>
      <c r="B3235" s="1" t="n">
        <v>45552</v>
      </c>
      <c r="C3235" s="1" t="n">
        <v>45802</v>
      </c>
      <c r="D3235" t="inlineStr">
        <is>
          <t>VÄSTERNORRLANDS LÄN</t>
        </is>
      </c>
      <c r="E3235" t="inlineStr">
        <is>
          <t>SOLLEFTEÅ</t>
        </is>
      </c>
      <c r="F3235" t="inlineStr">
        <is>
          <t>SCA</t>
        </is>
      </c>
      <c r="G3235" t="n">
        <v>13.6</v>
      </c>
      <c r="H3235" t="n">
        <v>0</v>
      </c>
      <c r="I3235" t="n">
        <v>0</v>
      </c>
      <c r="J3235" t="n">
        <v>0</v>
      </c>
      <c r="K3235" t="n">
        <v>0</v>
      </c>
      <c r="L3235" t="n">
        <v>0</v>
      </c>
      <c r="M3235" t="n">
        <v>0</v>
      </c>
      <c r="N3235" t="n">
        <v>0</v>
      </c>
      <c r="O3235" t="n">
        <v>0</v>
      </c>
      <c r="P3235" t="n">
        <v>0</v>
      </c>
      <c r="Q3235" t="n">
        <v>0</v>
      </c>
      <c r="R3235" s="2" t="inlineStr"/>
    </row>
    <row r="3236" ht="15" customHeight="1">
      <c r="A3236" t="inlineStr">
        <is>
          <t>A 39801-2024</t>
        </is>
      </c>
      <c r="B3236" s="1" t="n">
        <v>45553</v>
      </c>
      <c r="C3236" s="1" t="n">
        <v>45802</v>
      </c>
      <c r="D3236" t="inlineStr">
        <is>
          <t>VÄSTERNORRLANDS LÄN</t>
        </is>
      </c>
      <c r="E3236" t="inlineStr">
        <is>
          <t>SOLLEFTEÅ</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39799-2024</t>
        </is>
      </c>
      <c r="B3237" s="1" t="n">
        <v>45553</v>
      </c>
      <c r="C3237" s="1" t="n">
        <v>45802</v>
      </c>
      <c r="D3237" t="inlineStr">
        <is>
          <t>VÄSTERNORRLANDS LÄN</t>
        </is>
      </c>
      <c r="E3237" t="inlineStr">
        <is>
          <t>SOLLEFTEÅ</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39802-2024</t>
        </is>
      </c>
      <c r="B3238" s="1" t="n">
        <v>45553</v>
      </c>
      <c r="C3238" s="1" t="n">
        <v>45802</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40028-2024</t>
        </is>
      </c>
      <c r="B3239" s="1" t="n">
        <v>45553</v>
      </c>
      <c r="C3239" s="1" t="n">
        <v>45802</v>
      </c>
      <c r="D3239" t="inlineStr">
        <is>
          <t>VÄSTERNORRLANDS LÄN</t>
        </is>
      </c>
      <c r="E3239" t="inlineStr">
        <is>
          <t>SOLLEFTEÅ</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40086-2024</t>
        </is>
      </c>
      <c r="B3240" s="1" t="n">
        <v>45554</v>
      </c>
      <c r="C3240" s="1" t="n">
        <v>45802</v>
      </c>
      <c r="D3240" t="inlineStr">
        <is>
          <t>VÄSTERNORRLANDS LÄN</t>
        </is>
      </c>
      <c r="E3240" t="inlineStr">
        <is>
          <t>SOLLEFTEÅ</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40211-2024</t>
        </is>
      </c>
      <c r="B3241" s="1" t="n">
        <v>45554</v>
      </c>
      <c r="C3241" s="1" t="n">
        <v>45802</v>
      </c>
      <c r="D3241" t="inlineStr">
        <is>
          <t>VÄSTERNORRLANDS LÄN</t>
        </is>
      </c>
      <c r="E3241" t="inlineStr">
        <is>
          <t>SOLLEFTEÅ</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40241-2024</t>
        </is>
      </c>
      <c r="B3242" s="1" t="n">
        <v>45554</v>
      </c>
      <c r="C3242" s="1" t="n">
        <v>45802</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40258-2024</t>
        </is>
      </c>
      <c r="B3243" s="1" t="n">
        <v>45554</v>
      </c>
      <c r="C3243" s="1" t="n">
        <v>45802</v>
      </c>
      <c r="D3243" t="inlineStr">
        <is>
          <t>VÄSTERNORRLANDS LÄN</t>
        </is>
      </c>
      <c r="E3243" t="inlineStr">
        <is>
          <t>SOLLEFTEÅ</t>
        </is>
      </c>
      <c r="F3243" t="inlineStr">
        <is>
          <t>SCA</t>
        </is>
      </c>
      <c r="G3243" t="n">
        <v>15.1</v>
      </c>
      <c r="H3243" t="n">
        <v>0</v>
      </c>
      <c r="I3243" t="n">
        <v>0</v>
      </c>
      <c r="J3243" t="n">
        <v>0</v>
      </c>
      <c r="K3243" t="n">
        <v>0</v>
      </c>
      <c r="L3243" t="n">
        <v>0</v>
      </c>
      <c r="M3243" t="n">
        <v>0</v>
      </c>
      <c r="N3243" t="n">
        <v>0</v>
      </c>
      <c r="O3243" t="n">
        <v>0</v>
      </c>
      <c r="P3243" t="n">
        <v>0</v>
      </c>
      <c r="Q3243" t="n">
        <v>0</v>
      </c>
      <c r="R3243" s="2" t="inlineStr"/>
    </row>
    <row r="3244" ht="15" customHeight="1">
      <c r="A3244" t="inlineStr">
        <is>
          <t>A 40356-2024</t>
        </is>
      </c>
      <c r="B3244" s="1" t="n">
        <v>45555</v>
      </c>
      <c r="C3244" s="1" t="n">
        <v>45802</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40355-2024</t>
        </is>
      </c>
      <c r="B3245" s="1" t="n">
        <v>45555</v>
      </c>
      <c r="C3245" s="1" t="n">
        <v>45802</v>
      </c>
      <c r="D3245" t="inlineStr">
        <is>
          <t>VÄSTERNORRLANDS LÄN</t>
        </is>
      </c>
      <c r="E3245" t="inlineStr">
        <is>
          <t>SOLLEFTEÅ</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40354-2024</t>
        </is>
      </c>
      <c r="B3246" s="1" t="n">
        <v>45555</v>
      </c>
      <c r="C3246" s="1" t="n">
        <v>45802</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40413-2024</t>
        </is>
      </c>
      <c r="B3247" s="1" t="n">
        <v>45555</v>
      </c>
      <c r="C3247" s="1" t="n">
        <v>45802</v>
      </c>
      <c r="D3247" t="inlineStr">
        <is>
          <t>VÄSTERNORRLANDS LÄN</t>
        </is>
      </c>
      <c r="E3247" t="inlineStr">
        <is>
          <t>SOLLEFTEÅ</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40383-2024</t>
        </is>
      </c>
      <c r="B3248" s="1" t="n">
        <v>45555</v>
      </c>
      <c r="C3248" s="1" t="n">
        <v>45802</v>
      </c>
      <c r="D3248" t="inlineStr">
        <is>
          <t>VÄSTERNORRLANDS LÄN</t>
        </is>
      </c>
      <c r="E3248" t="inlineStr">
        <is>
          <t>SOLLEFTEÅ</t>
        </is>
      </c>
      <c r="F3248" t="inlineStr">
        <is>
          <t>SCA</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40403-2024</t>
        </is>
      </c>
      <c r="B3249" s="1" t="n">
        <v>45555</v>
      </c>
      <c r="C3249" s="1" t="n">
        <v>45802</v>
      </c>
      <c r="D3249" t="inlineStr">
        <is>
          <t>VÄSTERNORRLANDS LÄN</t>
        </is>
      </c>
      <c r="E3249" t="inlineStr">
        <is>
          <t>SOLLEFTEÅ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40429-2024</t>
        </is>
      </c>
      <c r="B3250" s="1" t="n">
        <v>45555</v>
      </c>
      <c r="C3250" s="1" t="n">
        <v>45802</v>
      </c>
      <c r="D3250" t="inlineStr">
        <is>
          <t>VÄSTERNORRLANDS LÄN</t>
        </is>
      </c>
      <c r="E3250" t="inlineStr">
        <is>
          <t>SOLLEFTEÅ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40569-2024</t>
        </is>
      </c>
      <c r="B3251" s="1" t="n">
        <v>45555</v>
      </c>
      <c r="C3251" s="1" t="n">
        <v>45802</v>
      </c>
      <c r="D3251" t="inlineStr">
        <is>
          <t>VÄSTERNORRLANDS LÄN</t>
        </is>
      </c>
      <c r="E3251" t="inlineStr">
        <is>
          <t>SOLLEFTEÅ</t>
        </is>
      </c>
      <c r="F3251" t="inlineStr">
        <is>
          <t>SCA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40570-2024</t>
        </is>
      </c>
      <c r="B3252" s="1" t="n">
        <v>45555</v>
      </c>
      <c r="C3252" s="1" t="n">
        <v>45802</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40353-2024</t>
        </is>
      </c>
      <c r="B3253" s="1" t="n">
        <v>45555</v>
      </c>
      <c r="C3253" s="1" t="n">
        <v>45802</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40571-2024</t>
        </is>
      </c>
      <c r="B3254" s="1" t="n">
        <v>45555</v>
      </c>
      <c r="C3254" s="1" t="n">
        <v>45802</v>
      </c>
      <c r="D3254" t="inlineStr">
        <is>
          <t>VÄSTERNORRLANDS LÄN</t>
        </is>
      </c>
      <c r="E3254" t="inlineStr">
        <is>
          <t>SOLLEFTEÅ</t>
        </is>
      </c>
      <c r="F3254" t="inlineStr">
        <is>
          <t>SCA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40575-2024</t>
        </is>
      </c>
      <c r="B3255" s="1" t="n">
        <v>45555</v>
      </c>
      <c r="C3255" s="1" t="n">
        <v>45802</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40817-2024</t>
        </is>
      </c>
      <c r="B3256" s="1" t="n">
        <v>45558</v>
      </c>
      <c r="C3256" s="1" t="n">
        <v>45802</v>
      </c>
      <c r="D3256" t="inlineStr">
        <is>
          <t>VÄSTERNORRLANDS LÄN</t>
        </is>
      </c>
      <c r="E3256" t="inlineStr">
        <is>
          <t>SOLLEFTEÅ</t>
        </is>
      </c>
      <c r="F3256" t="inlineStr">
        <is>
          <t>SCA</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40655-2024</t>
        </is>
      </c>
      <c r="B3257" s="1" t="n">
        <v>45558</v>
      </c>
      <c r="C3257" s="1" t="n">
        <v>45802</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40679-2024</t>
        </is>
      </c>
      <c r="B3258" s="1" t="n">
        <v>45558</v>
      </c>
      <c r="C3258" s="1" t="n">
        <v>45802</v>
      </c>
      <c r="D3258" t="inlineStr">
        <is>
          <t>VÄSTERNORRLANDS LÄN</t>
        </is>
      </c>
      <c r="E3258" t="inlineStr">
        <is>
          <t>SOLLEFTEÅ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40954-2024</t>
        </is>
      </c>
      <c r="B3259" s="1" t="n">
        <v>45558</v>
      </c>
      <c r="C3259" s="1" t="n">
        <v>45802</v>
      </c>
      <c r="D3259" t="inlineStr">
        <is>
          <t>VÄSTERNORRLANDS LÄN</t>
        </is>
      </c>
      <c r="E3259" t="inlineStr">
        <is>
          <t>SOLLEFTEÅ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40921-2024</t>
        </is>
      </c>
      <c r="B3260" s="1" t="n">
        <v>45558</v>
      </c>
      <c r="C3260" s="1" t="n">
        <v>45802</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40819-2024</t>
        </is>
      </c>
      <c r="B3261" s="1" t="n">
        <v>45558</v>
      </c>
      <c r="C3261" s="1" t="n">
        <v>45802</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40859-2024</t>
        </is>
      </c>
      <c r="B3262" s="1" t="n">
        <v>45558</v>
      </c>
      <c r="C3262" s="1" t="n">
        <v>45802</v>
      </c>
      <c r="D3262" t="inlineStr">
        <is>
          <t>VÄSTERNORRLANDS LÄN</t>
        </is>
      </c>
      <c r="E3262" t="inlineStr">
        <is>
          <t>SOLLEFTEÅ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41041-2024</t>
        </is>
      </c>
      <c r="B3263" s="1" t="n">
        <v>45558</v>
      </c>
      <c r="C3263" s="1" t="n">
        <v>45802</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41028-2024</t>
        </is>
      </c>
      <c r="B3264" s="1" t="n">
        <v>45559</v>
      </c>
      <c r="C3264" s="1" t="n">
        <v>45802</v>
      </c>
      <c r="D3264" t="inlineStr">
        <is>
          <t>VÄSTERNORRLANDS LÄN</t>
        </is>
      </c>
      <c r="E3264" t="inlineStr">
        <is>
          <t>SOLLEFTEÅ</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41026-2024</t>
        </is>
      </c>
      <c r="B3265" s="1" t="n">
        <v>45559</v>
      </c>
      <c r="C3265" s="1" t="n">
        <v>45802</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41042-2024</t>
        </is>
      </c>
      <c r="B3266" s="1" t="n">
        <v>45559</v>
      </c>
      <c r="C3266" s="1" t="n">
        <v>45802</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41262-2024</t>
        </is>
      </c>
      <c r="B3267" s="1" t="n">
        <v>45559</v>
      </c>
      <c r="C3267" s="1" t="n">
        <v>45802</v>
      </c>
      <c r="D3267" t="inlineStr">
        <is>
          <t>VÄSTERNORRLANDS LÄN</t>
        </is>
      </c>
      <c r="E3267" t="inlineStr">
        <is>
          <t>SOLLEFTEÅ</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41532-2024</t>
        </is>
      </c>
      <c r="B3268" s="1" t="n">
        <v>45560</v>
      </c>
      <c r="C3268" s="1" t="n">
        <v>45802</v>
      </c>
      <c r="D3268" t="inlineStr">
        <is>
          <t>VÄSTERNORRLANDS LÄN</t>
        </is>
      </c>
      <c r="E3268" t="inlineStr">
        <is>
          <t>SOLLEFTEÅ</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41434-2024</t>
        </is>
      </c>
      <c r="B3269" s="1" t="n">
        <v>45560</v>
      </c>
      <c r="C3269" s="1" t="n">
        <v>45802</v>
      </c>
      <c r="D3269" t="inlineStr">
        <is>
          <t>VÄSTERNORRLANDS LÄN</t>
        </is>
      </c>
      <c r="E3269" t="inlineStr">
        <is>
          <t>SOLLEFTEÅ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41420-2024</t>
        </is>
      </c>
      <c r="B3270" s="1" t="n">
        <v>45560</v>
      </c>
      <c r="C3270" s="1" t="n">
        <v>45802</v>
      </c>
      <c r="D3270" t="inlineStr">
        <is>
          <t>VÄSTERNORRLANDS LÄN</t>
        </is>
      </c>
      <c r="E3270" t="inlineStr">
        <is>
          <t>SOLLEFTEÅ</t>
        </is>
      </c>
      <c r="F3270" t="inlineStr">
        <is>
          <t>SCA</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41413-2024</t>
        </is>
      </c>
      <c r="B3271" s="1" t="n">
        <v>45560</v>
      </c>
      <c r="C3271" s="1" t="n">
        <v>45802</v>
      </c>
      <c r="D3271" t="inlineStr">
        <is>
          <t>VÄSTERNORRLANDS LÄN</t>
        </is>
      </c>
      <c r="E3271" t="inlineStr">
        <is>
          <t>SOLLEFTEÅ</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41595-2024</t>
        </is>
      </c>
      <c r="B3272" s="1" t="n">
        <v>45560</v>
      </c>
      <c r="C3272" s="1" t="n">
        <v>45802</v>
      </c>
      <c r="D3272" t="inlineStr">
        <is>
          <t>VÄSTERNORRLANDS LÄN</t>
        </is>
      </c>
      <c r="E3272" t="inlineStr">
        <is>
          <t>SOLLEFTEÅ</t>
        </is>
      </c>
      <c r="F3272" t="inlineStr">
        <is>
          <t>SCA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41787-2024</t>
        </is>
      </c>
      <c r="B3273" s="1" t="n">
        <v>45561</v>
      </c>
      <c r="C3273" s="1" t="n">
        <v>45802</v>
      </c>
      <c r="D3273" t="inlineStr">
        <is>
          <t>VÄSTERNORRLANDS LÄN</t>
        </is>
      </c>
      <c r="E3273" t="inlineStr">
        <is>
          <t>SOLLEFTEÅ</t>
        </is>
      </c>
      <c r="F3273" t="inlineStr">
        <is>
          <t>SCA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41925-2024</t>
        </is>
      </c>
      <c r="B3274" s="1" t="n">
        <v>45561</v>
      </c>
      <c r="C3274" s="1" t="n">
        <v>45802</v>
      </c>
      <c r="D3274" t="inlineStr">
        <is>
          <t>VÄSTERNORRLANDS LÄN</t>
        </is>
      </c>
      <c r="E3274" t="inlineStr">
        <is>
          <t>SOLLEFTEÅ</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41779-2024</t>
        </is>
      </c>
      <c r="B3275" s="1" t="n">
        <v>45561</v>
      </c>
      <c r="C3275" s="1" t="n">
        <v>45802</v>
      </c>
      <c r="D3275" t="inlineStr">
        <is>
          <t>VÄSTERNORRLANDS LÄN</t>
        </is>
      </c>
      <c r="E3275" t="inlineStr">
        <is>
          <t>SOLLEFTEÅ</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41975-2024</t>
        </is>
      </c>
      <c r="B3276" s="1" t="n">
        <v>45561</v>
      </c>
      <c r="C3276" s="1" t="n">
        <v>45802</v>
      </c>
      <c r="D3276" t="inlineStr">
        <is>
          <t>VÄSTERNORRLANDS LÄN</t>
        </is>
      </c>
      <c r="E3276" t="inlineStr">
        <is>
          <t>SOLLEFTEÅ</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41834-2024</t>
        </is>
      </c>
      <c r="B3277" s="1" t="n">
        <v>45561</v>
      </c>
      <c r="C3277" s="1" t="n">
        <v>45802</v>
      </c>
      <c r="D3277" t="inlineStr">
        <is>
          <t>VÄSTERNORRLANDS LÄN</t>
        </is>
      </c>
      <c r="E3277" t="inlineStr">
        <is>
          <t>SOLLEFTEÅ</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42093-2024</t>
        </is>
      </c>
      <c r="B3278" s="1" t="n">
        <v>45562</v>
      </c>
      <c r="C3278" s="1" t="n">
        <v>45802</v>
      </c>
      <c r="D3278" t="inlineStr">
        <is>
          <t>VÄSTERNORRLANDS LÄN</t>
        </is>
      </c>
      <c r="E3278" t="inlineStr">
        <is>
          <t>SOLLEFTEÅ</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42154-2024</t>
        </is>
      </c>
      <c r="B3279" s="1" t="n">
        <v>45562</v>
      </c>
      <c r="C3279" s="1" t="n">
        <v>45802</v>
      </c>
      <c r="D3279" t="inlineStr">
        <is>
          <t>VÄSTERNORRLANDS LÄN</t>
        </is>
      </c>
      <c r="E3279" t="inlineStr">
        <is>
          <t>SOLLEFTEÅ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42115-2024</t>
        </is>
      </c>
      <c r="B3280" s="1" t="n">
        <v>45562</v>
      </c>
      <c r="C3280" s="1" t="n">
        <v>45802</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42631-2024</t>
        </is>
      </c>
      <c r="B3281" s="1" t="n">
        <v>45565</v>
      </c>
      <c r="C3281" s="1" t="n">
        <v>45802</v>
      </c>
      <c r="D3281" t="inlineStr">
        <is>
          <t>VÄSTERNORRLANDS LÄN</t>
        </is>
      </c>
      <c r="E3281" t="inlineStr">
        <is>
          <t>SOLLEFTEÅ</t>
        </is>
      </c>
      <c r="F3281" t="inlineStr">
        <is>
          <t>Holmen skog AB</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42486-2024</t>
        </is>
      </c>
      <c r="B3282" s="1" t="n">
        <v>45565</v>
      </c>
      <c r="C3282" s="1" t="n">
        <v>45802</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42482-2024</t>
        </is>
      </c>
      <c r="B3283" s="1" t="n">
        <v>45565</v>
      </c>
      <c r="C3283" s="1" t="n">
        <v>45802</v>
      </c>
      <c r="D3283" t="inlineStr">
        <is>
          <t>VÄSTERNORRLANDS LÄN</t>
        </is>
      </c>
      <c r="E3283" t="inlineStr">
        <is>
          <t>SOLLEFTEÅ</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42474-2024</t>
        </is>
      </c>
      <c r="B3284" s="1" t="n">
        <v>45565</v>
      </c>
      <c r="C3284" s="1" t="n">
        <v>45802</v>
      </c>
      <c r="D3284" t="inlineStr">
        <is>
          <t>VÄSTERNORRLANDS LÄN</t>
        </is>
      </c>
      <c r="E3284" t="inlineStr">
        <is>
          <t>SOLLEFTEÅ</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42915-2024</t>
        </is>
      </c>
      <c r="B3285" s="1" t="n">
        <v>45566</v>
      </c>
      <c r="C3285" s="1" t="n">
        <v>45802</v>
      </c>
      <c r="D3285" t="inlineStr">
        <is>
          <t>VÄSTERNORRLANDS LÄN</t>
        </is>
      </c>
      <c r="E3285" t="inlineStr">
        <is>
          <t>SOLLEFTEÅ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43049-2024</t>
        </is>
      </c>
      <c r="B3286" s="1" t="n">
        <v>45567</v>
      </c>
      <c r="C3286" s="1" t="n">
        <v>45802</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43008-2024</t>
        </is>
      </c>
      <c r="B3287" s="1" t="n">
        <v>45567</v>
      </c>
      <c r="C3287" s="1" t="n">
        <v>45802</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42984-2024</t>
        </is>
      </c>
      <c r="B3288" s="1" t="n">
        <v>45567</v>
      </c>
      <c r="C3288" s="1" t="n">
        <v>45802</v>
      </c>
      <c r="D3288" t="inlineStr">
        <is>
          <t>VÄSTERNORRLANDS LÄN</t>
        </is>
      </c>
      <c r="E3288" t="inlineStr">
        <is>
          <t>SOLLEFTEÅ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42964-2024</t>
        </is>
      </c>
      <c r="B3289" s="1" t="n">
        <v>45567</v>
      </c>
      <c r="C3289" s="1" t="n">
        <v>45802</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42985-2024</t>
        </is>
      </c>
      <c r="B3290" s="1" t="n">
        <v>45567</v>
      </c>
      <c r="C3290" s="1" t="n">
        <v>45802</v>
      </c>
      <c r="D3290" t="inlineStr">
        <is>
          <t>VÄSTERNORRLANDS LÄN</t>
        </is>
      </c>
      <c r="E3290" t="inlineStr">
        <is>
          <t>SOLLEFTEÅ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42981-2024</t>
        </is>
      </c>
      <c r="B3291" s="1" t="n">
        <v>45567</v>
      </c>
      <c r="C3291" s="1" t="n">
        <v>45802</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42973-2024</t>
        </is>
      </c>
      <c r="B3292" s="1" t="n">
        <v>45567</v>
      </c>
      <c r="C3292" s="1" t="n">
        <v>45802</v>
      </c>
      <c r="D3292" t="inlineStr">
        <is>
          <t>VÄSTERNORRLANDS LÄN</t>
        </is>
      </c>
      <c r="E3292" t="inlineStr">
        <is>
          <t>SOLLEFTEÅ</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42965-2024</t>
        </is>
      </c>
      <c r="B3293" s="1" t="n">
        <v>45567</v>
      </c>
      <c r="C3293" s="1" t="n">
        <v>45802</v>
      </c>
      <c r="D3293" t="inlineStr">
        <is>
          <t>VÄSTERNORRLANDS LÄN</t>
        </is>
      </c>
      <c r="E3293" t="inlineStr">
        <is>
          <t>SOLLEFTEÅ</t>
        </is>
      </c>
      <c r="F3293" t="inlineStr">
        <is>
          <t>SCA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42987-2024</t>
        </is>
      </c>
      <c r="B3294" s="1" t="n">
        <v>45567</v>
      </c>
      <c r="C3294" s="1" t="n">
        <v>45802</v>
      </c>
      <c r="D3294" t="inlineStr">
        <is>
          <t>VÄSTERNORRLANDS LÄN</t>
        </is>
      </c>
      <c r="E3294" t="inlineStr">
        <is>
          <t>SOLLEFTEÅ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42983-2024</t>
        </is>
      </c>
      <c r="B3295" s="1" t="n">
        <v>45567</v>
      </c>
      <c r="C3295" s="1" t="n">
        <v>45802</v>
      </c>
      <c r="D3295" t="inlineStr">
        <is>
          <t>VÄSTERNORRLANDS LÄN</t>
        </is>
      </c>
      <c r="E3295" t="inlineStr">
        <is>
          <t>SOLLEFTEÅ</t>
        </is>
      </c>
      <c r="F3295" t="inlineStr">
        <is>
          <t>SCA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42979-2024</t>
        </is>
      </c>
      <c r="B3296" s="1" t="n">
        <v>45567</v>
      </c>
      <c r="C3296" s="1" t="n">
        <v>45802</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42975-2024</t>
        </is>
      </c>
      <c r="B3297" s="1" t="n">
        <v>45567</v>
      </c>
      <c r="C3297" s="1" t="n">
        <v>45802</v>
      </c>
      <c r="D3297" t="inlineStr">
        <is>
          <t>VÄSTERNORRLANDS LÄN</t>
        </is>
      </c>
      <c r="E3297" t="inlineStr">
        <is>
          <t>SOLLEFTEÅ</t>
        </is>
      </c>
      <c r="F3297" t="inlineStr">
        <is>
          <t>SCA</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42971-2024</t>
        </is>
      </c>
      <c r="B3298" s="1" t="n">
        <v>45567</v>
      </c>
      <c r="C3298" s="1" t="n">
        <v>45802</v>
      </c>
      <c r="D3298" t="inlineStr">
        <is>
          <t>VÄSTERNORRLANDS LÄN</t>
        </is>
      </c>
      <c r="E3298" t="inlineStr">
        <is>
          <t>SOLLEFTEÅ</t>
        </is>
      </c>
      <c r="F3298" t="inlineStr">
        <is>
          <t>SCA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42963-2024</t>
        </is>
      </c>
      <c r="B3299" s="1" t="n">
        <v>45567</v>
      </c>
      <c r="C3299" s="1" t="n">
        <v>45802</v>
      </c>
      <c r="D3299" t="inlineStr">
        <is>
          <t>VÄSTERNORRLANDS LÄN</t>
        </is>
      </c>
      <c r="E3299" t="inlineStr">
        <is>
          <t>SOLLEFTEÅ</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42978-2024</t>
        </is>
      </c>
      <c r="B3300" s="1" t="n">
        <v>45567</v>
      </c>
      <c r="C3300" s="1" t="n">
        <v>45802</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42970-2024</t>
        </is>
      </c>
      <c r="B3301" s="1" t="n">
        <v>45567</v>
      </c>
      <c r="C3301" s="1" t="n">
        <v>45802</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42950-2024</t>
        </is>
      </c>
      <c r="B3302" s="1" t="n">
        <v>45567</v>
      </c>
      <c r="C3302" s="1" t="n">
        <v>45802</v>
      </c>
      <c r="D3302" t="inlineStr">
        <is>
          <t>VÄSTERNORRLANDS LÄN</t>
        </is>
      </c>
      <c r="E3302" t="inlineStr">
        <is>
          <t>SOLLEFTEÅ</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43265-2024</t>
        </is>
      </c>
      <c r="B3303" s="1" t="n">
        <v>45568</v>
      </c>
      <c r="C3303" s="1" t="n">
        <v>45802</v>
      </c>
      <c r="D3303" t="inlineStr">
        <is>
          <t>VÄSTERNORRLANDS LÄN</t>
        </is>
      </c>
      <c r="E3303" t="inlineStr">
        <is>
          <t>SOLLEFTEÅ</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43627-2024</t>
        </is>
      </c>
      <c r="B3304" s="1" t="n">
        <v>45569</v>
      </c>
      <c r="C3304" s="1" t="n">
        <v>45802</v>
      </c>
      <c r="D3304" t="inlineStr">
        <is>
          <t>VÄSTERNORRLANDS LÄN</t>
        </is>
      </c>
      <c r="E3304" t="inlineStr">
        <is>
          <t>SOLLEFTEÅ</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43585-2024</t>
        </is>
      </c>
      <c r="B3305" s="1" t="n">
        <v>45569</v>
      </c>
      <c r="C3305" s="1" t="n">
        <v>45802</v>
      </c>
      <c r="D3305" t="inlineStr">
        <is>
          <t>VÄSTERNORRLANDS LÄN</t>
        </is>
      </c>
      <c r="E3305" t="inlineStr">
        <is>
          <t>SOLLEFTEÅ</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43845-2024</t>
        </is>
      </c>
      <c r="B3306" s="1" t="n">
        <v>45572</v>
      </c>
      <c r="C3306" s="1" t="n">
        <v>45802</v>
      </c>
      <c r="D3306" t="inlineStr">
        <is>
          <t>VÄSTERNORRLANDS LÄN</t>
        </is>
      </c>
      <c r="E3306" t="inlineStr">
        <is>
          <t>SOLLEFTEÅ</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43843-2024</t>
        </is>
      </c>
      <c r="B3307" s="1" t="n">
        <v>45572</v>
      </c>
      <c r="C3307" s="1" t="n">
        <v>45802</v>
      </c>
      <c r="D3307" t="inlineStr">
        <is>
          <t>VÄSTERNORRLANDS LÄN</t>
        </is>
      </c>
      <c r="E3307" t="inlineStr">
        <is>
          <t>SOLLEFTEÅ</t>
        </is>
      </c>
      <c r="F3307" t="inlineStr">
        <is>
          <t>SCA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44172-2024</t>
        </is>
      </c>
      <c r="B3308" s="1" t="n">
        <v>45572</v>
      </c>
      <c r="C3308" s="1" t="n">
        <v>45802</v>
      </c>
      <c r="D3308" t="inlineStr">
        <is>
          <t>VÄSTERNORRLANDS LÄN</t>
        </is>
      </c>
      <c r="E3308" t="inlineStr">
        <is>
          <t>SOLLEFTEÅ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44201-2024</t>
        </is>
      </c>
      <c r="B3309" s="1" t="n">
        <v>45573</v>
      </c>
      <c r="C3309" s="1" t="n">
        <v>45802</v>
      </c>
      <c r="D3309" t="inlineStr">
        <is>
          <t>VÄSTERNORRLANDS LÄN</t>
        </is>
      </c>
      <c r="E3309" t="inlineStr">
        <is>
          <t>SOLLEFTEÅ</t>
        </is>
      </c>
      <c r="F3309" t="inlineStr">
        <is>
          <t>SCA</t>
        </is>
      </c>
      <c r="G3309" t="n">
        <v>3.6</v>
      </c>
      <c r="H3309" t="n">
        <v>0</v>
      </c>
      <c r="I3309" t="n">
        <v>0</v>
      </c>
      <c r="J3309" t="n">
        <v>0</v>
      </c>
      <c r="K3309" t="n">
        <v>0</v>
      </c>
      <c r="L3309" t="n">
        <v>0</v>
      </c>
      <c r="M3309" t="n">
        <v>0</v>
      </c>
      <c r="N3309" t="n">
        <v>0</v>
      </c>
      <c r="O3309" t="n">
        <v>0</v>
      </c>
      <c r="P3309" t="n">
        <v>0</v>
      </c>
      <c r="Q3309" t="n">
        <v>0</v>
      </c>
      <c r="R3309" s="2" t="inlineStr"/>
      <c r="U3309">
        <f>HYPERLINK("https://klasma.github.io/Logging_2283/knärot/A 44201-2024 karta knärot.png", "A 44201-2024")</f>
        <v/>
      </c>
      <c r="V3309">
        <f>HYPERLINK("https://klasma.github.io/Logging_2283/klagomål/A 44201-2024 FSC-klagomål.docx", "A 44201-2024")</f>
        <v/>
      </c>
      <c r="W3309">
        <f>HYPERLINK("https://klasma.github.io/Logging_2283/klagomålsmail/A 44201-2024 FSC-klagomål mail.docx", "A 44201-2024")</f>
        <v/>
      </c>
      <c r="X3309">
        <f>HYPERLINK("https://klasma.github.io/Logging_2283/tillsyn/A 44201-2024 tillsynsbegäran.docx", "A 44201-2024")</f>
        <v/>
      </c>
      <c r="Y3309">
        <f>HYPERLINK("https://klasma.github.io/Logging_2283/tillsynsmail/A 44201-2024 tillsynsbegäran mail.docx", "A 44201-2024")</f>
        <v/>
      </c>
    </row>
    <row r="3310" ht="15" customHeight="1">
      <c r="A3310" t="inlineStr">
        <is>
          <t>A 44299-2024</t>
        </is>
      </c>
      <c r="B3310" s="1" t="n">
        <v>45573</v>
      </c>
      <c r="C3310" s="1" t="n">
        <v>45802</v>
      </c>
      <c r="D3310" t="inlineStr">
        <is>
          <t>VÄSTERNORRLANDS LÄN</t>
        </is>
      </c>
      <c r="E3310" t="inlineStr">
        <is>
          <t>SOLLEFTEÅ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44320-2024</t>
        </is>
      </c>
      <c r="B3311" s="1" t="n">
        <v>45573</v>
      </c>
      <c r="C3311" s="1" t="n">
        <v>45802</v>
      </c>
      <c r="D3311" t="inlineStr">
        <is>
          <t>VÄSTERNORRLANDS LÄN</t>
        </is>
      </c>
      <c r="E3311" t="inlineStr">
        <is>
          <t>SOLLEFTEÅ</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44202-2024</t>
        </is>
      </c>
      <c r="B3312" s="1" t="n">
        <v>45573</v>
      </c>
      <c r="C3312" s="1" t="n">
        <v>45802</v>
      </c>
      <c r="D3312" t="inlineStr">
        <is>
          <t>VÄSTERNORRLANDS LÄN</t>
        </is>
      </c>
      <c r="E3312" t="inlineStr">
        <is>
          <t>SOLLEFTEÅ</t>
        </is>
      </c>
      <c r="F3312" t="inlineStr">
        <is>
          <t>SCA</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44323-2024</t>
        </is>
      </c>
      <c r="B3313" s="1" t="n">
        <v>45573</v>
      </c>
      <c r="C3313" s="1" t="n">
        <v>45802</v>
      </c>
      <c r="D3313" t="inlineStr">
        <is>
          <t>VÄSTERNORRLANDS LÄN</t>
        </is>
      </c>
      <c r="E3313" t="inlineStr">
        <is>
          <t>SOLLEFTEÅ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44302-2024</t>
        </is>
      </c>
      <c r="B3314" s="1" t="n">
        <v>45573</v>
      </c>
      <c r="C3314" s="1" t="n">
        <v>45802</v>
      </c>
      <c r="D3314" t="inlineStr">
        <is>
          <t>VÄSTERNORRLANDS LÄN</t>
        </is>
      </c>
      <c r="E3314" t="inlineStr">
        <is>
          <t>SOLLEFTEÅ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44298-2024</t>
        </is>
      </c>
      <c r="B3315" s="1" t="n">
        <v>45573</v>
      </c>
      <c r="C3315" s="1" t="n">
        <v>45802</v>
      </c>
      <c r="D3315" t="inlineStr">
        <is>
          <t>VÄSTERNORRLANDS LÄN</t>
        </is>
      </c>
      <c r="E3315" t="inlineStr">
        <is>
          <t>SOLLEFTEÅ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44294-2024</t>
        </is>
      </c>
      <c r="B3316" s="1" t="n">
        <v>45573</v>
      </c>
      <c r="C3316" s="1" t="n">
        <v>45802</v>
      </c>
      <c r="D3316" t="inlineStr">
        <is>
          <t>VÄSTERNORRLANDS LÄN</t>
        </is>
      </c>
      <c r="E3316" t="inlineStr">
        <is>
          <t>SOLLEFTEÅ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44200-2024</t>
        </is>
      </c>
      <c r="B3317" s="1" t="n">
        <v>45573</v>
      </c>
      <c r="C3317" s="1" t="n">
        <v>45802</v>
      </c>
      <c r="D3317" t="inlineStr">
        <is>
          <t>VÄSTERNORRLANDS LÄN</t>
        </is>
      </c>
      <c r="E3317" t="inlineStr">
        <is>
          <t>SOLLEFTEÅ</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44554-2024</t>
        </is>
      </c>
      <c r="B3318" s="1" t="n">
        <v>45574</v>
      </c>
      <c r="C3318" s="1" t="n">
        <v>45802</v>
      </c>
      <c r="D3318" t="inlineStr">
        <is>
          <t>VÄSTERNORRLANDS LÄN</t>
        </is>
      </c>
      <c r="E3318" t="inlineStr">
        <is>
          <t>SOLLEFTEÅ</t>
        </is>
      </c>
      <c r="F3318" t="inlineStr">
        <is>
          <t>SCA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44591-2024</t>
        </is>
      </c>
      <c r="B3319" s="1" t="n">
        <v>45574</v>
      </c>
      <c r="C3319" s="1" t="n">
        <v>45802</v>
      </c>
      <c r="D3319" t="inlineStr">
        <is>
          <t>VÄSTERNORRLANDS LÄN</t>
        </is>
      </c>
      <c r="E3319" t="inlineStr">
        <is>
          <t>SOLLEFTEÅ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44627-2024</t>
        </is>
      </c>
      <c r="B3320" s="1" t="n">
        <v>45574</v>
      </c>
      <c r="C3320" s="1" t="n">
        <v>45802</v>
      </c>
      <c r="D3320" t="inlineStr">
        <is>
          <t>VÄSTERNORRLANDS LÄN</t>
        </is>
      </c>
      <c r="E3320" t="inlineStr">
        <is>
          <t>SOLLEFTEÅ</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44640-2024</t>
        </is>
      </c>
      <c r="B3321" s="1" t="n">
        <v>45574</v>
      </c>
      <c r="C3321" s="1" t="n">
        <v>45802</v>
      </c>
      <c r="D3321" t="inlineStr">
        <is>
          <t>VÄSTERNORRLANDS LÄN</t>
        </is>
      </c>
      <c r="E3321" t="inlineStr">
        <is>
          <t>SOLLEFTEÅ</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44614-2024</t>
        </is>
      </c>
      <c r="B3322" s="1" t="n">
        <v>45574</v>
      </c>
      <c r="C3322" s="1" t="n">
        <v>45802</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44639-2024</t>
        </is>
      </c>
      <c r="B3323" s="1" t="n">
        <v>45574</v>
      </c>
      <c r="C3323" s="1" t="n">
        <v>45802</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44661-2024</t>
        </is>
      </c>
      <c r="B3324" s="1" t="n">
        <v>45574</v>
      </c>
      <c r="C3324" s="1" t="n">
        <v>45802</v>
      </c>
      <c r="D3324" t="inlineStr">
        <is>
          <t>VÄSTERNORRLANDS LÄN</t>
        </is>
      </c>
      <c r="E3324" t="inlineStr">
        <is>
          <t>SOLLEFTEÅ</t>
        </is>
      </c>
      <c r="F3324" t="inlineStr">
        <is>
          <t>SCA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44621-2024</t>
        </is>
      </c>
      <c r="B3325" s="1" t="n">
        <v>45574</v>
      </c>
      <c r="C3325" s="1" t="n">
        <v>45802</v>
      </c>
      <c r="D3325" t="inlineStr">
        <is>
          <t>VÄSTERNORRLANDS LÄN</t>
        </is>
      </c>
      <c r="E3325" t="inlineStr">
        <is>
          <t>SOLLEFTEÅ</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44662-2024</t>
        </is>
      </c>
      <c r="B3326" s="1" t="n">
        <v>45574</v>
      </c>
      <c r="C3326" s="1" t="n">
        <v>45802</v>
      </c>
      <c r="D3326" t="inlineStr">
        <is>
          <t>VÄSTERNORRLANDS LÄN</t>
        </is>
      </c>
      <c r="E3326" t="inlineStr">
        <is>
          <t>SOLLEFTEÅ</t>
        </is>
      </c>
      <c r="F3326" t="inlineStr">
        <is>
          <t>SCA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45142-2024</t>
        </is>
      </c>
      <c r="B3327" s="1" t="n">
        <v>45575</v>
      </c>
      <c r="C3327" s="1" t="n">
        <v>45802</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45171-2024</t>
        </is>
      </c>
      <c r="B3328" s="1" t="n">
        <v>45575</v>
      </c>
      <c r="C3328" s="1" t="n">
        <v>45802</v>
      </c>
      <c r="D3328" t="inlineStr">
        <is>
          <t>VÄSTERNORRLANDS LÄN</t>
        </is>
      </c>
      <c r="E3328" t="inlineStr">
        <is>
          <t>SOLLEFTEÅ</t>
        </is>
      </c>
      <c r="F3328" t="inlineStr">
        <is>
          <t>SCA</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44950-2024</t>
        </is>
      </c>
      <c r="B3329" s="1" t="n">
        <v>45575</v>
      </c>
      <c r="C3329" s="1" t="n">
        <v>45802</v>
      </c>
      <c r="D3329" t="inlineStr">
        <is>
          <t>VÄSTERNORRLANDS LÄN</t>
        </is>
      </c>
      <c r="E3329" t="inlineStr">
        <is>
          <t>SOLLEFTEÅ</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45435-2024</t>
        </is>
      </c>
      <c r="B3330" s="1" t="n">
        <v>45576</v>
      </c>
      <c r="C3330" s="1" t="n">
        <v>45802</v>
      </c>
      <c r="D3330" t="inlineStr">
        <is>
          <t>VÄSTERNORRLANDS LÄN</t>
        </is>
      </c>
      <c r="E3330" t="inlineStr">
        <is>
          <t>SOLLEFTEÅ</t>
        </is>
      </c>
      <c r="F3330" t="inlineStr">
        <is>
          <t>SCA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45334-2024</t>
        </is>
      </c>
      <c r="B3331" s="1" t="n">
        <v>45576</v>
      </c>
      <c r="C3331" s="1" t="n">
        <v>45802</v>
      </c>
      <c r="D3331" t="inlineStr">
        <is>
          <t>VÄSTERNORRLANDS LÄN</t>
        </is>
      </c>
      <c r="E3331" t="inlineStr">
        <is>
          <t>SOLLEFTEÅ</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45801-2024</t>
        </is>
      </c>
      <c r="B3332" s="1" t="n">
        <v>45579</v>
      </c>
      <c r="C3332" s="1" t="n">
        <v>45802</v>
      </c>
      <c r="D3332" t="inlineStr">
        <is>
          <t>VÄSTERNORRLANDS LÄN</t>
        </is>
      </c>
      <c r="E3332" t="inlineStr">
        <is>
          <t>SOLLEFTEÅ</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45795-2024</t>
        </is>
      </c>
      <c r="B3333" s="1" t="n">
        <v>45579</v>
      </c>
      <c r="C3333" s="1" t="n">
        <v>45802</v>
      </c>
      <c r="D3333" t="inlineStr">
        <is>
          <t>VÄSTERNORRLANDS LÄN</t>
        </is>
      </c>
      <c r="E3333" t="inlineStr">
        <is>
          <t>SOLLEFTEÅ</t>
        </is>
      </c>
      <c r="G3333" t="n">
        <v>8.199999999999999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45573-2024</t>
        </is>
      </c>
      <c r="B3334" s="1" t="n">
        <v>45579</v>
      </c>
      <c r="C3334" s="1" t="n">
        <v>45802</v>
      </c>
      <c r="D3334" t="inlineStr">
        <is>
          <t>VÄSTERNORRLANDS LÄN</t>
        </is>
      </c>
      <c r="E3334" t="inlineStr">
        <is>
          <t>SOLLEFTEÅ</t>
        </is>
      </c>
      <c r="F3334" t="inlineStr">
        <is>
          <t>SCA</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45778-2024</t>
        </is>
      </c>
      <c r="B3335" s="1" t="n">
        <v>45579</v>
      </c>
      <c r="C3335" s="1" t="n">
        <v>45802</v>
      </c>
      <c r="D3335" t="inlineStr">
        <is>
          <t>VÄSTERNORRLANDS LÄN</t>
        </is>
      </c>
      <c r="E3335" t="inlineStr">
        <is>
          <t>SOLLEFTEÅ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45802-2024</t>
        </is>
      </c>
      <c r="B3336" s="1" t="n">
        <v>45579</v>
      </c>
      <c r="C3336" s="1" t="n">
        <v>45802</v>
      </c>
      <c r="D3336" t="inlineStr">
        <is>
          <t>VÄSTERNORRLANDS LÄN</t>
        </is>
      </c>
      <c r="E3336" t="inlineStr">
        <is>
          <t>SOLLEFTEÅ</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45748-2024</t>
        </is>
      </c>
      <c r="B3337" s="1" t="n">
        <v>45579</v>
      </c>
      <c r="C3337" s="1" t="n">
        <v>45802</v>
      </c>
      <c r="D3337" t="inlineStr">
        <is>
          <t>VÄSTERNORRLANDS LÄN</t>
        </is>
      </c>
      <c r="E3337" t="inlineStr">
        <is>
          <t>SOLLEFTEÅ</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45975-2024</t>
        </is>
      </c>
      <c r="B3338" s="1" t="n">
        <v>45580</v>
      </c>
      <c r="C3338" s="1" t="n">
        <v>45802</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45940-2024</t>
        </is>
      </c>
      <c r="B3339" s="1" t="n">
        <v>45580</v>
      </c>
      <c r="C3339" s="1" t="n">
        <v>45802</v>
      </c>
      <c r="D3339" t="inlineStr">
        <is>
          <t>VÄSTERNORRLANDS LÄN</t>
        </is>
      </c>
      <c r="E3339" t="inlineStr">
        <is>
          <t>SOLLEFTEÅ</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46255-2024</t>
        </is>
      </c>
      <c r="B3340" s="1" t="n">
        <v>45581</v>
      </c>
      <c r="C3340" s="1" t="n">
        <v>45802</v>
      </c>
      <c r="D3340" t="inlineStr">
        <is>
          <t>VÄSTERNORRLANDS LÄN</t>
        </is>
      </c>
      <c r="E3340" t="inlineStr">
        <is>
          <t>SOLLEFTEÅ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46101-2024</t>
        </is>
      </c>
      <c r="B3341" s="1" t="n">
        <v>45581</v>
      </c>
      <c r="C3341" s="1" t="n">
        <v>45802</v>
      </c>
      <c r="D3341" t="inlineStr">
        <is>
          <t>VÄSTERNORRLANDS LÄN</t>
        </is>
      </c>
      <c r="E3341" t="inlineStr">
        <is>
          <t>SOLLEFTEÅ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46261-2024</t>
        </is>
      </c>
      <c r="B3342" s="1" t="n">
        <v>45581</v>
      </c>
      <c r="C3342" s="1" t="n">
        <v>45802</v>
      </c>
      <c r="D3342" t="inlineStr">
        <is>
          <t>VÄSTERNORRLANDS LÄN</t>
        </is>
      </c>
      <c r="E3342" t="inlineStr">
        <is>
          <t>SOLLEFTEÅ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46524-2024</t>
        </is>
      </c>
      <c r="B3343" s="1" t="n">
        <v>45582</v>
      </c>
      <c r="C3343" s="1" t="n">
        <v>45802</v>
      </c>
      <c r="D3343" t="inlineStr">
        <is>
          <t>VÄSTERNORRLANDS LÄN</t>
        </is>
      </c>
      <c r="E3343" t="inlineStr">
        <is>
          <t>SOLLEFTEÅ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46772-2024</t>
        </is>
      </c>
      <c r="B3344" s="1" t="n">
        <v>45583</v>
      </c>
      <c r="C3344" s="1" t="n">
        <v>45802</v>
      </c>
      <c r="D3344" t="inlineStr">
        <is>
          <t>VÄSTERNORRLANDS LÄN</t>
        </is>
      </c>
      <c r="E3344" t="inlineStr">
        <is>
          <t>SOLLEFTEÅ</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46850-2024</t>
        </is>
      </c>
      <c r="B3345" s="1" t="n">
        <v>45583</v>
      </c>
      <c r="C3345" s="1" t="n">
        <v>45802</v>
      </c>
      <c r="D3345" t="inlineStr">
        <is>
          <t>VÄSTERNORRLANDS LÄN</t>
        </is>
      </c>
      <c r="E3345" t="inlineStr">
        <is>
          <t>SOLLEFTEÅ</t>
        </is>
      </c>
      <c r="F3345" t="inlineStr">
        <is>
          <t>SCA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46765-2024</t>
        </is>
      </c>
      <c r="B3346" s="1" t="n">
        <v>45583</v>
      </c>
      <c r="C3346" s="1" t="n">
        <v>45802</v>
      </c>
      <c r="D3346" t="inlineStr">
        <is>
          <t>VÄSTERNORRLANDS LÄN</t>
        </is>
      </c>
      <c r="E3346" t="inlineStr">
        <is>
          <t>SOLLEFTEÅ</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46755-2024</t>
        </is>
      </c>
      <c r="B3347" s="1" t="n">
        <v>45583</v>
      </c>
      <c r="C3347" s="1" t="n">
        <v>45802</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46759-2024</t>
        </is>
      </c>
      <c r="B3348" s="1" t="n">
        <v>45583</v>
      </c>
      <c r="C3348" s="1" t="n">
        <v>45802</v>
      </c>
      <c r="D3348" t="inlineStr">
        <is>
          <t>VÄSTERNORRLANDS LÄN</t>
        </is>
      </c>
      <c r="E3348" t="inlineStr">
        <is>
          <t>SOLLEFTEÅ</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46767-2024</t>
        </is>
      </c>
      <c r="B3349" s="1" t="n">
        <v>45583</v>
      </c>
      <c r="C3349" s="1" t="n">
        <v>45802</v>
      </c>
      <c r="D3349" t="inlineStr">
        <is>
          <t>VÄSTERNORRLANDS LÄN</t>
        </is>
      </c>
      <c r="E3349" t="inlineStr">
        <is>
          <t>SOLLEFTEÅ</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46770-2024</t>
        </is>
      </c>
      <c r="B3350" s="1" t="n">
        <v>45583</v>
      </c>
      <c r="C3350" s="1" t="n">
        <v>45802</v>
      </c>
      <c r="D3350" t="inlineStr">
        <is>
          <t>VÄSTERNORRLANDS LÄN</t>
        </is>
      </c>
      <c r="E3350" t="inlineStr">
        <is>
          <t>SOLLEFTEÅ</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46758-2024</t>
        </is>
      </c>
      <c r="B3351" s="1" t="n">
        <v>45583</v>
      </c>
      <c r="C3351" s="1" t="n">
        <v>45802</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47175-2024</t>
        </is>
      </c>
      <c r="B3352" s="1" t="n">
        <v>45586</v>
      </c>
      <c r="C3352" s="1" t="n">
        <v>45802</v>
      </c>
      <c r="D3352" t="inlineStr">
        <is>
          <t>VÄSTERNORRLANDS LÄN</t>
        </is>
      </c>
      <c r="E3352" t="inlineStr">
        <is>
          <t>SOLLEFTEÅ</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47179-2024</t>
        </is>
      </c>
      <c r="B3353" s="1" t="n">
        <v>45586</v>
      </c>
      <c r="C3353" s="1" t="n">
        <v>45802</v>
      </c>
      <c r="D3353" t="inlineStr">
        <is>
          <t>VÄSTERNORRLANDS LÄN</t>
        </is>
      </c>
      <c r="E3353" t="inlineStr">
        <is>
          <t>SOLLEFTEÅ</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46973-2024</t>
        </is>
      </c>
      <c r="B3354" s="1" t="n">
        <v>45586</v>
      </c>
      <c r="C3354" s="1" t="n">
        <v>45802</v>
      </c>
      <c r="D3354" t="inlineStr">
        <is>
          <t>VÄSTERNORRLANDS LÄN</t>
        </is>
      </c>
      <c r="E3354" t="inlineStr">
        <is>
          <t>SOLLEFTEÅ</t>
        </is>
      </c>
      <c r="F3354" t="inlineStr">
        <is>
          <t>SCA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47471-2024</t>
        </is>
      </c>
      <c r="B3355" s="1" t="n">
        <v>45587</v>
      </c>
      <c r="C3355" s="1" t="n">
        <v>45802</v>
      </c>
      <c r="D3355" t="inlineStr">
        <is>
          <t>VÄSTERNORRLANDS LÄN</t>
        </is>
      </c>
      <c r="E3355" t="inlineStr">
        <is>
          <t>SOLLEFTEÅ</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47354-2024</t>
        </is>
      </c>
      <c r="B3356" s="1" t="n">
        <v>45587</v>
      </c>
      <c r="C3356" s="1" t="n">
        <v>45802</v>
      </c>
      <c r="D3356" t="inlineStr">
        <is>
          <t>VÄSTERNORRLANDS LÄN</t>
        </is>
      </c>
      <c r="E3356" t="inlineStr">
        <is>
          <t>SOLLEFTEÅ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47547-2024</t>
        </is>
      </c>
      <c r="B3357" s="1" t="n">
        <v>45587</v>
      </c>
      <c r="C3357" s="1" t="n">
        <v>45802</v>
      </c>
      <c r="D3357" t="inlineStr">
        <is>
          <t>VÄSTERNORRLANDS LÄN</t>
        </is>
      </c>
      <c r="E3357" t="inlineStr">
        <is>
          <t>SOLLEFTEÅ</t>
        </is>
      </c>
      <c r="F3357" t="inlineStr">
        <is>
          <t>SCA</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47745-2024</t>
        </is>
      </c>
      <c r="B3358" s="1" t="n">
        <v>45588</v>
      </c>
      <c r="C3358" s="1" t="n">
        <v>45802</v>
      </c>
      <c r="D3358" t="inlineStr">
        <is>
          <t>VÄSTERNORRLANDS LÄN</t>
        </is>
      </c>
      <c r="E3358" t="inlineStr">
        <is>
          <t>SOLLEFTEÅ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47641-2024</t>
        </is>
      </c>
      <c r="B3359" s="1" t="n">
        <v>45588</v>
      </c>
      <c r="C3359" s="1" t="n">
        <v>45802</v>
      </c>
      <c r="D3359" t="inlineStr">
        <is>
          <t>VÄSTERNORRLANDS LÄN</t>
        </is>
      </c>
      <c r="E3359" t="inlineStr">
        <is>
          <t>SOLLEFTEÅ</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47631-2024</t>
        </is>
      </c>
      <c r="B3360" s="1" t="n">
        <v>45588</v>
      </c>
      <c r="C3360" s="1" t="n">
        <v>45802</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47868-2024</t>
        </is>
      </c>
      <c r="B3361" s="1" t="n">
        <v>45588</v>
      </c>
      <c r="C3361" s="1" t="n">
        <v>45802</v>
      </c>
      <c r="D3361" t="inlineStr">
        <is>
          <t>VÄSTERNORRLANDS LÄN</t>
        </is>
      </c>
      <c r="E3361" t="inlineStr">
        <is>
          <t>SOLLEFTEÅ</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48118-2024</t>
        </is>
      </c>
      <c r="B3362" s="1" t="n">
        <v>45589</v>
      </c>
      <c r="C3362" s="1" t="n">
        <v>45802</v>
      </c>
      <c r="D3362" t="inlineStr">
        <is>
          <t>VÄSTERNORRLANDS LÄN</t>
        </is>
      </c>
      <c r="E3362" t="inlineStr">
        <is>
          <t>SOLLEFTEÅ</t>
        </is>
      </c>
      <c r="F3362" t="inlineStr">
        <is>
          <t>SCA</t>
        </is>
      </c>
      <c r="G3362" t="n">
        <v>11.9</v>
      </c>
      <c r="H3362" t="n">
        <v>0</v>
      </c>
      <c r="I3362" t="n">
        <v>0</v>
      </c>
      <c r="J3362" t="n">
        <v>0</v>
      </c>
      <c r="K3362" t="n">
        <v>0</v>
      </c>
      <c r="L3362" t="n">
        <v>0</v>
      </c>
      <c r="M3362" t="n">
        <v>0</v>
      </c>
      <c r="N3362" t="n">
        <v>0</v>
      </c>
      <c r="O3362" t="n">
        <v>0</v>
      </c>
      <c r="P3362" t="n">
        <v>0</v>
      </c>
      <c r="Q3362" t="n">
        <v>0</v>
      </c>
      <c r="R3362" s="2" t="inlineStr"/>
    </row>
    <row r="3363" ht="15" customHeight="1">
      <c r="A3363" t="inlineStr">
        <is>
          <t>A 48038-2024</t>
        </is>
      </c>
      <c r="B3363" s="1" t="n">
        <v>45589</v>
      </c>
      <c r="C3363" s="1" t="n">
        <v>45802</v>
      </c>
      <c r="D3363" t="inlineStr">
        <is>
          <t>VÄSTERNORRLANDS LÄN</t>
        </is>
      </c>
      <c r="E3363" t="inlineStr">
        <is>
          <t>SOLLEFTEÅ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47955-2024</t>
        </is>
      </c>
      <c r="B3364" s="1" t="n">
        <v>45589</v>
      </c>
      <c r="C3364" s="1" t="n">
        <v>45802</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47963-2024</t>
        </is>
      </c>
      <c r="B3365" s="1" t="n">
        <v>45589</v>
      </c>
      <c r="C3365" s="1" t="n">
        <v>45802</v>
      </c>
      <c r="D3365" t="inlineStr">
        <is>
          <t>VÄSTERNORRLANDS LÄN</t>
        </is>
      </c>
      <c r="E3365" t="inlineStr">
        <is>
          <t>SOLLEFTEÅ</t>
        </is>
      </c>
      <c r="F3365" t="inlineStr">
        <is>
          <t>SCA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47987-2024</t>
        </is>
      </c>
      <c r="B3366" s="1" t="n">
        <v>45589</v>
      </c>
      <c r="C3366" s="1" t="n">
        <v>45802</v>
      </c>
      <c r="D3366" t="inlineStr">
        <is>
          <t>VÄSTERNORRLANDS LÄN</t>
        </is>
      </c>
      <c r="E3366" t="inlineStr">
        <is>
          <t>SOLLEFTEÅ</t>
        </is>
      </c>
      <c r="F3366" t="inlineStr">
        <is>
          <t>SCA</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48019-2024</t>
        </is>
      </c>
      <c r="B3367" s="1" t="n">
        <v>45589</v>
      </c>
      <c r="C3367" s="1" t="n">
        <v>45802</v>
      </c>
      <c r="D3367" t="inlineStr">
        <is>
          <t>VÄSTERNORRLANDS LÄN</t>
        </is>
      </c>
      <c r="E3367" t="inlineStr">
        <is>
          <t>SOLLEFTEÅ</t>
        </is>
      </c>
      <c r="G3367" t="n">
        <v>10.4</v>
      </c>
      <c r="H3367" t="n">
        <v>0</v>
      </c>
      <c r="I3367" t="n">
        <v>0</v>
      </c>
      <c r="J3367" t="n">
        <v>0</v>
      </c>
      <c r="K3367" t="n">
        <v>0</v>
      </c>
      <c r="L3367" t="n">
        <v>0</v>
      </c>
      <c r="M3367" t="n">
        <v>0</v>
      </c>
      <c r="N3367" t="n">
        <v>0</v>
      </c>
      <c r="O3367" t="n">
        <v>0</v>
      </c>
      <c r="P3367" t="n">
        <v>0</v>
      </c>
      <c r="Q3367" t="n">
        <v>0</v>
      </c>
      <c r="R3367" s="2" t="inlineStr"/>
    </row>
    <row r="3368" ht="15" customHeight="1">
      <c r="A3368" t="inlineStr">
        <is>
          <t>A 48081-2024</t>
        </is>
      </c>
      <c r="B3368" s="1" t="n">
        <v>45589</v>
      </c>
      <c r="C3368" s="1" t="n">
        <v>45802</v>
      </c>
      <c r="D3368" t="inlineStr">
        <is>
          <t>VÄSTERNORRLANDS LÄN</t>
        </is>
      </c>
      <c r="E3368" t="inlineStr">
        <is>
          <t>SOLLEFTEÅ</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48049-2024</t>
        </is>
      </c>
      <c r="B3369" s="1" t="n">
        <v>45589</v>
      </c>
      <c r="C3369" s="1" t="n">
        <v>45802</v>
      </c>
      <c r="D3369" t="inlineStr">
        <is>
          <t>VÄSTERNORRLANDS LÄN</t>
        </is>
      </c>
      <c r="E3369" t="inlineStr">
        <is>
          <t>SOLLEFTEÅ</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48021-2024</t>
        </is>
      </c>
      <c r="B3370" s="1" t="n">
        <v>45589</v>
      </c>
      <c r="C3370" s="1" t="n">
        <v>45802</v>
      </c>
      <c r="D3370" t="inlineStr">
        <is>
          <t>VÄSTERNORRLANDS LÄN</t>
        </is>
      </c>
      <c r="E3370" t="inlineStr">
        <is>
          <t>SOLLEFTEÅ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48017-2024</t>
        </is>
      </c>
      <c r="B3371" s="1" t="n">
        <v>45589</v>
      </c>
      <c r="C3371" s="1" t="n">
        <v>45802</v>
      </c>
      <c r="D3371" t="inlineStr">
        <is>
          <t>VÄSTERNORRLANDS LÄN</t>
        </is>
      </c>
      <c r="E3371" t="inlineStr">
        <is>
          <t>SOLLEFTEÅ</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48001-2024</t>
        </is>
      </c>
      <c r="B3372" s="1" t="n">
        <v>45589</v>
      </c>
      <c r="C3372" s="1" t="n">
        <v>45802</v>
      </c>
      <c r="D3372" t="inlineStr">
        <is>
          <t>VÄSTERNORRLANDS LÄN</t>
        </is>
      </c>
      <c r="E3372" t="inlineStr">
        <is>
          <t>SOLLEFTEÅ</t>
        </is>
      </c>
      <c r="F3372" t="inlineStr">
        <is>
          <t>SCA</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47965-2024</t>
        </is>
      </c>
      <c r="B3373" s="1" t="n">
        <v>45589</v>
      </c>
      <c r="C3373" s="1" t="n">
        <v>45802</v>
      </c>
      <c r="D3373" t="inlineStr">
        <is>
          <t>VÄSTERNORRLANDS LÄN</t>
        </is>
      </c>
      <c r="E3373" t="inlineStr">
        <is>
          <t>SOLLEFTEÅ</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48020-2024</t>
        </is>
      </c>
      <c r="B3374" s="1" t="n">
        <v>45589</v>
      </c>
      <c r="C3374" s="1" t="n">
        <v>45802</v>
      </c>
      <c r="D3374" t="inlineStr">
        <is>
          <t>VÄSTERNORRLANDS LÄN</t>
        </is>
      </c>
      <c r="E3374" t="inlineStr">
        <is>
          <t>SOLLEFTEÅ</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48396-2024</t>
        </is>
      </c>
      <c r="B3375" s="1" t="n">
        <v>45590</v>
      </c>
      <c r="C3375" s="1" t="n">
        <v>45802</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48265-2024</t>
        </is>
      </c>
      <c r="B3376" s="1" t="n">
        <v>45590</v>
      </c>
      <c r="C3376" s="1" t="n">
        <v>45802</v>
      </c>
      <c r="D3376" t="inlineStr">
        <is>
          <t>VÄSTERNORRLANDS LÄN</t>
        </is>
      </c>
      <c r="E3376" t="inlineStr">
        <is>
          <t>SOLLEFTEÅ</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48419-2024</t>
        </is>
      </c>
      <c r="B3377" s="1" t="n">
        <v>45590</v>
      </c>
      <c r="C3377" s="1" t="n">
        <v>45802</v>
      </c>
      <c r="D3377" t="inlineStr">
        <is>
          <t>VÄSTERNORRLANDS LÄN</t>
        </is>
      </c>
      <c r="E3377" t="inlineStr">
        <is>
          <t>SOLLEFTEÅ</t>
        </is>
      </c>
      <c r="F3377" t="inlineStr">
        <is>
          <t>SCA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48235-2024</t>
        </is>
      </c>
      <c r="B3378" s="1" t="n">
        <v>45590</v>
      </c>
      <c r="C3378" s="1" t="n">
        <v>45802</v>
      </c>
      <c r="D3378" t="inlineStr">
        <is>
          <t>VÄSTERNORRLANDS LÄN</t>
        </is>
      </c>
      <c r="E3378" t="inlineStr">
        <is>
          <t>SOLLEFTEÅ</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48490-2024</t>
        </is>
      </c>
      <c r="B3379" s="1" t="n">
        <v>45592</v>
      </c>
      <c r="C3379" s="1" t="n">
        <v>45802</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48489-2024</t>
        </is>
      </c>
      <c r="B3380" s="1" t="n">
        <v>45592</v>
      </c>
      <c r="C3380" s="1" t="n">
        <v>45802</v>
      </c>
      <c r="D3380" t="inlineStr">
        <is>
          <t>VÄSTERNORRLANDS LÄN</t>
        </is>
      </c>
      <c r="E3380" t="inlineStr">
        <is>
          <t>SOLLEFTEÅ</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48491-2024</t>
        </is>
      </c>
      <c r="B3381" s="1" t="n">
        <v>45592</v>
      </c>
      <c r="C3381" s="1" t="n">
        <v>45802</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48720-2024</t>
        </is>
      </c>
      <c r="B3382" s="1" t="n">
        <v>45593</v>
      </c>
      <c r="C3382" s="1" t="n">
        <v>45802</v>
      </c>
      <c r="D3382" t="inlineStr">
        <is>
          <t>VÄSTERNORRLANDS LÄN</t>
        </is>
      </c>
      <c r="E3382" t="inlineStr">
        <is>
          <t>SOLLEFTEÅ</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48673-2024</t>
        </is>
      </c>
      <c r="B3383" s="1" t="n">
        <v>45593</v>
      </c>
      <c r="C3383" s="1" t="n">
        <v>45802</v>
      </c>
      <c r="D3383" t="inlineStr">
        <is>
          <t>VÄSTERNORRLANDS LÄN</t>
        </is>
      </c>
      <c r="E3383" t="inlineStr">
        <is>
          <t>SOLLEFTEÅ</t>
        </is>
      </c>
      <c r="F3383" t="inlineStr">
        <is>
          <t>SCA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48528-2024</t>
        </is>
      </c>
      <c r="B3384" s="1" t="n">
        <v>45593</v>
      </c>
      <c r="C3384" s="1" t="n">
        <v>45802</v>
      </c>
      <c r="D3384" t="inlineStr">
        <is>
          <t>VÄSTERNORRLANDS LÄN</t>
        </is>
      </c>
      <c r="E3384" t="inlineStr">
        <is>
          <t>SOLLEFTEÅ</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48529-2024</t>
        </is>
      </c>
      <c r="B3385" s="1" t="n">
        <v>45593</v>
      </c>
      <c r="C3385" s="1" t="n">
        <v>45802</v>
      </c>
      <c r="D3385" t="inlineStr">
        <is>
          <t>VÄSTERNORRLANDS LÄN</t>
        </is>
      </c>
      <c r="E3385" t="inlineStr">
        <is>
          <t>SOLLEFTEÅ</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48606-2024</t>
        </is>
      </c>
      <c r="B3386" s="1" t="n">
        <v>45593</v>
      </c>
      <c r="C3386" s="1" t="n">
        <v>45802</v>
      </c>
      <c r="D3386" t="inlineStr">
        <is>
          <t>VÄSTERNORRLANDS LÄN</t>
        </is>
      </c>
      <c r="E3386" t="inlineStr">
        <is>
          <t>SOLLEFTEÅ</t>
        </is>
      </c>
      <c r="F3386" t="inlineStr">
        <is>
          <t>SCA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48785-2024</t>
        </is>
      </c>
      <c r="B3387" s="1" t="n">
        <v>45593</v>
      </c>
      <c r="C3387" s="1" t="n">
        <v>45802</v>
      </c>
      <c r="D3387" t="inlineStr">
        <is>
          <t>VÄSTERNORRLANDS LÄN</t>
        </is>
      </c>
      <c r="E3387" t="inlineStr">
        <is>
          <t>SOLLEFTEÅ</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48962-2024</t>
        </is>
      </c>
      <c r="B3388" s="1" t="n">
        <v>45594</v>
      </c>
      <c r="C3388" s="1" t="n">
        <v>45802</v>
      </c>
      <c r="D3388" t="inlineStr">
        <is>
          <t>VÄSTERNORRLANDS LÄN</t>
        </is>
      </c>
      <c r="E3388" t="inlineStr">
        <is>
          <t>SOLLEFTEÅ</t>
        </is>
      </c>
      <c r="F3388" t="inlineStr">
        <is>
          <t>SCA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49156-2024</t>
        </is>
      </c>
      <c r="B3389" s="1" t="n">
        <v>45594</v>
      </c>
      <c r="C3389" s="1" t="n">
        <v>45802</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48895-2024</t>
        </is>
      </c>
      <c r="B3390" s="1" t="n">
        <v>45594</v>
      </c>
      <c r="C3390" s="1" t="n">
        <v>45802</v>
      </c>
      <c r="D3390" t="inlineStr">
        <is>
          <t>VÄSTERNORRLANDS LÄN</t>
        </is>
      </c>
      <c r="E3390" t="inlineStr">
        <is>
          <t>SOLLEFTEÅ</t>
        </is>
      </c>
      <c r="F3390" t="inlineStr">
        <is>
          <t>SCA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49238-2024</t>
        </is>
      </c>
      <c r="B3391" s="1" t="n">
        <v>45595</v>
      </c>
      <c r="C3391" s="1" t="n">
        <v>45802</v>
      </c>
      <c r="D3391" t="inlineStr">
        <is>
          <t>VÄSTERNORRLANDS LÄN</t>
        </is>
      </c>
      <c r="E3391" t="inlineStr">
        <is>
          <t>SOLLEFTEÅ</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49373-2024</t>
        </is>
      </c>
      <c r="B3392" s="1" t="n">
        <v>45595</v>
      </c>
      <c r="C3392" s="1" t="n">
        <v>45802</v>
      </c>
      <c r="D3392" t="inlineStr">
        <is>
          <t>VÄSTERNORRLANDS LÄN</t>
        </is>
      </c>
      <c r="E3392" t="inlineStr">
        <is>
          <t>SOLLEFTEÅ</t>
        </is>
      </c>
      <c r="F3392" t="inlineStr">
        <is>
          <t>SCA</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49403-2024</t>
        </is>
      </c>
      <c r="B3393" s="1" t="n">
        <v>45595</v>
      </c>
      <c r="C3393" s="1" t="n">
        <v>45802</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49253-2024</t>
        </is>
      </c>
      <c r="B3394" s="1" t="n">
        <v>45595</v>
      </c>
      <c r="C3394" s="1" t="n">
        <v>45802</v>
      </c>
      <c r="D3394" t="inlineStr">
        <is>
          <t>VÄSTERNORRLANDS LÄN</t>
        </is>
      </c>
      <c r="E3394" t="inlineStr">
        <is>
          <t>SOLLEFTEÅ</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49673-2024</t>
        </is>
      </c>
      <c r="B3395" s="1" t="n">
        <v>45596</v>
      </c>
      <c r="C3395" s="1" t="n">
        <v>45802</v>
      </c>
      <c r="D3395" t="inlineStr">
        <is>
          <t>VÄSTERNORRLANDS LÄN</t>
        </is>
      </c>
      <c r="E3395" t="inlineStr">
        <is>
          <t>SOLLEFTEÅ</t>
        </is>
      </c>
      <c r="F3395" t="inlineStr">
        <is>
          <t>SCA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49567-2024</t>
        </is>
      </c>
      <c r="B3396" s="1" t="n">
        <v>45596</v>
      </c>
      <c r="C3396" s="1" t="n">
        <v>45802</v>
      </c>
      <c r="D3396" t="inlineStr">
        <is>
          <t>VÄSTERNORRLANDS LÄN</t>
        </is>
      </c>
      <c r="E3396" t="inlineStr">
        <is>
          <t>SOLLEFTEÅ</t>
        </is>
      </c>
      <c r="F3396" t="inlineStr">
        <is>
          <t>SCA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49629-2024</t>
        </is>
      </c>
      <c r="B3397" s="1" t="n">
        <v>45596</v>
      </c>
      <c r="C3397" s="1" t="n">
        <v>45802</v>
      </c>
      <c r="D3397" t="inlineStr">
        <is>
          <t>VÄSTERNORRLANDS LÄN</t>
        </is>
      </c>
      <c r="E3397" t="inlineStr">
        <is>
          <t>SOLLEFTEÅ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49771-2024</t>
        </is>
      </c>
      <c r="B3398" s="1" t="n">
        <v>45597</v>
      </c>
      <c r="C3398" s="1" t="n">
        <v>45802</v>
      </c>
      <c r="D3398" t="inlineStr">
        <is>
          <t>VÄSTERNORRLANDS LÄN</t>
        </is>
      </c>
      <c r="E3398" t="inlineStr">
        <is>
          <t>SOLLEFTEÅ</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49829-2024</t>
        </is>
      </c>
      <c r="B3399" s="1" t="n">
        <v>45597</v>
      </c>
      <c r="C3399" s="1" t="n">
        <v>45802</v>
      </c>
      <c r="D3399" t="inlineStr">
        <is>
          <t>VÄSTERNORRLANDS LÄN</t>
        </is>
      </c>
      <c r="E3399" t="inlineStr">
        <is>
          <t>SOLLEFTEÅ</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49772-2024</t>
        </is>
      </c>
      <c r="B3400" s="1" t="n">
        <v>45597</v>
      </c>
      <c r="C3400" s="1" t="n">
        <v>45802</v>
      </c>
      <c r="D3400" t="inlineStr">
        <is>
          <t>VÄSTERNORRLANDS LÄN</t>
        </is>
      </c>
      <c r="E3400" t="inlineStr">
        <is>
          <t>SOLLEFTEÅ</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50007-2024</t>
        </is>
      </c>
      <c r="B3401" s="1" t="n">
        <v>45598</v>
      </c>
      <c r="C3401" s="1" t="n">
        <v>45802</v>
      </c>
      <c r="D3401" t="inlineStr">
        <is>
          <t>VÄSTERNORRLANDS LÄN</t>
        </is>
      </c>
      <c r="E3401" t="inlineStr">
        <is>
          <t>SOLLEFTEÅ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50008-2024</t>
        </is>
      </c>
      <c r="B3402" s="1" t="n">
        <v>45598</v>
      </c>
      <c r="C3402" s="1" t="n">
        <v>45802</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49999-2024</t>
        </is>
      </c>
      <c r="B3403" s="1" t="n">
        <v>45598</v>
      </c>
      <c r="C3403" s="1" t="n">
        <v>45802</v>
      </c>
      <c r="D3403" t="inlineStr">
        <is>
          <t>VÄSTERNORRLANDS LÄN</t>
        </is>
      </c>
      <c r="E3403" t="inlineStr">
        <is>
          <t>SOLLEFTEÅ</t>
        </is>
      </c>
      <c r="F3403" t="inlineStr">
        <is>
          <t>SCA</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50006-2024</t>
        </is>
      </c>
      <c r="B3404" s="1" t="n">
        <v>45598</v>
      </c>
      <c r="C3404" s="1" t="n">
        <v>45802</v>
      </c>
      <c r="D3404" t="inlineStr">
        <is>
          <t>VÄSTERNORRLANDS LÄN</t>
        </is>
      </c>
      <c r="E3404" t="inlineStr">
        <is>
          <t>SOLLEFTEÅ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50036-2024</t>
        </is>
      </c>
      <c r="B3405" s="1" t="n">
        <v>45599</v>
      </c>
      <c r="C3405" s="1" t="n">
        <v>45802</v>
      </c>
      <c r="D3405" t="inlineStr">
        <is>
          <t>VÄSTERNORRLANDS LÄN</t>
        </is>
      </c>
      <c r="E3405" t="inlineStr">
        <is>
          <t>SOLLEFTEÅ</t>
        </is>
      </c>
      <c r="G3405" t="n">
        <v>17.9</v>
      </c>
      <c r="H3405" t="n">
        <v>0</v>
      </c>
      <c r="I3405" t="n">
        <v>0</v>
      </c>
      <c r="J3405" t="n">
        <v>0</v>
      </c>
      <c r="K3405" t="n">
        <v>0</v>
      </c>
      <c r="L3405" t="n">
        <v>0</v>
      </c>
      <c r="M3405" t="n">
        <v>0</v>
      </c>
      <c r="N3405" t="n">
        <v>0</v>
      </c>
      <c r="O3405" t="n">
        <v>0</v>
      </c>
      <c r="P3405" t="n">
        <v>0</v>
      </c>
      <c r="Q3405" t="n">
        <v>0</v>
      </c>
      <c r="R3405" s="2" t="inlineStr"/>
    </row>
    <row r="3406" ht="15" customHeight="1">
      <c r="A3406" t="inlineStr">
        <is>
          <t>A 50089-2024</t>
        </is>
      </c>
      <c r="B3406" s="1" t="n">
        <v>45600</v>
      </c>
      <c r="C3406" s="1" t="n">
        <v>45802</v>
      </c>
      <c r="D3406" t="inlineStr">
        <is>
          <t>VÄSTERNORRLANDS LÄN</t>
        </is>
      </c>
      <c r="E3406" t="inlineStr">
        <is>
          <t>SOLLEFTEÅ</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50316-2024</t>
        </is>
      </c>
      <c r="B3407" s="1" t="n">
        <v>45600</v>
      </c>
      <c r="C3407" s="1" t="n">
        <v>45802</v>
      </c>
      <c r="D3407" t="inlineStr">
        <is>
          <t>VÄSTERNORRLANDS LÄN</t>
        </is>
      </c>
      <c r="E3407" t="inlineStr">
        <is>
          <t>SOLLEFTEÅ</t>
        </is>
      </c>
      <c r="F3407" t="inlineStr">
        <is>
          <t>SCA</t>
        </is>
      </c>
      <c r="G3407" t="n">
        <v>12.5</v>
      </c>
      <c r="H3407" t="n">
        <v>0</v>
      </c>
      <c r="I3407" t="n">
        <v>0</v>
      </c>
      <c r="J3407" t="n">
        <v>0</v>
      </c>
      <c r="K3407" t="n">
        <v>0</v>
      </c>
      <c r="L3407" t="n">
        <v>0</v>
      </c>
      <c r="M3407" t="n">
        <v>0</v>
      </c>
      <c r="N3407" t="n">
        <v>0</v>
      </c>
      <c r="O3407" t="n">
        <v>0</v>
      </c>
      <c r="P3407" t="n">
        <v>0</v>
      </c>
      <c r="Q3407" t="n">
        <v>0</v>
      </c>
      <c r="R3407" s="2" t="inlineStr"/>
    </row>
    <row r="3408" ht="15" customHeight="1">
      <c r="A3408" t="inlineStr">
        <is>
          <t>A 50090-2024</t>
        </is>
      </c>
      <c r="B3408" s="1" t="n">
        <v>45600</v>
      </c>
      <c r="C3408" s="1" t="n">
        <v>45802</v>
      </c>
      <c r="D3408" t="inlineStr">
        <is>
          <t>VÄSTERNORRLANDS LÄN</t>
        </is>
      </c>
      <c r="E3408" t="inlineStr">
        <is>
          <t>SOLLEFTEÅ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50624-2024</t>
        </is>
      </c>
      <c r="B3409" s="1" t="n">
        <v>45601</v>
      </c>
      <c r="C3409" s="1" t="n">
        <v>45802</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50557-2024</t>
        </is>
      </c>
      <c r="B3410" s="1" t="n">
        <v>45601</v>
      </c>
      <c r="C3410" s="1" t="n">
        <v>45802</v>
      </c>
      <c r="D3410" t="inlineStr">
        <is>
          <t>VÄSTERNORRLANDS LÄN</t>
        </is>
      </c>
      <c r="E3410" t="inlineStr">
        <is>
          <t>SOLLEFTEÅ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50549-2024</t>
        </is>
      </c>
      <c r="B3411" s="1" t="n">
        <v>45601</v>
      </c>
      <c r="C3411" s="1" t="n">
        <v>45802</v>
      </c>
      <c r="D3411" t="inlineStr">
        <is>
          <t>VÄSTERNORRLANDS LÄN</t>
        </is>
      </c>
      <c r="E3411" t="inlineStr">
        <is>
          <t>SOLLEFTEÅ</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50430-2024</t>
        </is>
      </c>
      <c r="B3412" s="1" t="n">
        <v>45601</v>
      </c>
      <c r="C3412" s="1" t="n">
        <v>45802</v>
      </c>
      <c r="D3412" t="inlineStr">
        <is>
          <t>VÄSTERNORRLANDS LÄN</t>
        </is>
      </c>
      <c r="E3412" t="inlineStr">
        <is>
          <t>SOLLEFTEÅ</t>
        </is>
      </c>
      <c r="F3412" t="inlineStr">
        <is>
          <t>SCA</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50625-2024</t>
        </is>
      </c>
      <c r="B3413" s="1" t="n">
        <v>45601</v>
      </c>
      <c r="C3413" s="1" t="n">
        <v>45802</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50717-2024</t>
        </is>
      </c>
      <c r="B3414" s="1" t="n">
        <v>45602</v>
      </c>
      <c r="C3414" s="1" t="n">
        <v>45802</v>
      </c>
      <c r="D3414" t="inlineStr">
        <is>
          <t>VÄSTERNORRLANDS LÄN</t>
        </is>
      </c>
      <c r="E3414" t="inlineStr">
        <is>
          <t>SOLLEFTEÅ</t>
        </is>
      </c>
      <c r="F3414" t="inlineStr">
        <is>
          <t>SCA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50721-2024</t>
        </is>
      </c>
      <c r="B3415" s="1" t="n">
        <v>45602</v>
      </c>
      <c r="C3415" s="1" t="n">
        <v>45802</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50864-2024</t>
        </is>
      </c>
      <c r="B3416" s="1" t="n">
        <v>45602</v>
      </c>
      <c r="C3416" s="1" t="n">
        <v>45802</v>
      </c>
      <c r="D3416" t="inlineStr">
        <is>
          <t>VÄSTERNORRLANDS LÄN</t>
        </is>
      </c>
      <c r="E3416" t="inlineStr">
        <is>
          <t>SOLLEFTEÅ</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50720-2024</t>
        </is>
      </c>
      <c r="B3417" s="1" t="n">
        <v>45602</v>
      </c>
      <c r="C3417" s="1" t="n">
        <v>45802</v>
      </c>
      <c r="D3417" t="inlineStr">
        <is>
          <t>VÄSTERNORRLANDS LÄN</t>
        </is>
      </c>
      <c r="E3417" t="inlineStr">
        <is>
          <t>SOLLEFTEÅ</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50770-2024</t>
        </is>
      </c>
      <c r="B3418" s="1" t="n">
        <v>45602</v>
      </c>
      <c r="C3418" s="1" t="n">
        <v>45802</v>
      </c>
      <c r="D3418" t="inlineStr">
        <is>
          <t>VÄSTERNORRLANDS LÄN</t>
        </is>
      </c>
      <c r="E3418" t="inlineStr">
        <is>
          <t>SOLLEFTEÅ</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50877-2024</t>
        </is>
      </c>
      <c r="B3419" s="1" t="n">
        <v>45602</v>
      </c>
      <c r="C3419" s="1" t="n">
        <v>45802</v>
      </c>
      <c r="D3419" t="inlineStr">
        <is>
          <t>VÄSTERNORRLANDS LÄN</t>
        </is>
      </c>
      <c r="E3419" t="inlineStr">
        <is>
          <t>SOLLEFTEÅ</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51193-2024</t>
        </is>
      </c>
      <c r="B3420" s="1" t="n">
        <v>45603</v>
      </c>
      <c r="C3420" s="1" t="n">
        <v>45802</v>
      </c>
      <c r="D3420" t="inlineStr">
        <is>
          <t>VÄSTERNORRLANDS LÄN</t>
        </is>
      </c>
      <c r="E3420" t="inlineStr">
        <is>
          <t>SOLLEFTEÅ</t>
        </is>
      </c>
      <c r="F3420" t="inlineStr">
        <is>
          <t>SCA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50963-2024</t>
        </is>
      </c>
      <c r="B3421" s="1" t="n">
        <v>45603</v>
      </c>
      <c r="C3421" s="1" t="n">
        <v>45802</v>
      </c>
      <c r="D3421" t="inlineStr">
        <is>
          <t>VÄSTERNORRLANDS LÄN</t>
        </is>
      </c>
      <c r="E3421" t="inlineStr">
        <is>
          <t>SOLLEFTEÅ</t>
        </is>
      </c>
      <c r="F3421" t="inlineStr">
        <is>
          <t>Holmen skog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51224-2024</t>
        </is>
      </c>
      <c r="B3422" s="1" t="n">
        <v>45603</v>
      </c>
      <c r="C3422" s="1" t="n">
        <v>45802</v>
      </c>
      <c r="D3422" t="inlineStr">
        <is>
          <t>VÄSTERNORRLANDS LÄN</t>
        </is>
      </c>
      <c r="E3422" t="inlineStr">
        <is>
          <t>SOLLEFTEÅ</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51055-2024</t>
        </is>
      </c>
      <c r="B3423" s="1" t="n">
        <v>45603</v>
      </c>
      <c r="C3423" s="1" t="n">
        <v>45802</v>
      </c>
      <c r="D3423" t="inlineStr">
        <is>
          <t>VÄSTERNORRLANDS LÄN</t>
        </is>
      </c>
      <c r="E3423" t="inlineStr">
        <is>
          <t>SOLLEFTEÅ</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51226-2024</t>
        </is>
      </c>
      <c r="B3424" s="1" t="n">
        <v>45603</v>
      </c>
      <c r="C3424" s="1" t="n">
        <v>45802</v>
      </c>
      <c r="D3424" t="inlineStr">
        <is>
          <t>VÄSTERNORRLANDS LÄN</t>
        </is>
      </c>
      <c r="E3424" t="inlineStr">
        <is>
          <t>SOLLEFTEÅ</t>
        </is>
      </c>
      <c r="F3424" t="inlineStr">
        <is>
          <t>SCA</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51132-2024</t>
        </is>
      </c>
      <c r="B3425" s="1" t="n">
        <v>45603</v>
      </c>
      <c r="C3425" s="1" t="n">
        <v>45802</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51264-2024</t>
        </is>
      </c>
      <c r="B3426" s="1" t="n">
        <v>45603</v>
      </c>
      <c r="C3426" s="1" t="n">
        <v>45802</v>
      </c>
      <c r="D3426" t="inlineStr">
        <is>
          <t>VÄSTERNORRLANDS LÄN</t>
        </is>
      </c>
      <c r="E3426" t="inlineStr">
        <is>
          <t>SOLLEFTEÅ</t>
        </is>
      </c>
      <c r="F3426" t="inlineStr">
        <is>
          <t>SCA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51227-2024</t>
        </is>
      </c>
      <c r="B3427" s="1" t="n">
        <v>45603</v>
      </c>
      <c r="C3427" s="1" t="n">
        <v>45802</v>
      </c>
      <c r="D3427" t="inlineStr">
        <is>
          <t>VÄSTERNORRLANDS LÄN</t>
        </is>
      </c>
      <c r="E3427" t="inlineStr">
        <is>
          <t>SOLLEFTEÅ</t>
        </is>
      </c>
      <c r="F3427" t="inlineStr">
        <is>
          <t>SCA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51402-2024</t>
        </is>
      </c>
      <c r="B3428" s="1" t="n">
        <v>45604</v>
      </c>
      <c r="C3428" s="1" t="n">
        <v>45802</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51527-2024</t>
        </is>
      </c>
      <c r="B3429" s="1" t="n">
        <v>45604</v>
      </c>
      <c r="C3429" s="1" t="n">
        <v>45802</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51573-2024</t>
        </is>
      </c>
      <c r="B3430" s="1" t="n">
        <v>45604</v>
      </c>
      <c r="C3430" s="1" t="n">
        <v>45802</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51528-2024</t>
        </is>
      </c>
      <c r="B3431" s="1" t="n">
        <v>45604</v>
      </c>
      <c r="C3431" s="1" t="n">
        <v>45802</v>
      </c>
      <c r="D3431" t="inlineStr">
        <is>
          <t>VÄSTERNORRLANDS LÄN</t>
        </is>
      </c>
      <c r="E3431" t="inlineStr">
        <is>
          <t>SOLLEFTEÅ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51341-2024</t>
        </is>
      </c>
      <c r="B3432" s="1" t="n">
        <v>45604</v>
      </c>
      <c r="C3432" s="1" t="n">
        <v>45802</v>
      </c>
      <c r="D3432" t="inlineStr">
        <is>
          <t>VÄSTERNORRLANDS LÄN</t>
        </is>
      </c>
      <c r="E3432" t="inlineStr">
        <is>
          <t>SOLLEFTEÅ</t>
        </is>
      </c>
      <c r="F3432" t="inlineStr">
        <is>
          <t>SCA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51505-2024</t>
        </is>
      </c>
      <c r="B3433" s="1" t="n">
        <v>45604</v>
      </c>
      <c r="C3433" s="1" t="n">
        <v>45802</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51616-2024</t>
        </is>
      </c>
      <c r="B3434" s="1" t="n">
        <v>45604</v>
      </c>
      <c r="C3434" s="1" t="n">
        <v>45802</v>
      </c>
      <c r="D3434" t="inlineStr">
        <is>
          <t>VÄSTERNORRLANDS LÄN</t>
        </is>
      </c>
      <c r="E3434" t="inlineStr">
        <is>
          <t>SOLLEFTEÅ</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51693-2024</t>
        </is>
      </c>
      <c r="B3435" s="1" t="n">
        <v>45607</v>
      </c>
      <c r="C3435" s="1" t="n">
        <v>45802</v>
      </c>
      <c r="D3435" t="inlineStr">
        <is>
          <t>VÄSTERNORRLANDS LÄN</t>
        </is>
      </c>
      <c r="E3435" t="inlineStr">
        <is>
          <t>SOLLEFTEÅ</t>
        </is>
      </c>
      <c r="F3435" t="inlineStr">
        <is>
          <t>SCA</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51872-2024</t>
        </is>
      </c>
      <c r="B3436" s="1" t="n">
        <v>45607</v>
      </c>
      <c r="C3436" s="1" t="n">
        <v>45802</v>
      </c>
      <c r="D3436" t="inlineStr">
        <is>
          <t>VÄSTERNORRLANDS LÄN</t>
        </is>
      </c>
      <c r="E3436" t="inlineStr">
        <is>
          <t>SOLLEFTEÅ</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51942-2024</t>
        </is>
      </c>
      <c r="B3437" s="1" t="n">
        <v>45607</v>
      </c>
      <c r="C3437" s="1" t="n">
        <v>45802</v>
      </c>
      <c r="D3437" t="inlineStr">
        <is>
          <t>VÄSTERNORRLANDS LÄN</t>
        </is>
      </c>
      <c r="E3437" t="inlineStr">
        <is>
          <t>SOLLEFTEÅ</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51735-2024</t>
        </is>
      </c>
      <c r="B3438" s="1" t="n">
        <v>45607</v>
      </c>
      <c r="C3438" s="1" t="n">
        <v>45802</v>
      </c>
      <c r="D3438" t="inlineStr">
        <is>
          <t>VÄSTERNORRLANDS LÄN</t>
        </is>
      </c>
      <c r="E3438" t="inlineStr">
        <is>
          <t>SOLLEFTEÅ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51890-2024</t>
        </is>
      </c>
      <c r="B3439" s="1" t="n">
        <v>45607</v>
      </c>
      <c r="C3439" s="1" t="n">
        <v>45802</v>
      </c>
      <c r="D3439" t="inlineStr">
        <is>
          <t>VÄSTERNORRLANDS LÄN</t>
        </is>
      </c>
      <c r="E3439" t="inlineStr">
        <is>
          <t>SOLLEFTEÅ</t>
        </is>
      </c>
      <c r="F3439" t="inlineStr">
        <is>
          <t>SCA</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51743-2024</t>
        </is>
      </c>
      <c r="B3440" s="1" t="n">
        <v>45607</v>
      </c>
      <c r="C3440" s="1" t="n">
        <v>45802</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52438-2024</t>
        </is>
      </c>
      <c r="B3441" s="1" t="n">
        <v>45609</v>
      </c>
      <c r="C3441" s="1" t="n">
        <v>45802</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52455-2024</t>
        </is>
      </c>
      <c r="B3442" s="1" t="n">
        <v>45609</v>
      </c>
      <c r="C3442" s="1" t="n">
        <v>45802</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52471-2024</t>
        </is>
      </c>
      <c r="B3443" s="1" t="n">
        <v>45609</v>
      </c>
      <c r="C3443" s="1" t="n">
        <v>45802</v>
      </c>
      <c r="D3443" t="inlineStr">
        <is>
          <t>VÄSTERNORRLANDS LÄN</t>
        </is>
      </c>
      <c r="E3443" t="inlineStr">
        <is>
          <t>SOLLEFTEÅ</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52406-2024</t>
        </is>
      </c>
      <c r="B3444" s="1" t="n">
        <v>45609</v>
      </c>
      <c r="C3444" s="1" t="n">
        <v>45802</v>
      </c>
      <c r="D3444" t="inlineStr">
        <is>
          <t>VÄSTERNORRLANDS LÄN</t>
        </is>
      </c>
      <c r="E3444" t="inlineStr">
        <is>
          <t>SOLLEFTEÅ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52461-2024</t>
        </is>
      </c>
      <c r="B3445" s="1" t="n">
        <v>45609</v>
      </c>
      <c r="C3445" s="1" t="n">
        <v>45802</v>
      </c>
      <c r="D3445" t="inlineStr">
        <is>
          <t>VÄSTERNORRLANDS LÄN</t>
        </is>
      </c>
      <c r="E3445" t="inlineStr">
        <is>
          <t>SOLLEFTEÅ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52341-2024</t>
        </is>
      </c>
      <c r="B3446" s="1" t="n">
        <v>45609</v>
      </c>
      <c r="C3446" s="1" t="n">
        <v>45802</v>
      </c>
      <c r="D3446" t="inlineStr">
        <is>
          <t>VÄSTERNORRLANDS LÄN</t>
        </is>
      </c>
      <c r="E3446" t="inlineStr">
        <is>
          <t>SOLLEFTEÅ</t>
        </is>
      </c>
      <c r="F3446" t="inlineStr">
        <is>
          <t>Holmen skog AB</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52429-2024</t>
        </is>
      </c>
      <c r="B3447" s="1" t="n">
        <v>45609</v>
      </c>
      <c r="C3447" s="1" t="n">
        <v>45802</v>
      </c>
      <c r="D3447" t="inlineStr">
        <is>
          <t>VÄSTERNORRLANDS LÄN</t>
        </is>
      </c>
      <c r="E3447" t="inlineStr">
        <is>
          <t>SOLLEFTEÅ</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52530-2024</t>
        </is>
      </c>
      <c r="B3448" s="1" t="n">
        <v>45609</v>
      </c>
      <c r="C3448" s="1" t="n">
        <v>45802</v>
      </c>
      <c r="D3448" t="inlineStr">
        <is>
          <t>VÄSTERNORRLANDS LÄN</t>
        </is>
      </c>
      <c r="E3448" t="inlineStr">
        <is>
          <t>SOLLEFTEÅ</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52602-2024</t>
        </is>
      </c>
      <c r="B3449" s="1" t="n">
        <v>45609</v>
      </c>
      <c r="C3449" s="1" t="n">
        <v>45802</v>
      </c>
      <c r="D3449" t="inlineStr">
        <is>
          <t>VÄSTERNORRLANDS LÄN</t>
        </is>
      </c>
      <c r="E3449" t="inlineStr">
        <is>
          <t>SOLLEFTEÅ</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52681-2024</t>
        </is>
      </c>
      <c r="B3450" s="1" t="n">
        <v>45610</v>
      </c>
      <c r="C3450" s="1" t="n">
        <v>45802</v>
      </c>
      <c r="D3450" t="inlineStr">
        <is>
          <t>VÄSTERNORRLANDS LÄN</t>
        </is>
      </c>
      <c r="E3450" t="inlineStr">
        <is>
          <t>SOLLEFTEÅ</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52709-2024</t>
        </is>
      </c>
      <c r="B3451" s="1" t="n">
        <v>45610</v>
      </c>
      <c r="C3451" s="1" t="n">
        <v>45802</v>
      </c>
      <c r="D3451" t="inlineStr">
        <is>
          <t>VÄSTERNORRLANDS LÄN</t>
        </is>
      </c>
      <c r="E3451" t="inlineStr">
        <is>
          <t>SOLLEFTEÅ</t>
        </is>
      </c>
      <c r="F3451" t="inlineStr">
        <is>
          <t>SCA</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52768-2024</t>
        </is>
      </c>
      <c r="B3452" s="1" t="n">
        <v>45610</v>
      </c>
      <c r="C3452" s="1" t="n">
        <v>45802</v>
      </c>
      <c r="D3452" t="inlineStr">
        <is>
          <t>VÄSTERNORRLANDS LÄN</t>
        </is>
      </c>
      <c r="E3452" t="inlineStr">
        <is>
          <t>SOLLEFTEÅ</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52663-2024</t>
        </is>
      </c>
      <c r="B3453" s="1" t="n">
        <v>45610</v>
      </c>
      <c r="C3453" s="1" t="n">
        <v>45802</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52702-2024</t>
        </is>
      </c>
      <c r="B3454" s="1" t="n">
        <v>45610</v>
      </c>
      <c r="C3454" s="1" t="n">
        <v>45802</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52662-2024</t>
        </is>
      </c>
      <c r="B3455" s="1" t="n">
        <v>45610</v>
      </c>
      <c r="C3455" s="1" t="n">
        <v>45802</v>
      </c>
      <c r="D3455" t="inlineStr">
        <is>
          <t>VÄSTERNORRLANDS LÄN</t>
        </is>
      </c>
      <c r="E3455" t="inlineStr">
        <is>
          <t>SOLLEFTEÅ</t>
        </is>
      </c>
      <c r="F3455" t="inlineStr">
        <is>
          <t>SCA</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53477-2024</t>
        </is>
      </c>
      <c r="B3456" s="1" t="n">
        <v>45611</v>
      </c>
      <c r="C3456" s="1" t="n">
        <v>45802</v>
      </c>
      <c r="D3456" t="inlineStr">
        <is>
          <t>VÄSTERNORRLANDS LÄN</t>
        </is>
      </c>
      <c r="E3456" t="inlineStr">
        <is>
          <t>SOLLEFTEÅ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53483-2024</t>
        </is>
      </c>
      <c r="B3457" s="1" t="n">
        <v>45611</v>
      </c>
      <c r="C3457" s="1" t="n">
        <v>45802</v>
      </c>
      <c r="D3457" t="inlineStr">
        <is>
          <t>VÄSTERNORRLANDS LÄN</t>
        </is>
      </c>
      <c r="E3457" t="inlineStr">
        <is>
          <t>SOLLEFTEÅ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53165-2024</t>
        </is>
      </c>
      <c r="B3458" s="1" t="n">
        <v>45611</v>
      </c>
      <c r="C3458" s="1" t="n">
        <v>45802</v>
      </c>
      <c r="D3458" t="inlineStr">
        <is>
          <t>VÄSTERNORRLANDS LÄN</t>
        </is>
      </c>
      <c r="E3458" t="inlineStr">
        <is>
          <t>SOLLEFTEÅ</t>
        </is>
      </c>
      <c r="F3458" t="inlineStr">
        <is>
          <t>Holmen skog AB</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53120-2024</t>
        </is>
      </c>
      <c r="B3459" s="1" t="n">
        <v>45611</v>
      </c>
      <c r="C3459" s="1" t="n">
        <v>45802</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53212-2024</t>
        </is>
      </c>
      <c r="B3460" s="1" t="n">
        <v>45612</v>
      </c>
      <c r="C3460" s="1" t="n">
        <v>45802</v>
      </c>
      <c r="D3460" t="inlineStr">
        <is>
          <t>VÄSTERNORRLANDS LÄN</t>
        </is>
      </c>
      <c r="E3460" t="inlineStr">
        <is>
          <t>SOLLEFTEÅ</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53206-2024</t>
        </is>
      </c>
      <c r="B3461" s="1" t="n">
        <v>45612</v>
      </c>
      <c r="C3461" s="1" t="n">
        <v>45802</v>
      </c>
      <c r="D3461" t="inlineStr">
        <is>
          <t>VÄSTERNORRLANDS LÄN</t>
        </is>
      </c>
      <c r="E3461" t="inlineStr">
        <is>
          <t>SOLLEFTEÅ</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53210-2024</t>
        </is>
      </c>
      <c r="B3462" s="1" t="n">
        <v>45612</v>
      </c>
      <c r="C3462" s="1" t="n">
        <v>45802</v>
      </c>
      <c r="D3462" t="inlineStr">
        <is>
          <t>VÄSTERNORRLANDS LÄN</t>
        </is>
      </c>
      <c r="E3462" t="inlineStr">
        <is>
          <t>SOLLEFTEÅ</t>
        </is>
      </c>
      <c r="F3462" t="inlineStr">
        <is>
          <t>SCA</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53327-2024</t>
        </is>
      </c>
      <c r="B3463" s="1" t="n">
        <v>45614</v>
      </c>
      <c r="C3463" s="1" t="n">
        <v>45802</v>
      </c>
      <c r="D3463" t="inlineStr">
        <is>
          <t>VÄSTERNORRLANDS LÄN</t>
        </is>
      </c>
      <c r="E3463" t="inlineStr">
        <is>
          <t>SOLLEFTEÅ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53332-2024</t>
        </is>
      </c>
      <c r="B3464" s="1" t="n">
        <v>45614</v>
      </c>
      <c r="C3464" s="1" t="n">
        <v>45802</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53334-2024</t>
        </is>
      </c>
      <c r="B3465" s="1" t="n">
        <v>45614</v>
      </c>
      <c r="C3465" s="1" t="n">
        <v>45802</v>
      </c>
      <c r="D3465" t="inlineStr">
        <is>
          <t>VÄSTERNORRLANDS LÄN</t>
        </is>
      </c>
      <c r="E3465" t="inlineStr">
        <is>
          <t>SOLLEFTEÅ</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53330-2024</t>
        </is>
      </c>
      <c r="B3466" s="1" t="n">
        <v>45614</v>
      </c>
      <c r="C3466" s="1" t="n">
        <v>45802</v>
      </c>
      <c r="D3466" t="inlineStr">
        <is>
          <t>VÄSTERNORRLANDS LÄN</t>
        </is>
      </c>
      <c r="E3466" t="inlineStr">
        <is>
          <t>SOLLEFTEÅ</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53545-2024</t>
        </is>
      </c>
      <c r="B3467" s="1" t="n">
        <v>45614</v>
      </c>
      <c r="C3467" s="1" t="n">
        <v>45802</v>
      </c>
      <c r="D3467" t="inlineStr">
        <is>
          <t>VÄSTERNORRLANDS LÄN</t>
        </is>
      </c>
      <c r="E3467" t="inlineStr">
        <is>
          <t>SOLLEFTEÅ</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53325-2024</t>
        </is>
      </c>
      <c r="B3468" s="1" t="n">
        <v>45614</v>
      </c>
      <c r="C3468" s="1" t="n">
        <v>45802</v>
      </c>
      <c r="D3468" t="inlineStr">
        <is>
          <t>VÄSTERNORRLANDS LÄN</t>
        </is>
      </c>
      <c r="E3468" t="inlineStr">
        <is>
          <t>SOLLEFTEÅ</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53321-2024</t>
        </is>
      </c>
      <c r="B3469" s="1" t="n">
        <v>45614</v>
      </c>
      <c r="C3469" s="1" t="n">
        <v>45802</v>
      </c>
      <c r="D3469" t="inlineStr">
        <is>
          <t>VÄSTERNORRLANDS LÄN</t>
        </is>
      </c>
      <c r="E3469" t="inlineStr">
        <is>
          <t>SOLLEFTEÅ</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53831-2024</t>
        </is>
      </c>
      <c r="B3470" s="1" t="n">
        <v>45615</v>
      </c>
      <c r="C3470" s="1" t="n">
        <v>45802</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53855-2024</t>
        </is>
      </c>
      <c r="B3471" s="1" t="n">
        <v>45615</v>
      </c>
      <c r="C3471" s="1" t="n">
        <v>45802</v>
      </c>
      <c r="D3471" t="inlineStr">
        <is>
          <t>VÄSTERNORRLANDS LÄN</t>
        </is>
      </c>
      <c r="E3471" t="inlineStr">
        <is>
          <t>SOLLEFTEÅ</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54094-2024</t>
        </is>
      </c>
      <c r="B3472" s="1" t="n">
        <v>45616</v>
      </c>
      <c r="C3472" s="1" t="n">
        <v>45802</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54234-2024</t>
        </is>
      </c>
      <c r="B3473" s="1" t="n">
        <v>45616</v>
      </c>
      <c r="C3473" s="1" t="n">
        <v>45802</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54238-2024</t>
        </is>
      </c>
      <c r="B3474" s="1" t="n">
        <v>45616</v>
      </c>
      <c r="C3474" s="1" t="n">
        <v>45802</v>
      </c>
      <c r="D3474" t="inlineStr">
        <is>
          <t>VÄSTERNORRLANDS LÄN</t>
        </is>
      </c>
      <c r="E3474" t="inlineStr">
        <is>
          <t>SOLLEFTEÅ</t>
        </is>
      </c>
      <c r="F3474" t="inlineStr">
        <is>
          <t>SCA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54073-2024</t>
        </is>
      </c>
      <c r="B3475" s="1" t="n">
        <v>45616</v>
      </c>
      <c r="C3475" s="1" t="n">
        <v>45802</v>
      </c>
      <c r="D3475" t="inlineStr">
        <is>
          <t>VÄSTERNORRLANDS LÄN</t>
        </is>
      </c>
      <c r="E3475" t="inlineStr">
        <is>
          <t>SOLLEFTEÅ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54241-2024</t>
        </is>
      </c>
      <c r="B3476" s="1" t="n">
        <v>45616</v>
      </c>
      <c r="C3476" s="1" t="n">
        <v>45802</v>
      </c>
      <c r="D3476" t="inlineStr">
        <is>
          <t>VÄSTERNORRLANDS LÄN</t>
        </is>
      </c>
      <c r="E3476" t="inlineStr">
        <is>
          <t>SOLLEFTEÅ</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54233-2024</t>
        </is>
      </c>
      <c r="B3477" s="1" t="n">
        <v>45616</v>
      </c>
      <c r="C3477" s="1" t="n">
        <v>45802</v>
      </c>
      <c r="D3477" t="inlineStr">
        <is>
          <t>VÄSTERNORRLANDS LÄN</t>
        </is>
      </c>
      <c r="E3477" t="inlineStr">
        <is>
          <t>SOLLEFTEÅ</t>
        </is>
      </c>
      <c r="F3477" t="inlineStr">
        <is>
          <t>SCA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54240-2024</t>
        </is>
      </c>
      <c r="B3478" s="1" t="n">
        <v>45616</v>
      </c>
      <c r="C3478" s="1" t="n">
        <v>45802</v>
      </c>
      <c r="D3478" t="inlineStr">
        <is>
          <t>VÄSTERNORRLANDS LÄN</t>
        </is>
      </c>
      <c r="E3478" t="inlineStr">
        <is>
          <t>SOLLEFTEÅ</t>
        </is>
      </c>
      <c r="F3478" t="inlineStr">
        <is>
          <t>SCA</t>
        </is>
      </c>
      <c r="G3478" t="n">
        <v>38.4</v>
      </c>
      <c r="H3478" t="n">
        <v>0</v>
      </c>
      <c r="I3478" t="n">
        <v>0</v>
      </c>
      <c r="J3478" t="n">
        <v>0</v>
      </c>
      <c r="K3478" t="n">
        <v>0</v>
      </c>
      <c r="L3478" t="n">
        <v>0</v>
      </c>
      <c r="M3478" t="n">
        <v>0</v>
      </c>
      <c r="N3478" t="n">
        <v>0</v>
      </c>
      <c r="O3478" t="n">
        <v>0</v>
      </c>
      <c r="P3478" t="n">
        <v>0</v>
      </c>
      <c r="Q3478" t="n">
        <v>0</v>
      </c>
      <c r="R3478" s="2" t="inlineStr"/>
    </row>
    <row r="3479" ht="15" customHeight="1">
      <c r="A3479" t="inlineStr">
        <is>
          <t>A 54235-2024</t>
        </is>
      </c>
      <c r="B3479" s="1" t="n">
        <v>45616</v>
      </c>
      <c r="C3479" s="1" t="n">
        <v>45802</v>
      </c>
      <c r="D3479" t="inlineStr">
        <is>
          <t>VÄSTERNORRLANDS LÄN</t>
        </is>
      </c>
      <c r="E3479" t="inlineStr">
        <is>
          <t>SOLLEFTEÅ</t>
        </is>
      </c>
      <c r="F3479" t="inlineStr">
        <is>
          <t>SCA</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54231-2024</t>
        </is>
      </c>
      <c r="B3480" s="1" t="n">
        <v>45616</v>
      </c>
      <c r="C3480" s="1" t="n">
        <v>45802</v>
      </c>
      <c r="D3480" t="inlineStr">
        <is>
          <t>VÄSTERNORRLANDS LÄN</t>
        </is>
      </c>
      <c r="E3480" t="inlineStr">
        <is>
          <t>SOLLEFTEÅ</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54458-2024</t>
        </is>
      </c>
      <c r="B3481" s="1" t="n">
        <v>45617</v>
      </c>
      <c r="C3481" s="1" t="n">
        <v>45802</v>
      </c>
      <c r="D3481" t="inlineStr">
        <is>
          <t>VÄSTERNORRLANDS LÄN</t>
        </is>
      </c>
      <c r="E3481" t="inlineStr">
        <is>
          <t>SOLLEFTEÅ</t>
        </is>
      </c>
      <c r="F3481" t="inlineStr">
        <is>
          <t>SCA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54575-2024</t>
        </is>
      </c>
      <c r="B3482" s="1" t="n">
        <v>45617</v>
      </c>
      <c r="C3482" s="1" t="n">
        <v>45802</v>
      </c>
      <c r="D3482" t="inlineStr">
        <is>
          <t>VÄSTERNORRLANDS LÄN</t>
        </is>
      </c>
      <c r="E3482" t="inlineStr">
        <is>
          <t>SOLLEFTEÅ</t>
        </is>
      </c>
      <c r="F3482" t="inlineStr">
        <is>
          <t>Holmen skog AB</t>
        </is>
      </c>
      <c r="G3482" t="n">
        <v>1.7</v>
      </c>
      <c r="H3482" t="n">
        <v>0</v>
      </c>
      <c r="I3482" t="n">
        <v>0</v>
      </c>
      <c r="J3482" t="n">
        <v>0</v>
      </c>
      <c r="K3482" t="n">
        <v>0</v>
      </c>
      <c r="L3482" t="n">
        <v>0</v>
      </c>
      <c r="M3482" t="n">
        <v>0</v>
      </c>
      <c r="N3482" t="n">
        <v>0</v>
      </c>
      <c r="O3482" t="n">
        <v>0</v>
      </c>
      <c r="P3482" t="n">
        <v>0</v>
      </c>
      <c r="Q3482" t="n">
        <v>0</v>
      </c>
      <c r="R3482" s="2" t="inlineStr"/>
      <c r="U3482">
        <f>HYPERLINK("https://klasma.github.io/Logging_2283/knärot/A 54575-2024 karta knärot.png", "A 54575-2024")</f>
        <v/>
      </c>
      <c r="V3482">
        <f>HYPERLINK("https://klasma.github.io/Logging_2283/klagomål/A 54575-2024 FSC-klagomål.docx", "A 54575-2024")</f>
        <v/>
      </c>
      <c r="W3482">
        <f>HYPERLINK("https://klasma.github.io/Logging_2283/klagomålsmail/A 54575-2024 FSC-klagomål mail.docx", "A 54575-2024")</f>
        <v/>
      </c>
      <c r="X3482">
        <f>HYPERLINK("https://klasma.github.io/Logging_2283/tillsyn/A 54575-2024 tillsynsbegäran.docx", "A 54575-2024")</f>
        <v/>
      </c>
      <c r="Y3482">
        <f>HYPERLINK("https://klasma.github.io/Logging_2283/tillsynsmail/A 54575-2024 tillsynsbegäran mail.docx", "A 54575-2024")</f>
        <v/>
      </c>
    </row>
    <row r="3483" ht="15" customHeight="1">
      <c r="A3483" t="inlineStr">
        <is>
          <t>A 54574-2024</t>
        </is>
      </c>
      <c r="B3483" s="1" t="n">
        <v>45617</v>
      </c>
      <c r="C3483" s="1" t="n">
        <v>45802</v>
      </c>
      <c r="D3483" t="inlineStr">
        <is>
          <t>VÄSTERNORRLANDS LÄN</t>
        </is>
      </c>
      <c r="E3483" t="inlineStr">
        <is>
          <t>SOLLEFTEÅ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54532-2024</t>
        </is>
      </c>
      <c r="B3484" s="1" t="n">
        <v>45617</v>
      </c>
      <c r="C3484" s="1" t="n">
        <v>45802</v>
      </c>
      <c r="D3484" t="inlineStr">
        <is>
          <t>VÄSTERNORRLANDS LÄN</t>
        </is>
      </c>
      <c r="E3484" t="inlineStr">
        <is>
          <t>SOLLEFTEÅ</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54548-2024</t>
        </is>
      </c>
      <c r="B3485" s="1" t="n">
        <v>45617</v>
      </c>
      <c r="C3485" s="1" t="n">
        <v>45802</v>
      </c>
      <c r="D3485" t="inlineStr">
        <is>
          <t>VÄSTERNORRLANDS LÄN</t>
        </is>
      </c>
      <c r="E3485" t="inlineStr">
        <is>
          <t>SOLLEFTEÅ</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54572-2024</t>
        </is>
      </c>
      <c r="B3486" s="1" t="n">
        <v>45617</v>
      </c>
      <c r="C3486" s="1" t="n">
        <v>45802</v>
      </c>
      <c r="D3486" t="inlineStr">
        <is>
          <t>VÄSTERNORRLANDS LÄN</t>
        </is>
      </c>
      <c r="E3486" t="inlineStr">
        <is>
          <t>SOLLEFTEÅ</t>
        </is>
      </c>
      <c r="G3486" t="n">
        <v>28.2</v>
      </c>
      <c r="H3486" t="n">
        <v>0</v>
      </c>
      <c r="I3486" t="n">
        <v>0</v>
      </c>
      <c r="J3486" t="n">
        <v>0</v>
      </c>
      <c r="K3486" t="n">
        <v>0</v>
      </c>
      <c r="L3486" t="n">
        <v>0</v>
      </c>
      <c r="M3486" t="n">
        <v>0</v>
      </c>
      <c r="N3486" t="n">
        <v>0</v>
      </c>
      <c r="O3486" t="n">
        <v>0</v>
      </c>
      <c r="P3486" t="n">
        <v>0</v>
      </c>
      <c r="Q3486" t="n">
        <v>0</v>
      </c>
      <c r="R3486" s="2" t="inlineStr"/>
    </row>
    <row r="3487" ht="15" customHeight="1">
      <c r="A3487" t="inlineStr">
        <is>
          <t>A 54485-2024</t>
        </is>
      </c>
      <c r="B3487" s="1" t="n">
        <v>45617</v>
      </c>
      <c r="C3487" s="1" t="n">
        <v>45802</v>
      </c>
      <c r="D3487" t="inlineStr">
        <is>
          <t>VÄSTERNORRLANDS LÄN</t>
        </is>
      </c>
      <c r="E3487" t="inlineStr">
        <is>
          <t>SOLLEFTEÅ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54553-2024</t>
        </is>
      </c>
      <c r="B3488" s="1" t="n">
        <v>45617</v>
      </c>
      <c r="C3488" s="1" t="n">
        <v>45802</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54725-2024</t>
        </is>
      </c>
      <c r="B3489" s="1" t="n">
        <v>45618</v>
      </c>
      <c r="C3489" s="1" t="n">
        <v>45802</v>
      </c>
      <c r="D3489" t="inlineStr">
        <is>
          <t>VÄSTERNORRLANDS LÄN</t>
        </is>
      </c>
      <c r="E3489" t="inlineStr">
        <is>
          <t>SOLLEFTEÅ</t>
        </is>
      </c>
      <c r="F3489" t="inlineStr">
        <is>
          <t>SCA</t>
        </is>
      </c>
      <c r="G3489" t="n">
        <v>35.2</v>
      </c>
      <c r="H3489" t="n">
        <v>0</v>
      </c>
      <c r="I3489" t="n">
        <v>0</v>
      </c>
      <c r="J3489" t="n">
        <v>0</v>
      </c>
      <c r="K3489" t="n">
        <v>0</v>
      </c>
      <c r="L3489" t="n">
        <v>0</v>
      </c>
      <c r="M3489" t="n">
        <v>0</v>
      </c>
      <c r="N3489" t="n">
        <v>0</v>
      </c>
      <c r="O3489" t="n">
        <v>0</v>
      </c>
      <c r="P3489" t="n">
        <v>0</v>
      </c>
      <c r="Q3489" t="n">
        <v>0</v>
      </c>
      <c r="R3489" s="2" t="inlineStr"/>
    </row>
    <row r="3490" ht="15" customHeight="1">
      <c r="A3490" t="inlineStr">
        <is>
          <t>A 54726-2024</t>
        </is>
      </c>
      <c r="B3490" s="1" t="n">
        <v>45618</v>
      </c>
      <c r="C3490" s="1" t="n">
        <v>45802</v>
      </c>
      <c r="D3490" t="inlineStr">
        <is>
          <t>VÄSTERNORRLANDS LÄN</t>
        </is>
      </c>
      <c r="E3490" t="inlineStr">
        <is>
          <t>SOLLEFTEÅ</t>
        </is>
      </c>
      <c r="F3490" t="inlineStr">
        <is>
          <t>SCA</t>
        </is>
      </c>
      <c r="G3490" t="n">
        <v>28.2</v>
      </c>
      <c r="H3490" t="n">
        <v>0</v>
      </c>
      <c r="I3490" t="n">
        <v>0</v>
      </c>
      <c r="J3490" t="n">
        <v>0</v>
      </c>
      <c r="K3490" t="n">
        <v>0</v>
      </c>
      <c r="L3490" t="n">
        <v>0</v>
      </c>
      <c r="M3490" t="n">
        <v>0</v>
      </c>
      <c r="N3490" t="n">
        <v>0</v>
      </c>
      <c r="O3490" t="n">
        <v>0</v>
      </c>
      <c r="P3490" t="n">
        <v>0</v>
      </c>
      <c r="Q3490" t="n">
        <v>0</v>
      </c>
      <c r="R3490" s="2" t="inlineStr"/>
    </row>
    <row r="3491" ht="15" customHeight="1">
      <c r="A3491" t="inlineStr">
        <is>
          <t>A 54923-2024</t>
        </is>
      </c>
      <c r="B3491" s="1" t="n">
        <v>45618</v>
      </c>
      <c r="C3491" s="1" t="n">
        <v>45802</v>
      </c>
      <c r="D3491" t="inlineStr">
        <is>
          <t>VÄSTERNORRLANDS LÄN</t>
        </is>
      </c>
      <c r="E3491" t="inlineStr">
        <is>
          <t>SOLLEFTEÅ</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54806-2024</t>
        </is>
      </c>
      <c r="B3492" s="1" t="n">
        <v>45618</v>
      </c>
      <c r="C3492" s="1" t="n">
        <v>45802</v>
      </c>
      <c r="D3492" t="inlineStr">
        <is>
          <t>VÄSTERNORRLANDS LÄN</t>
        </is>
      </c>
      <c r="E3492" t="inlineStr">
        <is>
          <t>SOLLEFTEÅ</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55149-2024</t>
        </is>
      </c>
      <c r="B3493" s="1" t="n">
        <v>45621</v>
      </c>
      <c r="C3493" s="1" t="n">
        <v>45802</v>
      </c>
      <c r="D3493" t="inlineStr">
        <is>
          <t>VÄSTERNORRLANDS LÄN</t>
        </is>
      </c>
      <c r="E3493" t="inlineStr">
        <is>
          <t>SOLLEFTEÅ</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55272-2024</t>
        </is>
      </c>
      <c r="B3494" s="1" t="n">
        <v>45621</v>
      </c>
      <c r="C3494" s="1" t="n">
        <v>45802</v>
      </c>
      <c r="D3494" t="inlineStr">
        <is>
          <t>VÄSTERNORRLANDS LÄN</t>
        </is>
      </c>
      <c r="E3494" t="inlineStr">
        <is>
          <t>SOLLEFTEÅ</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55420-2024</t>
        </is>
      </c>
      <c r="B3495" s="1" t="n">
        <v>45622</v>
      </c>
      <c r="C3495" s="1" t="n">
        <v>45802</v>
      </c>
      <c r="D3495" t="inlineStr">
        <is>
          <t>VÄSTERNORRLANDS LÄN</t>
        </is>
      </c>
      <c r="E3495" t="inlineStr">
        <is>
          <t>SOLLEFTEÅ</t>
        </is>
      </c>
      <c r="F3495" t="inlineStr">
        <is>
          <t>SCA</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55439-2024</t>
        </is>
      </c>
      <c r="B3496" s="1" t="n">
        <v>45622</v>
      </c>
      <c r="C3496" s="1" t="n">
        <v>45802</v>
      </c>
      <c r="D3496" t="inlineStr">
        <is>
          <t>VÄSTERNORRLANDS LÄN</t>
        </is>
      </c>
      <c r="E3496" t="inlineStr">
        <is>
          <t>SOLLEFTEÅ</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55542-2024</t>
        </is>
      </c>
      <c r="B3497" s="1" t="n">
        <v>45622</v>
      </c>
      <c r="C3497" s="1" t="n">
        <v>45802</v>
      </c>
      <c r="D3497" t="inlineStr">
        <is>
          <t>VÄSTERNORRLANDS LÄN</t>
        </is>
      </c>
      <c r="E3497" t="inlineStr">
        <is>
          <t>SOLLEFTEÅ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55440-2024</t>
        </is>
      </c>
      <c r="B3498" s="1" t="n">
        <v>45622</v>
      </c>
      <c r="C3498" s="1" t="n">
        <v>45802</v>
      </c>
      <c r="D3498" t="inlineStr">
        <is>
          <t>VÄSTERNORRLANDS LÄN</t>
        </is>
      </c>
      <c r="E3498" t="inlineStr">
        <is>
          <t>SOLLEFTEÅ</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55691-2024</t>
        </is>
      </c>
      <c r="B3499" s="1" t="n">
        <v>45622</v>
      </c>
      <c r="C3499" s="1" t="n">
        <v>45802</v>
      </c>
      <c r="D3499" t="inlineStr">
        <is>
          <t>VÄSTERNORRLANDS LÄN</t>
        </is>
      </c>
      <c r="E3499" t="inlineStr">
        <is>
          <t>SOLLEFTEÅ</t>
        </is>
      </c>
      <c r="F3499" t="inlineStr">
        <is>
          <t>SCA</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55707-2024</t>
        </is>
      </c>
      <c r="B3500" s="1" t="n">
        <v>45622</v>
      </c>
      <c r="C3500" s="1" t="n">
        <v>45802</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55692-2024</t>
        </is>
      </c>
      <c r="B3501" s="1" t="n">
        <v>45622</v>
      </c>
      <c r="C3501" s="1" t="n">
        <v>45802</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55710-2024</t>
        </is>
      </c>
      <c r="B3502" s="1" t="n">
        <v>45622</v>
      </c>
      <c r="C3502" s="1" t="n">
        <v>45802</v>
      </c>
      <c r="D3502" t="inlineStr">
        <is>
          <t>VÄSTERNORRLANDS LÄN</t>
        </is>
      </c>
      <c r="E3502" t="inlineStr">
        <is>
          <t>SOLLEFTEÅ</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55726-2024</t>
        </is>
      </c>
      <c r="B3503" s="1" t="n">
        <v>45622</v>
      </c>
      <c r="C3503" s="1" t="n">
        <v>45802</v>
      </c>
      <c r="D3503" t="inlineStr">
        <is>
          <t>VÄSTERNORRLANDS LÄN</t>
        </is>
      </c>
      <c r="E3503" t="inlineStr">
        <is>
          <t>SOLLEFTEÅ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55769-2024</t>
        </is>
      </c>
      <c r="B3504" s="1" t="n">
        <v>45623</v>
      </c>
      <c r="C3504" s="1" t="n">
        <v>45802</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55792-2024</t>
        </is>
      </c>
      <c r="B3505" s="1" t="n">
        <v>45623</v>
      </c>
      <c r="C3505" s="1" t="n">
        <v>45802</v>
      </c>
      <c r="D3505" t="inlineStr">
        <is>
          <t>VÄSTERNORRLANDS LÄN</t>
        </is>
      </c>
      <c r="E3505" t="inlineStr">
        <is>
          <t>SOLLEFTEÅ</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55759-2024</t>
        </is>
      </c>
      <c r="B3506" s="1" t="n">
        <v>45623</v>
      </c>
      <c r="C3506" s="1" t="n">
        <v>45802</v>
      </c>
      <c r="D3506" t="inlineStr">
        <is>
          <t>VÄSTERNORRLANDS LÄN</t>
        </is>
      </c>
      <c r="E3506" t="inlineStr">
        <is>
          <t>SOLLEFTEÅ</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55848-2024</t>
        </is>
      </c>
      <c r="B3507" s="1" t="n">
        <v>45623</v>
      </c>
      <c r="C3507" s="1" t="n">
        <v>45802</v>
      </c>
      <c r="D3507" t="inlineStr">
        <is>
          <t>VÄSTERNORRLANDS LÄN</t>
        </is>
      </c>
      <c r="E3507" t="inlineStr">
        <is>
          <t>SOLLEFTEÅ</t>
        </is>
      </c>
      <c r="F3507" t="inlineStr">
        <is>
          <t>SCA</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55756-2024</t>
        </is>
      </c>
      <c r="B3508" s="1" t="n">
        <v>45623</v>
      </c>
      <c r="C3508" s="1" t="n">
        <v>45802</v>
      </c>
      <c r="D3508" t="inlineStr">
        <is>
          <t>VÄSTERNORRLANDS LÄN</t>
        </is>
      </c>
      <c r="E3508" t="inlineStr">
        <is>
          <t>SOLLEFTEÅ</t>
        </is>
      </c>
      <c r="F3508" t="inlineStr">
        <is>
          <t>Holmen skog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55824-2024</t>
        </is>
      </c>
      <c r="B3509" s="1" t="n">
        <v>45623</v>
      </c>
      <c r="C3509" s="1" t="n">
        <v>45802</v>
      </c>
      <c r="D3509" t="inlineStr">
        <is>
          <t>VÄSTERNORRLANDS LÄN</t>
        </is>
      </c>
      <c r="E3509" t="inlineStr">
        <is>
          <t>SOLLEFTEÅ</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55872-2024</t>
        </is>
      </c>
      <c r="B3510" s="1" t="n">
        <v>45623</v>
      </c>
      <c r="C3510" s="1" t="n">
        <v>45802</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55851-2024</t>
        </is>
      </c>
      <c r="B3511" s="1" t="n">
        <v>45623</v>
      </c>
      <c r="C3511" s="1" t="n">
        <v>45802</v>
      </c>
      <c r="D3511" t="inlineStr">
        <is>
          <t>VÄSTERNORRLANDS LÄN</t>
        </is>
      </c>
      <c r="E3511" t="inlineStr">
        <is>
          <t>SOLLEFTEÅ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56033-2024</t>
        </is>
      </c>
      <c r="B3512" s="1" t="n">
        <v>45624</v>
      </c>
      <c r="C3512" s="1" t="n">
        <v>45802</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56037-2024</t>
        </is>
      </c>
      <c r="B3513" s="1" t="n">
        <v>45624</v>
      </c>
      <c r="C3513" s="1" t="n">
        <v>45802</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56190-2024</t>
        </is>
      </c>
      <c r="B3514" s="1" t="n">
        <v>45624</v>
      </c>
      <c r="C3514" s="1" t="n">
        <v>45802</v>
      </c>
      <c r="D3514" t="inlineStr">
        <is>
          <t>VÄSTERNORRLANDS LÄN</t>
        </is>
      </c>
      <c r="E3514" t="inlineStr">
        <is>
          <t>SOLLEFTEÅ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56207-2024</t>
        </is>
      </c>
      <c r="B3515" s="1" t="n">
        <v>45624</v>
      </c>
      <c r="C3515" s="1" t="n">
        <v>45802</v>
      </c>
      <c r="D3515" t="inlineStr">
        <is>
          <t>VÄSTERNORRLANDS LÄN</t>
        </is>
      </c>
      <c r="E3515" t="inlineStr">
        <is>
          <t>SOLLEFTEÅ</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56204-2024</t>
        </is>
      </c>
      <c r="B3516" s="1" t="n">
        <v>45624</v>
      </c>
      <c r="C3516" s="1" t="n">
        <v>45802</v>
      </c>
      <c r="D3516" t="inlineStr">
        <is>
          <t>VÄSTERNORRLANDS LÄN</t>
        </is>
      </c>
      <c r="E3516" t="inlineStr">
        <is>
          <t>SOLLEFTEÅ</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56248-2024</t>
        </is>
      </c>
      <c r="B3517" s="1" t="n">
        <v>45624</v>
      </c>
      <c r="C3517" s="1" t="n">
        <v>45802</v>
      </c>
      <c r="D3517" t="inlineStr">
        <is>
          <t>VÄSTERNORRLANDS LÄN</t>
        </is>
      </c>
      <c r="E3517" t="inlineStr">
        <is>
          <t>SOLLEFTEÅ</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56252-2024</t>
        </is>
      </c>
      <c r="B3518" s="1" t="n">
        <v>45624</v>
      </c>
      <c r="C3518" s="1" t="n">
        <v>45802</v>
      </c>
      <c r="D3518" t="inlineStr">
        <is>
          <t>VÄSTERNORRLANDS LÄN</t>
        </is>
      </c>
      <c r="E3518" t="inlineStr">
        <is>
          <t>SOLLEFTEÅ</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56206-2024</t>
        </is>
      </c>
      <c r="B3519" s="1" t="n">
        <v>45624</v>
      </c>
      <c r="C3519" s="1" t="n">
        <v>45802</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56249-2024</t>
        </is>
      </c>
      <c r="B3520" s="1" t="n">
        <v>45624</v>
      </c>
      <c r="C3520" s="1" t="n">
        <v>45802</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56257-2024</t>
        </is>
      </c>
      <c r="B3521" s="1" t="n">
        <v>45624</v>
      </c>
      <c r="C3521" s="1" t="n">
        <v>45802</v>
      </c>
      <c r="D3521" t="inlineStr">
        <is>
          <t>VÄSTERNORRLANDS LÄN</t>
        </is>
      </c>
      <c r="E3521" t="inlineStr">
        <is>
          <t>SOLLEFTEÅ</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56265-2024</t>
        </is>
      </c>
      <c r="B3522" s="1" t="n">
        <v>45624</v>
      </c>
      <c r="C3522" s="1" t="n">
        <v>45802</v>
      </c>
      <c r="D3522" t="inlineStr">
        <is>
          <t>VÄSTERNORRLANDS LÄN</t>
        </is>
      </c>
      <c r="E3522" t="inlineStr">
        <is>
          <t>SOLLEFTEÅ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56273-2024</t>
        </is>
      </c>
      <c r="B3523" s="1" t="n">
        <v>45624</v>
      </c>
      <c r="C3523" s="1" t="n">
        <v>45802</v>
      </c>
      <c r="D3523" t="inlineStr">
        <is>
          <t>VÄSTERNORRLANDS LÄN</t>
        </is>
      </c>
      <c r="E3523" t="inlineStr">
        <is>
          <t>SOLLEFTEÅ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56387-2024</t>
        </is>
      </c>
      <c r="B3524" s="1" t="n">
        <v>45625</v>
      </c>
      <c r="C3524" s="1" t="n">
        <v>45802</v>
      </c>
      <c r="D3524" t="inlineStr">
        <is>
          <t>VÄSTERNORRLANDS LÄN</t>
        </is>
      </c>
      <c r="E3524" t="inlineStr">
        <is>
          <t>SOLLEFTEÅ</t>
        </is>
      </c>
      <c r="F3524" t="inlineStr">
        <is>
          <t>SCA</t>
        </is>
      </c>
      <c r="G3524" t="n">
        <v>10.6</v>
      </c>
      <c r="H3524" t="n">
        <v>0</v>
      </c>
      <c r="I3524" t="n">
        <v>0</v>
      </c>
      <c r="J3524" t="n">
        <v>0</v>
      </c>
      <c r="K3524" t="n">
        <v>0</v>
      </c>
      <c r="L3524" t="n">
        <v>0</v>
      </c>
      <c r="M3524" t="n">
        <v>0</v>
      </c>
      <c r="N3524" t="n">
        <v>0</v>
      </c>
      <c r="O3524" t="n">
        <v>0</v>
      </c>
      <c r="P3524" t="n">
        <v>0</v>
      </c>
      <c r="Q3524" t="n">
        <v>0</v>
      </c>
      <c r="R3524" s="2" t="inlineStr"/>
    </row>
    <row r="3525" ht="15" customHeight="1">
      <c r="A3525" t="inlineStr">
        <is>
          <t>A 56408-2024</t>
        </is>
      </c>
      <c r="B3525" s="1" t="n">
        <v>45625</v>
      </c>
      <c r="C3525" s="1" t="n">
        <v>45802</v>
      </c>
      <c r="D3525" t="inlineStr">
        <is>
          <t>VÄSTERNORRLANDS LÄN</t>
        </is>
      </c>
      <c r="E3525" t="inlineStr">
        <is>
          <t>SOLLEFTEÅ</t>
        </is>
      </c>
      <c r="F3525" t="inlineStr">
        <is>
          <t>SCA</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56433-2024</t>
        </is>
      </c>
      <c r="B3526" s="1" t="n">
        <v>45625</v>
      </c>
      <c r="C3526" s="1" t="n">
        <v>45802</v>
      </c>
      <c r="D3526" t="inlineStr">
        <is>
          <t>VÄSTERNORRLANDS LÄN</t>
        </is>
      </c>
      <c r="E3526" t="inlineStr">
        <is>
          <t>SOLLEFTEÅ</t>
        </is>
      </c>
      <c r="F3526" t="inlineStr">
        <is>
          <t>SCA</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56388-2024</t>
        </is>
      </c>
      <c r="B3527" s="1" t="n">
        <v>45625</v>
      </c>
      <c r="C3527" s="1" t="n">
        <v>45802</v>
      </c>
      <c r="D3527" t="inlineStr">
        <is>
          <t>VÄSTERNORRLANDS LÄN</t>
        </is>
      </c>
      <c r="E3527" t="inlineStr">
        <is>
          <t>SOLLEFTEÅ</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56398-2024</t>
        </is>
      </c>
      <c r="B3528" s="1" t="n">
        <v>45625</v>
      </c>
      <c r="C3528" s="1" t="n">
        <v>45802</v>
      </c>
      <c r="D3528" t="inlineStr">
        <is>
          <t>VÄSTERNORRLANDS LÄN</t>
        </is>
      </c>
      <c r="E3528" t="inlineStr">
        <is>
          <t>SOLLEFTEÅ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56431-2024</t>
        </is>
      </c>
      <c r="B3529" s="1" t="n">
        <v>45625</v>
      </c>
      <c r="C3529" s="1" t="n">
        <v>45802</v>
      </c>
      <c r="D3529" t="inlineStr">
        <is>
          <t>VÄSTERNORRLANDS LÄN</t>
        </is>
      </c>
      <c r="E3529" t="inlineStr">
        <is>
          <t>SOLLEFTEÅ</t>
        </is>
      </c>
      <c r="F3529" t="inlineStr">
        <is>
          <t>SCA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56390-2024</t>
        </is>
      </c>
      <c r="B3530" s="1" t="n">
        <v>45625</v>
      </c>
      <c r="C3530" s="1" t="n">
        <v>45802</v>
      </c>
      <c r="D3530" t="inlineStr">
        <is>
          <t>VÄSTERNORRLANDS LÄN</t>
        </is>
      </c>
      <c r="E3530" t="inlineStr">
        <is>
          <t>SOLLEFTEÅ</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56503-2024</t>
        </is>
      </c>
      <c r="B3531" s="1" t="n">
        <v>45625</v>
      </c>
      <c r="C3531" s="1" t="n">
        <v>45802</v>
      </c>
      <c r="D3531" t="inlineStr">
        <is>
          <t>VÄSTERNORRLANDS LÄN</t>
        </is>
      </c>
      <c r="E3531" t="inlineStr">
        <is>
          <t>SOLLEFTEÅ</t>
        </is>
      </c>
      <c r="F3531" t="inlineStr">
        <is>
          <t>Holmen skog AB</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56871-2024</t>
        </is>
      </c>
      <c r="B3532" s="1" t="n">
        <v>45628</v>
      </c>
      <c r="C3532" s="1" t="n">
        <v>45802</v>
      </c>
      <c r="D3532" t="inlineStr">
        <is>
          <t>VÄSTERNORRLANDS LÄN</t>
        </is>
      </c>
      <c r="E3532" t="inlineStr">
        <is>
          <t>SOLLEFTEÅ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56861-2024</t>
        </is>
      </c>
      <c r="B3533" s="1" t="n">
        <v>45628</v>
      </c>
      <c r="C3533" s="1" t="n">
        <v>45802</v>
      </c>
      <c r="D3533" t="inlineStr">
        <is>
          <t>VÄSTERNORRLANDS LÄN</t>
        </is>
      </c>
      <c r="E3533" t="inlineStr">
        <is>
          <t>SOLLEFTEÅ</t>
        </is>
      </c>
      <c r="G3533" t="n">
        <v>13.5</v>
      </c>
      <c r="H3533" t="n">
        <v>0</v>
      </c>
      <c r="I3533" t="n">
        <v>0</v>
      </c>
      <c r="J3533" t="n">
        <v>0</v>
      </c>
      <c r="K3533" t="n">
        <v>0</v>
      </c>
      <c r="L3533" t="n">
        <v>0</v>
      </c>
      <c r="M3533" t="n">
        <v>0</v>
      </c>
      <c r="N3533" t="n">
        <v>0</v>
      </c>
      <c r="O3533" t="n">
        <v>0</v>
      </c>
      <c r="P3533" t="n">
        <v>0</v>
      </c>
      <c r="Q3533" t="n">
        <v>0</v>
      </c>
      <c r="R3533" s="2" t="inlineStr"/>
    </row>
    <row r="3534" ht="15" customHeight="1">
      <c r="A3534" t="inlineStr">
        <is>
          <t>A 57078-2024</t>
        </is>
      </c>
      <c r="B3534" s="1" t="n">
        <v>45629</v>
      </c>
      <c r="C3534" s="1" t="n">
        <v>45802</v>
      </c>
      <c r="D3534" t="inlineStr">
        <is>
          <t>VÄSTERNORRLANDS LÄN</t>
        </is>
      </c>
      <c r="E3534" t="inlineStr">
        <is>
          <t>SOLLEFTEÅ</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57377-2024</t>
        </is>
      </c>
      <c r="B3535" s="1" t="n">
        <v>45629</v>
      </c>
      <c r="C3535" s="1" t="n">
        <v>45802</v>
      </c>
      <c r="D3535" t="inlineStr">
        <is>
          <t>VÄSTERNORRLANDS LÄN</t>
        </is>
      </c>
      <c r="E3535" t="inlineStr">
        <is>
          <t>SOLLEFTEÅ</t>
        </is>
      </c>
      <c r="F3535" t="inlineStr">
        <is>
          <t>SCA</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57094-2024</t>
        </is>
      </c>
      <c r="B3536" s="1" t="n">
        <v>45629</v>
      </c>
      <c r="C3536" s="1" t="n">
        <v>45802</v>
      </c>
      <c r="D3536" t="inlineStr">
        <is>
          <t>VÄSTERNORRLANDS LÄN</t>
        </is>
      </c>
      <c r="E3536" t="inlineStr">
        <is>
          <t>SOLLEFTEÅ</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57107-2024</t>
        </is>
      </c>
      <c r="B3537" s="1" t="n">
        <v>45629</v>
      </c>
      <c r="C3537" s="1" t="n">
        <v>45802</v>
      </c>
      <c r="D3537" t="inlineStr">
        <is>
          <t>VÄSTERNORRLANDS LÄN</t>
        </is>
      </c>
      <c r="E3537" t="inlineStr">
        <is>
          <t>SOLLEFTEÅ</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57492-2024</t>
        </is>
      </c>
      <c r="B3538" s="1" t="n">
        <v>45630</v>
      </c>
      <c r="C3538" s="1" t="n">
        <v>45802</v>
      </c>
      <c r="D3538" t="inlineStr">
        <is>
          <t>VÄSTERNORRLANDS LÄN</t>
        </is>
      </c>
      <c r="E3538" t="inlineStr">
        <is>
          <t>SOLLEFTEÅ</t>
        </is>
      </c>
      <c r="F3538" t="inlineStr">
        <is>
          <t>Holmen skog AB</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57639-2024</t>
        </is>
      </c>
      <c r="B3539" s="1" t="n">
        <v>45630</v>
      </c>
      <c r="C3539" s="1" t="n">
        <v>45802</v>
      </c>
      <c r="D3539" t="inlineStr">
        <is>
          <t>VÄSTERNORRLANDS LÄN</t>
        </is>
      </c>
      <c r="E3539" t="inlineStr">
        <is>
          <t>SOLLEFTEÅ</t>
        </is>
      </c>
      <c r="F3539" t="inlineStr">
        <is>
          <t>SCA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57487-2024</t>
        </is>
      </c>
      <c r="B3540" s="1" t="n">
        <v>45630</v>
      </c>
      <c r="C3540" s="1" t="n">
        <v>45802</v>
      </c>
      <c r="D3540" t="inlineStr">
        <is>
          <t>VÄSTERNORRLANDS LÄN</t>
        </is>
      </c>
      <c r="E3540" t="inlineStr">
        <is>
          <t>SOLLEFTEÅ</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57677-2024</t>
        </is>
      </c>
      <c r="B3541" s="1" t="n">
        <v>45630</v>
      </c>
      <c r="C3541" s="1" t="n">
        <v>45802</v>
      </c>
      <c r="D3541" t="inlineStr">
        <is>
          <t>VÄSTERNORRLANDS LÄN</t>
        </is>
      </c>
      <c r="E3541" t="inlineStr">
        <is>
          <t>SOLLEFTEÅ</t>
        </is>
      </c>
      <c r="F3541" t="inlineStr">
        <is>
          <t>SCA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57800-2024</t>
        </is>
      </c>
      <c r="B3542" s="1" t="n">
        <v>45631</v>
      </c>
      <c r="C3542" s="1" t="n">
        <v>45802</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57847-2024</t>
        </is>
      </c>
      <c r="B3543" s="1" t="n">
        <v>45631</v>
      </c>
      <c r="C3543" s="1" t="n">
        <v>45802</v>
      </c>
      <c r="D3543" t="inlineStr">
        <is>
          <t>VÄSTERNORRLANDS LÄN</t>
        </is>
      </c>
      <c r="E3543" t="inlineStr">
        <is>
          <t>SOLLEFTEÅ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57892-2024</t>
        </is>
      </c>
      <c r="B3544" s="1" t="n">
        <v>45631</v>
      </c>
      <c r="C3544" s="1" t="n">
        <v>45802</v>
      </c>
      <c r="D3544" t="inlineStr">
        <is>
          <t>VÄSTERNORRLANDS LÄN</t>
        </is>
      </c>
      <c r="E3544" t="inlineStr">
        <is>
          <t>SOLLEFTEÅ</t>
        </is>
      </c>
      <c r="F3544" t="inlineStr">
        <is>
          <t>SCA</t>
        </is>
      </c>
      <c r="G3544" t="n">
        <v>13.8</v>
      </c>
      <c r="H3544" t="n">
        <v>0</v>
      </c>
      <c r="I3544" t="n">
        <v>0</v>
      </c>
      <c r="J3544" t="n">
        <v>0</v>
      </c>
      <c r="K3544" t="n">
        <v>0</v>
      </c>
      <c r="L3544" t="n">
        <v>0</v>
      </c>
      <c r="M3544" t="n">
        <v>0</v>
      </c>
      <c r="N3544" t="n">
        <v>0</v>
      </c>
      <c r="O3544" t="n">
        <v>0</v>
      </c>
      <c r="P3544" t="n">
        <v>0</v>
      </c>
      <c r="Q3544" t="n">
        <v>0</v>
      </c>
      <c r="R3544" s="2" t="inlineStr"/>
    </row>
    <row r="3545" ht="15" customHeight="1">
      <c r="A3545" t="inlineStr">
        <is>
          <t>A 57846-2024</t>
        </is>
      </c>
      <c r="B3545" s="1" t="n">
        <v>45631</v>
      </c>
      <c r="C3545" s="1" t="n">
        <v>45802</v>
      </c>
      <c r="D3545" t="inlineStr">
        <is>
          <t>VÄSTERNORRLANDS LÄN</t>
        </is>
      </c>
      <c r="E3545" t="inlineStr">
        <is>
          <t>SOLLEFTEÅ</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57922-2024</t>
        </is>
      </c>
      <c r="B3546" s="1" t="n">
        <v>45631</v>
      </c>
      <c r="C3546" s="1" t="n">
        <v>45802</v>
      </c>
      <c r="D3546" t="inlineStr">
        <is>
          <t>VÄSTERNORRLANDS LÄN</t>
        </is>
      </c>
      <c r="E3546" t="inlineStr">
        <is>
          <t>SOLLEFTEÅ</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58226-2024</t>
        </is>
      </c>
      <c r="B3547" s="1" t="n">
        <v>45632</v>
      </c>
      <c r="C3547" s="1" t="n">
        <v>45802</v>
      </c>
      <c r="D3547" t="inlineStr">
        <is>
          <t>VÄSTERNORRLANDS LÄN</t>
        </is>
      </c>
      <c r="E3547" t="inlineStr">
        <is>
          <t>SOLLEFTEÅ</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58360-2024</t>
        </is>
      </c>
      <c r="B3548" s="1" t="n">
        <v>45632</v>
      </c>
      <c r="C3548" s="1" t="n">
        <v>45802</v>
      </c>
      <c r="D3548" t="inlineStr">
        <is>
          <t>VÄSTERNORRLANDS LÄN</t>
        </is>
      </c>
      <c r="E3548" t="inlineStr">
        <is>
          <t>SOLLEFTEÅ</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58357-2024</t>
        </is>
      </c>
      <c r="B3549" s="1" t="n">
        <v>45632</v>
      </c>
      <c r="C3549" s="1" t="n">
        <v>45802</v>
      </c>
      <c r="D3549" t="inlineStr">
        <is>
          <t>VÄSTERNORRLANDS LÄN</t>
        </is>
      </c>
      <c r="E3549" t="inlineStr">
        <is>
          <t>SOLLEFTEÅ</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58461-2024</t>
        </is>
      </c>
      <c r="B3550" s="1" t="n">
        <v>45635</v>
      </c>
      <c r="C3550" s="1" t="n">
        <v>45802</v>
      </c>
      <c r="D3550" t="inlineStr">
        <is>
          <t>VÄSTERNORRLANDS LÄN</t>
        </is>
      </c>
      <c r="E3550" t="inlineStr">
        <is>
          <t>SOLLEFTEÅ</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58478-2024</t>
        </is>
      </c>
      <c r="B3551" s="1" t="n">
        <v>45635</v>
      </c>
      <c r="C3551" s="1" t="n">
        <v>45802</v>
      </c>
      <c r="D3551" t="inlineStr">
        <is>
          <t>VÄSTERNORRLANDS LÄN</t>
        </is>
      </c>
      <c r="E3551" t="inlineStr">
        <is>
          <t>SOLLEFTEÅ</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58463-2024</t>
        </is>
      </c>
      <c r="B3552" s="1" t="n">
        <v>45635</v>
      </c>
      <c r="C3552" s="1" t="n">
        <v>45802</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58531-2024</t>
        </is>
      </c>
      <c r="B3553" s="1" t="n">
        <v>45635</v>
      </c>
      <c r="C3553" s="1" t="n">
        <v>45802</v>
      </c>
      <c r="D3553" t="inlineStr">
        <is>
          <t>VÄSTERNORRLANDS LÄN</t>
        </is>
      </c>
      <c r="E3553" t="inlineStr">
        <is>
          <t>SOLLEFTEÅ</t>
        </is>
      </c>
      <c r="F3553" t="inlineStr">
        <is>
          <t>SCA</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58578-2024</t>
        </is>
      </c>
      <c r="B3554" s="1" t="n">
        <v>45635</v>
      </c>
      <c r="C3554" s="1" t="n">
        <v>45802</v>
      </c>
      <c r="D3554" t="inlineStr">
        <is>
          <t>VÄSTERNORRLANDS LÄN</t>
        </is>
      </c>
      <c r="E3554" t="inlineStr">
        <is>
          <t>SOLLEFTEÅ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58588-2024</t>
        </is>
      </c>
      <c r="B3555" s="1" t="n">
        <v>45635</v>
      </c>
      <c r="C3555" s="1" t="n">
        <v>45802</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58462-2024</t>
        </is>
      </c>
      <c r="B3556" s="1" t="n">
        <v>45635</v>
      </c>
      <c r="C3556" s="1" t="n">
        <v>45802</v>
      </c>
      <c r="D3556" t="inlineStr">
        <is>
          <t>VÄSTERNORRLANDS LÄN</t>
        </is>
      </c>
      <c r="E3556" t="inlineStr">
        <is>
          <t>SOLLEFTEÅ</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58694-2024</t>
        </is>
      </c>
      <c r="B3557" s="1" t="n">
        <v>45635</v>
      </c>
      <c r="C3557" s="1" t="n">
        <v>45802</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58979-2024</t>
        </is>
      </c>
      <c r="B3558" s="1" t="n">
        <v>45636</v>
      </c>
      <c r="C3558" s="1" t="n">
        <v>45802</v>
      </c>
      <c r="D3558" t="inlineStr">
        <is>
          <t>VÄSTERNORRLANDS LÄN</t>
        </is>
      </c>
      <c r="E3558" t="inlineStr">
        <is>
          <t>SOLLEFTEÅ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58995-2024</t>
        </is>
      </c>
      <c r="B3559" s="1" t="n">
        <v>45636</v>
      </c>
      <c r="C3559" s="1" t="n">
        <v>45802</v>
      </c>
      <c r="D3559" t="inlineStr">
        <is>
          <t>VÄSTERNORRLANDS LÄN</t>
        </is>
      </c>
      <c r="E3559" t="inlineStr">
        <is>
          <t>SOLLEFTEÅ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58931-2024</t>
        </is>
      </c>
      <c r="B3560" s="1" t="n">
        <v>45636</v>
      </c>
      <c r="C3560" s="1" t="n">
        <v>45802</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58994-2024</t>
        </is>
      </c>
      <c r="B3561" s="1" t="n">
        <v>45636</v>
      </c>
      <c r="C3561" s="1" t="n">
        <v>45802</v>
      </c>
      <c r="D3561" t="inlineStr">
        <is>
          <t>VÄSTERNORRLANDS LÄN</t>
        </is>
      </c>
      <c r="E3561" t="inlineStr">
        <is>
          <t>SOLLEFTEÅ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58845-2024</t>
        </is>
      </c>
      <c r="B3562" s="1" t="n">
        <v>45636</v>
      </c>
      <c r="C3562" s="1" t="n">
        <v>45802</v>
      </c>
      <c r="D3562" t="inlineStr">
        <is>
          <t>VÄSTERNORRLANDS LÄN</t>
        </is>
      </c>
      <c r="E3562" t="inlineStr">
        <is>
          <t>SOLLEFTEÅ</t>
        </is>
      </c>
      <c r="F3562" t="inlineStr">
        <is>
          <t>SCA</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58841-2024</t>
        </is>
      </c>
      <c r="B3563" s="1" t="n">
        <v>45636</v>
      </c>
      <c r="C3563" s="1" t="n">
        <v>45802</v>
      </c>
      <c r="D3563" t="inlineStr">
        <is>
          <t>VÄSTERNORRLANDS LÄN</t>
        </is>
      </c>
      <c r="E3563" t="inlineStr">
        <is>
          <t>SOLLEFTEÅ</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58808-2024</t>
        </is>
      </c>
      <c r="B3564" s="1" t="n">
        <v>45636</v>
      </c>
      <c r="C3564" s="1" t="n">
        <v>45802</v>
      </c>
      <c r="D3564" t="inlineStr">
        <is>
          <t>VÄSTERNORRLANDS LÄN</t>
        </is>
      </c>
      <c r="E3564" t="inlineStr">
        <is>
          <t>SOLLEFTEÅ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59105-2024</t>
        </is>
      </c>
      <c r="B3565" s="1" t="n">
        <v>45637</v>
      </c>
      <c r="C3565" s="1" t="n">
        <v>45802</v>
      </c>
      <c r="D3565" t="inlineStr">
        <is>
          <t>VÄSTERNORRLANDS LÄN</t>
        </is>
      </c>
      <c r="E3565" t="inlineStr">
        <is>
          <t>SOLLEFTEÅ</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59144-2024</t>
        </is>
      </c>
      <c r="B3566" s="1" t="n">
        <v>45637</v>
      </c>
      <c r="C3566" s="1" t="n">
        <v>45802</v>
      </c>
      <c r="D3566" t="inlineStr">
        <is>
          <t>VÄSTERNORRLANDS LÄN</t>
        </is>
      </c>
      <c r="E3566" t="inlineStr">
        <is>
          <t>SOLLEFTEÅ</t>
        </is>
      </c>
      <c r="F3566" t="inlineStr">
        <is>
          <t>SCA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59179-2024</t>
        </is>
      </c>
      <c r="B3567" s="1" t="n">
        <v>45637</v>
      </c>
      <c r="C3567" s="1" t="n">
        <v>45802</v>
      </c>
      <c r="D3567" t="inlineStr">
        <is>
          <t>VÄSTERNORRLANDS LÄN</t>
        </is>
      </c>
      <c r="E3567" t="inlineStr">
        <is>
          <t>SOLLEFTEÅ</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59308-2024</t>
        </is>
      </c>
      <c r="B3568" s="1" t="n">
        <v>45637</v>
      </c>
      <c r="C3568" s="1" t="n">
        <v>45802</v>
      </c>
      <c r="D3568" t="inlineStr">
        <is>
          <t>VÄSTERNORRLANDS LÄN</t>
        </is>
      </c>
      <c r="E3568" t="inlineStr">
        <is>
          <t>SOLLEFTEÅ</t>
        </is>
      </c>
      <c r="F3568" t="inlineStr">
        <is>
          <t>SCA</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59317-2024</t>
        </is>
      </c>
      <c r="B3569" s="1" t="n">
        <v>45637</v>
      </c>
      <c r="C3569" s="1" t="n">
        <v>45802</v>
      </c>
      <c r="D3569" t="inlineStr">
        <is>
          <t>VÄSTERNORRLANDS LÄN</t>
        </is>
      </c>
      <c r="E3569" t="inlineStr">
        <is>
          <t>SOLLEFTEÅ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59491-2024</t>
        </is>
      </c>
      <c r="B3570" s="1" t="n">
        <v>45637</v>
      </c>
      <c r="C3570" s="1" t="n">
        <v>45802</v>
      </c>
      <c r="D3570" t="inlineStr">
        <is>
          <t>VÄSTERNORRLANDS LÄN</t>
        </is>
      </c>
      <c r="E3570" t="inlineStr">
        <is>
          <t>SOLLEFTEÅ</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59563-2024</t>
        </is>
      </c>
      <c r="B3571" s="1" t="n">
        <v>45638</v>
      </c>
      <c r="C3571" s="1" t="n">
        <v>45802</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59567-2024</t>
        </is>
      </c>
      <c r="B3572" s="1" t="n">
        <v>45638</v>
      </c>
      <c r="C3572" s="1" t="n">
        <v>45802</v>
      </c>
      <c r="D3572" t="inlineStr">
        <is>
          <t>VÄSTERNORRLANDS LÄN</t>
        </is>
      </c>
      <c r="E3572" t="inlineStr">
        <is>
          <t>SOLLEFTEÅ</t>
        </is>
      </c>
      <c r="F3572" t="inlineStr">
        <is>
          <t>SCA</t>
        </is>
      </c>
      <c r="G3572" t="n">
        <v>13.8</v>
      </c>
      <c r="H3572" t="n">
        <v>0</v>
      </c>
      <c r="I3572" t="n">
        <v>0</v>
      </c>
      <c r="J3572" t="n">
        <v>0</v>
      </c>
      <c r="K3572" t="n">
        <v>0</v>
      </c>
      <c r="L3572" t="n">
        <v>0</v>
      </c>
      <c r="M3572" t="n">
        <v>0</v>
      </c>
      <c r="N3572" t="n">
        <v>0</v>
      </c>
      <c r="O3572" t="n">
        <v>0</v>
      </c>
      <c r="P3572" t="n">
        <v>0</v>
      </c>
      <c r="Q3572" t="n">
        <v>0</v>
      </c>
      <c r="R3572" s="2" t="inlineStr"/>
    </row>
    <row r="3573" ht="15" customHeight="1">
      <c r="A3573" t="inlineStr">
        <is>
          <t>A 59564-2024</t>
        </is>
      </c>
      <c r="B3573" s="1" t="n">
        <v>45638</v>
      </c>
      <c r="C3573" s="1" t="n">
        <v>45802</v>
      </c>
      <c r="D3573" t="inlineStr">
        <is>
          <t>VÄSTERNORRLANDS LÄN</t>
        </is>
      </c>
      <c r="E3573" t="inlineStr">
        <is>
          <t>SOLLEFTEÅ</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59558-2024</t>
        </is>
      </c>
      <c r="B3574" s="1" t="n">
        <v>45638</v>
      </c>
      <c r="C3574" s="1" t="n">
        <v>45802</v>
      </c>
      <c r="D3574" t="inlineStr">
        <is>
          <t>VÄSTERNORRLANDS LÄN</t>
        </is>
      </c>
      <c r="E3574" t="inlineStr">
        <is>
          <t>SOLLEFTEÅ</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59566-2024</t>
        </is>
      </c>
      <c r="B3575" s="1" t="n">
        <v>45638</v>
      </c>
      <c r="C3575" s="1" t="n">
        <v>45802</v>
      </c>
      <c r="D3575" t="inlineStr">
        <is>
          <t>VÄSTERNORRLANDS LÄN</t>
        </is>
      </c>
      <c r="E3575" t="inlineStr">
        <is>
          <t>SOLLEFTEÅ</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59434-2024</t>
        </is>
      </c>
      <c r="B3576" s="1" t="n">
        <v>45638</v>
      </c>
      <c r="C3576" s="1" t="n">
        <v>45802</v>
      </c>
      <c r="D3576" t="inlineStr">
        <is>
          <t>VÄSTERNORRLANDS LÄN</t>
        </is>
      </c>
      <c r="E3576" t="inlineStr">
        <is>
          <t>SOLLEFTEÅ</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59426-2024</t>
        </is>
      </c>
      <c r="B3577" s="1" t="n">
        <v>45638</v>
      </c>
      <c r="C3577" s="1" t="n">
        <v>45802</v>
      </c>
      <c r="D3577" t="inlineStr">
        <is>
          <t>VÄSTERNORRLANDS LÄN</t>
        </is>
      </c>
      <c r="E3577" t="inlineStr">
        <is>
          <t>SOLLEFTEÅ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59422-2024</t>
        </is>
      </c>
      <c r="B3578" s="1" t="n">
        <v>45638</v>
      </c>
      <c r="C3578" s="1" t="n">
        <v>45802</v>
      </c>
      <c r="D3578" t="inlineStr">
        <is>
          <t>VÄSTERNORRLANDS LÄN</t>
        </is>
      </c>
      <c r="E3578" t="inlineStr">
        <is>
          <t>SOLLEFTEÅ</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59418-2024</t>
        </is>
      </c>
      <c r="B3579" s="1" t="n">
        <v>45638</v>
      </c>
      <c r="C3579" s="1" t="n">
        <v>45802</v>
      </c>
      <c r="D3579" t="inlineStr">
        <is>
          <t>VÄSTERNORRLANDS LÄN</t>
        </is>
      </c>
      <c r="E3579" t="inlineStr">
        <is>
          <t>SOLLEFTEÅ</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59407-2024</t>
        </is>
      </c>
      <c r="B3580" s="1" t="n">
        <v>45638</v>
      </c>
      <c r="C3580" s="1" t="n">
        <v>45802</v>
      </c>
      <c r="D3580" t="inlineStr">
        <is>
          <t>VÄSTERNORRLANDS LÄN</t>
        </is>
      </c>
      <c r="E3580" t="inlineStr">
        <is>
          <t>SOLLEFTEÅ</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59455-2024</t>
        </is>
      </c>
      <c r="B3581" s="1" t="n">
        <v>45638</v>
      </c>
      <c r="C3581" s="1" t="n">
        <v>45802</v>
      </c>
      <c r="D3581" t="inlineStr">
        <is>
          <t>VÄSTERNORRLANDS LÄN</t>
        </is>
      </c>
      <c r="E3581" t="inlineStr">
        <is>
          <t>SOLLEFTEÅ</t>
        </is>
      </c>
      <c r="F3581" t="inlineStr">
        <is>
          <t>SCA</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59389-2024</t>
        </is>
      </c>
      <c r="B3582" s="1" t="n">
        <v>45638</v>
      </c>
      <c r="C3582" s="1" t="n">
        <v>45802</v>
      </c>
      <c r="D3582" t="inlineStr">
        <is>
          <t>VÄSTERNORRLANDS LÄN</t>
        </is>
      </c>
      <c r="E3582" t="inlineStr">
        <is>
          <t>SOLLEFTEÅ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59559-2024</t>
        </is>
      </c>
      <c r="B3583" s="1" t="n">
        <v>45638</v>
      </c>
      <c r="C3583" s="1" t="n">
        <v>45802</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59415-2024</t>
        </is>
      </c>
      <c r="B3584" s="1" t="n">
        <v>45638</v>
      </c>
      <c r="C3584" s="1" t="n">
        <v>45802</v>
      </c>
      <c r="D3584" t="inlineStr">
        <is>
          <t>VÄSTERNORRLANDS LÄN</t>
        </is>
      </c>
      <c r="E3584" t="inlineStr">
        <is>
          <t>SOLLEFTEÅ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59473-2024</t>
        </is>
      </c>
      <c r="B3585" s="1" t="n">
        <v>45638</v>
      </c>
      <c r="C3585" s="1" t="n">
        <v>45802</v>
      </c>
      <c r="D3585" t="inlineStr">
        <is>
          <t>VÄSTERNORRLANDS LÄN</t>
        </is>
      </c>
      <c r="E3585" t="inlineStr">
        <is>
          <t>SOLLEFTEÅ</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59424-2024</t>
        </is>
      </c>
      <c r="B3586" s="1" t="n">
        <v>45638</v>
      </c>
      <c r="C3586" s="1" t="n">
        <v>45802</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59416-2024</t>
        </is>
      </c>
      <c r="B3587" s="1" t="n">
        <v>45638</v>
      </c>
      <c r="C3587" s="1" t="n">
        <v>45802</v>
      </c>
      <c r="D3587" t="inlineStr">
        <is>
          <t>VÄSTERNORRLANDS LÄN</t>
        </is>
      </c>
      <c r="E3587" t="inlineStr">
        <is>
          <t>SOLLEFTEÅ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59474-2024</t>
        </is>
      </c>
      <c r="B3588" s="1" t="n">
        <v>45638</v>
      </c>
      <c r="C3588" s="1" t="n">
        <v>45802</v>
      </c>
      <c r="D3588" t="inlineStr">
        <is>
          <t>VÄSTERNORRLANDS LÄN</t>
        </is>
      </c>
      <c r="E3588" t="inlineStr">
        <is>
          <t>SOLLEFTEÅ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59421-2024</t>
        </is>
      </c>
      <c r="B3589" s="1" t="n">
        <v>45638</v>
      </c>
      <c r="C3589" s="1" t="n">
        <v>45802</v>
      </c>
      <c r="D3589" t="inlineStr">
        <is>
          <t>VÄSTERNORRLANDS LÄN</t>
        </is>
      </c>
      <c r="E3589" t="inlineStr">
        <is>
          <t>SOLLEFTEÅ</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59388-2024</t>
        </is>
      </c>
      <c r="B3590" s="1" t="n">
        <v>45638</v>
      </c>
      <c r="C3590" s="1" t="n">
        <v>45802</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59725-2024</t>
        </is>
      </c>
      <c r="B3591" s="1" t="n">
        <v>45639</v>
      </c>
      <c r="C3591" s="1" t="n">
        <v>45802</v>
      </c>
      <c r="D3591" t="inlineStr">
        <is>
          <t>VÄSTERNORRLANDS LÄN</t>
        </is>
      </c>
      <c r="E3591" t="inlineStr">
        <is>
          <t>SOLLEFTEÅ</t>
        </is>
      </c>
      <c r="F3591" t="inlineStr">
        <is>
          <t>SCA</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59724-2024</t>
        </is>
      </c>
      <c r="B3592" s="1" t="n">
        <v>45639</v>
      </c>
      <c r="C3592" s="1" t="n">
        <v>45802</v>
      </c>
      <c r="D3592" t="inlineStr">
        <is>
          <t>VÄSTERNORRLANDS LÄN</t>
        </is>
      </c>
      <c r="E3592" t="inlineStr">
        <is>
          <t>SOLLEFTEÅ</t>
        </is>
      </c>
      <c r="F3592" t="inlineStr">
        <is>
          <t>SCA</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60748-2024</t>
        </is>
      </c>
      <c r="B3593" s="1" t="n">
        <v>45642</v>
      </c>
      <c r="C3593" s="1" t="n">
        <v>45802</v>
      </c>
      <c r="D3593" t="inlineStr">
        <is>
          <t>VÄSTERNORRLANDS LÄN</t>
        </is>
      </c>
      <c r="E3593" t="inlineStr">
        <is>
          <t>SOLLEFTEÅ</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60174-2024</t>
        </is>
      </c>
      <c r="B3594" s="1" t="n">
        <v>45642</v>
      </c>
      <c r="C3594" s="1" t="n">
        <v>45802</v>
      </c>
      <c r="D3594" t="inlineStr">
        <is>
          <t>VÄSTERNORRLANDS LÄN</t>
        </is>
      </c>
      <c r="E3594" t="inlineStr">
        <is>
          <t>SOLLEFTEÅ</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60077-2024</t>
        </is>
      </c>
      <c r="B3595" s="1" t="n">
        <v>45642</v>
      </c>
      <c r="C3595" s="1" t="n">
        <v>45802</v>
      </c>
      <c r="D3595" t="inlineStr">
        <is>
          <t>VÄSTERNORRLANDS LÄN</t>
        </is>
      </c>
      <c r="E3595" t="inlineStr">
        <is>
          <t>SOLLEFTEÅ</t>
        </is>
      </c>
      <c r="F3595" t="inlineStr">
        <is>
          <t>SCA</t>
        </is>
      </c>
      <c r="G3595" t="n">
        <v>21.5</v>
      </c>
      <c r="H3595" t="n">
        <v>0</v>
      </c>
      <c r="I3595" t="n">
        <v>0</v>
      </c>
      <c r="J3595" t="n">
        <v>0</v>
      </c>
      <c r="K3595" t="n">
        <v>0</v>
      </c>
      <c r="L3595" t="n">
        <v>0</v>
      </c>
      <c r="M3595" t="n">
        <v>0</v>
      </c>
      <c r="N3595" t="n">
        <v>0</v>
      </c>
      <c r="O3595" t="n">
        <v>0</v>
      </c>
      <c r="P3595" t="n">
        <v>0</v>
      </c>
      <c r="Q3595" t="n">
        <v>0</v>
      </c>
      <c r="R3595" s="2" t="inlineStr"/>
    </row>
    <row r="3596" ht="15" customHeight="1">
      <c r="A3596" t="inlineStr">
        <is>
          <t>A 60024-2024</t>
        </is>
      </c>
      <c r="B3596" s="1" t="n">
        <v>45642</v>
      </c>
      <c r="C3596" s="1" t="n">
        <v>45802</v>
      </c>
      <c r="D3596" t="inlineStr">
        <is>
          <t>VÄSTERNORRLANDS LÄN</t>
        </is>
      </c>
      <c r="E3596" t="inlineStr">
        <is>
          <t>SOLLEFTEÅ</t>
        </is>
      </c>
      <c r="F3596" t="inlineStr">
        <is>
          <t>SCA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60131-2024</t>
        </is>
      </c>
      <c r="B3597" s="1" t="n">
        <v>45642</v>
      </c>
      <c r="C3597" s="1" t="n">
        <v>45802</v>
      </c>
      <c r="D3597" t="inlineStr">
        <is>
          <t>VÄSTERNORRLANDS LÄN</t>
        </is>
      </c>
      <c r="E3597" t="inlineStr">
        <is>
          <t>SOLLEFTEÅ</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59985-2024</t>
        </is>
      </c>
      <c r="B3598" s="1" t="n">
        <v>45642</v>
      </c>
      <c r="C3598" s="1" t="n">
        <v>45802</v>
      </c>
      <c r="D3598" t="inlineStr">
        <is>
          <t>VÄSTERNORRLANDS LÄN</t>
        </is>
      </c>
      <c r="E3598" t="inlineStr">
        <is>
          <t>SOLLEFTEÅ</t>
        </is>
      </c>
      <c r="F3598" t="inlineStr">
        <is>
          <t>SCA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60177-2024</t>
        </is>
      </c>
      <c r="B3599" s="1" t="n">
        <v>45642</v>
      </c>
      <c r="C3599" s="1" t="n">
        <v>45802</v>
      </c>
      <c r="D3599" t="inlineStr">
        <is>
          <t>VÄSTERNORRLANDS LÄN</t>
        </is>
      </c>
      <c r="E3599" t="inlineStr">
        <is>
          <t>SOLLEFTEÅ</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60154-2024</t>
        </is>
      </c>
      <c r="B3600" s="1" t="n">
        <v>45642</v>
      </c>
      <c r="C3600" s="1" t="n">
        <v>45802</v>
      </c>
      <c r="D3600" t="inlineStr">
        <is>
          <t>VÄSTERNORRLANDS LÄN</t>
        </is>
      </c>
      <c r="E3600" t="inlineStr">
        <is>
          <t>SOLLEFTEÅ</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59949-2024</t>
        </is>
      </c>
      <c r="B3601" s="1" t="n">
        <v>45642</v>
      </c>
      <c r="C3601" s="1" t="n">
        <v>45802</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60741-2024</t>
        </is>
      </c>
      <c r="B3602" s="1" t="n">
        <v>45642</v>
      </c>
      <c r="C3602" s="1" t="n">
        <v>45802</v>
      </c>
      <c r="D3602" t="inlineStr">
        <is>
          <t>VÄSTERNORRLANDS LÄN</t>
        </is>
      </c>
      <c r="E3602" t="inlineStr">
        <is>
          <t>SOLLEFTEÅ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59939-2024</t>
        </is>
      </c>
      <c r="B3603" s="1" t="n">
        <v>45642</v>
      </c>
      <c r="C3603" s="1" t="n">
        <v>45802</v>
      </c>
      <c r="D3603" t="inlineStr">
        <is>
          <t>VÄSTERNORRLANDS LÄN</t>
        </is>
      </c>
      <c r="E3603" t="inlineStr">
        <is>
          <t>SOLLEFTEÅ</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60361-2024</t>
        </is>
      </c>
      <c r="B3604" s="1" t="n">
        <v>45643</v>
      </c>
      <c r="C3604" s="1" t="n">
        <v>45802</v>
      </c>
      <c r="D3604" t="inlineStr">
        <is>
          <t>VÄSTERNORRLANDS LÄN</t>
        </is>
      </c>
      <c r="E3604" t="inlineStr">
        <is>
          <t>SOLLEFTEÅ</t>
        </is>
      </c>
      <c r="F3604" t="inlineStr">
        <is>
          <t>SCA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60389-2024</t>
        </is>
      </c>
      <c r="B3605" s="1" t="n">
        <v>45643</v>
      </c>
      <c r="C3605" s="1" t="n">
        <v>45802</v>
      </c>
      <c r="D3605" t="inlineStr">
        <is>
          <t>VÄSTERNORRLANDS LÄN</t>
        </is>
      </c>
      <c r="E3605" t="inlineStr">
        <is>
          <t>SOLLEFTEÅ</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60460-2024</t>
        </is>
      </c>
      <c r="B3606" s="1" t="n">
        <v>45643</v>
      </c>
      <c r="C3606" s="1" t="n">
        <v>45802</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60495-2024</t>
        </is>
      </c>
      <c r="B3607" s="1" t="n">
        <v>45643</v>
      </c>
      <c r="C3607" s="1" t="n">
        <v>45802</v>
      </c>
      <c r="D3607" t="inlineStr">
        <is>
          <t>VÄSTERNORRLANDS LÄN</t>
        </is>
      </c>
      <c r="E3607" t="inlineStr">
        <is>
          <t>SOLLEFTEÅ</t>
        </is>
      </c>
      <c r="F3607" t="inlineStr">
        <is>
          <t>SCA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60360-2024</t>
        </is>
      </c>
      <c r="B3608" s="1" t="n">
        <v>45643</v>
      </c>
      <c r="C3608" s="1" t="n">
        <v>45802</v>
      </c>
      <c r="D3608" t="inlineStr">
        <is>
          <t>VÄSTERNORRLANDS LÄN</t>
        </is>
      </c>
      <c r="E3608" t="inlineStr">
        <is>
          <t>SOLLEFTEÅ</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60714-2024</t>
        </is>
      </c>
      <c r="B3609" s="1" t="n">
        <v>45644</v>
      </c>
      <c r="C3609" s="1" t="n">
        <v>45802</v>
      </c>
      <c r="D3609" t="inlineStr">
        <is>
          <t>VÄSTERNORRLANDS LÄN</t>
        </is>
      </c>
      <c r="E3609" t="inlineStr">
        <is>
          <t>SOLLEFTEÅ</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60632-2024</t>
        </is>
      </c>
      <c r="B3610" s="1" t="n">
        <v>45644</v>
      </c>
      <c r="C3610" s="1" t="n">
        <v>45802</v>
      </c>
      <c r="D3610" t="inlineStr">
        <is>
          <t>VÄSTERNORRLANDS LÄN</t>
        </is>
      </c>
      <c r="E3610" t="inlineStr">
        <is>
          <t>SOLLEFTEÅ</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60630-2024</t>
        </is>
      </c>
      <c r="B3611" s="1" t="n">
        <v>45644</v>
      </c>
      <c r="C3611" s="1" t="n">
        <v>45802</v>
      </c>
      <c r="D3611" t="inlineStr">
        <is>
          <t>VÄSTERNORRLANDS LÄN</t>
        </is>
      </c>
      <c r="E3611" t="inlineStr">
        <is>
          <t>SOLLEFTEÅ</t>
        </is>
      </c>
      <c r="F3611" t="inlineStr">
        <is>
          <t>SCA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61089-2024</t>
        </is>
      </c>
      <c r="B3612" s="1" t="n">
        <v>45644</v>
      </c>
      <c r="C3612" s="1" t="n">
        <v>45802</v>
      </c>
      <c r="D3612" t="inlineStr">
        <is>
          <t>VÄSTERNORRLANDS LÄN</t>
        </is>
      </c>
      <c r="E3612" t="inlineStr">
        <is>
          <t>SOLLEFTEÅ</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60612-2024</t>
        </is>
      </c>
      <c r="B3613" s="1" t="n">
        <v>45644</v>
      </c>
      <c r="C3613" s="1" t="n">
        <v>45802</v>
      </c>
      <c r="D3613" t="inlineStr">
        <is>
          <t>VÄSTERNORRLANDS LÄN</t>
        </is>
      </c>
      <c r="E3613" t="inlineStr">
        <is>
          <t>SOLLEFTEÅ</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60583-2024</t>
        </is>
      </c>
      <c r="B3614" s="1" t="n">
        <v>45644</v>
      </c>
      <c r="C3614" s="1" t="n">
        <v>45802</v>
      </c>
      <c r="D3614" t="inlineStr">
        <is>
          <t>VÄSTERNORRLANDS LÄN</t>
        </is>
      </c>
      <c r="E3614" t="inlineStr">
        <is>
          <t>SOLLEFTEÅ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60827-2024</t>
        </is>
      </c>
      <c r="B3615" s="1" t="n">
        <v>45644</v>
      </c>
      <c r="C3615" s="1" t="n">
        <v>45802</v>
      </c>
      <c r="D3615" t="inlineStr">
        <is>
          <t>VÄSTERNORRLANDS LÄN</t>
        </is>
      </c>
      <c r="E3615" t="inlineStr">
        <is>
          <t>SOLLEFTEÅ</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60831-2024</t>
        </is>
      </c>
      <c r="B3616" s="1" t="n">
        <v>45644</v>
      </c>
      <c r="C3616" s="1" t="n">
        <v>45802</v>
      </c>
      <c r="D3616" t="inlineStr">
        <is>
          <t>VÄSTERNORRLANDS LÄN</t>
        </is>
      </c>
      <c r="E3616" t="inlineStr">
        <is>
          <t>SOLLEFTEÅ</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60867-2024</t>
        </is>
      </c>
      <c r="B3617" s="1" t="n">
        <v>45644</v>
      </c>
      <c r="C3617" s="1" t="n">
        <v>45802</v>
      </c>
      <c r="D3617" t="inlineStr">
        <is>
          <t>VÄSTERNORRLANDS LÄN</t>
        </is>
      </c>
      <c r="E3617" t="inlineStr">
        <is>
          <t>SOLLEFTEÅ</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60837-2024</t>
        </is>
      </c>
      <c r="B3618" s="1" t="n">
        <v>45644</v>
      </c>
      <c r="C3618" s="1" t="n">
        <v>45802</v>
      </c>
      <c r="D3618" t="inlineStr">
        <is>
          <t>VÄSTERNORRLANDS LÄN</t>
        </is>
      </c>
      <c r="E3618" t="inlineStr">
        <is>
          <t>SOLLEFTEÅ</t>
        </is>
      </c>
      <c r="F3618" t="inlineStr">
        <is>
          <t>SCA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60631-2024</t>
        </is>
      </c>
      <c r="B3619" s="1" t="n">
        <v>45644</v>
      </c>
      <c r="C3619" s="1" t="n">
        <v>45802</v>
      </c>
      <c r="D3619" t="inlineStr">
        <is>
          <t>VÄSTERNORRLANDS LÄN</t>
        </is>
      </c>
      <c r="E3619" t="inlineStr">
        <is>
          <t>SOLLEFTEÅ</t>
        </is>
      </c>
      <c r="F3619" t="inlineStr">
        <is>
          <t>SCA</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60713-2024</t>
        </is>
      </c>
      <c r="B3620" s="1" t="n">
        <v>45644</v>
      </c>
      <c r="C3620" s="1" t="n">
        <v>45802</v>
      </c>
      <c r="D3620" t="inlineStr">
        <is>
          <t>VÄSTERNORRLANDS LÄN</t>
        </is>
      </c>
      <c r="E3620" t="inlineStr">
        <is>
          <t>SOLLEFTEÅ</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60958-2024</t>
        </is>
      </c>
      <c r="B3621" s="1" t="n">
        <v>45645</v>
      </c>
      <c r="C3621" s="1" t="n">
        <v>45802</v>
      </c>
      <c r="D3621" t="inlineStr">
        <is>
          <t>VÄSTERNORRLANDS LÄN</t>
        </is>
      </c>
      <c r="E3621" t="inlineStr">
        <is>
          <t>SOLLEFTEÅ</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61168-2024</t>
        </is>
      </c>
      <c r="B3622" s="1" t="n">
        <v>45645</v>
      </c>
      <c r="C3622" s="1" t="n">
        <v>45802</v>
      </c>
      <c r="D3622" t="inlineStr">
        <is>
          <t>VÄSTERNORRLANDS LÄN</t>
        </is>
      </c>
      <c r="E3622" t="inlineStr">
        <is>
          <t>SOLLEFTEÅ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61200-2024</t>
        </is>
      </c>
      <c r="B3623" s="1" t="n">
        <v>45645</v>
      </c>
      <c r="C3623" s="1" t="n">
        <v>45802</v>
      </c>
      <c r="D3623" t="inlineStr">
        <is>
          <t>VÄSTERNORRLANDS LÄN</t>
        </is>
      </c>
      <c r="E3623" t="inlineStr">
        <is>
          <t>SOLLEFTEÅ</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61126-2024</t>
        </is>
      </c>
      <c r="B3624" s="1" t="n">
        <v>45645</v>
      </c>
      <c r="C3624" s="1" t="n">
        <v>45802</v>
      </c>
      <c r="D3624" t="inlineStr">
        <is>
          <t>VÄSTERNORRLANDS LÄN</t>
        </is>
      </c>
      <c r="E3624" t="inlineStr">
        <is>
          <t>SOLLEFTEÅ</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61611-2024</t>
        </is>
      </c>
      <c r="B3625" s="1" t="n">
        <v>45645</v>
      </c>
      <c r="C3625" s="1" t="n">
        <v>45802</v>
      </c>
      <c r="D3625" t="inlineStr">
        <is>
          <t>VÄSTERNORRLANDS LÄN</t>
        </is>
      </c>
      <c r="E3625" t="inlineStr">
        <is>
          <t>SOLLEFTEÅ</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61616-2024</t>
        </is>
      </c>
      <c r="B3626" s="1" t="n">
        <v>45645</v>
      </c>
      <c r="C3626" s="1" t="n">
        <v>45802</v>
      </c>
      <c r="D3626" t="inlineStr">
        <is>
          <t>VÄSTERNORRLANDS LÄN</t>
        </is>
      </c>
      <c r="E3626" t="inlineStr">
        <is>
          <t>SOLLEFTEÅ</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61201-2024</t>
        </is>
      </c>
      <c r="B3627" s="1" t="n">
        <v>45645</v>
      </c>
      <c r="C3627" s="1" t="n">
        <v>45802</v>
      </c>
      <c r="D3627" t="inlineStr">
        <is>
          <t>VÄSTERNORRLANDS LÄN</t>
        </is>
      </c>
      <c r="E3627" t="inlineStr">
        <is>
          <t>SOLLEFTEÅ</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61623-2024</t>
        </is>
      </c>
      <c r="B3628" s="1" t="n">
        <v>45645</v>
      </c>
      <c r="C3628" s="1" t="n">
        <v>45802</v>
      </c>
      <c r="D3628" t="inlineStr">
        <is>
          <t>VÄSTERNORRLANDS LÄN</t>
        </is>
      </c>
      <c r="E3628" t="inlineStr">
        <is>
          <t>SOLLEFTEÅ</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61452-2024</t>
        </is>
      </c>
      <c r="B3629" s="1" t="n">
        <v>45646</v>
      </c>
      <c r="C3629" s="1" t="n">
        <v>45802</v>
      </c>
      <c r="D3629" t="inlineStr">
        <is>
          <t>VÄSTERNORRLANDS LÄN</t>
        </is>
      </c>
      <c r="E3629" t="inlineStr">
        <is>
          <t>SOLLEFTEÅ</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61849-2024</t>
        </is>
      </c>
      <c r="B3630" s="1" t="n">
        <v>45646</v>
      </c>
      <c r="C3630" s="1" t="n">
        <v>45802</v>
      </c>
      <c r="D3630" t="inlineStr">
        <is>
          <t>VÄSTERNORRLANDS LÄN</t>
        </is>
      </c>
      <c r="E3630" t="inlineStr">
        <is>
          <t>SOLLEFTEÅ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62094-2024</t>
        </is>
      </c>
      <c r="B3631" s="1" t="n">
        <v>45646</v>
      </c>
      <c r="C3631" s="1" t="n">
        <v>45802</v>
      </c>
      <c r="D3631" t="inlineStr">
        <is>
          <t>VÄSTERNORRLANDS LÄN</t>
        </is>
      </c>
      <c r="E3631" t="inlineStr">
        <is>
          <t>SOLLEFTEÅ</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61845-2024</t>
        </is>
      </c>
      <c r="B3632" s="1" t="n">
        <v>45646</v>
      </c>
      <c r="C3632" s="1" t="n">
        <v>45802</v>
      </c>
      <c r="D3632" t="inlineStr">
        <is>
          <t>VÄSTERNORRLANDS LÄN</t>
        </is>
      </c>
      <c r="E3632" t="inlineStr">
        <is>
          <t>SOLLEFTEÅ</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61485-2024</t>
        </is>
      </c>
      <c r="B3633" s="1" t="n">
        <v>45646</v>
      </c>
      <c r="C3633" s="1" t="n">
        <v>45802</v>
      </c>
      <c r="D3633" t="inlineStr">
        <is>
          <t>VÄSTERNORRLANDS LÄN</t>
        </is>
      </c>
      <c r="E3633" t="inlineStr">
        <is>
          <t>SOLLEFTEÅ</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62144-2024</t>
        </is>
      </c>
      <c r="B3634" s="1" t="n">
        <v>45646</v>
      </c>
      <c r="C3634" s="1" t="n">
        <v>45802</v>
      </c>
      <c r="D3634" t="inlineStr">
        <is>
          <t>VÄSTERNORRLANDS LÄN</t>
        </is>
      </c>
      <c r="E3634" t="inlineStr">
        <is>
          <t>SOLLEFTEÅ</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61847-2024</t>
        </is>
      </c>
      <c r="B3635" s="1" t="n">
        <v>45646</v>
      </c>
      <c r="C3635" s="1" t="n">
        <v>45802</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61779-2024</t>
        </is>
      </c>
      <c r="B3636" s="1" t="n">
        <v>45649</v>
      </c>
      <c r="C3636" s="1" t="n">
        <v>45802</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61784-2024</t>
        </is>
      </c>
      <c r="B3637" s="1" t="n">
        <v>45649</v>
      </c>
      <c r="C3637" s="1" t="n">
        <v>45802</v>
      </c>
      <c r="D3637" t="inlineStr">
        <is>
          <t>VÄSTERNORRLANDS LÄN</t>
        </is>
      </c>
      <c r="E3637" t="inlineStr">
        <is>
          <t>SOLLEFTEÅ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61781-2024</t>
        </is>
      </c>
      <c r="B3638" s="1" t="n">
        <v>45649</v>
      </c>
      <c r="C3638" s="1" t="n">
        <v>45802</v>
      </c>
      <c r="D3638" t="inlineStr">
        <is>
          <t>VÄSTERNORRLANDS LÄN</t>
        </is>
      </c>
      <c r="E3638" t="inlineStr">
        <is>
          <t>SOLLEFTEÅ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174-2025</t>
        </is>
      </c>
      <c r="B3639" s="1" t="n">
        <v>45649</v>
      </c>
      <c r="C3639" s="1" t="n">
        <v>45802</v>
      </c>
      <c r="D3639" t="inlineStr">
        <is>
          <t>VÄSTERNORRLANDS LÄN</t>
        </is>
      </c>
      <c r="E3639" t="inlineStr">
        <is>
          <t>SOLLEFTEÅ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61778-2024</t>
        </is>
      </c>
      <c r="B3640" s="1" t="n">
        <v>45649</v>
      </c>
      <c r="C3640" s="1" t="n">
        <v>45802</v>
      </c>
      <c r="D3640" t="inlineStr">
        <is>
          <t>VÄSTERNORRLANDS LÄN</t>
        </is>
      </c>
      <c r="E3640" t="inlineStr">
        <is>
          <t>SOLLEFTEÅ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61790-2024</t>
        </is>
      </c>
      <c r="B3641" s="1" t="n">
        <v>45649</v>
      </c>
      <c r="C3641" s="1" t="n">
        <v>45802</v>
      </c>
      <c r="D3641" t="inlineStr">
        <is>
          <t>VÄSTERNORRLANDS LÄN</t>
        </is>
      </c>
      <c r="E3641" t="inlineStr">
        <is>
          <t>SOLLEFTEÅ</t>
        </is>
      </c>
      <c r="F3641" t="inlineStr">
        <is>
          <t>Övriga statliga verk och myndigheter</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62038-2024</t>
        </is>
      </c>
      <c r="B3642" s="1" t="n">
        <v>45656</v>
      </c>
      <c r="C3642" s="1" t="n">
        <v>45802</v>
      </c>
      <c r="D3642" t="inlineStr">
        <is>
          <t>VÄSTERNORRLANDS LÄN</t>
        </is>
      </c>
      <c r="E3642" t="inlineStr">
        <is>
          <t>SOLLEFTEÅ</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62171-2024</t>
        </is>
      </c>
      <c r="B3643" s="1" t="n">
        <v>45657</v>
      </c>
      <c r="C3643" s="1" t="n">
        <v>45802</v>
      </c>
      <c r="D3643" t="inlineStr">
        <is>
          <t>VÄSTERNORRLANDS LÄN</t>
        </is>
      </c>
      <c r="E3643" t="inlineStr">
        <is>
          <t>SOLLEFTEÅ</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154-2025</t>
        </is>
      </c>
      <c r="B3644" s="1" t="n">
        <v>45659</v>
      </c>
      <c r="C3644" s="1" t="n">
        <v>45802</v>
      </c>
      <c r="D3644" t="inlineStr">
        <is>
          <t>VÄSTERNORRLANDS LÄN</t>
        </is>
      </c>
      <c r="E3644" t="inlineStr">
        <is>
          <t>SOLLEFTEÅ</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774-2025</t>
        </is>
      </c>
      <c r="B3645" s="1" t="n">
        <v>45659</v>
      </c>
      <c r="C3645" s="1" t="n">
        <v>45802</v>
      </c>
      <c r="D3645" t="inlineStr">
        <is>
          <t>VÄSTERNORRLANDS LÄN</t>
        </is>
      </c>
      <c r="E3645" t="inlineStr">
        <is>
          <t>SOLLEFTEÅ</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769-2025</t>
        </is>
      </c>
      <c r="B3646" s="1" t="n">
        <v>45659</v>
      </c>
      <c r="C3646" s="1" t="n">
        <v>45802</v>
      </c>
      <c r="D3646" t="inlineStr">
        <is>
          <t>VÄSTERNORRLANDS LÄN</t>
        </is>
      </c>
      <c r="E3646" t="inlineStr">
        <is>
          <t>SOLLEFTEÅ</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775-2025</t>
        </is>
      </c>
      <c r="B3647" s="1" t="n">
        <v>45659</v>
      </c>
      <c r="C3647" s="1" t="n">
        <v>45802</v>
      </c>
      <c r="D3647" t="inlineStr">
        <is>
          <t>VÄSTERNORRLANDS LÄN</t>
        </is>
      </c>
      <c r="E3647" t="inlineStr">
        <is>
          <t>SOLLEFTEÅ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326-2025</t>
        </is>
      </c>
      <c r="B3648" s="1" t="n">
        <v>45660</v>
      </c>
      <c r="C3648" s="1" t="n">
        <v>45802</v>
      </c>
      <c r="D3648" t="inlineStr">
        <is>
          <t>VÄSTERNORRLANDS LÄN</t>
        </is>
      </c>
      <c r="E3648" t="inlineStr">
        <is>
          <t>SOLLEFTEÅ</t>
        </is>
      </c>
      <c r="F3648" t="inlineStr">
        <is>
          <t>SCA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291-2025</t>
        </is>
      </c>
      <c r="B3649" s="1" t="n">
        <v>45660</v>
      </c>
      <c r="C3649" s="1" t="n">
        <v>45802</v>
      </c>
      <c r="D3649" t="inlineStr">
        <is>
          <t>VÄSTERNORRLANDS LÄN</t>
        </is>
      </c>
      <c r="E3649" t="inlineStr">
        <is>
          <t>SOLLEFTEÅ</t>
        </is>
      </c>
      <c r="F3649" t="inlineStr">
        <is>
          <t>SCA</t>
        </is>
      </c>
      <c r="G3649" t="n">
        <v>24.7</v>
      </c>
      <c r="H3649" t="n">
        <v>0</v>
      </c>
      <c r="I3649" t="n">
        <v>0</v>
      </c>
      <c r="J3649" t="n">
        <v>0</v>
      </c>
      <c r="K3649" t="n">
        <v>0</v>
      </c>
      <c r="L3649" t="n">
        <v>0</v>
      </c>
      <c r="M3649" t="n">
        <v>0</v>
      </c>
      <c r="N3649" t="n">
        <v>0</v>
      </c>
      <c r="O3649" t="n">
        <v>0</v>
      </c>
      <c r="P3649" t="n">
        <v>0</v>
      </c>
      <c r="Q3649" t="n">
        <v>0</v>
      </c>
      <c r="R3649" s="2" t="inlineStr"/>
    </row>
    <row r="3650" ht="15" customHeight="1">
      <c r="A3650" t="inlineStr">
        <is>
          <t>A 218-2025</t>
        </is>
      </c>
      <c r="B3650" s="1" t="n">
        <v>45660</v>
      </c>
      <c r="C3650" s="1" t="n">
        <v>45802</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295-2025</t>
        </is>
      </c>
      <c r="B3651" s="1" t="n">
        <v>45660</v>
      </c>
      <c r="C3651" s="1" t="n">
        <v>45802</v>
      </c>
      <c r="D3651" t="inlineStr">
        <is>
          <t>VÄSTERNORRLANDS LÄN</t>
        </is>
      </c>
      <c r="E3651" t="inlineStr">
        <is>
          <t>SOLLEFTEÅ</t>
        </is>
      </c>
      <c r="F3651" t="inlineStr">
        <is>
          <t>SCA</t>
        </is>
      </c>
      <c r="G3651" t="n">
        <v>30.7</v>
      </c>
      <c r="H3651" t="n">
        <v>0</v>
      </c>
      <c r="I3651" t="n">
        <v>0</v>
      </c>
      <c r="J3651" t="n">
        <v>0</v>
      </c>
      <c r="K3651" t="n">
        <v>0</v>
      </c>
      <c r="L3651" t="n">
        <v>0</v>
      </c>
      <c r="M3651" t="n">
        <v>0</v>
      </c>
      <c r="N3651" t="n">
        <v>0</v>
      </c>
      <c r="O3651" t="n">
        <v>0</v>
      </c>
      <c r="P3651" t="n">
        <v>0</v>
      </c>
      <c r="Q3651" t="n">
        <v>0</v>
      </c>
      <c r="R3651" s="2" t="inlineStr"/>
    </row>
    <row r="3652" ht="15" customHeight="1">
      <c r="A3652" t="inlineStr">
        <is>
          <t>A 635-2025</t>
        </is>
      </c>
      <c r="B3652" s="1" t="n">
        <v>45664</v>
      </c>
      <c r="C3652" s="1" t="n">
        <v>45802</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439-2025</t>
        </is>
      </c>
      <c r="B3653" s="1" t="n">
        <v>45664</v>
      </c>
      <c r="C3653" s="1" t="n">
        <v>45802</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583-2025</t>
        </is>
      </c>
      <c r="B3654" s="1" t="n">
        <v>45664</v>
      </c>
      <c r="C3654" s="1" t="n">
        <v>45802</v>
      </c>
      <c r="D3654" t="inlineStr">
        <is>
          <t>VÄSTERNORRLANDS LÄN</t>
        </is>
      </c>
      <c r="E3654" t="inlineStr">
        <is>
          <t>SOLLEFTEÅ</t>
        </is>
      </c>
      <c r="G3654" t="n">
        <v>47.2</v>
      </c>
      <c r="H3654" t="n">
        <v>0</v>
      </c>
      <c r="I3654" t="n">
        <v>0</v>
      </c>
      <c r="J3654" t="n">
        <v>0</v>
      </c>
      <c r="K3654" t="n">
        <v>0</v>
      </c>
      <c r="L3654" t="n">
        <v>0</v>
      </c>
      <c r="M3654" t="n">
        <v>0</v>
      </c>
      <c r="N3654" t="n">
        <v>0</v>
      </c>
      <c r="O3654" t="n">
        <v>0</v>
      </c>
      <c r="P3654" t="n">
        <v>0</v>
      </c>
      <c r="Q3654" t="n">
        <v>0</v>
      </c>
      <c r="R3654" s="2" t="inlineStr"/>
    </row>
    <row r="3655" ht="15" customHeight="1">
      <c r="A3655" t="inlineStr">
        <is>
          <t>A 600-2025</t>
        </is>
      </c>
      <c r="B3655" s="1" t="n">
        <v>45664</v>
      </c>
      <c r="C3655" s="1" t="n">
        <v>45802</v>
      </c>
      <c r="D3655" t="inlineStr">
        <is>
          <t>VÄSTERNORRLANDS LÄN</t>
        </is>
      </c>
      <c r="E3655" t="inlineStr">
        <is>
          <t>SOLLEFTEÅ</t>
        </is>
      </c>
      <c r="F3655" t="inlineStr">
        <is>
          <t>SCA</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469-2025</t>
        </is>
      </c>
      <c r="B3656" s="1" t="n">
        <v>45664</v>
      </c>
      <c r="C3656" s="1" t="n">
        <v>45802</v>
      </c>
      <c r="D3656" t="inlineStr">
        <is>
          <t>VÄSTERNORRLANDS LÄN</t>
        </is>
      </c>
      <c r="E3656" t="inlineStr">
        <is>
          <t>SOLLEFTEÅ</t>
        </is>
      </c>
      <c r="F3656" t="inlineStr">
        <is>
          <t>SCA</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657-2025</t>
        </is>
      </c>
      <c r="B3657" s="1" t="n">
        <v>45664</v>
      </c>
      <c r="C3657" s="1" t="n">
        <v>45802</v>
      </c>
      <c r="D3657" t="inlineStr">
        <is>
          <t>VÄSTERNORRLANDS LÄN</t>
        </is>
      </c>
      <c r="E3657" t="inlineStr">
        <is>
          <t>SOLLEFTEÅ</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800-2025</t>
        </is>
      </c>
      <c r="B3658" s="1" t="n">
        <v>45664</v>
      </c>
      <c r="C3658" s="1" t="n">
        <v>45802</v>
      </c>
      <c r="D3658" t="inlineStr">
        <is>
          <t>VÄSTERNORRLANDS LÄN</t>
        </is>
      </c>
      <c r="E3658" t="inlineStr">
        <is>
          <t>SOLLEFTEÅ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892-2025</t>
        </is>
      </c>
      <c r="B3659" s="1" t="n">
        <v>45665</v>
      </c>
      <c r="C3659" s="1" t="n">
        <v>45802</v>
      </c>
      <c r="D3659" t="inlineStr">
        <is>
          <t>VÄSTERNORRLANDS LÄN</t>
        </is>
      </c>
      <c r="E3659" t="inlineStr">
        <is>
          <t>SOLLEFTEÅ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757-2025</t>
        </is>
      </c>
      <c r="B3660" s="1" t="n">
        <v>45665</v>
      </c>
      <c r="C3660" s="1" t="n">
        <v>45802</v>
      </c>
      <c r="D3660" t="inlineStr">
        <is>
          <t>VÄSTERNORRLANDS LÄN</t>
        </is>
      </c>
      <c r="E3660" t="inlineStr">
        <is>
          <t>SOLLEFTEÅ</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1089-2025</t>
        </is>
      </c>
      <c r="B3661" s="1" t="n">
        <v>45665</v>
      </c>
      <c r="C3661" s="1" t="n">
        <v>45802</v>
      </c>
      <c r="D3661" t="inlineStr">
        <is>
          <t>VÄSTERNORRLANDS LÄN</t>
        </is>
      </c>
      <c r="E3661" t="inlineStr">
        <is>
          <t>SOLLEFTEÅ</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1030-2025</t>
        </is>
      </c>
      <c r="B3662" s="1" t="n">
        <v>45666</v>
      </c>
      <c r="C3662" s="1" t="n">
        <v>45802</v>
      </c>
      <c r="D3662" t="inlineStr">
        <is>
          <t>VÄSTERNORRLANDS LÄN</t>
        </is>
      </c>
      <c r="E3662" t="inlineStr">
        <is>
          <t>SOLLEFTEÅ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1114-2025</t>
        </is>
      </c>
      <c r="B3663" s="1" t="n">
        <v>45666</v>
      </c>
      <c r="C3663" s="1" t="n">
        <v>45802</v>
      </c>
      <c r="D3663" t="inlineStr">
        <is>
          <t>VÄSTERNORRLANDS LÄN</t>
        </is>
      </c>
      <c r="E3663" t="inlineStr">
        <is>
          <t>SOLLEFTEÅ</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1096-2025</t>
        </is>
      </c>
      <c r="B3664" s="1" t="n">
        <v>45666</v>
      </c>
      <c r="C3664" s="1" t="n">
        <v>45802</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1082-2025</t>
        </is>
      </c>
      <c r="B3665" s="1" t="n">
        <v>45666</v>
      </c>
      <c r="C3665" s="1" t="n">
        <v>45802</v>
      </c>
      <c r="D3665" t="inlineStr">
        <is>
          <t>VÄSTERNORRLANDS LÄN</t>
        </is>
      </c>
      <c r="E3665" t="inlineStr">
        <is>
          <t>SOLLEFTEÅ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1029-2025</t>
        </is>
      </c>
      <c r="B3666" s="1" t="n">
        <v>45666</v>
      </c>
      <c r="C3666" s="1" t="n">
        <v>45802</v>
      </c>
      <c r="D3666" t="inlineStr">
        <is>
          <t>VÄSTERNORRLANDS LÄN</t>
        </is>
      </c>
      <c r="E3666" t="inlineStr">
        <is>
          <t>SOLLEFTEÅ</t>
        </is>
      </c>
      <c r="F3666" t="inlineStr">
        <is>
          <t>SCA</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966-2025</t>
        </is>
      </c>
      <c r="B3667" s="1" t="n">
        <v>45666</v>
      </c>
      <c r="C3667" s="1" t="n">
        <v>45802</v>
      </c>
      <c r="D3667" t="inlineStr">
        <is>
          <t>VÄSTERNORRLANDS LÄN</t>
        </is>
      </c>
      <c r="E3667" t="inlineStr">
        <is>
          <t>SOLLEFTEÅ</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967-2025</t>
        </is>
      </c>
      <c r="B3668" s="1" t="n">
        <v>45666</v>
      </c>
      <c r="C3668" s="1" t="n">
        <v>45802</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945-2025</t>
        </is>
      </c>
      <c r="B3669" s="1" t="n">
        <v>45666</v>
      </c>
      <c r="C3669" s="1" t="n">
        <v>45802</v>
      </c>
      <c r="D3669" t="inlineStr">
        <is>
          <t>VÄSTERNORRLANDS LÄN</t>
        </is>
      </c>
      <c r="E3669" t="inlineStr">
        <is>
          <t>SOLLEFTEÅ</t>
        </is>
      </c>
      <c r="F3669" t="inlineStr">
        <is>
          <t>SCA</t>
        </is>
      </c>
      <c r="G3669" t="n">
        <v>36.6</v>
      </c>
      <c r="H3669" t="n">
        <v>0</v>
      </c>
      <c r="I3669" t="n">
        <v>0</v>
      </c>
      <c r="J3669" t="n">
        <v>0</v>
      </c>
      <c r="K3669" t="n">
        <v>0</v>
      </c>
      <c r="L3669" t="n">
        <v>0</v>
      </c>
      <c r="M3669" t="n">
        <v>0</v>
      </c>
      <c r="N3669" t="n">
        <v>0</v>
      </c>
      <c r="O3669" t="n">
        <v>0</v>
      </c>
      <c r="P3669" t="n">
        <v>0</v>
      </c>
      <c r="Q3669" t="n">
        <v>0</v>
      </c>
      <c r="R3669" s="2" t="inlineStr"/>
    </row>
    <row r="3670" ht="15" customHeight="1">
      <c r="A3670" t="inlineStr">
        <is>
          <t>A 1014-2025</t>
        </is>
      </c>
      <c r="B3670" s="1" t="n">
        <v>45666</v>
      </c>
      <c r="C3670" s="1" t="n">
        <v>45802</v>
      </c>
      <c r="D3670" t="inlineStr">
        <is>
          <t>VÄSTERNORRLANDS LÄN</t>
        </is>
      </c>
      <c r="E3670" t="inlineStr">
        <is>
          <t>SOLLEFTEÅ</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1200-2025</t>
        </is>
      </c>
      <c r="B3671" s="1" t="n">
        <v>45667</v>
      </c>
      <c r="C3671" s="1" t="n">
        <v>45802</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1216-2025</t>
        </is>
      </c>
      <c r="B3672" s="1" t="n">
        <v>45667</v>
      </c>
      <c r="C3672" s="1" t="n">
        <v>45802</v>
      </c>
      <c r="D3672" t="inlineStr">
        <is>
          <t>VÄSTERNORRLANDS LÄN</t>
        </is>
      </c>
      <c r="E3672" t="inlineStr">
        <is>
          <t>SOLLEFTEÅ</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1248-2025</t>
        </is>
      </c>
      <c r="B3673" s="1" t="n">
        <v>45667</v>
      </c>
      <c r="C3673" s="1" t="n">
        <v>45802</v>
      </c>
      <c r="D3673" t="inlineStr">
        <is>
          <t>VÄSTERNORRLANDS LÄN</t>
        </is>
      </c>
      <c r="E3673" t="inlineStr">
        <is>
          <t>SOLLEFTEÅ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1176-2025</t>
        </is>
      </c>
      <c r="B3674" s="1" t="n">
        <v>45667</v>
      </c>
      <c r="C3674" s="1" t="n">
        <v>45802</v>
      </c>
      <c r="D3674" t="inlineStr">
        <is>
          <t>VÄSTERNORRLANDS LÄN</t>
        </is>
      </c>
      <c r="E3674" t="inlineStr">
        <is>
          <t>SOLLEFTEÅ</t>
        </is>
      </c>
      <c r="F3674" t="inlineStr">
        <is>
          <t>Kyrkan</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1348-2025</t>
        </is>
      </c>
      <c r="B3675" s="1" t="n">
        <v>45667</v>
      </c>
      <c r="C3675" s="1" t="n">
        <v>45802</v>
      </c>
      <c r="D3675" t="inlineStr">
        <is>
          <t>VÄSTERNORRLANDS LÄN</t>
        </is>
      </c>
      <c r="E3675" t="inlineStr">
        <is>
          <t>SOLLEFTEÅ</t>
        </is>
      </c>
      <c r="F3675" t="inlineStr">
        <is>
          <t>SCA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1218-2025</t>
        </is>
      </c>
      <c r="B3676" s="1" t="n">
        <v>45667</v>
      </c>
      <c r="C3676" s="1" t="n">
        <v>45802</v>
      </c>
      <c r="D3676" t="inlineStr">
        <is>
          <t>VÄSTERNORRLANDS LÄN</t>
        </is>
      </c>
      <c r="E3676" t="inlineStr">
        <is>
          <t>SOLLEFTEÅ</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1361-2025</t>
        </is>
      </c>
      <c r="B3677" s="1" t="n">
        <v>45667</v>
      </c>
      <c r="C3677" s="1" t="n">
        <v>45802</v>
      </c>
      <c r="D3677" t="inlineStr">
        <is>
          <t>VÄSTERNORRLANDS LÄN</t>
        </is>
      </c>
      <c r="E3677" t="inlineStr">
        <is>
          <t>SOLLEFTEÅ</t>
        </is>
      </c>
      <c r="F3677" t="inlineStr">
        <is>
          <t>SCA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1416-2025</t>
        </is>
      </c>
      <c r="B3678" s="1" t="n">
        <v>45668</v>
      </c>
      <c r="C3678" s="1" t="n">
        <v>45802</v>
      </c>
      <c r="D3678" t="inlineStr">
        <is>
          <t>VÄSTERNORRLANDS LÄN</t>
        </is>
      </c>
      <c r="E3678" t="inlineStr">
        <is>
          <t>SOLLEFTEÅ</t>
        </is>
      </c>
      <c r="G3678" t="n">
        <v>21.3</v>
      </c>
      <c r="H3678" t="n">
        <v>0</v>
      </c>
      <c r="I3678" t="n">
        <v>0</v>
      </c>
      <c r="J3678" t="n">
        <v>0</v>
      </c>
      <c r="K3678" t="n">
        <v>0</v>
      </c>
      <c r="L3678" t="n">
        <v>0</v>
      </c>
      <c r="M3678" t="n">
        <v>0</v>
      </c>
      <c r="N3678" t="n">
        <v>0</v>
      </c>
      <c r="O3678" t="n">
        <v>0</v>
      </c>
      <c r="P3678" t="n">
        <v>0</v>
      </c>
      <c r="Q3678" t="n">
        <v>0</v>
      </c>
      <c r="R3678" s="2" t="inlineStr"/>
    </row>
    <row r="3679" ht="15" customHeight="1">
      <c r="A3679" t="inlineStr">
        <is>
          <t>A 1480-2025</t>
        </is>
      </c>
      <c r="B3679" s="1" t="n">
        <v>45670</v>
      </c>
      <c r="C3679" s="1" t="n">
        <v>45802</v>
      </c>
      <c r="D3679" t="inlineStr">
        <is>
          <t>VÄSTERNORRLANDS LÄN</t>
        </is>
      </c>
      <c r="E3679" t="inlineStr">
        <is>
          <t>SOLLEFTEÅ</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1465-2025</t>
        </is>
      </c>
      <c r="B3680" s="1" t="n">
        <v>45670</v>
      </c>
      <c r="C3680" s="1" t="n">
        <v>45802</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1637-2025</t>
        </is>
      </c>
      <c r="B3681" s="1" t="n">
        <v>45670</v>
      </c>
      <c r="C3681" s="1" t="n">
        <v>45802</v>
      </c>
      <c r="D3681" t="inlineStr">
        <is>
          <t>VÄSTERNORRLANDS LÄN</t>
        </is>
      </c>
      <c r="E3681" t="inlineStr">
        <is>
          <t>SOLLEFTEÅ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1550-2025</t>
        </is>
      </c>
      <c r="B3682" s="1" t="n">
        <v>45670</v>
      </c>
      <c r="C3682" s="1" t="n">
        <v>45802</v>
      </c>
      <c r="D3682" t="inlineStr">
        <is>
          <t>VÄSTERNORRLANDS LÄN</t>
        </is>
      </c>
      <c r="E3682" t="inlineStr">
        <is>
          <t>SOLLEFTEÅ</t>
        </is>
      </c>
      <c r="F3682" t="inlineStr">
        <is>
          <t>SCA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1623-2025</t>
        </is>
      </c>
      <c r="B3683" s="1" t="n">
        <v>45670</v>
      </c>
      <c r="C3683" s="1" t="n">
        <v>45802</v>
      </c>
      <c r="D3683" t="inlineStr">
        <is>
          <t>VÄSTERNORRLANDS LÄN</t>
        </is>
      </c>
      <c r="E3683" t="inlineStr">
        <is>
          <t>SOLLEFTEÅ</t>
        </is>
      </c>
      <c r="F3683" t="inlineStr">
        <is>
          <t>SCA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1464-2025</t>
        </is>
      </c>
      <c r="B3684" s="1" t="n">
        <v>45670</v>
      </c>
      <c r="C3684" s="1" t="n">
        <v>45802</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1466-2025</t>
        </is>
      </c>
      <c r="B3685" s="1" t="n">
        <v>45670</v>
      </c>
      <c r="C3685" s="1" t="n">
        <v>45802</v>
      </c>
      <c r="D3685" t="inlineStr">
        <is>
          <t>VÄSTERNORRLANDS LÄN</t>
        </is>
      </c>
      <c r="E3685" t="inlineStr">
        <is>
          <t>SOLLEFTEÅ</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1909-2025</t>
        </is>
      </c>
      <c r="B3686" s="1" t="n">
        <v>45671</v>
      </c>
      <c r="C3686" s="1" t="n">
        <v>45802</v>
      </c>
      <c r="D3686" t="inlineStr">
        <is>
          <t>VÄSTERNORRLANDS LÄN</t>
        </is>
      </c>
      <c r="E3686" t="inlineStr">
        <is>
          <t>SOLLEFTEÅ</t>
        </is>
      </c>
      <c r="F3686" t="inlineStr">
        <is>
          <t>SCA</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2048-2025</t>
        </is>
      </c>
      <c r="B3687" s="1" t="n">
        <v>45671</v>
      </c>
      <c r="C3687" s="1" t="n">
        <v>45802</v>
      </c>
      <c r="D3687" t="inlineStr">
        <is>
          <t>VÄSTERNORRLANDS LÄN</t>
        </is>
      </c>
      <c r="E3687" t="inlineStr">
        <is>
          <t>SOLLEFTEÅ</t>
        </is>
      </c>
      <c r="G3687" t="n">
        <v>13.5</v>
      </c>
      <c r="H3687" t="n">
        <v>0</v>
      </c>
      <c r="I3687" t="n">
        <v>0</v>
      </c>
      <c r="J3687" t="n">
        <v>0</v>
      </c>
      <c r="K3687" t="n">
        <v>0</v>
      </c>
      <c r="L3687" t="n">
        <v>0</v>
      </c>
      <c r="M3687" t="n">
        <v>0</v>
      </c>
      <c r="N3687" t="n">
        <v>0</v>
      </c>
      <c r="O3687" t="n">
        <v>0</v>
      </c>
      <c r="P3687" t="n">
        <v>0</v>
      </c>
      <c r="Q3687" t="n">
        <v>0</v>
      </c>
      <c r="R3687" s="2" t="inlineStr"/>
    </row>
    <row r="3688" ht="15" customHeight="1">
      <c r="A3688" t="inlineStr">
        <is>
          <t>A 1910-2025</t>
        </is>
      </c>
      <c r="B3688" s="1" t="n">
        <v>45671</v>
      </c>
      <c r="C3688" s="1" t="n">
        <v>45802</v>
      </c>
      <c r="D3688" t="inlineStr">
        <is>
          <t>VÄSTERNORRLANDS LÄN</t>
        </is>
      </c>
      <c r="E3688" t="inlineStr">
        <is>
          <t>SOLLEFTEÅ</t>
        </is>
      </c>
      <c r="F3688" t="inlineStr">
        <is>
          <t>SCA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1927-2025</t>
        </is>
      </c>
      <c r="B3689" s="1" t="n">
        <v>45671</v>
      </c>
      <c r="C3689" s="1" t="n">
        <v>45802</v>
      </c>
      <c r="D3689" t="inlineStr">
        <is>
          <t>VÄSTERNORRLANDS LÄN</t>
        </is>
      </c>
      <c r="E3689" t="inlineStr">
        <is>
          <t>SOLLEFTEÅ</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1928-2025</t>
        </is>
      </c>
      <c r="B3690" s="1" t="n">
        <v>45671</v>
      </c>
      <c r="C3690" s="1" t="n">
        <v>45802</v>
      </c>
      <c r="D3690" t="inlineStr">
        <is>
          <t>VÄSTERNORRLANDS LÄN</t>
        </is>
      </c>
      <c r="E3690" t="inlineStr">
        <is>
          <t>SOLLEFTEÅ</t>
        </is>
      </c>
      <c r="F3690" t="inlineStr">
        <is>
          <t>SCA</t>
        </is>
      </c>
      <c r="G3690" t="n">
        <v>12.9</v>
      </c>
      <c r="H3690" t="n">
        <v>0</v>
      </c>
      <c r="I3690" t="n">
        <v>0</v>
      </c>
      <c r="J3690" t="n">
        <v>0</v>
      </c>
      <c r="K3690" t="n">
        <v>0</v>
      </c>
      <c r="L3690" t="n">
        <v>0</v>
      </c>
      <c r="M3690" t="n">
        <v>0</v>
      </c>
      <c r="N3690" t="n">
        <v>0</v>
      </c>
      <c r="O3690" t="n">
        <v>0</v>
      </c>
      <c r="P3690" t="n">
        <v>0</v>
      </c>
      <c r="Q3690" t="n">
        <v>0</v>
      </c>
      <c r="R3690" s="2" t="inlineStr"/>
    </row>
    <row r="3691" ht="15" customHeight="1">
      <c r="A3691" t="inlineStr">
        <is>
          <t>A 2044-2025</t>
        </is>
      </c>
      <c r="B3691" s="1" t="n">
        <v>45672</v>
      </c>
      <c r="C3691" s="1" t="n">
        <v>45802</v>
      </c>
      <c r="D3691" t="inlineStr">
        <is>
          <t>VÄSTERNORRLANDS LÄN</t>
        </is>
      </c>
      <c r="E3691" t="inlineStr">
        <is>
          <t>SOLLEFTEÅ</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2045-2025</t>
        </is>
      </c>
      <c r="B3692" s="1" t="n">
        <v>45672</v>
      </c>
      <c r="C3692" s="1" t="n">
        <v>45802</v>
      </c>
      <c r="D3692" t="inlineStr">
        <is>
          <t>VÄSTERNORRLANDS LÄN</t>
        </is>
      </c>
      <c r="E3692" t="inlineStr">
        <is>
          <t>SOLLEFTEÅ</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2140-2025</t>
        </is>
      </c>
      <c r="B3693" s="1" t="n">
        <v>45672</v>
      </c>
      <c r="C3693" s="1" t="n">
        <v>45802</v>
      </c>
      <c r="D3693" t="inlineStr">
        <is>
          <t>VÄSTERNORRLANDS LÄN</t>
        </is>
      </c>
      <c r="E3693" t="inlineStr">
        <is>
          <t>SOLLEFTEÅ</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1986-2025</t>
        </is>
      </c>
      <c r="B3694" s="1" t="n">
        <v>45672</v>
      </c>
      <c r="C3694" s="1" t="n">
        <v>45802</v>
      </c>
      <c r="D3694" t="inlineStr">
        <is>
          <t>VÄSTERNORRLANDS LÄN</t>
        </is>
      </c>
      <c r="E3694" t="inlineStr">
        <is>
          <t>SOLLEFTEÅ</t>
        </is>
      </c>
      <c r="F3694" t="inlineStr">
        <is>
          <t>SCA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2000-2025</t>
        </is>
      </c>
      <c r="B3695" s="1" t="n">
        <v>45672</v>
      </c>
      <c r="C3695" s="1" t="n">
        <v>45802</v>
      </c>
      <c r="D3695" t="inlineStr">
        <is>
          <t>VÄSTERNORRLANDS LÄN</t>
        </is>
      </c>
      <c r="E3695" t="inlineStr">
        <is>
          <t>SOLLEFTEÅ</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2188-2025</t>
        </is>
      </c>
      <c r="B3696" s="1" t="n">
        <v>45673</v>
      </c>
      <c r="C3696" s="1" t="n">
        <v>45802</v>
      </c>
      <c r="D3696" t="inlineStr">
        <is>
          <t>VÄSTERNORRLANDS LÄN</t>
        </is>
      </c>
      <c r="E3696" t="inlineStr">
        <is>
          <t>SOLLEFTEÅ</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2198-2025</t>
        </is>
      </c>
      <c r="B3697" s="1" t="n">
        <v>45673</v>
      </c>
      <c r="C3697" s="1" t="n">
        <v>45802</v>
      </c>
      <c r="D3697" t="inlineStr">
        <is>
          <t>VÄSTERNORRLANDS LÄN</t>
        </is>
      </c>
      <c r="E3697" t="inlineStr">
        <is>
          <t>SOLLEFTEÅ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2185-2025</t>
        </is>
      </c>
      <c r="B3698" s="1" t="n">
        <v>45673</v>
      </c>
      <c r="C3698" s="1" t="n">
        <v>45802</v>
      </c>
      <c r="D3698" t="inlineStr">
        <is>
          <t>VÄSTERNORRLANDS LÄN</t>
        </is>
      </c>
      <c r="E3698" t="inlineStr">
        <is>
          <t>SOLLEFTEÅ</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2348-2025</t>
        </is>
      </c>
      <c r="B3699" s="1" t="n">
        <v>45673</v>
      </c>
      <c r="C3699" s="1" t="n">
        <v>45802</v>
      </c>
      <c r="D3699" t="inlineStr">
        <is>
          <t>VÄSTERNORRLANDS LÄN</t>
        </is>
      </c>
      <c r="E3699" t="inlineStr">
        <is>
          <t>SOLLEFTEÅ</t>
        </is>
      </c>
      <c r="F3699" t="inlineStr">
        <is>
          <t>SCA</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2345-2025</t>
        </is>
      </c>
      <c r="B3700" s="1" t="n">
        <v>45673</v>
      </c>
      <c r="C3700" s="1" t="n">
        <v>45802</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2346-2025</t>
        </is>
      </c>
      <c r="B3701" s="1" t="n">
        <v>45673</v>
      </c>
      <c r="C3701" s="1" t="n">
        <v>45802</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2456-2025</t>
        </is>
      </c>
      <c r="B3702" s="1" t="n">
        <v>45673</v>
      </c>
      <c r="C3702" s="1" t="n">
        <v>45802</v>
      </c>
      <c r="D3702" t="inlineStr">
        <is>
          <t>VÄSTERNORRLANDS LÄN</t>
        </is>
      </c>
      <c r="E3702" t="inlineStr">
        <is>
          <t>SOLLEFTEÅ</t>
        </is>
      </c>
      <c r="F3702" t="inlineStr">
        <is>
          <t>Kommuner</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2582-2025</t>
        </is>
      </c>
      <c r="B3703" s="1" t="n">
        <v>45674</v>
      </c>
      <c r="C3703" s="1" t="n">
        <v>45802</v>
      </c>
      <c r="D3703" t="inlineStr">
        <is>
          <t>VÄSTERNORRLANDS LÄN</t>
        </is>
      </c>
      <c r="E3703" t="inlineStr">
        <is>
          <t>SOLLEFTEÅ</t>
        </is>
      </c>
      <c r="F3703" t="inlineStr">
        <is>
          <t>SCA</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2580-2025</t>
        </is>
      </c>
      <c r="B3704" s="1" t="n">
        <v>45674</v>
      </c>
      <c r="C3704" s="1" t="n">
        <v>45802</v>
      </c>
      <c r="D3704" t="inlineStr">
        <is>
          <t>VÄSTERNORRLANDS LÄN</t>
        </is>
      </c>
      <c r="E3704" t="inlineStr">
        <is>
          <t>SOLLEFTEÅ</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2583-2025</t>
        </is>
      </c>
      <c r="B3705" s="1" t="n">
        <v>45674</v>
      </c>
      <c r="C3705" s="1" t="n">
        <v>45802</v>
      </c>
      <c r="D3705" t="inlineStr">
        <is>
          <t>VÄSTERNORRLANDS LÄN</t>
        </is>
      </c>
      <c r="E3705" t="inlineStr">
        <is>
          <t>SOLLEFTEÅ</t>
        </is>
      </c>
      <c r="F3705" t="inlineStr">
        <is>
          <t>SCA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2502-2025</t>
        </is>
      </c>
      <c r="B3706" s="1" t="n">
        <v>45674</v>
      </c>
      <c r="C3706" s="1" t="n">
        <v>45802</v>
      </c>
      <c r="D3706" t="inlineStr">
        <is>
          <t>VÄSTERNORRLANDS LÄN</t>
        </is>
      </c>
      <c r="E3706" t="inlineStr">
        <is>
          <t>SOLLEFTEÅ</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2481-2025</t>
        </is>
      </c>
      <c r="B3707" s="1" t="n">
        <v>45674</v>
      </c>
      <c r="C3707" s="1" t="n">
        <v>45802</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2446-2025</t>
        </is>
      </c>
      <c r="B3708" s="1" t="n">
        <v>45674</v>
      </c>
      <c r="C3708" s="1" t="n">
        <v>45802</v>
      </c>
      <c r="D3708" t="inlineStr">
        <is>
          <t>VÄSTERNORRLANDS LÄN</t>
        </is>
      </c>
      <c r="E3708" t="inlineStr">
        <is>
          <t>SOLLEFTEÅ</t>
        </is>
      </c>
      <c r="F3708" t="inlineStr">
        <is>
          <t>SCA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2438-2025</t>
        </is>
      </c>
      <c r="B3709" s="1" t="n">
        <v>45674</v>
      </c>
      <c r="C3709" s="1" t="n">
        <v>45802</v>
      </c>
      <c r="D3709" t="inlineStr">
        <is>
          <t>VÄSTERNORRLANDS LÄN</t>
        </is>
      </c>
      <c r="E3709" t="inlineStr">
        <is>
          <t>SOLLEFTEÅ</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2431-2025</t>
        </is>
      </c>
      <c r="B3710" s="1" t="n">
        <v>45674</v>
      </c>
      <c r="C3710" s="1" t="n">
        <v>45802</v>
      </c>
      <c r="D3710" t="inlineStr">
        <is>
          <t>VÄSTERNORRLANDS LÄN</t>
        </is>
      </c>
      <c r="E3710" t="inlineStr">
        <is>
          <t>SOLLEFTEÅ</t>
        </is>
      </c>
      <c r="F3710" t="inlineStr">
        <is>
          <t>SCA</t>
        </is>
      </c>
      <c r="G3710" t="n">
        <v>19.2</v>
      </c>
      <c r="H3710" t="n">
        <v>0</v>
      </c>
      <c r="I3710" t="n">
        <v>0</v>
      </c>
      <c r="J3710" t="n">
        <v>0</v>
      </c>
      <c r="K3710" t="n">
        <v>0</v>
      </c>
      <c r="L3710" t="n">
        <v>0</v>
      </c>
      <c r="M3710" t="n">
        <v>0</v>
      </c>
      <c r="N3710" t="n">
        <v>0</v>
      </c>
      <c r="O3710" t="n">
        <v>0</v>
      </c>
      <c r="P3710" t="n">
        <v>0</v>
      </c>
      <c r="Q3710" t="n">
        <v>0</v>
      </c>
      <c r="R3710" s="2" t="inlineStr"/>
    </row>
    <row r="3711" ht="15" customHeight="1">
      <c r="A3711" t="inlineStr">
        <is>
          <t>A 2422-2025</t>
        </is>
      </c>
      <c r="B3711" s="1" t="n">
        <v>45674</v>
      </c>
      <c r="C3711" s="1" t="n">
        <v>45802</v>
      </c>
      <c r="D3711" t="inlineStr">
        <is>
          <t>VÄSTERNORRLANDS LÄN</t>
        </is>
      </c>
      <c r="E3711" t="inlineStr">
        <is>
          <t>SOLLEFTEÅ</t>
        </is>
      </c>
      <c r="F3711" t="inlineStr">
        <is>
          <t>SCA</t>
        </is>
      </c>
      <c r="G3711" t="n">
        <v>27.9</v>
      </c>
      <c r="H3711" t="n">
        <v>0</v>
      </c>
      <c r="I3711" t="n">
        <v>0</v>
      </c>
      <c r="J3711" t="n">
        <v>0</v>
      </c>
      <c r="K3711" t="n">
        <v>0</v>
      </c>
      <c r="L3711" t="n">
        <v>0</v>
      </c>
      <c r="M3711" t="n">
        <v>0</v>
      </c>
      <c r="N3711" t="n">
        <v>0</v>
      </c>
      <c r="O3711" t="n">
        <v>0</v>
      </c>
      <c r="P3711" t="n">
        <v>0</v>
      </c>
      <c r="Q3711" t="n">
        <v>0</v>
      </c>
      <c r="R3711" s="2" t="inlineStr"/>
    </row>
    <row r="3712" ht="15" customHeight="1">
      <c r="A3712" t="inlineStr">
        <is>
          <t>A 2677-2025</t>
        </is>
      </c>
      <c r="B3712" s="1" t="n">
        <v>45677</v>
      </c>
      <c r="C3712" s="1" t="n">
        <v>45802</v>
      </c>
      <c r="D3712" t="inlineStr">
        <is>
          <t>VÄSTERNORRLANDS LÄN</t>
        </is>
      </c>
      <c r="E3712" t="inlineStr">
        <is>
          <t>SOLLEFTEÅ</t>
        </is>
      </c>
      <c r="F3712" t="inlineStr">
        <is>
          <t>SCA</t>
        </is>
      </c>
      <c r="G3712" t="n">
        <v>11.9</v>
      </c>
      <c r="H3712" t="n">
        <v>0</v>
      </c>
      <c r="I3712" t="n">
        <v>0</v>
      </c>
      <c r="J3712" t="n">
        <v>0</v>
      </c>
      <c r="K3712" t="n">
        <v>0</v>
      </c>
      <c r="L3712" t="n">
        <v>0</v>
      </c>
      <c r="M3712" t="n">
        <v>0</v>
      </c>
      <c r="N3712" t="n">
        <v>0</v>
      </c>
      <c r="O3712" t="n">
        <v>0</v>
      </c>
      <c r="P3712" t="n">
        <v>0</v>
      </c>
      <c r="Q3712" t="n">
        <v>0</v>
      </c>
      <c r="R3712" s="2" t="inlineStr"/>
    </row>
    <row r="3713" ht="15" customHeight="1">
      <c r="A3713" t="inlineStr">
        <is>
          <t>A 2699-2025</t>
        </is>
      </c>
      <c r="B3713" s="1" t="n">
        <v>45677</v>
      </c>
      <c r="C3713" s="1" t="n">
        <v>45802</v>
      </c>
      <c r="D3713" t="inlineStr">
        <is>
          <t>VÄSTERNORRLANDS LÄN</t>
        </is>
      </c>
      <c r="E3713" t="inlineStr">
        <is>
          <t>SOLLEFTEÅ</t>
        </is>
      </c>
      <c r="F3713" t="inlineStr">
        <is>
          <t>SCA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2883-2025</t>
        </is>
      </c>
      <c r="B3714" s="1" t="n">
        <v>45677</v>
      </c>
      <c r="C3714" s="1" t="n">
        <v>45802</v>
      </c>
      <c r="D3714" t="inlineStr">
        <is>
          <t>VÄSTERNORRLANDS LÄN</t>
        </is>
      </c>
      <c r="E3714" t="inlineStr">
        <is>
          <t>SOLLEFTEÅ</t>
        </is>
      </c>
      <c r="F3714" t="inlineStr">
        <is>
          <t>SCA</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2685-2025</t>
        </is>
      </c>
      <c r="B3715" s="1" t="n">
        <v>45677</v>
      </c>
      <c r="C3715" s="1" t="n">
        <v>45802</v>
      </c>
      <c r="D3715" t="inlineStr">
        <is>
          <t>VÄSTERNORRLANDS LÄN</t>
        </is>
      </c>
      <c r="E3715" t="inlineStr">
        <is>
          <t>SOLLEFTEÅ</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2969-2025</t>
        </is>
      </c>
      <c r="B3716" s="1" t="n">
        <v>45678</v>
      </c>
      <c r="C3716" s="1" t="n">
        <v>45802</v>
      </c>
      <c r="D3716" t="inlineStr">
        <is>
          <t>VÄSTERNORRLANDS LÄN</t>
        </is>
      </c>
      <c r="E3716" t="inlineStr">
        <is>
          <t>SOLLEFTEÅ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3096-2025</t>
        </is>
      </c>
      <c r="B3717" s="1" t="n">
        <v>45678</v>
      </c>
      <c r="C3717" s="1" t="n">
        <v>45802</v>
      </c>
      <c r="D3717" t="inlineStr">
        <is>
          <t>VÄSTERNORRLANDS LÄN</t>
        </is>
      </c>
      <c r="E3717" t="inlineStr">
        <is>
          <t>SOLLEFTEÅ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3080-2025</t>
        </is>
      </c>
      <c r="B3718" s="1" t="n">
        <v>45678</v>
      </c>
      <c r="C3718" s="1" t="n">
        <v>45802</v>
      </c>
      <c r="D3718" t="inlineStr">
        <is>
          <t>VÄSTERNORRLANDS LÄN</t>
        </is>
      </c>
      <c r="E3718" t="inlineStr">
        <is>
          <t>SOLLEFTEÅ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2983-2025</t>
        </is>
      </c>
      <c r="B3719" s="1" t="n">
        <v>45678</v>
      </c>
      <c r="C3719" s="1" t="n">
        <v>45802</v>
      </c>
      <c r="D3719" t="inlineStr">
        <is>
          <t>VÄSTERNORRLANDS LÄN</t>
        </is>
      </c>
      <c r="E3719" t="inlineStr">
        <is>
          <t>SOLLEFTEÅ</t>
        </is>
      </c>
      <c r="F3719" t="inlineStr">
        <is>
          <t>SCA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3082-2025</t>
        </is>
      </c>
      <c r="B3720" s="1" t="n">
        <v>45678</v>
      </c>
      <c r="C3720" s="1" t="n">
        <v>45802</v>
      </c>
      <c r="D3720" t="inlineStr">
        <is>
          <t>VÄSTERNORRLANDS LÄN</t>
        </is>
      </c>
      <c r="E3720" t="inlineStr">
        <is>
          <t>SOLLEFTEÅ</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3081-2025</t>
        </is>
      </c>
      <c r="B3721" s="1" t="n">
        <v>45678</v>
      </c>
      <c r="C3721" s="1" t="n">
        <v>45802</v>
      </c>
      <c r="D3721" t="inlineStr">
        <is>
          <t>VÄSTERNORRLANDS LÄN</t>
        </is>
      </c>
      <c r="E3721" t="inlineStr">
        <is>
          <t>SOLLEFTEÅ</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3095-2025</t>
        </is>
      </c>
      <c r="B3722" s="1" t="n">
        <v>45678</v>
      </c>
      <c r="C3722" s="1" t="n">
        <v>45802</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3103-2025</t>
        </is>
      </c>
      <c r="B3723" s="1" t="n">
        <v>45678</v>
      </c>
      <c r="C3723" s="1" t="n">
        <v>45802</v>
      </c>
      <c r="D3723" t="inlineStr">
        <is>
          <t>VÄSTERNORRLANDS LÄN</t>
        </is>
      </c>
      <c r="E3723" t="inlineStr">
        <is>
          <t>SOLLEFTEÅ</t>
        </is>
      </c>
      <c r="F3723" t="inlineStr">
        <is>
          <t>SCA</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3054-2025</t>
        </is>
      </c>
      <c r="B3724" s="1" t="n">
        <v>45678</v>
      </c>
      <c r="C3724" s="1" t="n">
        <v>45802</v>
      </c>
      <c r="D3724" t="inlineStr">
        <is>
          <t>VÄSTERNORRLANDS LÄN</t>
        </is>
      </c>
      <c r="E3724" t="inlineStr">
        <is>
          <t>SOLLEFTEÅ</t>
        </is>
      </c>
      <c r="F3724" t="inlineStr">
        <is>
          <t>SCA</t>
        </is>
      </c>
      <c r="G3724" t="n">
        <v>9.5</v>
      </c>
      <c r="H3724" t="n">
        <v>0</v>
      </c>
      <c r="I3724" t="n">
        <v>0</v>
      </c>
      <c r="J3724" t="n">
        <v>0</v>
      </c>
      <c r="K3724" t="n">
        <v>0</v>
      </c>
      <c r="L3724" t="n">
        <v>0</v>
      </c>
      <c r="M3724" t="n">
        <v>0</v>
      </c>
      <c r="N3724" t="n">
        <v>0</v>
      </c>
      <c r="O3724" t="n">
        <v>0</v>
      </c>
      <c r="P3724" t="n">
        <v>0</v>
      </c>
      <c r="Q3724" t="n">
        <v>0</v>
      </c>
      <c r="R3724" s="2" t="inlineStr"/>
    </row>
    <row r="3725" ht="15" customHeight="1">
      <c r="A3725" t="inlineStr">
        <is>
          <t>A 2939-2025</t>
        </is>
      </c>
      <c r="B3725" s="1" t="n">
        <v>45678</v>
      </c>
      <c r="C3725" s="1" t="n">
        <v>45802</v>
      </c>
      <c r="D3725" t="inlineStr">
        <is>
          <t>VÄSTERNORRLANDS LÄN</t>
        </is>
      </c>
      <c r="E3725" t="inlineStr">
        <is>
          <t>SOLLEFTEÅ</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3319-2025</t>
        </is>
      </c>
      <c r="B3726" s="1" t="n">
        <v>45679</v>
      </c>
      <c r="C3726" s="1" t="n">
        <v>45802</v>
      </c>
      <c r="D3726" t="inlineStr">
        <is>
          <t>VÄSTERNORRLANDS LÄN</t>
        </is>
      </c>
      <c r="E3726" t="inlineStr">
        <is>
          <t>SOLLEFTEÅ</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3323-2025</t>
        </is>
      </c>
      <c r="B3727" s="1" t="n">
        <v>45679</v>
      </c>
      <c r="C3727" s="1" t="n">
        <v>45802</v>
      </c>
      <c r="D3727" t="inlineStr">
        <is>
          <t>VÄSTERNORRLANDS LÄN</t>
        </is>
      </c>
      <c r="E3727" t="inlineStr">
        <is>
          <t>SOLLEFTEÅ</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3321-2025</t>
        </is>
      </c>
      <c r="B3728" s="1" t="n">
        <v>45679</v>
      </c>
      <c r="C3728" s="1" t="n">
        <v>45802</v>
      </c>
      <c r="D3728" t="inlineStr">
        <is>
          <t>VÄSTERNORRLANDS LÄN</t>
        </is>
      </c>
      <c r="E3728" t="inlineStr">
        <is>
          <t>SOLLEFTEÅ</t>
        </is>
      </c>
      <c r="F3728" t="inlineStr">
        <is>
          <t>SCA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3368-2025</t>
        </is>
      </c>
      <c r="B3729" s="1" t="n">
        <v>45679</v>
      </c>
      <c r="C3729" s="1" t="n">
        <v>45802</v>
      </c>
      <c r="D3729" t="inlineStr">
        <is>
          <t>VÄSTERNORRLANDS LÄN</t>
        </is>
      </c>
      <c r="E3729" t="inlineStr">
        <is>
          <t>SOLLEFTEÅ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3275-2025</t>
        </is>
      </c>
      <c r="B3730" s="1" t="n">
        <v>45679</v>
      </c>
      <c r="C3730" s="1" t="n">
        <v>45802</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3207-2025</t>
        </is>
      </c>
      <c r="B3731" s="1" t="n">
        <v>45679</v>
      </c>
      <c r="C3731" s="1" t="n">
        <v>45802</v>
      </c>
      <c r="D3731" t="inlineStr">
        <is>
          <t>VÄSTERNORRLANDS LÄN</t>
        </is>
      </c>
      <c r="E3731" t="inlineStr">
        <is>
          <t>SOLLEFTEÅ</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3203-2025</t>
        </is>
      </c>
      <c r="B3732" s="1" t="n">
        <v>45679</v>
      </c>
      <c r="C3732" s="1" t="n">
        <v>45802</v>
      </c>
      <c r="D3732" t="inlineStr">
        <is>
          <t>VÄSTERNORRLANDS LÄN</t>
        </is>
      </c>
      <c r="E3732" t="inlineStr">
        <is>
          <t>SOLLEFTEÅ</t>
        </is>
      </c>
      <c r="F3732" t="inlineStr">
        <is>
          <t>SCA</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3208-2025</t>
        </is>
      </c>
      <c r="B3733" s="1" t="n">
        <v>45679</v>
      </c>
      <c r="C3733" s="1" t="n">
        <v>45802</v>
      </c>
      <c r="D3733" t="inlineStr">
        <is>
          <t>VÄSTERNORRLANDS LÄN</t>
        </is>
      </c>
      <c r="E3733" t="inlineStr">
        <is>
          <t>SOLLEFTEÅ</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3194-2025</t>
        </is>
      </c>
      <c r="B3734" s="1" t="n">
        <v>45679</v>
      </c>
      <c r="C3734" s="1" t="n">
        <v>45802</v>
      </c>
      <c r="D3734" t="inlineStr">
        <is>
          <t>VÄSTERNORRLANDS LÄN</t>
        </is>
      </c>
      <c r="E3734" t="inlineStr">
        <is>
          <t>SOLLEFTEÅ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3276-2025</t>
        </is>
      </c>
      <c r="B3735" s="1" t="n">
        <v>45679</v>
      </c>
      <c r="C3735" s="1" t="n">
        <v>45802</v>
      </c>
      <c r="D3735" t="inlineStr">
        <is>
          <t>VÄSTERNORRLANDS LÄN</t>
        </is>
      </c>
      <c r="E3735" t="inlineStr">
        <is>
          <t>SOLLEFTEÅ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3324-2025</t>
        </is>
      </c>
      <c r="B3736" s="1" t="n">
        <v>45679</v>
      </c>
      <c r="C3736" s="1" t="n">
        <v>45802</v>
      </c>
      <c r="D3736" t="inlineStr">
        <is>
          <t>VÄSTERNORRLANDS LÄN</t>
        </is>
      </c>
      <c r="E3736" t="inlineStr">
        <is>
          <t>SOLLEFTEÅ</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3435-2025</t>
        </is>
      </c>
      <c r="B3737" s="1" t="n">
        <v>45680</v>
      </c>
      <c r="C3737" s="1" t="n">
        <v>45802</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3424-2025</t>
        </is>
      </c>
      <c r="B3738" s="1" t="n">
        <v>45680</v>
      </c>
      <c r="C3738" s="1" t="n">
        <v>45802</v>
      </c>
      <c r="D3738" t="inlineStr">
        <is>
          <t>VÄSTERNORRLANDS LÄN</t>
        </is>
      </c>
      <c r="E3738" t="inlineStr">
        <is>
          <t>SOLLEFTEÅ</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3432-2025</t>
        </is>
      </c>
      <c r="B3739" s="1" t="n">
        <v>45680</v>
      </c>
      <c r="C3739" s="1" t="n">
        <v>45802</v>
      </c>
      <c r="D3739" t="inlineStr">
        <is>
          <t>VÄSTERNORRLANDS LÄN</t>
        </is>
      </c>
      <c r="E3739" t="inlineStr">
        <is>
          <t>SOLLEFTEÅ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3537-2025</t>
        </is>
      </c>
      <c r="B3740" s="1" t="n">
        <v>45680</v>
      </c>
      <c r="C3740" s="1" t="n">
        <v>45802</v>
      </c>
      <c r="D3740" t="inlineStr">
        <is>
          <t>VÄSTERNORRLANDS LÄN</t>
        </is>
      </c>
      <c r="E3740" t="inlineStr">
        <is>
          <t>SOLLEFTEÅ</t>
        </is>
      </c>
      <c r="F3740" t="inlineStr">
        <is>
          <t>SCA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3414-2025</t>
        </is>
      </c>
      <c r="B3741" s="1" t="n">
        <v>45680</v>
      </c>
      <c r="C3741" s="1" t="n">
        <v>45802</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3786-2025</t>
        </is>
      </c>
      <c r="B3742" s="1" t="n">
        <v>45681</v>
      </c>
      <c r="C3742" s="1" t="n">
        <v>45802</v>
      </c>
      <c r="D3742" t="inlineStr">
        <is>
          <t>VÄSTERNORRLANDS LÄN</t>
        </is>
      </c>
      <c r="E3742" t="inlineStr">
        <is>
          <t>SOLLEFTEÅ</t>
        </is>
      </c>
      <c r="F3742" t="inlineStr">
        <is>
          <t>SCA</t>
        </is>
      </c>
      <c r="G3742" t="n">
        <v>31.9</v>
      </c>
      <c r="H3742" t="n">
        <v>0</v>
      </c>
      <c r="I3742" t="n">
        <v>0</v>
      </c>
      <c r="J3742" t="n">
        <v>0</v>
      </c>
      <c r="K3742" t="n">
        <v>0</v>
      </c>
      <c r="L3742" t="n">
        <v>0</v>
      </c>
      <c r="M3742" t="n">
        <v>0</v>
      </c>
      <c r="N3742" t="n">
        <v>0</v>
      </c>
      <c r="O3742" t="n">
        <v>0</v>
      </c>
      <c r="P3742" t="n">
        <v>0</v>
      </c>
      <c r="Q3742" t="n">
        <v>0</v>
      </c>
      <c r="R3742" s="2" t="inlineStr"/>
    </row>
    <row r="3743" ht="15" customHeight="1">
      <c r="A3743" t="inlineStr">
        <is>
          <t>A 3725-2025</t>
        </is>
      </c>
      <c r="B3743" s="1" t="n">
        <v>45681</v>
      </c>
      <c r="C3743" s="1" t="n">
        <v>45802</v>
      </c>
      <c r="D3743" t="inlineStr">
        <is>
          <t>VÄSTERNORRLANDS LÄN</t>
        </is>
      </c>
      <c r="E3743" t="inlineStr">
        <is>
          <t>SOLLEFTEÅ</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3808-2025</t>
        </is>
      </c>
      <c r="B3744" s="1" t="n">
        <v>45681</v>
      </c>
      <c r="C3744" s="1" t="n">
        <v>45802</v>
      </c>
      <c r="D3744" t="inlineStr">
        <is>
          <t>VÄSTERNORRLANDS LÄN</t>
        </is>
      </c>
      <c r="E3744" t="inlineStr">
        <is>
          <t>SOLLEFTEÅ</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3712-2025</t>
        </is>
      </c>
      <c r="B3745" s="1" t="n">
        <v>45681</v>
      </c>
      <c r="C3745" s="1" t="n">
        <v>45802</v>
      </c>
      <c r="D3745" t="inlineStr">
        <is>
          <t>VÄSTERNORRLANDS LÄN</t>
        </is>
      </c>
      <c r="E3745" t="inlineStr">
        <is>
          <t>SOLLEFTEÅ</t>
        </is>
      </c>
      <c r="F3745" t="inlineStr">
        <is>
          <t>SCA</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3750-2025</t>
        </is>
      </c>
      <c r="B3746" s="1" t="n">
        <v>45681</v>
      </c>
      <c r="C3746" s="1" t="n">
        <v>45802</v>
      </c>
      <c r="D3746" t="inlineStr">
        <is>
          <t>VÄSTERNORRLANDS LÄN</t>
        </is>
      </c>
      <c r="E3746" t="inlineStr">
        <is>
          <t>SOLLEFTEÅ</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3714-2025</t>
        </is>
      </c>
      <c r="B3747" s="1" t="n">
        <v>45681</v>
      </c>
      <c r="C3747" s="1" t="n">
        <v>45802</v>
      </c>
      <c r="D3747" t="inlineStr">
        <is>
          <t>VÄSTERNORRLANDS LÄN</t>
        </is>
      </c>
      <c r="E3747" t="inlineStr">
        <is>
          <t>SOLLEFTEÅ</t>
        </is>
      </c>
      <c r="F3747" t="inlineStr">
        <is>
          <t>SCA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4031-2025</t>
        </is>
      </c>
      <c r="B3748" s="1" t="n">
        <v>45684</v>
      </c>
      <c r="C3748" s="1" t="n">
        <v>45802</v>
      </c>
      <c r="D3748" t="inlineStr">
        <is>
          <t>VÄSTERNORRLANDS LÄN</t>
        </is>
      </c>
      <c r="E3748" t="inlineStr">
        <is>
          <t>SOLLEFTEÅ</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3873-2025</t>
        </is>
      </c>
      <c r="B3749" s="1" t="n">
        <v>45684</v>
      </c>
      <c r="C3749" s="1" t="n">
        <v>45802</v>
      </c>
      <c r="D3749" t="inlineStr">
        <is>
          <t>VÄSTERNORRLANDS LÄN</t>
        </is>
      </c>
      <c r="E3749" t="inlineStr">
        <is>
          <t>SOLLEFTEÅ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4158-2025</t>
        </is>
      </c>
      <c r="B3750" s="1" t="n">
        <v>45685</v>
      </c>
      <c r="C3750" s="1" t="n">
        <v>45802</v>
      </c>
      <c r="D3750" t="inlineStr">
        <is>
          <t>VÄSTERNORRLANDS LÄN</t>
        </is>
      </c>
      <c r="E3750" t="inlineStr">
        <is>
          <t>SOLLEFTEÅ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4253-2025</t>
        </is>
      </c>
      <c r="B3751" s="1" t="n">
        <v>45685</v>
      </c>
      <c r="C3751" s="1" t="n">
        <v>45802</v>
      </c>
      <c r="D3751" t="inlineStr">
        <is>
          <t>VÄSTERNORRLANDS LÄN</t>
        </is>
      </c>
      <c r="E3751" t="inlineStr">
        <is>
          <t>SOLLEFTEÅ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4133-2025</t>
        </is>
      </c>
      <c r="B3752" s="1" t="n">
        <v>45685</v>
      </c>
      <c r="C3752" s="1" t="n">
        <v>45802</v>
      </c>
      <c r="D3752" t="inlineStr">
        <is>
          <t>VÄSTERNORRLANDS LÄN</t>
        </is>
      </c>
      <c r="E3752" t="inlineStr">
        <is>
          <t>SOLLEFTEÅ</t>
        </is>
      </c>
      <c r="F3752" t="inlineStr">
        <is>
          <t>SCA</t>
        </is>
      </c>
      <c r="G3752" t="n">
        <v>37.2</v>
      </c>
      <c r="H3752" t="n">
        <v>0</v>
      </c>
      <c r="I3752" t="n">
        <v>0</v>
      </c>
      <c r="J3752" t="n">
        <v>0</v>
      </c>
      <c r="K3752" t="n">
        <v>0</v>
      </c>
      <c r="L3752" t="n">
        <v>0</v>
      </c>
      <c r="M3752" t="n">
        <v>0</v>
      </c>
      <c r="N3752" t="n">
        <v>0</v>
      </c>
      <c r="O3752" t="n">
        <v>0</v>
      </c>
      <c r="P3752" t="n">
        <v>0</v>
      </c>
      <c r="Q3752" t="n">
        <v>0</v>
      </c>
      <c r="R3752" s="2" t="inlineStr"/>
    </row>
    <row r="3753" ht="15" customHeight="1">
      <c r="A3753" t="inlineStr">
        <is>
          <t>A 4131-2025</t>
        </is>
      </c>
      <c r="B3753" s="1" t="n">
        <v>45685</v>
      </c>
      <c r="C3753" s="1" t="n">
        <v>45802</v>
      </c>
      <c r="D3753" t="inlineStr">
        <is>
          <t>VÄSTERNORRLANDS LÄN</t>
        </is>
      </c>
      <c r="E3753" t="inlineStr">
        <is>
          <t>SOLLEFTEÅ</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4129-2025</t>
        </is>
      </c>
      <c r="B3754" s="1" t="n">
        <v>45685</v>
      </c>
      <c r="C3754" s="1" t="n">
        <v>45802</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4261-2025</t>
        </is>
      </c>
      <c r="B3755" s="1" t="n">
        <v>45685</v>
      </c>
      <c r="C3755" s="1" t="n">
        <v>45802</v>
      </c>
      <c r="D3755" t="inlineStr">
        <is>
          <t>VÄSTERNORRLANDS LÄN</t>
        </is>
      </c>
      <c r="E3755" t="inlineStr">
        <is>
          <t>SOLLEFTEÅ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4407-2025</t>
        </is>
      </c>
      <c r="B3756" s="1" t="n">
        <v>45686</v>
      </c>
      <c r="C3756" s="1" t="n">
        <v>45802</v>
      </c>
      <c r="D3756" t="inlineStr">
        <is>
          <t>VÄSTERNORRLANDS LÄN</t>
        </is>
      </c>
      <c r="E3756" t="inlineStr">
        <is>
          <t>SOLLEFTEÅ</t>
        </is>
      </c>
      <c r="G3756" t="n">
        <v>10.1</v>
      </c>
      <c r="H3756" t="n">
        <v>0</v>
      </c>
      <c r="I3756" t="n">
        <v>0</v>
      </c>
      <c r="J3756" t="n">
        <v>0</v>
      </c>
      <c r="K3756" t="n">
        <v>0</v>
      </c>
      <c r="L3756" t="n">
        <v>0</v>
      </c>
      <c r="M3756" t="n">
        <v>0</v>
      </c>
      <c r="N3756" t="n">
        <v>0</v>
      </c>
      <c r="O3756" t="n">
        <v>0</v>
      </c>
      <c r="P3756" t="n">
        <v>0</v>
      </c>
      <c r="Q3756" t="n">
        <v>0</v>
      </c>
      <c r="R3756" s="2" t="inlineStr"/>
    </row>
    <row r="3757" ht="15" customHeight="1">
      <c r="A3757" t="inlineStr">
        <is>
          <t>A 4859-2025</t>
        </is>
      </c>
      <c r="B3757" s="1" t="n">
        <v>45688</v>
      </c>
      <c r="C3757" s="1" t="n">
        <v>45802</v>
      </c>
      <c r="D3757" t="inlineStr">
        <is>
          <t>VÄSTERNORRLANDS LÄN</t>
        </is>
      </c>
      <c r="E3757" t="inlineStr">
        <is>
          <t>SOLLEFTEÅ</t>
        </is>
      </c>
      <c r="F3757" t="inlineStr">
        <is>
          <t>SCA</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4722-2025</t>
        </is>
      </c>
      <c r="B3758" s="1" t="n">
        <v>45688</v>
      </c>
      <c r="C3758" s="1" t="n">
        <v>45802</v>
      </c>
      <c r="D3758" t="inlineStr">
        <is>
          <t>VÄSTERNORRLANDS LÄN</t>
        </is>
      </c>
      <c r="E3758" t="inlineStr">
        <is>
          <t>SOLLEFTEÅ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4838-2025</t>
        </is>
      </c>
      <c r="B3759" s="1" t="n">
        <v>45688</v>
      </c>
      <c r="C3759" s="1" t="n">
        <v>45802</v>
      </c>
      <c r="D3759" t="inlineStr">
        <is>
          <t>VÄSTERNORRLANDS LÄN</t>
        </is>
      </c>
      <c r="E3759" t="inlineStr">
        <is>
          <t>SOLLEFTEÅ</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4870-2025</t>
        </is>
      </c>
      <c r="B3760" s="1" t="n">
        <v>45688</v>
      </c>
      <c r="C3760" s="1" t="n">
        <v>45802</v>
      </c>
      <c r="D3760" t="inlineStr">
        <is>
          <t>VÄSTERNORRLANDS LÄN</t>
        </is>
      </c>
      <c r="E3760" t="inlineStr">
        <is>
          <t>SOLLEFTEÅ</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4894-2025</t>
        </is>
      </c>
      <c r="B3761" s="1" t="n">
        <v>45688</v>
      </c>
      <c r="C3761" s="1" t="n">
        <v>45802</v>
      </c>
      <c r="D3761" t="inlineStr">
        <is>
          <t>VÄSTERNORRLANDS LÄN</t>
        </is>
      </c>
      <c r="E3761" t="inlineStr">
        <is>
          <t>SOLLEFTEÅ</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4934-2025</t>
        </is>
      </c>
      <c r="B3762" s="1" t="n">
        <v>45688</v>
      </c>
      <c r="C3762" s="1" t="n">
        <v>45802</v>
      </c>
      <c r="D3762" t="inlineStr">
        <is>
          <t>VÄSTERNORRLANDS LÄN</t>
        </is>
      </c>
      <c r="E3762" t="inlineStr">
        <is>
          <t>SOLLEFTEÅ</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4931-2025</t>
        </is>
      </c>
      <c r="B3763" s="1" t="n">
        <v>45688</v>
      </c>
      <c r="C3763" s="1" t="n">
        <v>45802</v>
      </c>
      <c r="D3763" t="inlineStr">
        <is>
          <t>VÄSTERNORRLANDS LÄN</t>
        </is>
      </c>
      <c r="E3763" t="inlineStr">
        <is>
          <t>SOLLEFTEÅ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4935-2025</t>
        </is>
      </c>
      <c r="B3764" s="1" t="n">
        <v>45688</v>
      </c>
      <c r="C3764" s="1" t="n">
        <v>45802</v>
      </c>
      <c r="D3764" t="inlineStr">
        <is>
          <t>VÄSTERNORRLANDS LÄN</t>
        </is>
      </c>
      <c r="E3764" t="inlineStr">
        <is>
          <t>SOLLEFTEÅ</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4897-2025</t>
        </is>
      </c>
      <c r="B3765" s="1" t="n">
        <v>45688</v>
      </c>
      <c r="C3765" s="1" t="n">
        <v>45802</v>
      </c>
      <c r="D3765" t="inlineStr">
        <is>
          <t>VÄSTERNORRLANDS LÄN</t>
        </is>
      </c>
      <c r="E3765" t="inlineStr">
        <is>
          <t>SOLLEFTEÅ</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4905-2025</t>
        </is>
      </c>
      <c r="B3766" s="1" t="n">
        <v>45688</v>
      </c>
      <c r="C3766" s="1" t="n">
        <v>45802</v>
      </c>
      <c r="D3766" t="inlineStr">
        <is>
          <t>VÄSTERNORRLANDS LÄN</t>
        </is>
      </c>
      <c r="E3766" t="inlineStr">
        <is>
          <t>SOLLEFTEÅ</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4909-2025</t>
        </is>
      </c>
      <c r="B3767" s="1" t="n">
        <v>45688</v>
      </c>
      <c r="C3767" s="1" t="n">
        <v>45802</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4895-2025</t>
        </is>
      </c>
      <c r="B3768" s="1" t="n">
        <v>45688</v>
      </c>
      <c r="C3768" s="1" t="n">
        <v>45802</v>
      </c>
      <c r="D3768" t="inlineStr">
        <is>
          <t>VÄSTERNORRLANDS LÄN</t>
        </is>
      </c>
      <c r="E3768" t="inlineStr">
        <is>
          <t>SOLLEFTEÅ</t>
        </is>
      </c>
      <c r="F3768" t="inlineStr">
        <is>
          <t>SCA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4726-2025</t>
        </is>
      </c>
      <c r="B3769" s="1" t="n">
        <v>45688</v>
      </c>
      <c r="C3769" s="1" t="n">
        <v>45802</v>
      </c>
      <c r="D3769" t="inlineStr">
        <is>
          <t>VÄSTERNORRLANDS LÄN</t>
        </is>
      </c>
      <c r="E3769" t="inlineStr">
        <is>
          <t>SOLLEFTEÅ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4843-2025</t>
        </is>
      </c>
      <c r="B3770" s="1" t="n">
        <v>45688</v>
      </c>
      <c r="C3770" s="1" t="n">
        <v>45802</v>
      </c>
      <c r="D3770" t="inlineStr">
        <is>
          <t>VÄSTERNORRLANDS LÄN</t>
        </is>
      </c>
      <c r="E3770" t="inlineStr">
        <is>
          <t>SOLLEFTEÅ</t>
        </is>
      </c>
      <c r="F3770" t="inlineStr">
        <is>
          <t>SCA</t>
        </is>
      </c>
      <c r="G3770" t="n">
        <v>20.2</v>
      </c>
      <c r="H3770" t="n">
        <v>0</v>
      </c>
      <c r="I3770" t="n">
        <v>0</v>
      </c>
      <c r="J3770" t="n">
        <v>0</v>
      </c>
      <c r="K3770" t="n">
        <v>0</v>
      </c>
      <c r="L3770" t="n">
        <v>0</v>
      </c>
      <c r="M3770" t="n">
        <v>0</v>
      </c>
      <c r="N3770" t="n">
        <v>0</v>
      </c>
      <c r="O3770" t="n">
        <v>0</v>
      </c>
      <c r="P3770" t="n">
        <v>0</v>
      </c>
      <c r="Q3770" t="n">
        <v>0</v>
      </c>
      <c r="R3770" s="2" t="inlineStr"/>
    </row>
    <row r="3771" ht="15" customHeight="1">
      <c r="A3771" t="inlineStr">
        <is>
          <t>A 4968-2025</t>
        </is>
      </c>
      <c r="B3771" s="1" t="n">
        <v>45690</v>
      </c>
      <c r="C3771" s="1" t="n">
        <v>45802</v>
      </c>
      <c r="D3771" t="inlineStr">
        <is>
          <t>VÄSTERNORRLANDS LÄN</t>
        </is>
      </c>
      <c r="E3771" t="inlineStr">
        <is>
          <t>SOLLEFTEÅ</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5021-2025</t>
        </is>
      </c>
      <c r="B3772" s="1" t="n">
        <v>45691</v>
      </c>
      <c r="C3772" s="1" t="n">
        <v>45802</v>
      </c>
      <c r="D3772" t="inlineStr">
        <is>
          <t>VÄSTERNORRLANDS LÄN</t>
        </is>
      </c>
      <c r="E3772" t="inlineStr">
        <is>
          <t>SOLLEFTEÅ</t>
        </is>
      </c>
      <c r="F3772" t="inlineStr">
        <is>
          <t>SCA</t>
        </is>
      </c>
      <c r="G3772" t="n">
        <v>9.300000000000001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5165-2025</t>
        </is>
      </c>
      <c r="B3773" s="1" t="n">
        <v>45691</v>
      </c>
      <c r="C3773" s="1" t="n">
        <v>45802</v>
      </c>
      <c r="D3773" t="inlineStr">
        <is>
          <t>VÄSTERNORRLANDS LÄN</t>
        </is>
      </c>
      <c r="E3773" t="inlineStr">
        <is>
          <t>SOLLEFTEÅ</t>
        </is>
      </c>
      <c r="F3773" t="inlineStr">
        <is>
          <t>SCA</t>
        </is>
      </c>
      <c r="G3773" t="n">
        <v>18.7</v>
      </c>
      <c r="H3773" t="n">
        <v>0</v>
      </c>
      <c r="I3773" t="n">
        <v>0</v>
      </c>
      <c r="J3773" t="n">
        <v>0</v>
      </c>
      <c r="K3773" t="n">
        <v>0</v>
      </c>
      <c r="L3773" t="n">
        <v>0</v>
      </c>
      <c r="M3773" t="n">
        <v>0</v>
      </c>
      <c r="N3773" t="n">
        <v>0</v>
      </c>
      <c r="O3773" t="n">
        <v>0</v>
      </c>
      <c r="P3773" t="n">
        <v>0</v>
      </c>
      <c r="Q3773" t="n">
        <v>0</v>
      </c>
      <c r="R3773" s="2" t="inlineStr"/>
    </row>
    <row r="3774" ht="15" customHeight="1">
      <c r="A3774" t="inlineStr">
        <is>
          <t>A 5196-2025</t>
        </is>
      </c>
      <c r="B3774" s="1" t="n">
        <v>45691</v>
      </c>
      <c r="C3774" s="1" t="n">
        <v>45802</v>
      </c>
      <c r="D3774" t="inlineStr">
        <is>
          <t>VÄSTERNORRLANDS LÄN</t>
        </is>
      </c>
      <c r="E3774" t="inlineStr">
        <is>
          <t>SOLLEFTEÅ</t>
        </is>
      </c>
      <c r="F3774" t="inlineStr">
        <is>
          <t>SCA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5359-2025</t>
        </is>
      </c>
      <c r="B3775" s="1" t="n">
        <v>45692</v>
      </c>
      <c r="C3775" s="1" t="n">
        <v>45802</v>
      </c>
      <c r="D3775" t="inlineStr">
        <is>
          <t>VÄSTERNORRLANDS LÄN</t>
        </is>
      </c>
      <c r="E3775" t="inlineStr">
        <is>
          <t>SOLLEFTEÅ</t>
        </is>
      </c>
      <c r="F3775" t="inlineStr">
        <is>
          <t>Övriga statliga verk och myndigheter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5258-2025</t>
        </is>
      </c>
      <c r="B3776" s="1" t="n">
        <v>45692</v>
      </c>
      <c r="C3776" s="1" t="n">
        <v>45802</v>
      </c>
      <c r="D3776" t="inlineStr">
        <is>
          <t>VÄSTERNORRLANDS LÄN</t>
        </is>
      </c>
      <c r="E3776" t="inlineStr">
        <is>
          <t>SOLLEFTEÅ</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5375-2025</t>
        </is>
      </c>
      <c r="B3777" s="1" t="n">
        <v>45692</v>
      </c>
      <c r="C3777" s="1" t="n">
        <v>45802</v>
      </c>
      <c r="D3777" t="inlineStr">
        <is>
          <t>VÄSTERNORRLANDS LÄN</t>
        </is>
      </c>
      <c r="E3777" t="inlineStr">
        <is>
          <t>SOLLEFTEÅ</t>
        </is>
      </c>
      <c r="F3777" t="inlineStr">
        <is>
          <t>Övriga statliga verk och myndigheter</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5259-2025</t>
        </is>
      </c>
      <c r="B3778" s="1" t="n">
        <v>45692</v>
      </c>
      <c r="C3778" s="1" t="n">
        <v>45802</v>
      </c>
      <c r="D3778" t="inlineStr">
        <is>
          <t>VÄSTERNORRLANDS LÄN</t>
        </is>
      </c>
      <c r="E3778" t="inlineStr">
        <is>
          <t>SOLLEFTEÅ</t>
        </is>
      </c>
      <c r="F3778" t="inlineStr">
        <is>
          <t>SCA</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5394-2025</t>
        </is>
      </c>
      <c r="B3779" s="1" t="n">
        <v>45692</v>
      </c>
      <c r="C3779" s="1" t="n">
        <v>45802</v>
      </c>
      <c r="D3779" t="inlineStr">
        <is>
          <t>VÄSTERNORRLANDS LÄN</t>
        </is>
      </c>
      <c r="E3779" t="inlineStr">
        <is>
          <t>SOLLEFTEÅ</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5445-2025</t>
        </is>
      </c>
      <c r="B3780" s="1" t="n">
        <v>45692</v>
      </c>
      <c r="C3780" s="1" t="n">
        <v>45802</v>
      </c>
      <c r="D3780" t="inlineStr">
        <is>
          <t>VÄSTERNORRLANDS LÄN</t>
        </is>
      </c>
      <c r="E3780" t="inlineStr">
        <is>
          <t>SOLLEFTEÅ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5447-2025</t>
        </is>
      </c>
      <c r="B3781" s="1" t="n">
        <v>45692</v>
      </c>
      <c r="C3781" s="1" t="n">
        <v>45802</v>
      </c>
      <c r="D3781" t="inlineStr">
        <is>
          <t>VÄSTERNORRLANDS LÄN</t>
        </is>
      </c>
      <c r="E3781" t="inlineStr">
        <is>
          <t>SOLLEFTEÅ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5383-2025</t>
        </is>
      </c>
      <c r="B3782" s="1" t="n">
        <v>45692</v>
      </c>
      <c r="C3782" s="1" t="n">
        <v>45802</v>
      </c>
      <c r="D3782" t="inlineStr">
        <is>
          <t>VÄSTERNORRLANDS LÄN</t>
        </is>
      </c>
      <c r="E3782" t="inlineStr">
        <is>
          <t>SOLLEFTEÅ</t>
        </is>
      </c>
      <c r="F3782" t="inlineStr">
        <is>
          <t>SCA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5293-2025</t>
        </is>
      </c>
      <c r="B3783" s="1" t="n">
        <v>45692</v>
      </c>
      <c r="C3783" s="1" t="n">
        <v>45802</v>
      </c>
      <c r="D3783" t="inlineStr">
        <is>
          <t>VÄSTERNORRLANDS LÄN</t>
        </is>
      </c>
      <c r="E3783" t="inlineStr">
        <is>
          <t>SOLLEFTEÅ</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5548-2025</t>
        </is>
      </c>
      <c r="B3784" s="1" t="n">
        <v>45693</v>
      </c>
      <c r="C3784" s="1" t="n">
        <v>45802</v>
      </c>
      <c r="D3784" t="inlineStr">
        <is>
          <t>VÄSTERNORRLANDS LÄN</t>
        </is>
      </c>
      <c r="E3784" t="inlineStr">
        <is>
          <t>SOLLEFTEÅ</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5485-2025</t>
        </is>
      </c>
      <c r="B3785" s="1" t="n">
        <v>45693</v>
      </c>
      <c r="C3785" s="1" t="n">
        <v>45802</v>
      </c>
      <c r="D3785" t="inlineStr">
        <is>
          <t>VÄSTERNORRLANDS LÄN</t>
        </is>
      </c>
      <c r="E3785" t="inlineStr">
        <is>
          <t>SOLLEFTEÅ</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5862-2025</t>
        </is>
      </c>
      <c r="B3786" s="1" t="n">
        <v>45695</v>
      </c>
      <c r="C3786" s="1" t="n">
        <v>45802</v>
      </c>
      <c r="D3786" t="inlineStr">
        <is>
          <t>VÄSTERNORRLANDS LÄN</t>
        </is>
      </c>
      <c r="E3786" t="inlineStr">
        <is>
          <t>SOLLEFTEÅ</t>
        </is>
      </c>
      <c r="F3786" t="inlineStr">
        <is>
          <t>Holmen skog AB</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6009-2025</t>
        </is>
      </c>
      <c r="B3787" s="1" t="n">
        <v>45695</v>
      </c>
      <c r="C3787" s="1" t="n">
        <v>45802</v>
      </c>
      <c r="D3787" t="inlineStr">
        <is>
          <t>VÄSTERNORRLANDS LÄN</t>
        </is>
      </c>
      <c r="E3787" t="inlineStr">
        <is>
          <t>SOLLEFTEÅ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5944-2025</t>
        </is>
      </c>
      <c r="B3788" s="1" t="n">
        <v>45695</v>
      </c>
      <c r="C3788" s="1" t="n">
        <v>45802</v>
      </c>
      <c r="D3788" t="inlineStr">
        <is>
          <t>VÄSTERNORRLANDS LÄN</t>
        </is>
      </c>
      <c r="E3788" t="inlineStr">
        <is>
          <t>SOLLEFTEÅ</t>
        </is>
      </c>
      <c r="F3788" t="inlineStr">
        <is>
          <t>SCA</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6285-2025</t>
        </is>
      </c>
      <c r="B3789" s="1" t="n">
        <v>45698</v>
      </c>
      <c r="C3789" s="1" t="n">
        <v>45802</v>
      </c>
      <c r="D3789" t="inlineStr">
        <is>
          <t>VÄSTERNORRLANDS LÄN</t>
        </is>
      </c>
      <c r="E3789" t="inlineStr">
        <is>
          <t>SOLLEFTEÅ</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6284-2025</t>
        </is>
      </c>
      <c r="B3790" s="1" t="n">
        <v>45698</v>
      </c>
      <c r="C3790" s="1" t="n">
        <v>45802</v>
      </c>
      <c r="D3790" t="inlineStr">
        <is>
          <t>VÄSTERNORRLANDS LÄN</t>
        </is>
      </c>
      <c r="E3790" t="inlineStr">
        <is>
          <t>SOLLEFTEÅ</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6287-2025</t>
        </is>
      </c>
      <c r="B3791" s="1" t="n">
        <v>45698</v>
      </c>
      <c r="C3791" s="1" t="n">
        <v>45802</v>
      </c>
      <c r="D3791" t="inlineStr">
        <is>
          <t>VÄSTERNORRLANDS LÄN</t>
        </is>
      </c>
      <c r="E3791" t="inlineStr">
        <is>
          <t>SOLLEFTEÅ</t>
        </is>
      </c>
      <c r="F3791" t="inlineStr">
        <is>
          <t>SCA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6346-2025</t>
        </is>
      </c>
      <c r="B3792" s="1" t="n">
        <v>45699</v>
      </c>
      <c r="C3792" s="1" t="n">
        <v>45802</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6376-2025</t>
        </is>
      </c>
      <c r="B3793" s="1" t="n">
        <v>45699</v>
      </c>
      <c r="C3793" s="1" t="n">
        <v>45802</v>
      </c>
      <c r="D3793" t="inlineStr">
        <is>
          <t>VÄSTERNORRLANDS LÄN</t>
        </is>
      </c>
      <c r="E3793" t="inlineStr">
        <is>
          <t>SOLLEFTEÅ</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6441-2025</t>
        </is>
      </c>
      <c r="B3794" s="1" t="n">
        <v>45699</v>
      </c>
      <c r="C3794" s="1" t="n">
        <v>45802</v>
      </c>
      <c r="D3794" t="inlineStr">
        <is>
          <t>VÄSTERNORRLANDS LÄN</t>
        </is>
      </c>
      <c r="E3794" t="inlineStr">
        <is>
          <t>SOLLEFTEÅ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6445-2025</t>
        </is>
      </c>
      <c r="B3795" s="1" t="n">
        <v>45699</v>
      </c>
      <c r="C3795" s="1" t="n">
        <v>45802</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6467-2025</t>
        </is>
      </c>
      <c r="B3796" s="1" t="n">
        <v>45699</v>
      </c>
      <c r="C3796" s="1" t="n">
        <v>45802</v>
      </c>
      <c r="D3796" t="inlineStr">
        <is>
          <t>VÄSTERNORRLANDS LÄN</t>
        </is>
      </c>
      <c r="E3796" t="inlineStr">
        <is>
          <t>SOLLEFTEÅ</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6444-2025</t>
        </is>
      </c>
      <c r="B3797" s="1" t="n">
        <v>45699</v>
      </c>
      <c r="C3797" s="1" t="n">
        <v>45802</v>
      </c>
      <c r="D3797" t="inlineStr">
        <is>
          <t>VÄSTERNORRLANDS LÄN</t>
        </is>
      </c>
      <c r="E3797" t="inlineStr">
        <is>
          <t>SOLLEFTEÅ</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6440-2025</t>
        </is>
      </c>
      <c r="B3798" s="1" t="n">
        <v>45699</v>
      </c>
      <c r="C3798" s="1" t="n">
        <v>45802</v>
      </c>
      <c r="D3798" t="inlineStr">
        <is>
          <t>VÄSTERNORRLANDS LÄN</t>
        </is>
      </c>
      <c r="E3798" t="inlineStr">
        <is>
          <t>SOLLEFTEÅ</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6737-2025</t>
        </is>
      </c>
      <c r="B3799" s="1" t="n">
        <v>45700</v>
      </c>
      <c r="C3799" s="1" t="n">
        <v>45802</v>
      </c>
      <c r="D3799" t="inlineStr">
        <is>
          <t>VÄSTERNORRLANDS LÄN</t>
        </is>
      </c>
      <c r="E3799" t="inlineStr">
        <is>
          <t>SOLLEFTEÅ</t>
        </is>
      </c>
      <c r="F3799" t="inlineStr">
        <is>
          <t>SCA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6733-2025</t>
        </is>
      </c>
      <c r="B3800" s="1" t="n">
        <v>45700</v>
      </c>
      <c r="C3800" s="1" t="n">
        <v>45802</v>
      </c>
      <c r="D3800" t="inlineStr">
        <is>
          <t>VÄSTERNORRLANDS LÄN</t>
        </is>
      </c>
      <c r="E3800" t="inlineStr">
        <is>
          <t>SOLLEFTEÅ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6621-2025</t>
        </is>
      </c>
      <c r="B3801" s="1" t="n">
        <v>45700</v>
      </c>
      <c r="C3801" s="1" t="n">
        <v>45802</v>
      </c>
      <c r="D3801" t="inlineStr">
        <is>
          <t>VÄSTERNORRLANDS LÄN</t>
        </is>
      </c>
      <c r="E3801" t="inlineStr">
        <is>
          <t>SOLLEFTEÅ</t>
        </is>
      </c>
      <c r="F3801" t="inlineStr">
        <is>
          <t>SCA</t>
        </is>
      </c>
      <c r="G3801" t="n">
        <v>14.8</v>
      </c>
      <c r="H3801" t="n">
        <v>0</v>
      </c>
      <c r="I3801" t="n">
        <v>0</v>
      </c>
      <c r="J3801" t="n">
        <v>0</v>
      </c>
      <c r="K3801" t="n">
        <v>0</v>
      </c>
      <c r="L3801" t="n">
        <v>0</v>
      </c>
      <c r="M3801" t="n">
        <v>0</v>
      </c>
      <c r="N3801" t="n">
        <v>0</v>
      </c>
      <c r="O3801" t="n">
        <v>0</v>
      </c>
      <c r="P3801" t="n">
        <v>0</v>
      </c>
      <c r="Q3801" t="n">
        <v>0</v>
      </c>
      <c r="R3801" s="2" t="inlineStr"/>
    </row>
    <row r="3802" ht="15" customHeight="1">
      <c r="A3802" t="inlineStr">
        <is>
          <t>A 6736-2025</t>
        </is>
      </c>
      <c r="B3802" s="1" t="n">
        <v>45700</v>
      </c>
      <c r="C3802" s="1" t="n">
        <v>45802</v>
      </c>
      <c r="D3802" t="inlineStr">
        <is>
          <t>VÄSTERNORRLANDS LÄN</t>
        </is>
      </c>
      <c r="E3802" t="inlineStr">
        <is>
          <t>SOLLEFTEÅ</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6732-2025</t>
        </is>
      </c>
      <c r="B3803" s="1" t="n">
        <v>45700</v>
      </c>
      <c r="C3803" s="1" t="n">
        <v>45802</v>
      </c>
      <c r="D3803" t="inlineStr">
        <is>
          <t>VÄSTERNORRLANDS LÄN</t>
        </is>
      </c>
      <c r="E3803" t="inlineStr">
        <is>
          <t>SOLLEFTEÅ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6735-2025</t>
        </is>
      </c>
      <c r="B3804" s="1" t="n">
        <v>45700</v>
      </c>
      <c r="C3804" s="1" t="n">
        <v>45802</v>
      </c>
      <c r="D3804" t="inlineStr">
        <is>
          <t>VÄSTERNORRLANDS LÄN</t>
        </is>
      </c>
      <c r="E3804" t="inlineStr">
        <is>
          <t>SOLLEFTEÅ</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6876-2025</t>
        </is>
      </c>
      <c r="B3805" s="1" t="n">
        <v>45701</v>
      </c>
      <c r="C3805" s="1" t="n">
        <v>45802</v>
      </c>
      <c r="D3805" t="inlineStr">
        <is>
          <t>VÄSTERNORRLANDS LÄN</t>
        </is>
      </c>
      <c r="E3805" t="inlineStr">
        <is>
          <t>SOLLEFTEÅ</t>
        </is>
      </c>
      <c r="F3805" t="inlineStr">
        <is>
          <t>SCA</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6884-2025</t>
        </is>
      </c>
      <c r="B3806" s="1" t="n">
        <v>45701</v>
      </c>
      <c r="C3806" s="1" t="n">
        <v>45802</v>
      </c>
      <c r="D3806" t="inlineStr">
        <is>
          <t>VÄSTERNORRLANDS LÄN</t>
        </is>
      </c>
      <c r="E3806" t="inlineStr">
        <is>
          <t>SOLLEFTEÅ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6896-2025</t>
        </is>
      </c>
      <c r="B3807" s="1" t="n">
        <v>45701</v>
      </c>
      <c r="C3807" s="1" t="n">
        <v>45802</v>
      </c>
      <c r="D3807" t="inlineStr">
        <is>
          <t>VÄSTERNORRLANDS LÄN</t>
        </is>
      </c>
      <c r="E3807" t="inlineStr">
        <is>
          <t>SOLLEFTEÅ</t>
        </is>
      </c>
      <c r="F3807" t="inlineStr">
        <is>
          <t>SCA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7003-2025</t>
        </is>
      </c>
      <c r="B3808" s="1" t="n">
        <v>45701</v>
      </c>
      <c r="C3808" s="1" t="n">
        <v>45802</v>
      </c>
      <c r="D3808" t="inlineStr">
        <is>
          <t>VÄSTERNORRLANDS LÄN</t>
        </is>
      </c>
      <c r="E3808" t="inlineStr">
        <is>
          <t>SOLLEFTEÅ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7007-2025</t>
        </is>
      </c>
      <c r="B3809" s="1" t="n">
        <v>45701</v>
      </c>
      <c r="C3809" s="1" t="n">
        <v>45802</v>
      </c>
      <c r="D3809" t="inlineStr">
        <is>
          <t>VÄSTERNORRLANDS LÄN</t>
        </is>
      </c>
      <c r="E3809" t="inlineStr">
        <is>
          <t>SOLLEFTEÅ</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7036-2025</t>
        </is>
      </c>
      <c r="B3810" s="1" t="n">
        <v>45701</v>
      </c>
      <c r="C3810" s="1" t="n">
        <v>45802</v>
      </c>
      <c r="D3810" t="inlineStr">
        <is>
          <t>VÄSTERNORRLANDS LÄN</t>
        </is>
      </c>
      <c r="E3810" t="inlineStr">
        <is>
          <t>SOLLEFTEÅ</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7014-2025</t>
        </is>
      </c>
      <c r="B3811" s="1" t="n">
        <v>45701</v>
      </c>
      <c r="C3811" s="1" t="n">
        <v>45802</v>
      </c>
      <c r="D3811" t="inlineStr">
        <is>
          <t>VÄSTERNORRLANDS LÄN</t>
        </is>
      </c>
      <c r="E3811" t="inlineStr">
        <is>
          <t>SOLLEFTEÅ</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6875-2025</t>
        </is>
      </c>
      <c r="B3812" s="1" t="n">
        <v>45701</v>
      </c>
      <c r="C3812" s="1" t="n">
        <v>45802</v>
      </c>
      <c r="D3812" t="inlineStr">
        <is>
          <t>VÄSTERNORRLANDS LÄN</t>
        </is>
      </c>
      <c r="E3812" t="inlineStr">
        <is>
          <t>SOLLEFTEÅ</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6877-2025</t>
        </is>
      </c>
      <c r="B3813" s="1" t="n">
        <v>45701</v>
      </c>
      <c r="C3813" s="1" t="n">
        <v>45802</v>
      </c>
      <c r="D3813" t="inlineStr">
        <is>
          <t>VÄSTERNORRLANDS LÄN</t>
        </is>
      </c>
      <c r="E3813" t="inlineStr">
        <is>
          <t>SOLLEFTEÅ</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7184-2025</t>
        </is>
      </c>
      <c r="B3814" s="1" t="n">
        <v>45702</v>
      </c>
      <c r="C3814" s="1" t="n">
        <v>45802</v>
      </c>
      <c r="D3814" t="inlineStr">
        <is>
          <t>VÄSTERNORRLANDS LÄN</t>
        </is>
      </c>
      <c r="E3814" t="inlineStr">
        <is>
          <t>SOLLEFTEÅ</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7157-2025</t>
        </is>
      </c>
      <c r="B3815" s="1" t="n">
        <v>45702</v>
      </c>
      <c r="C3815" s="1" t="n">
        <v>45802</v>
      </c>
      <c r="D3815" t="inlineStr">
        <is>
          <t>VÄSTERNORRLANDS LÄN</t>
        </is>
      </c>
      <c r="E3815" t="inlineStr">
        <is>
          <t>SOLLEFTEÅ</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7182-2025</t>
        </is>
      </c>
      <c r="B3816" s="1" t="n">
        <v>45702</v>
      </c>
      <c r="C3816" s="1" t="n">
        <v>45802</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7342-2025</t>
        </is>
      </c>
      <c r="B3817" s="1" t="n">
        <v>45703</v>
      </c>
      <c r="C3817" s="1" t="n">
        <v>45802</v>
      </c>
      <c r="D3817" t="inlineStr">
        <is>
          <t>VÄSTERNORRLANDS LÄN</t>
        </is>
      </c>
      <c r="E3817" t="inlineStr">
        <is>
          <t>SOLLEFTEÅ</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7341-2025</t>
        </is>
      </c>
      <c r="B3818" s="1" t="n">
        <v>45703</v>
      </c>
      <c r="C3818" s="1" t="n">
        <v>45802</v>
      </c>
      <c r="D3818" t="inlineStr">
        <is>
          <t>VÄSTERNORRLANDS LÄN</t>
        </is>
      </c>
      <c r="E3818" t="inlineStr">
        <is>
          <t>SOLLEFTEÅ</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7589-2025</t>
        </is>
      </c>
      <c r="B3819" s="1" t="n">
        <v>45705</v>
      </c>
      <c r="C3819" s="1" t="n">
        <v>45802</v>
      </c>
      <c r="D3819" t="inlineStr">
        <is>
          <t>VÄSTERNORRLANDS LÄN</t>
        </is>
      </c>
      <c r="E3819" t="inlineStr">
        <is>
          <t>SOLLEFTEÅ</t>
        </is>
      </c>
      <c r="F3819" t="inlineStr">
        <is>
          <t>SCA</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7611-2025</t>
        </is>
      </c>
      <c r="B3820" s="1" t="n">
        <v>45705</v>
      </c>
      <c r="C3820" s="1" t="n">
        <v>45802</v>
      </c>
      <c r="D3820" t="inlineStr">
        <is>
          <t>VÄSTERNORRLANDS LÄN</t>
        </is>
      </c>
      <c r="E3820" t="inlineStr">
        <is>
          <t>SOLLEFTEÅ</t>
        </is>
      </c>
      <c r="F3820" t="inlineStr">
        <is>
          <t>SCA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7569-2025</t>
        </is>
      </c>
      <c r="B3821" s="1" t="n">
        <v>45705</v>
      </c>
      <c r="C3821" s="1" t="n">
        <v>45802</v>
      </c>
      <c r="D3821" t="inlineStr">
        <is>
          <t>VÄSTERNORRLANDS LÄN</t>
        </is>
      </c>
      <c r="E3821" t="inlineStr">
        <is>
          <t>SOLLEFTEÅ</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7430-2025</t>
        </is>
      </c>
      <c r="B3822" s="1" t="n">
        <v>45705</v>
      </c>
      <c r="C3822" s="1" t="n">
        <v>45802</v>
      </c>
      <c r="D3822" t="inlineStr">
        <is>
          <t>VÄSTERNORRLANDS LÄN</t>
        </is>
      </c>
      <c r="E3822" t="inlineStr">
        <is>
          <t>SOLLEFTEÅ</t>
        </is>
      </c>
      <c r="F3822" t="inlineStr">
        <is>
          <t>SCA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7570-2025</t>
        </is>
      </c>
      <c r="B3823" s="1" t="n">
        <v>45705</v>
      </c>
      <c r="C3823" s="1" t="n">
        <v>45802</v>
      </c>
      <c r="D3823" t="inlineStr">
        <is>
          <t>VÄSTERNORRLANDS LÄN</t>
        </is>
      </c>
      <c r="E3823" t="inlineStr">
        <is>
          <t>SOLLEFTEÅ</t>
        </is>
      </c>
      <c r="F3823" t="inlineStr">
        <is>
          <t>SCA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7868-2025</t>
        </is>
      </c>
      <c r="B3824" s="1" t="n">
        <v>45706</v>
      </c>
      <c r="C3824" s="1" t="n">
        <v>45802</v>
      </c>
      <c r="D3824" t="inlineStr">
        <is>
          <t>VÄSTERNORRLANDS LÄN</t>
        </is>
      </c>
      <c r="E3824" t="inlineStr">
        <is>
          <t>SOLLEFTEÅ</t>
        </is>
      </c>
      <c r="F3824" t="inlineStr">
        <is>
          <t>SCA</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7667-2025</t>
        </is>
      </c>
      <c r="B3825" s="1" t="n">
        <v>45706</v>
      </c>
      <c r="C3825" s="1" t="n">
        <v>45802</v>
      </c>
      <c r="D3825" t="inlineStr">
        <is>
          <t>VÄSTERNORRLANDS LÄN</t>
        </is>
      </c>
      <c r="E3825" t="inlineStr">
        <is>
          <t>SOLLEFTEÅ</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8105-2025</t>
        </is>
      </c>
      <c r="B3826" s="1" t="n">
        <v>45707</v>
      </c>
      <c r="C3826" s="1" t="n">
        <v>45802</v>
      </c>
      <c r="D3826" t="inlineStr">
        <is>
          <t>VÄSTERNORRLANDS LÄN</t>
        </is>
      </c>
      <c r="E3826" t="inlineStr">
        <is>
          <t>SOLLEFTEÅ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7926-2025</t>
        </is>
      </c>
      <c r="B3827" s="1" t="n">
        <v>45707</v>
      </c>
      <c r="C3827" s="1" t="n">
        <v>45802</v>
      </c>
      <c r="D3827" t="inlineStr">
        <is>
          <t>VÄSTERNORRLANDS LÄN</t>
        </is>
      </c>
      <c r="E3827" t="inlineStr">
        <is>
          <t>SOLLEFTEÅ</t>
        </is>
      </c>
      <c r="F3827" t="inlineStr">
        <is>
          <t>SCA</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8099-2025</t>
        </is>
      </c>
      <c r="B3828" s="1" t="n">
        <v>45707</v>
      </c>
      <c r="C3828" s="1" t="n">
        <v>45802</v>
      </c>
      <c r="D3828" t="inlineStr">
        <is>
          <t>VÄSTERNORRLANDS LÄN</t>
        </is>
      </c>
      <c r="E3828" t="inlineStr">
        <is>
          <t>SOLLEFTEÅ</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8124-2025</t>
        </is>
      </c>
      <c r="B3829" s="1" t="n">
        <v>45707</v>
      </c>
      <c r="C3829" s="1" t="n">
        <v>45802</v>
      </c>
      <c r="D3829" t="inlineStr">
        <is>
          <t>VÄSTERNORRLANDS LÄN</t>
        </is>
      </c>
      <c r="E3829" t="inlineStr">
        <is>
          <t>SOLLEFTEÅ</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7942-2025</t>
        </is>
      </c>
      <c r="B3830" s="1" t="n">
        <v>45707</v>
      </c>
      <c r="C3830" s="1" t="n">
        <v>45802</v>
      </c>
      <c r="D3830" t="inlineStr">
        <is>
          <t>VÄSTERNORRLANDS LÄN</t>
        </is>
      </c>
      <c r="E3830" t="inlineStr">
        <is>
          <t>SOLLEFTEÅ</t>
        </is>
      </c>
      <c r="F3830" t="inlineStr">
        <is>
          <t>SCA</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8100-2025</t>
        </is>
      </c>
      <c r="B3831" s="1" t="n">
        <v>45707</v>
      </c>
      <c r="C3831" s="1" t="n">
        <v>45802</v>
      </c>
      <c r="D3831" t="inlineStr">
        <is>
          <t>VÄSTERNORRLANDS LÄN</t>
        </is>
      </c>
      <c r="E3831" t="inlineStr">
        <is>
          <t>SOLLEFTEÅ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8104-2025</t>
        </is>
      </c>
      <c r="B3832" s="1" t="n">
        <v>45707</v>
      </c>
      <c r="C3832" s="1" t="n">
        <v>45802</v>
      </c>
      <c r="D3832" t="inlineStr">
        <is>
          <t>VÄSTERNORRLANDS LÄN</t>
        </is>
      </c>
      <c r="E3832" t="inlineStr">
        <is>
          <t>SOLLEFTEÅ</t>
        </is>
      </c>
      <c r="F3832" t="inlineStr">
        <is>
          <t>SCA</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8084-2025</t>
        </is>
      </c>
      <c r="B3833" s="1" t="n">
        <v>45707</v>
      </c>
      <c r="C3833" s="1" t="n">
        <v>45802</v>
      </c>
      <c r="D3833" t="inlineStr">
        <is>
          <t>VÄSTERNORRLANDS LÄN</t>
        </is>
      </c>
      <c r="E3833" t="inlineStr">
        <is>
          <t>SOLLEFTEÅ</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8195-2025</t>
        </is>
      </c>
      <c r="B3834" s="1" t="n">
        <v>45708</v>
      </c>
      <c r="C3834" s="1" t="n">
        <v>45802</v>
      </c>
      <c r="D3834" t="inlineStr">
        <is>
          <t>VÄSTERNORRLANDS LÄN</t>
        </is>
      </c>
      <c r="E3834" t="inlineStr">
        <is>
          <t>SOLLEFTEÅ</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8169-2025</t>
        </is>
      </c>
      <c r="B3835" s="1" t="n">
        <v>45708</v>
      </c>
      <c r="C3835" s="1" t="n">
        <v>45802</v>
      </c>
      <c r="D3835" t="inlineStr">
        <is>
          <t>VÄSTERNORRLANDS LÄN</t>
        </is>
      </c>
      <c r="E3835" t="inlineStr">
        <is>
          <t>SOLLEFTEÅ</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8337-2025</t>
        </is>
      </c>
      <c r="B3836" s="1" t="n">
        <v>45708</v>
      </c>
      <c r="C3836" s="1" t="n">
        <v>45802</v>
      </c>
      <c r="D3836" t="inlineStr">
        <is>
          <t>VÄSTERNORRLANDS LÄN</t>
        </is>
      </c>
      <c r="E3836" t="inlineStr">
        <is>
          <t>SOLLEFTEÅ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8476-2025</t>
        </is>
      </c>
      <c r="B3837" s="1" t="n">
        <v>45709</v>
      </c>
      <c r="C3837" s="1" t="n">
        <v>45802</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8703-2025</t>
        </is>
      </c>
      <c r="B3838" s="1" t="n">
        <v>45712</v>
      </c>
      <c r="C3838" s="1" t="n">
        <v>45802</v>
      </c>
      <c r="D3838" t="inlineStr">
        <is>
          <t>VÄSTERNORRLANDS LÄN</t>
        </is>
      </c>
      <c r="E3838" t="inlineStr">
        <is>
          <t>SOLLEFTEÅ</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8653-2025</t>
        </is>
      </c>
      <c r="B3839" s="1" t="n">
        <v>45712</v>
      </c>
      <c r="C3839" s="1" t="n">
        <v>45802</v>
      </c>
      <c r="D3839" t="inlineStr">
        <is>
          <t>VÄSTERNORRLANDS LÄN</t>
        </is>
      </c>
      <c r="E3839" t="inlineStr">
        <is>
          <t>SOLLEFTEÅ</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8814-2025</t>
        </is>
      </c>
      <c r="B3840" s="1" t="n">
        <v>45712</v>
      </c>
      <c r="C3840" s="1" t="n">
        <v>45802</v>
      </c>
      <c r="D3840" t="inlineStr">
        <is>
          <t>VÄSTERNORRLANDS LÄN</t>
        </is>
      </c>
      <c r="E3840" t="inlineStr">
        <is>
          <t>SOLLEFTEÅ</t>
        </is>
      </c>
      <c r="F3840" t="inlineStr">
        <is>
          <t>Kyrkan</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8712-2025</t>
        </is>
      </c>
      <c r="B3841" s="1" t="n">
        <v>45712</v>
      </c>
      <c r="C3841" s="1" t="n">
        <v>45802</v>
      </c>
      <c r="D3841" t="inlineStr">
        <is>
          <t>VÄSTERNORRLANDS LÄN</t>
        </is>
      </c>
      <c r="E3841" t="inlineStr">
        <is>
          <t>SOLLEFTEÅ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8657-2025</t>
        </is>
      </c>
      <c r="B3842" s="1" t="n">
        <v>45712</v>
      </c>
      <c r="C3842" s="1" t="n">
        <v>45802</v>
      </c>
      <c r="D3842" t="inlineStr">
        <is>
          <t>VÄSTERNORRLANDS LÄN</t>
        </is>
      </c>
      <c r="E3842" t="inlineStr">
        <is>
          <t>SOLLEFTEÅ</t>
        </is>
      </c>
      <c r="F3842" t="inlineStr">
        <is>
          <t>SCA</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8851-2025</t>
        </is>
      </c>
      <c r="B3843" s="1" t="n">
        <v>45713</v>
      </c>
      <c r="C3843" s="1" t="n">
        <v>45802</v>
      </c>
      <c r="D3843" t="inlineStr">
        <is>
          <t>VÄSTERNORRLANDS LÄN</t>
        </is>
      </c>
      <c r="E3843" t="inlineStr">
        <is>
          <t>SOLLEFTEÅ</t>
        </is>
      </c>
      <c r="F3843" t="inlineStr">
        <is>
          <t>SCA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8852-2025</t>
        </is>
      </c>
      <c r="B3844" s="1" t="n">
        <v>45713</v>
      </c>
      <c r="C3844" s="1" t="n">
        <v>45802</v>
      </c>
      <c r="D3844" t="inlineStr">
        <is>
          <t>VÄSTERNORRLANDS LÄN</t>
        </is>
      </c>
      <c r="E3844" t="inlineStr">
        <is>
          <t>SOLLEFTEÅ</t>
        </is>
      </c>
      <c r="F3844" t="inlineStr">
        <is>
          <t>SCA</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8895-2025</t>
        </is>
      </c>
      <c r="B3845" s="1" t="n">
        <v>45713</v>
      </c>
      <c r="C3845" s="1" t="n">
        <v>45802</v>
      </c>
      <c r="D3845" t="inlineStr">
        <is>
          <t>VÄSTERNORRLANDS LÄN</t>
        </is>
      </c>
      <c r="E3845" t="inlineStr">
        <is>
          <t>SOLLEFTEÅ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8854-2025</t>
        </is>
      </c>
      <c r="B3846" s="1" t="n">
        <v>45713</v>
      </c>
      <c r="C3846" s="1" t="n">
        <v>45802</v>
      </c>
      <c r="D3846" t="inlineStr">
        <is>
          <t>VÄSTERNORRLANDS LÄN</t>
        </is>
      </c>
      <c r="E3846" t="inlineStr">
        <is>
          <t>SOLLEFTEÅ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9070-2025</t>
        </is>
      </c>
      <c r="B3847" s="1" t="n">
        <v>45713</v>
      </c>
      <c r="C3847" s="1" t="n">
        <v>45802</v>
      </c>
      <c r="D3847" t="inlineStr">
        <is>
          <t>VÄSTERNORRLANDS LÄN</t>
        </is>
      </c>
      <c r="E3847" t="inlineStr">
        <is>
          <t>SOLLEFTEÅ</t>
        </is>
      </c>
      <c r="F3847" t="inlineStr">
        <is>
          <t>SCA</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8893-2025</t>
        </is>
      </c>
      <c r="B3848" s="1" t="n">
        <v>45713</v>
      </c>
      <c r="C3848" s="1" t="n">
        <v>45802</v>
      </c>
      <c r="D3848" t="inlineStr">
        <is>
          <t>VÄSTERNORRLANDS LÄN</t>
        </is>
      </c>
      <c r="E3848" t="inlineStr">
        <is>
          <t>SOLLEFTEÅ</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9072-2025</t>
        </is>
      </c>
      <c r="B3849" s="1" t="n">
        <v>45713</v>
      </c>
      <c r="C3849" s="1" t="n">
        <v>45802</v>
      </c>
      <c r="D3849" t="inlineStr">
        <is>
          <t>VÄSTERNORRLANDS LÄN</t>
        </is>
      </c>
      <c r="E3849" t="inlineStr">
        <is>
          <t>SOLLEFTEÅ</t>
        </is>
      </c>
      <c r="F3849" t="inlineStr">
        <is>
          <t>SCA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8894-2025</t>
        </is>
      </c>
      <c r="B3850" s="1" t="n">
        <v>45713</v>
      </c>
      <c r="C3850" s="1" t="n">
        <v>45802</v>
      </c>
      <c r="D3850" t="inlineStr">
        <is>
          <t>VÄSTERNORRLANDS LÄN</t>
        </is>
      </c>
      <c r="E3850" t="inlineStr">
        <is>
          <t>SOLLEFTEÅ</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8914-2025</t>
        </is>
      </c>
      <c r="B3851" s="1" t="n">
        <v>45713</v>
      </c>
      <c r="C3851" s="1" t="n">
        <v>45802</v>
      </c>
      <c r="D3851" t="inlineStr">
        <is>
          <t>VÄSTERNORRLANDS LÄN</t>
        </is>
      </c>
      <c r="E3851" t="inlineStr">
        <is>
          <t>SOLLEFTEÅ</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9089-2025</t>
        </is>
      </c>
      <c r="B3852" s="1" t="n">
        <v>45713</v>
      </c>
      <c r="C3852" s="1" t="n">
        <v>45802</v>
      </c>
      <c r="D3852" t="inlineStr">
        <is>
          <t>VÄSTERNORRLANDS LÄN</t>
        </is>
      </c>
      <c r="E3852" t="inlineStr">
        <is>
          <t>SOLLEFTEÅ</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9151-2025</t>
        </is>
      </c>
      <c r="B3853" s="1" t="n">
        <v>45714</v>
      </c>
      <c r="C3853" s="1" t="n">
        <v>45802</v>
      </c>
      <c r="D3853" t="inlineStr">
        <is>
          <t>VÄSTERNORRLANDS LÄN</t>
        </is>
      </c>
      <c r="E3853" t="inlineStr">
        <is>
          <t>SOLLEFTEÅ</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9163-2025</t>
        </is>
      </c>
      <c r="B3854" s="1" t="n">
        <v>45714</v>
      </c>
      <c r="C3854" s="1" t="n">
        <v>45802</v>
      </c>
      <c r="D3854" t="inlineStr">
        <is>
          <t>VÄSTERNORRLANDS LÄN</t>
        </is>
      </c>
      <c r="E3854" t="inlineStr">
        <is>
          <t>SOLLEFTEÅ</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9254-2025</t>
        </is>
      </c>
      <c r="B3855" s="1" t="n">
        <v>45714</v>
      </c>
      <c r="C3855" s="1" t="n">
        <v>45802</v>
      </c>
      <c r="D3855" t="inlineStr">
        <is>
          <t>VÄSTERNORRLANDS LÄN</t>
        </is>
      </c>
      <c r="E3855" t="inlineStr">
        <is>
          <t>SOLLEFTEÅ</t>
        </is>
      </c>
      <c r="F3855" t="inlineStr">
        <is>
          <t>SCA</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9237-2025</t>
        </is>
      </c>
      <c r="B3856" s="1" t="n">
        <v>45714</v>
      </c>
      <c r="C3856" s="1" t="n">
        <v>45802</v>
      </c>
      <c r="D3856" t="inlineStr">
        <is>
          <t>VÄSTERNORRLANDS LÄN</t>
        </is>
      </c>
      <c r="E3856" t="inlineStr">
        <is>
          <t>SOLLEFTEÅ</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9245-2025</t>
        </is>
      </c>
      <c r="B3857" s="1" t="n">
        <v>45714</v>
      </c>
      <c r="C3857" s="1" t="n">
        <v>45802</v>
      </c>
      <c r="D3857" t="inlineStr">
        <is>
          <t>VÄSTERNORRLANDS LÄN</t>
        </is>
      </c>
      <c r="E3857" t="inlineStr">
        <is>
          <t>SOLLEFTEÅ</t>
        </is>
      </c>
      <c r="G3857" t="n">
        <v>13.7</v>
      </c>
      <c r="H3857" t="n">
        <v>0</v>
      </c>
      <c r="I3857" t="n">
        <v>0</v>
      </c>
      <c r="J3857" t="n">
        <v>0</v>
      </c>
      <c r="K3857" t="n">
        <v>0</v>
      </c>
      <c r="L3857" t="n">
        <v>0</v>
      </c>
      <c r="M3857" t="n">
        <v>0</v>
      </c>
      <c r="N3857" t="n">
        <v>0</v>
      </c>
      <c r="O3857" t="n">
        <v>0</v>
      </c>
      <c r="P3857" t="n">
        <v>0</v>
      </c>
      <c r="Q3857" t="n">
        <v>0</v>
      </c>
      <c r="R3857" s="2" t="inlineStr"/>
    </row>
    <row r="3858" ht="15" customHeight="1">
      <c r="A3858" t="inlineStr">
        <is>
          <t>A 9253-2025</t>
        </is>
      </c>
      <c r="B3858" s="1" t="n">
        <v>45714</v>
      </c>
      <c r="C3858" s="1" t="n">
        <v>45802</v>
      </c>
      <c r="D3858" t="inlineStr">
        <is>
          <t>VÄSTERNORRLANDS LÄN</t>
        </is>
      </c>
      <c r="E3858" t="inlineStr">
        <is>
          <t>SOLLEFTEÅ</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9305-2025</t>
        </is>
      </c>
      <c r="B3859" s="1" t="n">
        <v>45714</v>
      </c>
      <c r="C3859" s="1" t="n">
        <v>45802</v>
      </c>
      <c r="D3859" t="inlineStr">
        <is>
          <t>VÄSTERNORRLANDS LÄN</t>
        </is>
      </c>
      <c r="E3859" t="inlineStr">
        <is>
          <t>SOLLEFTEÅ</t>
        </is>
      </c>
      <c r="F3859" t="inlineStr">
        <is>
          <t>SCA</t>
        </is>
      </c>
      <c r="G3859" t="n">
        <v>11.9</v>
      </c>
      <c r="H3859" t="n">
        <v>0</v>
      </c>
      <c r="I3859" t="n">
        <v>0</v>
      </c>
      <c r="J3859" t="n">
        <v>0</v>
      </c>
      <c r="K3859" t="n">
        <v>0</v>
      </c>
      <c r="L3859" t="n">
        <v>0</v>
      </c>
      <c r="M3859" t="n">
        <v>0</v>
      </c>
      <c r="N3859" t="n">
        <v>0</v>
      </c>
      <c r="O3859" t="n">
        <v>0</v>
      </c>
      <c r="P3859" t="n">
        <v>0</v>
      </c>
      <c r="Q3859" t="n">
        <v>0</v>
      </c>
      <c r="R3859" s="2" t="inlineStr"/>
    </row>
    <row r="3860" ht="15" customHeight="1">
      <c r="A3860" t="inlineStr">
        <is>
          <t>A 9606-2025</t>
        </is>
      </c>
      <c r="B3860" s="1" t="n">
        <v>45715</v>
      </c>
      <c r="C3860" s="1" t="n">
        <v>45802</v>
      </c>
      <c r="D3860" t="inlineStr">
        <is>
          <t>VÄSTERNORRLANDS LÄN</t>
        </is>
      </c>
      <c r="E3860" t="inlineStr">
        <is>
          <t>SOLLEFTEÅ</t>
        </is>
      </c>
      <c r="F3860" t="inlineStr">
        <is>
          <t>SCA</t>
        </is>
      </c>
      <c r="G3860" t="n">
        <v>15.4</v>
      </c>
      <c r="H3860" t="n">
        <v>0</v>
      </c>
      <c r="I3860" t="n">
        <v>0</v>
      </c>
      <c r="J3860" t="n">
        <v>0</v>
      </c>
      <c r="K3860" t="n">
        <v>0</v>
      </c>
      <c r="L3860" t="n">
        <v>0</v>
      </c>
      <c r="M3860" t="n">
        <v>0</v>
      </c>
      <c r="N3860" t="n">
        <v>0</v>
      </c>
      <c r="O3860" t="n">
        <v>0</v>
      </c>
      <c r="P3860" t="n">
        <v>0</v>
      </c>
      <c r="Q3860" t="n">
        <v>0</v>
      </c>
      <c r="R3860" s="2" t="inlineStr"/>
    </row>
    <row r="3861" ht="15" customHeight="1">
      <c r="A3861" t="inlineStr">
        <is>
          <t>A 9608-2025</t>
        </is>
      </c>
      <c r="B3861" s="1" t="n">
        <v>45715</v>
      </c>
      <c r="C3861" s="1" t="n">
        <v>45802</v>
      </c>
      <c r="D3861" t="inlineStr">
        <is>
          <t>VÄSTERNORRLANDS LÄN</t>
        </is>
      </c>
      <c r="E3861" t="inlineStr">
        <is>
          <t>SOLLEFTEÅ</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9632-2025</t>
        </is>
      </c>
      <c r="B3862" s="1" t="n">
        <v>45715</v>
      </c>
      <c r="C3862" s="1" t="n">
        <v>45802</v>
      </c>
      <c r="D3862" t="inlineStr">
        <is>
          <t>VÄSTERNORRLANDS LÄN</t>
        </is>
      </c>
      <c r="E3862" t="inlineStr">
        <is>
          <t>SOLLEFTEÅ</t>
        </is>
      </c>
      <c r="F3862" t="inlineStr">
        <is>
          <t>SCA</t>
        </is>
      </c>
      <c r="G3862" t="n">
        <v>21.6</v>
      </c>
      <c r="H3862" t="n">
        <v>0</v>
      </c>
      <c r="I3862" t="n">
        <v>0</v>
      </c>
      <c r="J3862" t="n">
        <v>0</v>
      </c>
      <c r="K3862" t="n">
        <v>0</v>
      </c>
      <c r="L3862" t="n">
        <v>0</v>
      </c>
      <c r="M3862" t="n">
        <v>0</v>
      </c>
      <c r="N3862" t="n">
        <v>0</v>
      </c>
      <c r="O3862" t="n">
        <v>0</v>
      </c>
      <c r="P3862" t="n">
        <v>0</v>
      </c>
      <c r="Q3862" t="n">
        <v>0</v>
      </c>
      <c r="R3862" s="2" t="inlineStr"/>
    </row>
    <row r="3863" ht="15" customHeight="1">
      <c r="A3863" t="inlineStr">
        <is>
          <t>A 9607-2025</t>
        </is>
      </c>
      <c r="B3863" s="1" t="n">
        <v>45715</v>
      </c>
      <c r="C3863" s="1" t="n">
        <v>45802</v>
      </c>
      <c r="D3863" t="inlineStr">
        <is>
          <t>VÄSTERNORRLANDS LÄN</t>
        </is>
      </c>
      <c r="E3863" t="inlineStr">
        <is>
          <t>SOLLEFTEÅ</t>
        </is>
      </c>
      <c r="F3863" t="inlineStr">
        <is>
          <t>SCA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9754-2025</t>
        </is>
      </c>
      <c r="B3864" s="1" t="n">
        <v>45716</v>
      </c>
      <c r="C3864" s="1" t="n">
        <v>45802</v>
      </c>
      <c r="D3864" t="inlineStr">
        <is>
          <t>VÄSTERNORRLANDS LÄN</t>
        </is>
      </c>
      <c r="E3864" t="inlineStr">
        <is>
          <t>SOLLEFTEÅ</t>
        </is>
      </c>
      <c r="F3864" t="inlineStr">
        <is>
          <t>SCA</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9720-2025</t>
        </is>
      </c>
      <c r="B3865" s="1" t="n">
        <v>45716</v>
      </c>
      <c r="C3865" s="1" t="n">
        <v>45802</v>
      </c>
      <c r="D3865" t="inlineStr">
        <is>
          <t>VÄSTERNORRLANDS LÄN</t>
        </is>
      </c>
      <c r="E3865" t="inlineStr">
        <is>
          <t>SOLLEFTEÅ</t>
        </is>
      </c>
      <c r="F3865" t="inlineStr">
        <is>
          <t>SCA</t>
        </is>
      </c>
      <c r="G3865" t="n">
        <v>21.9</v>
      </c>
      <c r="H3865" t="n">
        <v>0</v>
      </c>
      <c r="I3865" t="n">
        <v>0</v>
      </c>
      <c r="J3865" t="n">
        <v>0</v>
      </c>
      <c r="K3865" t="n">
        <v>0</v>
      </c>
      <c r="L3865" t="n">
        <v>0</v>
      </c>
      <c r="M3865" t="n">
        <v>0</v>
      </c>
      <c r="N3865" t="n">
        <v>0</v>
      </c>
      <c r="O3865" t="n">
        <v>0</v>
      </c>
      <c r="P3865" t="n">
        <v>0</v>
      </c>
      <c r="Q3865" t="n">
        <v>0</v>
      </c>
      <c r="R3865" s="2" t="inlineStr"/>
    </row>
    <row r="3866" ht="15" customHeight="1">
      <c r="A3866" t="inlineStr">
        <is>
          <t>A 9834-2025</t>
        </is>
      </c>
      <c r="B3866" s="1" t="n">
        <v>45716</v>
      </c>
      <c r="C3866" s="1" t="n">
        <v>45802</v>
      </c>
      <c r="D3866" t="inlineStr">
        <is>
          <t>VÄSTERNORRLANDS LÄN</t>
        </is>
      </c>
      <c r="E3866" t="inlineStr">
        <is>
          <t>SOLLEFTEÅ</t>
        </is>
      </c>
      <c r="G3866" t="n">
        <v>17.3</v>
      </c>
      <c r="H3866" t="n">
        <v>0</v>
      </c>
      <c r="I3866" t="n">
        <v>0</v>
      </c>
      <c r="J3866" t="n">
        <v>0</v>
      </c>
      <c r="K3866" t="n">
        <v>0</v>
      </c>
      <c r="L3866" t="n">
        <v>0</v>
      </c>
      <c r="M3866" t="n">
        <v>0</v>
      </c>
      <c r="N3866" t="n">
        <v>0</v>
      </c>
      <c r="O3866" t="n">
        <v>0</v>
      </c>
      <c r="P3866" t="n">
        <v>0</v>
      </c>
      <c r="Q3866" t="n">
        <v>0</v>
      </c>
      <c r="R3866" s="2" t="inlineStr"/>
    </row>
    <row r="3867" ht="15" customHeight="1">
      <c r="A3867" t="inlineStr">
        <is>
          <t>A 9708-2025</t>
        </is>
      </c>
      <c r="B3867" s="1" t="n">
        <v>45716</v>
      </c>
      <c r="C3867" s="1" t="n">
        <v>45802</v>
      </c>
      <c r="D3867" t="inlineStr">
        <is>
          <t>VÄSTERNORRLANDS LÄN</t>
        </is>
      </c>
      <c r="E3867" t="inlineStr">
        <is>
          <t>SOLLEFTEÅ</t>
        </is>
      </c>
      <c r="F3867" t="inlineStr">
        <is>
          <t>SCA</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9967-2025</t>
        </is>
      </c>
      <c r="B3868" s="1" t="n">
        <v>45719</v>
      </c>
      <c r="C3868" s="1" t="n">
        <v>45802</v>
      </c>
      <c r="D3868" t="inlineStr">
        <is>
          <t>VÄSTERNORRLANDS LÄN</t>
        </is>
      </c>
      <c r="E3868" t="inlineStr">
        <is>
          <t>SOLLEFTEÅ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9950-2025</t>
        </is>
      </c>
      <c r="B3869" s="1" t="n">
        <v>45719</v>
      </c>
      <c r="C3869" s="1" t="n">
        <v>45802</v>
      </c>
      <c r="D3869" t="inlineStr">
        <is>
          <t>VÄSTERNORRLANDS LÄN</t>
        </is>
      </c>
      <c r="E3869" t="inlineStr">
        <is>
          <t>SOLLEFTEÅ</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9966-2025</t>
        </is>
      </c>
      <c r="B3870" s="1" t="n">
        <v>45719</v>
      </c>
      <c r="C3870" s="1" t="n">
        <v>45802</v>
      </c>
      <c r="D3870" t="inlineStr">
        <is>
          <t>VÄSTERNORRLANDS LÄN</t>
        </is>
      </c>
      <c r="E3870" t="inlineStr">
        <is>
          <t>SOLLEFTEÅ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10403-2025</t>
        </is>
      </c>
      <c r="B3871" s="1" t="n">
        <v>45720</v>
      </c>
      <c r="C3871" s="1" t="n">
        <v>45802</v>
      </c>
      <c r="D3871" t="inlineStr">
        <is>
          <t>VÄSTERNORRLANDS LÄN</t>
        </is>
      </c>
      <c r="E3871" t="inlineStr">
        <is>
          <t>SOLLEFTEÅ</t>
        </is>
      </c>
      <c r="F3871" t="inlineStr">
        <is>
          <t>SCA</t>
        </is>
      </c>
      <c r="G3871" t="n">
        <v>25.8</v>
      </c>
      <c r="H3871" t="n">
        <v>0</v>
      </c>
      <c r="I3871" t="n">
        <v>0</v>
      </c>
      <c r="J3871" t="n">
        <v>0</v>
      </c>
      <c r="K3871" t="n">
        <v>0</v>
      </c>
      <c r="L3871" t="n">
        <v>0</v>
      </c>
      <c r="M3871" t="n">
        <v>0</v>
      </c>
      <c r="N3871" t="n">
        <v>0</v>
      </c>
      <c r="O3871" t="n">
        <v>0</v>
      </c>
      <c r="P3871" t="n">
        <v>0</v>
      </c>
      <c r="Q3871" t="n">
        <v>0</v>
      </c>
      <c r="R3871" s="2" t="inlineStr"/>
    </row>
    <row r="3872" ht="15" customHeight="1">
      <c r="A3872" t="inlineStr">
        <is>
          <t>A 10240-2025</t>
        </is>
      </c>
      <c r="B3872" s="1" t="n">
        <v>45720</v>
      </c>
      <c r="C3872" s="1" t="n">
        <v>45802</v>
      </c>
      <c r="D3872" t="inlineStr">
        <is>
          <t>VÄSTERNORRLANDS LÄN</t>
        </is>
      </c>
      <c r="E3872" t="inlineStr">
        <is>
          <t>SOLLEFTEÅ</t>
        </is>
      </c>
      <c r="F3872" t="inlineStr">
        <is>
          <t>SCA</t>
        </is>
      </c>
      <c r="G3872" t="n">
        <v>18.8</v>
      </c>
      <c r="H3872" t="n">
        <v>0</v>
      </c>
      <c r="I3872" t="n">
        <v>0</v>
      </c>
      <c r="J3872" t="n">
        <v>0</v>
      </c>
      <c r="K3872" t="n">
        <v>0</v>
      </c>
      <c r="L3872" t="n">
        <v>0</v>
      </c>
      <c r="M3872" t="n">
        <v>0</v>
      </c>
      <c r="N3872" t="n">
        <v>0</v>
      </c>
      <c r="O3872" t="n">
        <v>0</v>
      </c>
      <c r="P3872" t="n">
        <v>0</v>
      </c>
      <c r="Q3872" t="n">
        <v>0</v>
      </c>
      <c r="R3872" s="2" t="inlineStr"/>
    </row>
    <row r="3873" ht="15" customHeight="1">
      <c r="A3873" t="inlineStr">
        <is>
          <t>A 10437-2025</t>
        </is>
      </c>
      <c r="B3873" s="1" t="n">
        <v>45720</v>
      </c>
      <c r="C3873" s="1" t="n">
        <v>45802</v>
      </c>
      <c r="D3873" t="inlineStr">
        <is>
          <t>VÄSTERNORRLANDS LÄN</t>
        </is>
      </c>
      <c r="E3873" t="inlineStr">
        <is>
          <t>SOLLEFTEÅ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10438-2025</t>
        </is>
      </c>
      <c r="B3874" s="1" t="n">
        <v>45720</v>
      </c>
      <c r="C3874" s="1" t="n">
        <v>45802</v>
      </c>
      <c r="D3874" t="inlineStr">
        <is>
          <t>VÄSTERNORRLANDS LÄN</t>
        </is>
      </c>
      <c r="E3874" t="inlineStr">
        <is>
          <t>SOLLEFTEÅ</t>
        </is>
      </c>
      <c r="F3874" t="inlineStr">
        <is>
          <t>SCA</t>
        </is>
      </c>
      <c r="G3874" t="n">
        <v>14.6</v>
      </c>
      <c r="H3874" t="n">
        <v>0</v>
      </c>
      <c r="I3874" t="n">
        <v>0</v>
      </c>
      <c r="J3874" t="n">
        <v>0</v>
      </c>
      <c r="K3874" t="n">
        <v>0</v>
      </c>
      <c r="L3874" t="n">
        <v>0</v>
      </c>
      <c r="M3874" t="n">
        <v>0</v>
      </c>
      <c r="N3874" t="n">
        <v>0</v>
      </c>
      <c r="O3874" t="n">
        <v>0</v>
      </c>
      <c r="P3874" t="n">
        <v>0</v>
      </c>
      <c r="Q3874" t="n">
        <v>0</v>
      </c>
      <c r="R3874" s="2" t="inlineStr"/>
    </row>
    <row r="3875" ht="15" customHeight="1">
      <c r="A3875" t="inlineStr">
        <is>
          <t>A 10237-2025</t>
        </is>
      </c>
      <c r="B3875" s="1" t="n">
        <v>45720</v>
      </c>
      <c r="C3875" s="1" t="n">
        <v>45802</v>
      </c>
      <c r="D3875" t="inlineStr">
        <is>
          <t>VÄSTERNORRLANDS LÄN</t>
        </is>
      </c>
      <c r="E3875" t="inlineStr">
        <is>
          <t>SOLLEFTEÅ</t>
        </is>
      </c>
      <c r="F3875" t="inlineStr">
        <is>
          <t>SCA</t>
        </is>
      </c>
      <c r="G3875" t="n">
        <v>13.5</v>
      </c>
      <c r="H3875" t="n">
        <v>0</v>
      </c>
      <c r="I3875" t="n">
        <v>0</v>
      </c>
      <c r="J3875" t="n">
        <v>0</v>
      </c>
      <c r="K3875" t="n">
        <v>0</v>
      </c>
      <c r="L3875" t="n">
        <v>0</v>
      </c>
      <c r="M3875" t="n">
        <v>0</v>
      </c>
      <c r="N3875" t="n">
        <v>0</v>
      </c>
      <c r="O3875" t="n">
        <v>0</v>
      </c>
      <c r="P3875" t="n">
        <v>0</v>
      </c>
      <c r="Q3875" t="n">
        <v>0</v>
      </c>
      <c r="R3875" s="2" t="inlineStr"/>
    </row>
    <row r="3876" ht="15" customHeight="1">
      <c r="A3876" t="inlineStr">
        <is>
          <t>A 10726-2025</t>
        </is>
      </c>
      <c r="B3876" s="1" t="n">
        <v>45722</v>
      </c>
      <c r="C3876" s="1" t="n">
        <v>45802</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10737-2025</t>
        </is>
      </c>
      <c r="B3877" s="1" t="n">
        <v>45722</v>
      </c>
      <c r="C3877" s="1" t="n">
        <v>45802</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10738-2025</t>
        </is>
      </c>
      <c r="B3878" s="1" t="n">
        <v>45722</v>
      </c>
      <c r="C3878" s="1" t="n">
        <v>45802</v>
      </c>
      <c r="D3878" t="inlineStr">
        <is>
          <t>VÄSTERNORRLANDS LÄN</t>
        </is>
      </c>
      <c r="E3878" t="inlineStr">
        <is>
          <t>SOLLEFTEÅ</t>
        </is>
      </c>
      <c r="F3878" t="inlineStr">
        <is>
          <t>SCA</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10725-2025</t>
        </is>
      </c>
      <c r="B3879" s="1" t="n">
        <v>45722</v>
      </c>
      <c r="C3879" s="1" t="n">
        <v>45802</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10865-2025</t>
        </is>
      </c>
      <c r="B3880" s="1" t="n">
        <v>45722</v>
      </c>
      <c r="C3880" s="1" t="n">
        <v>45802</v>
      </c>
      <c r="D3880" t="inlineStr">
        <is>
          <t>VÄSTERNORRLANDS LÄN</t>
        </is>
      </c>
      <c r="E3880" t="inlineStr">
        <is>
          <t>SOLLEFTEÅ</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10970-2025</t>
        </is>
      </c>
      <c r="B3881" s="1" t="n">
        <v>45723</v>
      </c>
      <c r="C3881" s="1" t="n">
        <v>45802</v>
      </c>
      <c r="D3881" t="inlineStr">
        <is>
          <t>VÄSTERNORRLANDS LÄN</t>
        </is>
      </c>
      <c r="E3881" t="inlineStr">
        <is>
          <t>SOLLEFTEÅ</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11026-2025</t>
        </is>
      </c>
      <c r="B3882" s="1" t="n">
        <v>45723</v>
      </c>
      <c r="C3882" s="1" t="n">
        <v>45802</v>
      </c>
      <c r="D3882" t="inlineStr">
        <is>
          <t>VÄSTERNORRLANDS LÄN</t>
        </is>
      </c>
      <c r="E3882" t="inlineStr">
        <is>
          <t>SOLLEFTEÅ</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11108-2025</t>
        </is>
      </c>
      <c r="B3883" s="1" t="n">
        <v>45723</v>
      </c>
      <c r="C3883" s="1" t="n">
        <v>45802</v>
      </c>
      <c r="D3883" t="inlineStr">
        <is>
          <t>VÄSTERNORRLANDS LÄN</t>
        </is>
      </c>
      <c r="E3883" t="inlineStr">
        <is>
          <t>SOLLEFTEÅ</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11134-2025</t>
        </is>
      </c>
      <c r="B3884" s="1" t="n">
        <v>45723</v>
      </c>
      <c r="C3884" s="1" t="n">
        <v>45802</v>
      </c>
      <c r="D3884" t="inlineStr">
        <is>
          <t>VÄSTERNORRLANDS LÄN</t>
        </is>
      </c>
      <c r="E3884" t="inlineStr">
        <is>
          <t>SOLLEFTEÅ</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10950-2025</t>
        </is>
      </c>
      <c r="B3885" s="1" t="n">
        <v>45723</v>
      </c>
      <c r="C3885" s="1" t="n">
        <v>45802</v>
      </c>
      <c r="D3885" t="inlineStr">
        <is>
          <t>VÄSTERNORRLANDS LÄN</t>
        </is>
      </c>
      <c r="E3885" t="inlineStr">
        <is>
          <t>SOLLEFTEÅ</t>
        </is>
      </c>
      <c r="F3885" t="inlineStr">
        <is>
          <t>SCA</t>
        </is>
      </c>
      <c r="G3885" t="n">
        <v>32.3</v>
      </c>
      <c r="H3885" t="n">
        <v>0</v>
      </c>
      <c r="I3885" t="n">
        <v>0</v>
      </c>
      <c r="J3885" t="n">
        <v>0</v>
      </c>
      <c r="K3885" t="n">
        <v>0</v>
      </c>
      <c r="L3885" t="n">
        <v>0</v>
      </c>
      <c r="M3885" t="n">
        <v>0</v>
      </c>
      <c r="N3885" t="n">
        <v>0</v>
      </c>
      <c r="O3885" t="n">
        <v>0</v>
      </c>
      <c r="P3885" t="n">
        <v>0</v>
      </c>
      <c r="Q3885" t="n">
        <v>0</v>
      </c>
      <c r="R3885" s="2" t="inlineStr"/>
    </row>
    <row r="3886" ht="15" customHeight="1">
      <c r="A3886" t="inlineStr">
        <is>
          <t>A 10983-2025</t>
        </is>
      </c>
      <c r="B3886" s="1" t="n">
        <v>45723</v>
      </c>
      <c r="C3886" s="1" t="n">
        <v>45802</v>
      </c>
      <c r="D3886" t="inlineStr">
        <is>
          <t>VÄSTERNORRLANDS LÄN</t>
        </is>
      </c>
      <c r="E3886" t="inlineStr">
        <is>
          <t>SOLLEFTEÅ</t>
        </is>
      </c>
      <c r="F3886" t="inlineStr">
        <is>
          <t>SCA</t>
        </is>
      </c>
      <c r="G3886" t="n">
        <v>16.8</v>
      </c>
      <c r="H3886" t="n">
        <v>0</v>
      </c>
      <c r="I3886" t="n">
        <v>0</v>
      </c>
      <c r="J3886" t="n">
        <v>0</v>
      </c>
      <c r="K3886" t="n">
        <v>0</v>
      </c>
      <c r="L3886" t="n">
        <v>0</v>
      </c>
      <c r="M3886" t="n">
        <v>0</v>
      </c>
      <c r="N3886" t="n">
        <v>0</v>
      </c>
      <c r="O3886" t="n">
        <v>0</v>
      </c>
      <c r="P3886" t="n">
        <v>0</v>
      </c>
      <c r="Q3886" t="n">
        <v>0</v>
      </c>
      <c r="R3886" s="2" t="inlineStr"/>
    </row>
    <row r="3887" ht="15" customHeight="1">
      <c r="A3887" t="inlineStr">
        <is>
          <t>A 10981-2025</t>
        </is>
      </c>
      <c r="B3887" s="1" t="n">
        <v>45723</v>
      </c>
      <c r="C3887" s="1" t="n">
        <v>45802</v>
      </c>
      <c r="D3887" t="inlineStr">
        <is>
          <t>VÄSTERNORRLANDS LÄN</t>
        </is>
      </c>
      <c r="E3887" t="inlineStr">
        <is>
          <t>SOLLEFTEÅ</t>
        </is>
      </c>
      <c r="F3887" t="inlineStr">
        <is>
          <t>SCA</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11057-2025</t>
        </is>
      </c>
      <c r="B3888" s="1" t="n">
        <v>45723</v>
      </c>
      <c r="C3888" s="1" t="n">
        <v>45802</v>
      </c>
      <c r="D3888" t="inlineStr">
        <is>
          <t>VÄSTERNORRLANDS LÄN</t>
        </is>
      </c>
      <c r="E3888" t="inlineStr">
        <is>
          <t>SOLLEFTEÅ</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10968-2025</t>
        </is>
      </c>
      <c r="B3889" s="1" t="n">
        <v>45723</v>
      </c>
      <c r="C3889" s="1" t="n">
        <v>45802</v>
      </c>
      <c r="D3889" t="inlineStr">
        <is>
          <t>VÄSTERNORRLANDS LÄN</t>
        </is>
      </c>
      <c r="E3889" t="inlineStr">
        <is>
          <t>SOLLEFTEÅ</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10967-2025</t>
        </is>
      </c>
      <c r="B3890" s="1" t="n">
        <v>45723</v>
      </c>
      <c r="C3890" s="1" t="n">
        <v>45802</v>
      </c>
      <c r="D3890" t="inlineStr">
        <is>
          <t>VÄSTERNORRLANDS LÄN</t>
        </is>
      </c>
      <c r="E3890" t="inlineStr">
        <is>
          <t>SOLLEFTEÅ</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10971-2025</t>
        </is>
      </c>
      <c r="B3891" s="1" t="n">
        <v>45723</v>
      </c>
      <c r="C3891" s="1" t="n">
        <v>45802</v>
      </c>
      <c r="D3891" t="inlineStr">
        <is>
          <t>VÄSTERNORRLANDS LÄN</t>
        </is>
      </c>
      <c r="E3891" t="inlineStr">
        <is>
          <t>SOLLEFTEÅ</t>
        </is>
      </c>
      <c r="F3891" t="inlineStr">
        <is>
          <t>SCA</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11338-2025</t>
        </is>
      </c>
      <c r="B3892" s="1" t="n">
        <v>45726</v>
      </c>
      <c r="C3892" s="1" t="n">
        <v>45802</v>
      </c>
      <c r="D3892" t="inlineStr">
        <is>
          <t>VÄSTERNORRLANDS LÄN</t>
        </is>
      </c>
      <c r="E3892" t="inlineStr">
        <is>
          <t>SOLLEFTEÅ</t>
        </is>
      </c>
      <c r="F3892" t="inlineStr">
        <is>
          <t>SCA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11449-2025</t>
        </is>
      </c>
      <c r="B3893" s="1" t="n">
        <v>45726</v>
      </c>
      <c r="C3893" s="1" t="n">
        <v>45802</v>
      </c>
      <c r="D3893" t="inlineStr">
        <is>
          <t>VÄSTERNORRLANDS LÄN</t>
        </is>
      </c>
      <c r="E3893" t="inlineStr">
        <is>
          <t>SOLLEFTEÅ</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11455-2025</t>
        </is>
      </c>
      <c r="B3894" s="1" t="n">
        <v>45726</v>
      </c>
      <c r="C3894" s="1" t="n">
        <v>45802</v>
      </c>
      <c r="D3894" t="inlineStr">
        <is>
          <t>VÄSTERNORRLANDS LÄN</t>
        </is>
      </c>
      <c r="E3894" t="inlineStr">
        <is>
          <t>SOLLEFTEÅ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11697-2025</t>
        </is>
      </c>
      <c r="B3895" s="1" t="n">
        <v>45727</v>
      </c>
      <c r="C3895" s="1" t="n">
        <v>45802</v>
      </c>
      <c r="D3895" t="inlineStr">
        <is>
          <t>VÄSTERNORRLANDS LÄN</t>
        </is>
      </c>
      <c r="E3895" t="inlineStr">
        <is>
          <t>SOLLEFTEÅ</t>
        </is>
      </c>
      <c r="F3895" t="inlineStr">
        <is>
          <t>SCA</t>
        </is>
      </c>
      <c r="G3895" t="n">
        <v>26.6</v>
      </c>
      <c r="H3895" t="n">
        <v>0</v>
      </c>
      <c r="I3895" t="n">
        <v>0</v>
      </c>
      <c r="J3895" t="n">
        <v>0</v>
      </c>
      <c r="K3895" t="n">
        <v>0</v>
      </c>
      <c r="L3895" t="n">
        <v>0</v>
      </c>
      <c r="M3895" t="n">
        <v>0</v>
      </c>
      <c r="N3895" t="n">
        <v>0</v>
      </c>
      <c r="O3895" t="n">
        <v>0</v>
      </c>
      <c r="P3895" t="n">
        <v>0</v>
      </c>
      <c r="Q3895" t="n">
        <v>0</v>
      </c>
      <c r="R3895" s="2" t="inlineStr"/>
    </row>
    <row r="3896" ht="15" customHeight="1">
      <c r="A3896" t="inlineStr">
        <is>
          <t>A 11698-2025</t>
        </is>
      </c>
      <c r="B3896" s="1" t="n">
        <v>45727</v>
      </c>
      <c r="C3896" s="1" t="n">
        <v>45802</v>
      </c>
      <c r="D3896" t="inlineStr">
        <is>
          <t>VÄSTERNORRLANDS LÄN</t>
        </is>
      </c>
      <c r="E3896" t="inlineStr">
        <is>
          <t>SOLLEFTEÅ</t>
        </is>
      </c>
      <c r="F3896" t="inlineStr">
        <is>
          <t>SCA</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11711-2025</t>
        </is>
      </c>
      <c r="B3897" s="1" t="n">
        <v>45727</v>
      </c>
      <c r="C3897" s="1" t="n">
        <v>45802</v>
      </c>
      <c r="D3897" t="inlineStr">
        <is>
          <t>VÄSTERNORRLANDS LÄN</t>
        </is>
      </c>
      <c r="E3897" t="inlineStr">
        <is>
          <t>SOLLEFTEÅ</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11746-2025</t>
        </is>
      </c>
      <c r="B3898" s="1" t="n">
        <v>45727</v>
      </c>
      <c r="C3898" s="1" t="n">
        <v>45802</v>
      </c>
      <c r="D3898" t="inlineStr">
        <is>
          <t>VÄSTERNORRLANDS LÄN</t>
        </is>
      </c>
      <c r="E3898" t="inlineStr">
        <is>
          <t>SOLLEFTEÅ</t>
        </is>
      </c>
      <c r="F3898" t="inlineStr">
        <is>
          <t>SCA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11727-2025</t>
        </is>
      </c>
      <c r="B3899" s="1" t="n">
        <v>45727</v>
      </c>
      <c r="C3899" s="1" t="n">
        <v>45802</v>
      </c>
      <c r="D3899" t="inlineStr">
        <is>
          <t>VÄSTERNORRLANDS LÄN</t>
        </is>
      </c>
      <c r="E3899" t="inlineStr">
        <is>
          <t>SOLLEFTEÅ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12063-2025</t>
        </is>
      </c>
      <c r="B3900" s="1" t="n">
        <v>45728</v>
      </c>
      <c r="C3900" s="1" t="n">
        <v>45802</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11982-2025</t>
        </is>
      </c>
      <c r="B3901" s="1" t="n">
        <v>45728</v>
      </c>
      <c r="C3901" s="1" t="n">
        <v>45802</v>
      </c>
      <c r="D3901" t="inlineStr">
        <is>
          <t>VÄSTERNORRLANDS LÄN</t>
        </is>
      </c>
      <c r="E3901" t="inlineStr">
        <is>
          <t>SOLLEFTEÅ</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12061-2025</t>
        </is>
      </c>
      <c r="B3902" s="1" t="n">
        <v>45728</v>
      </c>
      <c r="C3902" s="1" t="n">
        <v>45802</v>
      </c>
      <c r="D3902" t="inlineStr">
        <is>
          <t>VÄSTERNORRLANDS LÄN</t>
        </is>
      </c>
      <c r="E3902" t="inlineStr">
        <is>
          <t>SOLLEFTEÅ</t>
        </is>
      </c>
      <c r="F3902" t="inlineStr">
        <is>
          <t>SCA</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12064-2025</t>
        </is>
      </c>
      <c r="B3903" s="1" t="n">
        <v>45728</v>
      </c>
      <c r="C3903" s="1" t="n">
        <v>45802</v>
      </c>
      <c r="D3903" t="inlineStr">
        <is>
          <t>VÄSTERNORRLANDS LÄN</t>
        </is>
      </c>
      <c r="E3903" t="inlineStr">
        <is>
          <t>SOLLEFTEÅ</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12062-2025</t>
        </is>
      </c>
      <c r="B3904" s="1" t="n">
        <v>45728</v>
      </c>
      <c r="C3904" s="1" t="n">
        <v>45802</v>
      </c>
      <c r="D3904" t="inlineStr">
        <is>
          <t>VÄSTERNORRLANDS LÄN</t>
        </is>
      </c>
      <c r="E3904" t="inlineStr">
        <is>
          <t>SOLLEFTEÅ</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12361-2025</t>
        </is>
      </c>
      <c r="B3905" s="1" t="n">
        <v>45730</v>
      </c>
      <c r="C3905" s="1" t="n">
        <v>45802</v>
      </c>
      <c r="D3905" t="inlineStr">
        <is>
          <t>VÄSTERNORRLANDS LÄN</t>
        </is>
      </c>
      <c r="E3905" t="inlineStr">
        <is>
          <t>SOLLEFTEÅ</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12384-2025</t>
        </is>
      </c>
      <c r="B3906" s="1" t="n">
        <v>45730</v>
      </c>
      <c r="C3906" s="1" t="n">
        <v>45802</v>
      </c>
      <c r="D3906" t="inlineStr">
        <is>
          <t>VÄSTERNORRLANDS LÄN</t>
        </is>
      </c>
      <c r="E3906" t="inlineStr">
        <is>
          <t>SOLLEFTEÅ</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12461-2025</t>
        </is>
      </c>
      <c r="B3907" s="1" t="n">
        <v>45730</v>
      </c>
      <c r="C3907" s="1" t="n">
        <v>45802</v>
      </c>
      <c r="D3907" t="inlineStr">
        <is>
          <t>VÄSTERNORRLANDS LÄN</t>
        </is>
      </c>
      <c r="E3907" t="inlineStr">
        <is>
          <t>SOLLEFTEÅ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12355-2025</t>
        </is>
      </c>
      <c r="B3908" s="1" t="n">
        <v>45730</v>
      </c>
      <c r="C3908" s="1" t="n">
        <v>45802</v>
      </c>
      <c r="D3908" t="inlineStr">
        <is>
          <t>VÄSTERNORRLANDS LÄN</t>
        </is>
      </c>
      <c r="E3908" t="inlineStr">
        <is>
          <t>SOLLEFTEÅ</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12379-2025</t>
        </is>
      </c>
      <c r="B3909" s="1" t="n">
        <v>45730</v>
      </c>
      <c r="C3909" s="1" t="n">
        <v>45802</v>
      </c>
      <c r="D3909" t="inlineStr">
        <is>
          <t>VÄSTERNORRLANDS LÄN</t>
        </is>
      </c>
      <c r="E3909" t="inlineStr">
        <is>
          <t>SOLLEFTEÅ</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12632-2025</t>
        </is>
      </c>
      <c r="B3910" s="1" t="n">
        <v>45733</v>
      </c>
      <c r="C3910" s="1" t="n">
        <v>45802</v>
      </c>
      <c r="D3910" t="inlineStr">
        <is>
          <t>VÄSTERNORRLANDS LÄN</t>
        </is>
      </c>
      <c r="E3910" t="inlineStr">
        <is>
          <t>SOLLEFTEÅ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12683-2025</t>
        </is>
      </c>
      <c r="B3911" s="1" t="n">
        <v>45733</v>
      </c>
      <c r="C3911" s="1" t="n">
        <v>45802</v>
      </c>
      <c r="D3911" t="inlineStr">
        <is>
          <t>VÄSTERNORRLANDS LÄN</t>
        </is>
      </c>
      <c r="E3911" t="inlineStr">
        <is>
          <t>SOLLEFTEÅ</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12706-2025</t>
        </is>
      </c>
      <c r="B3912" s="1" t="n">
        <v>45733</v>
      </c>
      <c r="C3912" s="1" t="n">
        <v>45802</v>
      </c>
      <c r="D3912" t="inlineStr">
        <is>
          <t>VÄSTERNORRLANDS LÄN</t>
        </is>
      </c>
      <c r="E3912" t="inlineStr">
        <is>
          <t>SOLLEFTEÅ</t>
        </is>
      </c>
      <c r="F3912" t="inlineStr">
        <is>
          <t>SCA</t>
        </is>
      </c>
      <c r="G3912" t="n">
        <v>21.7</v>
      </c>
      <c r="H3912" t="n">
        <v>0</v>
      </c>
      <c r="I3912" t="n">
        <v>0</v>
      </c>
      <c r="J3912" t="n">
        <v>0</v>
      </c>
      <c r="K3912" t="n">
        <v>0</v>
      </c>
      <c r="L3912" t="n">
        <v>0</v>
      </c>
      <c r="M3912" t="n">
        <v>0</v>
      </c>
      <c r="N3912" t="n">
        <v>0</v>
      </c>
      <c r="O3912" t="n">
        <v>0</v>
      </c>
      <c r="P3912" t="n">
        <v>0</v>
      </c>
      <c r="Q3912" t="n">
        <v>0</v>
      </c>
      <c r="R3912" s="2" t="inlineStr"/>
    </row>
    <row r="3913" ht="15" customHeight="1">
      <c r="A3913" t="inlineStr">
        <is>
          <t>A 12614-2025</t>
        </is>
      </c>
      <c r="B3913" s="1" t="n">
        <v>45733</v>
      </c>
      <c r="C3913" s="1" t="n">
        <v>45802</v>
      </c>
      <c r="D3913" t="inlineStr">
        <is>
          <t>VÄSTERNORRLANDS LÄN</t>
        </is>
      </c>
      <c r="E3913" t="inlineStr">
        <is>
          <t>SOLLEFTEÅ</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12644-2025</t>
        </is>
      </c>
      <c r="B3914" s="1" t="n">
        <v>45733</v>
      </c>
      <c r="C3914" s="1" t="n">
        <v>45802</v>
      </c>
      <c r="D3914" t="inlineStr">
        <is>
          <t>VÄSTERNORRLANDS LÄN</t>
        </is>
      </c>
      <c r="E3914" t="inlineStr">
        <is>
          <t>SOLLEFTEÅ</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12730-2025</t>
        </is>
      </c>
      <c r="B3915" s="1" t="n">
        <v>45733</v>
      </c>
      <c r="C3915" s="1" t="n">
        <v>45802</v>
      </c>
      <c r="D3915" t="inlineStr">
        <is>
          <t>VÄSTERNORRLANDS LÄN</t>
        </is>
      </c>
      <c r="E3915" t="inlineStr">
        <is>
          <t>SOLLEFTEÅ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12673-2025</t>
        </is>
      </c>
      <c r="B3916" s="1" t="n">
        <v>45733</v>
      </c>
      <c r="C3916" s="1" t="n">
        <v>45802</v>
      </c>
      <c r="D3916" t="inlineStr">
        <is>
          <t>VÄSTERNORRLANDS LÄN</t>
        </is>
      </c>
      <c r="E3916" t="inlineStr">
        <is>
          <t>SOLLEFTEÅ</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12834-2025</t>
        </is>
      </c>
      <c r="B3917" s="1" t="n">
        <v>45733</v>
      </c>
      <c r="C3917" s="1" t="n">
        <v>45802</v>
      </c>
      <c r="D3917" t="inlineStr">
        <is>
          <t>VÄSTERNORRLANDS LÄN</t>
        </is>
      </c>
      <c r="E3917" t="inlineStr">
        <is>
          <t>SOLLEFTEÅ</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12627-2025</t>
        </is>
      </c>
      <c r="B3918" s="1" t="n">
        <v>45733</v>
      </c>
      <c r="C3918" s="1" t="n">
        <v>45802</v>
      </c>
      <c r="D3918" t="inlineStr">
        <is>
          <t>VÄSTERNORRLANDS LÄN</t>
        </is>
      </c>
      <c r="E3918" t="inlineStr">
        <is>
          <t>SOLLEFTEÅ</t>
        </is>
      </c>
      <c r="G3918" t="n">
        <v>12.9</v>
      </c>
      <c r="H3918" t="n">
        <v>0</v>
      </c>
      <c r="I3918" t="n">
        <v>0</v>
      </c>
      <c r="J3918" t="n">
        <v>0</v>
      </c>
      <c r="K3918" t="n">
        <v>0</v>
      </c>
      <c r="L3918" t="n">
        <v>0</v>
      </c>
      <c r="M3918" t="n">
        <v>0</v>
      </c>
      <c r="N3918" t="n">
        <v>0</v>
      </c>
      <c r="O3918" t="n">
        <v>0</v>
      </c>
      <c r="P3918" t="n">
        <v>0</v>
      </c>
      <c r="Q3918" t="n">
        <v>0</v>
      </c>
      <c r="R3918" s="2" t="inlineStr"/>
    </row>
    <row r="3919" ht="15" customHeight="1">
      <c r="A3919" t="inlineStr">
        <is>
          <t>A 12617-2025</t>
        </is>
      </c>
      <c r="B3919" s="1" t="n">
        <v>45733</v>
      </c>
      <c r="C3919" s="1" t="n">
        <v>45802</v>
      </c>
      <c r="D3919" t="inlineStr">
        <is>
          <t>VÄSTERNORRLANDS LÄN</t>
        </is>
      </c>
      <c r="E3919" t="inlineStr">
        <is>
          <t>SOLLEFTEÅ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13070-2025</t>
        </is>
      </c>
      <c r="B3920" s="1" t="n">
        <v>45734</v>
      </c>
      <c r="C3920" s="1" t="n">
        <v>45802</v>
      </c>
      <c r="D3920" t="inlineStr">
        <is>
          <t>VÄSTERNORRLANDS LÄN</t>
        </is>
      </c>
      <c r="E3920" t="inlineStr">
        <is>
          <t>SOLLEFTEÅ</t>
        </is>
      </c>
      <c r="F3920" t="inlineStr">
        <is>
          <t>SCA</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12941-2025</t>
        </is>
      </c>
      <c r="B3921" s="1" t="n">
        <v>45734</v>
      </c>
      <c r="C3921" s="1" t="n">
        <v>45802</v>
      </c>
      <c r="D3921" t="inlineStr">
        <is>
          <t>VÄSTERNORRLANDS LÄN</t>
        </is>
      </c>
      <c r="E3921" t="inlineStr">
        <is>
          <t>SOLLEFTEÅ</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12965-2025</t>
        </is>
      </c>
      <c r="B3922" s="1" t="n">
        <v>45734</v>
      </c>
      <c r="C3922" s="1" t="n">
        <v>45802</v>
      </c>
      <c r="D3922" t="inlineStr">
        <is>
          <t>VÄSTERNORRLANDS LÄN</t>
        </is>
      </c>
      <c r="E3922" t="inlineStr">
        <is>
          <t>SOLLEFTEÅ</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12946-2025</t>
        </is>
      </c>
      <c r="B3923" s="1" t="n">
        <v>45734</v>
      </c>
      <c r="C3923" s="1" t="n">
        <v>45802</v>
      </c>
      <c r="D3923" t="inlineStr">
        <is>
          <t>VÄSTERNORRLANDS LÄN</t>
        </is>
      </c>
      <c r="E3923" t="inlineStr">
        <is>
          <t>SOLLEFTEÅ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13257-2025</t>
        </is>
      </c>
      <c r="B3924" s="1" t="n">
        <v>45735</v>
      </c>
      <c r="C3924" s="1" t="n">
        <v>45802</v>
      </c>
      <c r="D3924" t="inlineStr">
        <is>
          <t>VÄSTERNORRLANDS LÄN</t>
        </is>
      </c>
      <c r="E3924" t="inlineStr">
        <is>
          <t>SOLLEFTEÅ</t>
        </is>
      </c>
      <c r="F3924" t="inlineStr">
        <is>
          <t>SCA</t>
        </is>
      </c>
      <c r="G3924" t="n">
        <v>15.3</v>
      </c>
      <c r="H3924" t="n">
        <v>0</v>
      </c>
      <c r="I3924" t="n">
        <v>0</v>
      </c>
      <c r="J3924" t="n">
        <v>0</v>
      </c>
      <c r="K3924" t="n">
        <v>0</v>
      </c>
      <c r="L3924" t="n">
        <v>0</v>
      </c>
      <c r="M3924" t="n">
        <v>0</v>
      </c>
      <c r="N3924" t="n">
        <v>0</v>
      </c>
      <c r="O3924" t="n">
        <v>0</v>
      </c>
      <c r="P3924" t="n">
        <v>0</v>
      </c>
      <c r="Q3924" t="n">
        <v>0</v>
      </c>
      <c r="R3924" s="2" t="inlineStr"/>
    </row>
    <row r="3925" ht="15" customHeight="1">
      <c r="A3925" t="inlineStr">
        <is>
          <t>A 13151-2025</t>
        </is>
      </c>
      <c r="B3925" s="1" t="n">
        <v>45735</v>
      </c>
      <c r="C3925" s="1" t="n">
        <v>45802</v>
      </c>
      <c r="D3925" t="inlineStr">
        <is>
          <t>VÄSTERNORRLANDS LÄN</t>
        </is>
      </c>
      <c r="E3925" t="inlineStr">
        <is>
          <t>SOLLEFTEÅ</t>
        </is>
      </c>
      <c r="F3925" t="inlineStr">
        <is>
          <t>SCA</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13215-2025</t>
        </is>
      </c>
      <c r="B3926" s="1" t="n">
        <v>45735</v>
      </c>
      <c r="C3926" s="1" t="n">
        <v>45802</v>
      </c>
      <c r="D3926" t="inlineStr">
        <is>
          <t>VÄSTERNORRLANDS LÄN</t>
        </is>
      </c>
      <c r="E3926" t="inlineStr">
        <is>
          <t>SOLLEFTEÅ</t>
        </is>
      </c>
      <c r="F3926" t="inlineStr">
        <is>
          <t>SCA</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13315-2025</t>
        </is>
      </c>
      <c r="B3927" s="1" t="n">
        <v>45735</v>
      </c>
      <c r="C3927" s="1" t="n">
        <v>45802</v>
      </c>
      <c r="D3927" t="inlineStr">
        <is>
          <t>VÄSTERNORRLANDS LÄN</t>
        </is>
      </c>
      <c r="E3927" t="inlineStr">
        <is>
          <t>SOLLEFTEÅ</t>
        </is>
      </c>
      <c r="F3927" t="inlineStr">
        <is>
          <t>SCA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13366-2025</t>
        </is>
      </c>
      <c r="B3928" s="1" t="n">
        <v>45735</v>
      </c>
      <c r="C3928" s="1" t="n">
        <v>45802</v>
      </c>
      <c r="D3928" t="inlineStr">
        <is>
          <t>VÄSTERNORRLANDS LÄN</t>
        </is>
      </c>
      <c r="E3928" t="inlineStr">
        <is>
          <t>SOLLEFTEÅ</t>
        </is>
      </c>
      <c r="F3928" t="inlineStr">
        <is>
          <t>SCA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13363-2025</t>
        </is>
      </c>
      <c r="B3929" s="1" t="n">
        <v>45735</v>
      </c>
      <c r="C3929" s="1" t="n">
        <v>45802</v>
      </c>
      <c r="D3929" t="inlineStr">
        <is>
          <t>VÄSTERNORRLANDS LÄN</t>
        </is>
      </c>
      <c r="E3929" t="inlineStr">
        <is>
          <t>SOLLEFTEÅ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13150-2025</t>
        </is>
      </c>
      <c r="B3930" s="1" t="n">
        <v>45735</v>
      </c>
      <c r="C3930" s="1" t="n">
        <v>45802</v>
      </c>
      <c r="D3930" t="inlineStr">
        <is>
          <t>VÄSTERNORRLANDS LÄN</t>
        </is>
      </c>
      <c r="E3930" t="inlineStr">
        <is>
          <t>SOLLEFTEÅ</t>
        </is>
      </c>
      <c r="F3930" t="inlineStr">
        <is>
          <t>SCA</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13217-2025</t>
        </is>
      </c>
      <c r="B3931" s="1" t="n">
        <v>45735</v>
      </c>
      <c r="C3931" s="1" t="n">
        <v>45802</v>
      </c>
      <c r="D3931" t="inlineStr">
        <is>
          <t>VÄSTERNORRLANDS LÄN</t>
        </is>
      </c>
      <c r="E3931" t="inlineStr">
        <is>
          <t>SOLLEFTEÅ</t>
        </is>
      </c>
      <c r="F3931" t="inlineStr">
        <is>
          <t>SCA</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13584-2025</t>
        </is>
      </c>
      <c r="B3932" s="1" t="n">
        <v>45736</v>
      </c>
      <c r="C3932" s="1" t="n">
        <v>45802</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13637-2025</t>
        </is>
      </c>
      <c r="B3933" s="1" t="n">
        <v>45736</v>
      </c>
      <c r="C3933" s="1" t="n">
        <v>45802</v>
      </c>
      <c r="D3933" t="inlineStr">
        <is>
          <t>VÄSTERNORRLANDS LÄN</t>
        </is>
      </c>
      <c r="E3933" t="inlineStr">
        <is>
          <t>SOLLEFTEÅ</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13652-2025</t>
        </is>
      </c>
      <c r="B3934" s="1" t="n">
        <v>45736</v>
      </c>
      <c r="C3934" s="1" t="n">
        <v>45802</v>
      </c>
      <c r="D3934" t="inlineStr">
        <is>
          <t>VÄSTERNORRLANDS LÄN</t>
        </is>
      </c>
      <c r="E3934" t="inlineStr">
        <is>
          <t>SOLLEFTEÅ</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13639-2025</t>
        </is>
      </c>
      <c r="B3935" s="1" t="n">
        <v>45736</v>
      </c>
      <c r="C3935" s="1" t="n">
        <v>45802</v>
      </c>
      <c r="D3935" t="inlineStr">
        <is>
          <t>VÄSTERNORRLANDS LÄN</t>
        </is>
      </c>
      <c r="E3935" t="inlineStr">
        <is>
          <t>SOLLEFTEÅ</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13860-2025</t>
        </is>
      </c>
      <c r="B3936" s="1" t="n">
        <v>45737</v>
      </c>
      <c r="C3936" s="1" t="n">
        <v>45802</v>
      </c>
      <c r="D3936" t="inlineStr">
        <is>
          <t>VÄSTERNORRLANDS LÄN</t>
        </is>
      </c>
      <c r="E3936" t="inlineStr">
        <is>
          <t>SOLLEFTEÅ</t>
        </is>
      </c>
      <c r="F3936" t="inlineStr">
        <is>
          <t>SCA</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13858-2025</t>
        </is>
      </c>
      <c r="B3937" s="1" t="n">
        <v>45737</v>
      </c>
      <c r="C3937" s="1" t="n">
        <v>45802</v>
      </c>
      <c r="D3937" t="inlineStr">
        <is>
          <t>VÄSTERNORRLANDS LÄN</t>
        </is>
      </c>
      <c r="E3937" t="inlineStr">
        <is>
          <t>SOLLEFTEÅ</t>
        </is>
      </c>
      <c r="F3937" t="inlineStr">
        <is>
          <t>SCA</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13707-2025</t>
        </is>
      </c>
      <c r="B3938" s="1" t="n">
        <v>45737</v>
      </c>
      <c r="C3938" s="1" t="n">
        <v>45802</v>
      </c>
      <c r="D3938" t="inlineStr">
        <is>
          <t>VÄSTERNORRLANDS LÄN</t>
        </is>
      </c>
      <c r="E3938" t="inlineStr">
        <is>
          <t>SOLLEFTEÅ</t>
        </is>
      </c>
      <c r="F3938" t="inlineStr">
        <is>
          <t>SCA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14094-2025</t>
        </is>
      </c>
      <c r="B3939" s="1" t="n">
        <v>45740</v>
      </c>
      <c r="C3939" s="1" t="n">
        <v>45802</v>
      </c>
      <c r="D3939" t="inlineStr">
        <is>
          <t>VÄSTERNORRLANDS LÄN</t>
        </is>
      </c>
      <c r="E3939" t="inlineStr">
        <is>
          <t>SOLLEFTEÅ</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14096-2025</t>
        </is>
      </c>
      <c r="B3940" s="1" t="n">
        <v>45740</v>
      </c>
      <c r="C3940" s="1" t="n">
        <v>45802</v>
      </c>
      <c r="D3940" t="inlineStr">
        <is>
          <t>VÄSTERNORRLANDS LÄN</t>
        </is>
      </c>
      <c r="E3940" t="inlineStr">
        <is>
          <t>SOLLEFTEÅ</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14274-2025</t>
        </is>
      </c>
      <c r="B3941" s="1" t="n">
        <v>45740</v>
      </c>
      <c r="C3941" s="1" t="n">
        <v>45802</v>
      </c>
      <c r="D3941" t="inlineStr">
        <is>
          <t>VÄSTERNORRLANDS LÄN</t>
        </is>
      </c>
      <c r="E3941" t="inlineStr">
        <is>
          <t>SOLLEFTEÅ</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14036-2025</t>
        </is>
      </c>
      <c r="B3942" s="1" t="n">
        <v>45740</v>
      </c>
      <c r="C3942" s="1" t="n">
        <v>45802</v>
      </c>
      <c r="D3942" t="inlineStr">
        <is>
          <t>VÄSTERNORRLANDS LÄN</t>
        </is>
      </c>
      <c r="E3942" t="inlineStr">
        <is>
          <t>SOLLEFTEÅ</t>
        </is>
      </c>
      <c r="F3942" t="inlineStr">
        <is>
          <t>SCA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14097-2025</t>
        </is>
      </c>
      <c r="B3943" s="1" t="n">
        <v>45740</v>
      </c>
      <c r="C3943" s="1" t="n">
        <v>45802</v>
      </c>
      <c r="D3943" t="inlineStr">
        <is>
          <t>VÄSTERNORRLANDS LÄN</t>
        </is>
      </c>
      <c r="E3943" t="inlineStr">
        <is>
          <t>SOLLEFTEÅ</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14252-2025</t>
        </is>
      </c>
      <c r="B3944" s="1" t="n">
        <v>45740</v>
      </c>
      <c r="C3944" s="1" t="n">
        <v>45802</v>
      </c>
      <c r="D3944" t="inlineStr">
        <is>
          <t>VÄSTERNORRLANDS LÄN</t>
        </is>
      </c>
      <c r="E3944" t="inlineStr">
        <is>
          <t>SOLLEFTEÅ</t>
        </is>
      </c>
      <c r="F3944" t="inlineStr">
        <is>
          <t>SCA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14353-2025</t>
        </is>
      </c>
      <c r="B3945" s="1" t="n">
        <v>45741</v>
      </c>
      <c r="C3945" s="1" t="n">
        <v>45802</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14469-2025</t>
        </is>
      </c>
      <c r="B3946" s="1" t="n">
        <v>45741</v>
      </c>
      <c r="C3946" s="1" t="n">
        <v>45802</v>
      </c>
      <c r="D3946" t="inlineStr">
        <is>
          <t>VÄSTERNORRLANDS LÄN</t>
        </is>
      </c>
      <c r="E3946" t="inlineStr">
        <is>
          <t>SOLLEFTEÅ</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14470-2025</t>
        </is>
      </c>
      <c r="B3947" s="1" t="n">
        <v>45741</v>
      </c>
      <c r="C3947" s="1" t="n">
        <v>45802</v>
      </c>
      <c r="D3947" t="inlineStr">
        <is>
          <t>VÄSTERNORRLANDS LÄN</t>
        </is>
      </c>
      <c r="E3947" t="inlineStr">
        <is>
          <t>SOLLEFTEÅ</t>
        </is>
      </c>
      <c r="F3947" t="inlineStr">
        <is>
          <t>SCA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14731-2025</t>
        </is>
      </c>
      <c r="B3948" s="1" t="n">
        <v>45742</v>
      </c>
      <c r="C3948" s="1" t="n">
        <v>45802</v>
      </c>
      <c r="D3948" t="inlineStr">
        <is>
          <t>VÄSTERNORRLANDS LÄN</t>
        </is>
      </c>
      <c r="E3948" t="inlineStr">
        <is>
          <t>SOLLEFTEÅ</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14715-2025</t>
        </is>
      </c>
      <c r="B3949" s="1" t="n">
        <v>45742</v>
      </c>
      <c r="C3949" s="1" t="n">
        <v>45802</v>
      </c>
      <c r="D3949" t="inlineStr">
        <is>
          <t>VÄSTERNORRLANDS LÄN</t>
        </is>
      </c>
      <c r="E3949" t="inlineStr">
        <is>
          <t>SOLLEFTEÅ</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14712-2025</t>
        </is>
      </c>
      <c r="B3950" s="1" t="n">
        <v>45742</v>
      </c>
      <c r="C3950" s="1" t="n">
        <v>45802</v>
      </c>
      <c r="D3950" t="inlineStr">
        <is>
          <t>VÄSTERNORRLANDS LÄN</t>
        </is>
      </c>
      <c r="E3950" t="inlineStr">
        <is>
          <t>SOLLEFTEÅ</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14628-2025</t>
        </is>
      </c>
      <c r="B3951" s="1" t="n">
        <v>45742</v>
      </c>
      <c r="C3951" s="1" t="n">
        <v>45802</v>
      </c>
      <c r="D3951" t="inlineStr">
        <is>
          <t>VÄSTERNORRLANDS LÄN</t>
        </is>
      </c>
      <c r="E3951" t="inlineStr">
        <is>
          <t>SOLLEFTEÅ</t>
        </is>
      </c>
      <c r="F3951" t="inlineStr">
        <is>
          <t>SCA</t>
        </is>
      </c>
      <c r="G3951" t="n">
        <v>17.2</v>
      </c>
      <c r="H3951" t="n">
        <v>0</v>
      </c>
      <c r="I3951" t="n">
        <v>0</v>
      </c>
      <c r="J3951" t="n">
        <v>0</v>
      </c>
      <c r="K3951" t="n">
        <v>0</v>
      </c>
      <c r="L3951" t="n">
        <v>0</v>
      </c>
      <c r="M3951" t="n">
        <v>0</v>
      </c>
      <c r="N3951" t="n">
        <v>0</v>
      </c>
      <c r="O3951" t="n">
        <v>0</v>
      </c>
      <c r="P3951" t="n">
        <v>0</v>
      </c>
      <c r="Q3951" t="n">
        <v>0</v>
      </c>
      <c r="R3951" s="2" t="inlineStr"/>
    </row>
    <row r="3952" ht="15" customHeight="1">
      <c r="A3952" t="inlineStr">
        <is>
          <t>A 14656-2025</t>
        </is>
      </c>
      <c r="B3952" s="1" t="n">
        <v>45742</v>
      </c>
      <c r="C3952" s="1" t="n">
        <v>45802</v>
      </c>
      <c r="D3952" t="inlineStr">
        <is>
          <t>VÄSTERNORRLANDS LÄN</t>
        </is>
      </c>
      <c r="E3952" t="inlineStr">
        <is>
          <t>SOLLEFTEÅ</t>
        </is>
      </c>
      <c r="F3952" t="inlineStr">
        <is>
          <t>SCA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14730-2025</t>
        </is>
      </c>
      <c r="B3953" s="1" t="n">
        <v>45742</v>
      </c>
      <c r="C3953" s="1" t="n">
        <v>45802</v>
      </c>
      <c r="D3953" t="inlineStr">
        <is>
          <t>VÄSTERNORRLANDS LÄN</t>
        </is>
      </c>
      <c r="E3953" t="inlineStr">
        <is>
          <t>SOLLEFTEÅ</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14650-2025</t>
        </is>
      </c>
      <c r="B3954" s="1" t="n">
        <v>45742</v>
      </c>
      <c r="C3954" s="1" t="n">
        <v>45802</v>
      </c>
      <c r="D3954" t="inlineStr">
        <is>
          <t>VÄSTERNORRLANDS LÄN</t>
        </is>
      </c>
      <c r="E3954" t="inlineStr">
        <is>
          <t>SOLLEFTEÅ</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14714-2025</t>
        </is>
      </c>
      <c r="B3955" s="1" t="n">
        <v>45742</v>
      </c>
      <c r="C3955" s="1" t="n">
        <v>45802</v>
      </c>
      <c r="D3955" t="inlineStr">
        <is>
          <t>VÄSTERNORRLANDS LÄN</t>
        </is>
      </c>
      <c r="E3955" t="inlineStr">
        <is>
          <t>SOLLEFTEÅ</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14608-2025</t>
        </is>
      </c>
      <c r="B3956" s="1" t="n">
        <v>45742</v>
      </c>
      <c r="C3956" s="1" t="n">
        <v>45802</v>
      </c>
      <c r="D3956" t="inlineStr">
        <is>
          <t>VÄSTERNORRLANDS LÄN</t>
        </is>
      </c>
      <c r="E3956" t="inlineStr">
        <is>
          <t>SOLLEFTEÅ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14612-2025</t>
        </is>
      </c>
      <c r="B3957" s="1" t="n">
        <v>45742</v>
      </c>
      <c r="C3957" s="1" t="n">
        <v>45802</v>
      </c>
      <c r="D3957" t="inlineStr">
        <is>
          <t>VÄSTERNORRLANDS LÄN</t>
        </is>
      </c>
      <c r="E3957" t="inlineStr">
        <is>
          <t>SOLLEFTEÅ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14640-2025</t>
        </is>
      </c>
      <c r="B3958" s="1" t="n">
        <v>45742</v>
      </c>
      <c r="C3958" s="1" t="n">
        <v>45802</v>
      </c>
      <c r="D3958" t="inlineStr">
        <is>
          <t>VÄSTERNORRLANDS LÄN</t>
        </is>
      </c>
      <c r="E3958" t="inlineStr">
        <is>
          <t>SOLLEFTEÅ</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14651-2025</t>
        </is>
      </c>
      <c r="B3959" s="1" t="n">
        <v>45742</v>
      </c>
      <c r="C3959" s="1" t="n">
        <v>45802</v>
      </c>
      <c r="D3959" t="inlineStr">
        <is>
          <t>VÄSTERNORRLANDS LÄN</t>
        </is>
      </c>
      <c r="E3959" t="inlineStr">
        <is>
          <t>SOLLEFTEÅ</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15033-2025</t>
        </is>
      </c>
      <c r="B3960" s="1" t="n">
        <v>45743</v>
      </c>
      <c r="C3960" s="1" t="n">
        <v>45802</v>
      </c>
      <c r="D3960" t="inlineStr">
        <is>
          <t>VÄSTERNORRLANDS LÄN</t>
        </is>
      </c>
      <c r="E3960" t="inlineStr">
        <is>
          <t>SOLLEFTEÅ</t>
        </is>
      </c>
      <c r="F3960" t="inlineStr">
        <is>
          <t>SCA</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14889-2025</t>
        </is>
      </c>
      <c r="B3961" s="1" t="n">
        <v>45743</v>
      </c>
      <c r="C3961" s="1" t="n">
        <v>45802</v>
      </c>
      <c r="D3961" t="inlineStr">
        <is>
          <t>VÄSTERNORRLANDS LÄN</t>
        </is>
      </c>
      <c r="E3961" t="inlineStr">
        <is>
          <t>SOLLEFTEÅ</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15260-2025</t>
        </is>
      </c>
      <c r="B3962" s="1" t="n">
        <v>45744</v>
      </c>
      <c r="C3962" s="1" t="n">
        <v>45802</v>
      </c>
      <c r="D3962" t="inlineStr">
        <is>
          <t>VÄSTERNORRLANDS LÄN</t>
        </is>
      </c>
      <c r="E3962" t="inlineStr">
        <is>
          <t>SOLLEFTEÅ</t>
        </is>
      </c>
      <c r="F3962" t="inlineStr">
        <is>
          <t>SCA</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15273-2025</t>
        </is>
      </c>
      <c r="B3963" s="1" t="n">
        <v>45744</v>
      </c>
      <c r="C3963" s="1" t="n">
        <v>45802</v>
      </c>
      <c r="D3963" t="inlineStr">
        <is>
          <t>VÄSTERNORRLANDS LÄN</t>
        </is>
      </c>
      <c r="E3963" t="inlineStr">
        <is>
          <t>SOLLEFTEÅ</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15429-2025</t>
        </is>
      </c>
      <c r="B3964" s="1" t="n">
        <v>45747</v>
      </c>
      <c r="C3964" s="1" t="n">
        <v>45802</v>
      </c>
      <c r="D3964" t="inlineStr">
        <is>
          <t>VÄSTERNORRLANDS LÄN</t>
        </is>
      </c>
      <c r="E3964" t="inlineStr">
        <is>
          <t>SOLLEFTEÅ</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15801-2025</t>
        </is>
      </c>
      <c r="B3965" s="1" t="n">
        <v>45748</v>
      </c>
      <c r="C3965" s="1" t="n">
        <v>45802</v>
      </c>
      <c r="D3965" t="inlineStr">
        <is>
          <t>VÄSTERNORRLANDS LÄN</t>
        </is>
      </c>
      <c r="E3965" t="inlineStr">
        <is>
          <t>SOLLEFTEÅ</t>
        </is>
      </c>
      <c r="G3965" t="n">
        <v>24.7</v>
      </c>
      <c r="H3965" t="n">
        <v>0</v>
      </c>
      <c r="I3965" t="n">
        <v>0</v>
      </c>
      <c r="J3965" t="n">
        <v>0</v>
      </c>
      <c r="K3965" t="n">
        <v>0</v>
      </c>
      <c r="L3965" t="n">
        <v>0</v>
      </c>
      <c r="M3965" t="n">
        <v>0</v>
      </c>
      <c r="N3965" t="n">
        <v>0</v>
      </c>
      <c r="O3965" t="n">
        <v>0</v>
      </c>
      <c r="P3965" t="n">
        <v>0</v>
      </c>
      <c r="Q3965" t="n">
        <v>0</v>
      </c>
      <c r="R3965" s="2" t="inlineStr"/>
    </row>
    <row r="3966" ht="15" customHeight="1">
      <c r="A3966" t="inlineStr">
        <is>
          <t>A 15666-2025</t>
        </is>
      </c>
      <c r="B3966" s="1" t="n">
        <v>45748</v>
      </c>
      <c r="C3966" s="1" t="n">
        <v>45802</v>
      </c>
      <c r="D3966" t="inlineStr">
        <is>
          <t>VÄSTERNORRLANDS LÄN</t>
        </is>
      </c>
      <c r="E3966" t="inlineStr">
        <is>
          <t>SOLLEFTEÅ</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15728-2025</t>
        </is>
      </c>
      <c r="B3967" s="1" t="n">
        <v>45748</v>
      </c>
      <c r="C3967" s="1" t="n">
        <v>45802</v>
      </c>
      <c r="D3967" t="inlineStr">
        <is>
          <t>VÄSTERNORRLANDS LÄN</t>
        </is>
      </c>
      <c r="E3967" t="inlineStr">
        <is>
          <t>SOLLEFTEÅ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15621-2025</t>
        </is>
      </c>
      <c r="B3968" s="1" t="n">
        <v>45748</v>
      </c>
      <c r="C3968" s="1" t="n">
        <v>45802</v>
      </c>
      <c r="D3968" t="inlineStr">
        <is>
          <t>VÄSTERNORRLANDS LÄN</t>
        </is>
      </c>
      <c r="E3968" t="inlineStr">
        <is>
          <t>SOLLEFTEÅ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15601-2025</t>
        </is>
      </c>
      <c r="B3969" s="1" t="n">
        <v>45748</v>
      </c>
      <c r="C3969" s="1" t="n">
        <v>45802</v>
      </c>
      <c r="D3969" t="inlineStr">
        <is>
          <t>VÄSTERNORRLANDS LÄN</t>
        </is>
      </c>
      <c r="E3969" t="inlineStr">
        <is>
          <t>SOLLEFTEÅ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15955-2025</t>
        </is>
      </c>
      <c r="B3970" s="1" t="n">
        <v>45749</v>
      </c>
      <c r="C3970" s="1" t="n">
        <v>45802</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16172-2025</t>
        </is>
      </c>
      <c r="B3971" s="1" t="n">
        <v>45750</v>
      </c>
      <c r="C3971" s="1" t="n">
        <v>45802</v>
      </c>
      <c r="D3971" t="inlineStr">
        <is>
          <t>VÄSTERNORRLANDS LÄN</t>
        </is>
      </c>
      <c r="E3971" t="inlineStr">
        <is>
          <t>SOLLEFTEÅ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16492-2025</t>
        </is>
      </c>
      <c r="B3972" s="1" t="n">
        <v>45751</v>
      </c>
      <c r="C3972" s="1" t="n">
        <v>45802</v>
      </c>
      <c r="D3972" t="inlineStr">
        <is>
          <t>VÄSTERNORRLANDS LÄN</t>
        </is>
      </c>
      <c r="E3972" t="inlineStr">
        <is>
          <t>SOLLEFTEÅ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16511-2025</t>
        </is>
      </c>
      <c r="B3973" s="1" t="n">
        <v>45751</v>
      </c>
      <c r="C3973" s="1" t="n">
        <v>45802</v>
      </c>
      <c r="D3973" t="inlineStr">
        <is>
          <t>VÄSTERNORRLANDS LÄN</t>
        </is>
      </c>
      <c r="E3973" t="inlineStr">
        <is>
          <t>SOLLEFTEÅ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16308-2025</t>
        </is>
      </c>
      <c r="B3974" s="1" t="n">
        <v>45751</v>
      </c>
      <c r="C3974" s="1" t="n">
        <v>45802</v>
      </c>
      <c r="D3974" t="inlineStr">
        <is>
          <t>VÄSTERNORRLANDS LÄN</t>
        </is>
      </c>
      <c r="E3974" t="inlineStr">
        <is>
          <t>SOLLEFTEÅ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16312-2025</t>
        </is>
      </c>
      <c r="B3975" s="1" t="n">
        <v>45751</v>
      </c>
      <c r="C3975" s="1" t="n">
        <v>45802</v>
      </c>
      <c r="D3975" t="inlineStr">
        <is>
          <t>VÄSTERNORRLANDS LÄN</t>
        </is>
      </c>
      <c r="E3975" t="inlineStr">
        <is>
          <t>SOLLEFTEÅ</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16564-2025</t>
        </is>
      </c>
      <c r="B3976" s="1" t="n">
        <v>45752</v>
      </c>
      <c r="C3976" s="1" t="n">
        <v>45802</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16795-2025</t>
        </is>
      </c>
      <c r="B3977" s="1" t="n">
        <v>45754</v>
      </c>
      <c r="C3977" s="1" t="n">
        <v>45802</v>
      </c>
      <c r="D3977" t="inlineStr">
        <is>
          <t>VÄSTERNORRLANDS LÄN</t>
        </is>
      </c>
      <c r="E3977" t="inlineStr">
        <is>
          <t>SOLLEFTEÅ</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16632-2025</t>
        </is>
      </c>
      <c r="B3978" s="1" t="n">
        <v>45754</v>
      </c>
      <c r="C3978" s="1" t="n">
        <v>45802</v>
      </c>
      <c r="D3978" t="inlineStr">
        <is>
          <t>VÄSTERNORRLANDS LÄN</t>
        </is>
      </c>
      <c r="E3978" t="inlineStr">
        <is>
          <t>SOLLEFTEÅ</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16633-2025</t>
        </is>
      </c>
      <c r="B3979" s="1" t="n">
        <v>45754</v>
      </c>
      <c r="C3979" s="1" t="n">
        <v>45802</v>
      </c>
      <c r="D3979" t="inlineStr">
        <is>
          <t>VÄSTERNORRLANDS LÄN</t>
        </is>
      </c>
      <c r="E3979" t="inlineStr">
        <is>
          <t>SOLLEFTEÅ</t>
        </is>
      </c>
      <c r="F3979" t="inlineStr">
        <is>
          <t>SCA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16718-2025</t>
        </is>
      </c>
      <c r="B3980" s="1" t="n">
        <v>45754</v>
      </c>
      <c r="C3980" s="1" t="n">
        <v>45802</v>
      </c>
      <c r="D3980" t="inlineStr">
        <is>
          <t>VÄSTERNORRLANDS LÄN</t>
        </is>
      </c>
      <c r="E3980" t="inlineStr">
        <is>
          <t>SOLLEFTEÅ</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17021-2025</t>
        </is>
      </c>
      <c r="B3981" s="1" t="n">
        <v>45755</v>
      </c>
      <c r="C3981" s="1" t="n">
        <v>45802</v>
      </c>
      <c r="D3981" t="inlineStr">
        <is>
          <t>VÄSTERNORRLANDS LÄN</t>
        </is>
      </c>
      <c r="E3981" t="inlineStr">
        <is>
          <t>SOLLEFTEÅ</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17020-2025</t>
        </is>
      </c>
      <c r="B3982" s="1" t="n">
        <v>45755</v>
      </c>
      <c r="C3982" s="1" t="n">
        <v>45802</v>
      </c>
      <c r="D3982" t="inlineStr">
        <is>
          <t>VÄSTERNORRLANDS LÄN</t>
        </is>
      </c>
      <c r="E3982" t="inlineStr">
        <is>
          <t>SOLLEFTEÅ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17032-2025</t>
        </is>
      </c>
      <c r="B3983" s="1" t="n">
        <v>45755</v>
      </c>
      <c r="C3983" s="1" t="n">
        <v>45802</v>
      </c>
      <c r="D3983" t="inlineStr">
        <is>
          <t>VÄSTERNORRLANDS LÄN</t>
        </is>
      </c>
      <c r="E3983" t="inlineStr">
        <is>
          <t>SOLLEFTEÅ</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17096-2025</t>
        </is>
      </c>
      <c r="B3984" s="1" t="n">
        <v>45755</v>
      </c>
      <c r="C3984" s="1" t="n">
        <v>45802</v>
      </c>
      <c r="D3984" t="inlineStr">
        <is>
          <t>VÄSTERNORRLANDS LÄN</t>
        </is>
      </c>
      <c r="E3984" t="inlineStr">
        <is>
          <t>SOLLEFTEÅ</t>
        </is>
      </c>
      <c r="F3984" t="inlineStr">
        <is>
          <t>SCA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17034-2025</t>
        </is>
      </c>
      <c r="B3985" s="1" t="n">
        <v>45755</v>
      </c>
      <c r="C3985" s="1" t="n">
        <v>45802</v>
      </c>
      <c r="D3985" t="inlineStr">
        <is>
          <t>VÄSTERNORRLANDS LÄN</t>
        </is>
      </c>
      <c r="E3985" t="inlineStr">
        <is>
          <t>SOLLEFTEÅ</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17258-2025</t>
        </is>
      </c>
      <c r="B3986" s="1" t="n">
        <v>45756</v>
      </c>
      <c r="C3986" s="1" t="n">
        <v>45802</v>
      </c>
      <c r="D3986" t="inlineStr">
        <is>
          <t>VÄSTERNORRLANDS LÄN</t>
        </is>
      </c>
      <c r="E3986" t="inlineStr">
        <is>
          <t>SOLLEFTEÅ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17354-2025</t>
        </is>
      </c>
      <c r="B3987" s="1" t="n">
        <v>45756</v>
      </c>
      <c r="C3987" s="1" t="n">
        <v>45802</v>
      </c>
      <c r="D3987" t="inlineStr">
        <is>
          <t>VÄSTERNORRLANDS LÄN</t>
        </is>
      </c>
      <c r="E3987" t="inlineStr">
        <is>
          <t>SOLLEFTEÅ</t>
        </is>
      </c>
      <c r="F3987" t="inlineStr">
        <is>
          <t>SCA</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17279-2025</t>
        </is>
      </c>
      <c r="B3988" s="1" t="n">
        <v>45756</v>
      </c>
      <c r="C3988" s="1" t="n">
        <v>45802</v>
      </c>
      <c r="D3988" t="inlineStr">
        <is>
          <t>VÄSTERNORRLANDS LÄN</t>
        </is>
      </c>
      <c r="E3988" t="inlineStr">
        <is>
          <t>SOLLEFTEÅ</t>
        </is>
      </c>
      <c r="G3988" t="n">
        <v>22.4</v>
      </c>
      <c r="H3988" t="n">
        <v>0</v>
      </c>
      <c r="I3988" t="n">
        <v>0</v>
      </c>
      <c r="J3988" t="n">
        <v>0</v>
      </c>
      <c r="K3988" t="n">
        <v>0</v>
      </c>
      <c r="L3988" t="n">
        <v>0</v>
      </c>
      <c r="M3988" t="n">
        <v>0</v>
      </c>
      <c r="N3988" t="n">
        <v>0</v>
      </c>
      <c r="O3988" t="n">
        <v>0</v>
      </c>
      <c r="P3988" t="n">
        <v>0</v>
      </c>
      <c r="Q3988" t="n">
        <v>0</v>
      </c>
      <c r="R3988" s="2" t="inlineStr"/>
    </row>
    <row r="3989" ht="15" customHeight="1">
      <c r="A3989" t="inlineStr">
        <is>
          <t>A 17174-2025</t>
        </is>
      </c>
      <c r="B3989" s="1" t="n">
        <v>45756</v>
      </c>
      <c r="C3989" s="1" t="n">
        <v>45802</v>
      </c>
      <c r="D3989" t="inlineStr">
        <is>
          <t>VÄSTERNORRLANDS LÄN</t>
        </is>
      </c>
      <c r="E3989" t="inlineStr">
        <is>
          <t>SOLLEFTEÅ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17422-2025</t>
        </is>
      </c>
      <c r="B3990" s="1" t="n">
        <v>45757</v>
      </c>
      <c r="C3990" s="1" t="n">
        <v>45802</v>
      </c>
      <c r="D3990" t="inlineStr">
        <is>
          <t>VÄSTERNORRLANDS LÄN</t>
        </is>
      </c>
      <c r="E3990" t="inlineStr">
        <is>
          <t>SOLLEFTEÅ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17481-2025</t>
        </is>
      </c>
      <c r="B3991" s="1" t="n">
        <v>45757</v>
      </c>
      <c r="C3991" s="1" t="n">
        <v>45802</v>
      </c>
      <c r="D3991" t="inlineStr">
        <is>
          <t>VÄSTERNORRLANDS LÄN</t>
        </is>
      </c>
      <c r="E3991" t="inlineStr">
        <is>
          <t>SOLLEFTEÅ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17554-2025</t>
        </is>
      </c>
      <c r="B3992" s="1" t="n">
        <v>45757</v>
      </c>
      <c r="C3992" s="1" t="n">
        <v>45802</v>
      </c>
      <c r="D3992" t="inlineStr">
        <is>
          <t>VÄSTERNORRLANDS LÄN</t>
        </is>
      </c>
      <c r="E3992" t="inlineStr">
        <is>
          <t>SOLLEFTEÅ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17889-2025</t>
        </is>
      </c>
      <c r="B3993" s="1" t="n">
        <v>45758</v>
      </c>
      <c r="C3993" s="1" t="n">
        <v>45802</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17843-2025</t>
        </is>
      </c>
      <c r="B3994" s="1" t="n">
        <v>45758</v>
      </c>
      <c r="C3994" s="1" t="n">
        <v>45802</v>
      </c>
      <c r="D3994" t="inlineStr">
        <is>
          <t>VÄSTERNORRLANDS LÄN</t>
        </is>
      </c>
      <c r="E3994" t="inlineStr">
        <is>
          <t>SOLLEFTEÅ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17682-2025</t>
        </is>
      </c>
      <c r="B3995" s="1" t="n">
        <v>45758</v>
      </c>
      <c r="C3995" s="1" t="n">
        <v>45802</v>
      </c>
      <c r="D3995" t="inlineStr">
        <is>
          <t>VÄSTERNORRLANDS LÄN</t>
        </is>
      </c>
      <c r="E3995" t="inlineStr">
        <is>
          <t>SOLLEFTEÅ</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17919-2025</t>
        </is>
      </c>
      <c r="B3996" s="1" t="n">
        <v>45758</v>
      </c>
      <c r="C3996" s="1" t="n">
        <v>45802</v>
      </c>
      <c r="D3996" t="inlineStr">
        <is>
          <t>VÄSTERNORRLANDS LÄN</t>
        </is>
      </c>
      <c r="E3996" t="inlineStr">
        <is>
          <t>SOLLEFTEÅ</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18100-2025</t>
        </is>
      </c>
      <c r="B3997" s="1" t="n">
        <v>45761</v>
      </c>
      <c r="C3997" s="1" t="n">
        <v>45802</v>
      </c>
      <c r="D3997" t="inlineStr">
        <is>
          <t>VÄSTERNORRLANDS LÄN</t>
        </is>
      </c>
      <c r="E3997" t="inlineStr">
        <is>
          <t>SOLLEFTEÅ</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18185-2025</t>
        </is>
      </c>
      <c r="B3998" s="1" t="n">
        <v>45761</v>
      </c>
      <c r="C3998" s="1" t="n">
        <v>45802</v>
      </c>
      <c r="D3998" t="inlineStr">
        <is>
          <t>VÄSTERNORRLANDS LÄN</t>
        </is>
      </c>
      <c r="E3998" t="inlineStr">
        <is>
          <t>SOLLEFTEÅ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18220-2025</t>
        </is>
      </c>
      <c r="B3999" s="1" t="n">
        <v>45761</v>
      </c>
      <c r="C3999" s="1" t="n">
        <v>45802</v>
      </c>
      <c r="D3999" t="inlineStr">
        <is>
          <t>VÄSTERNORRLANDS LÄN</t>
        </is>
      </c>
      <c r="E3999" t="inlineStr">
        <is>
          <t>SOLLEFTEÅ</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18111-2025</t>
        </is>
      </c>
      <c r="B4000" s="1" t="n">
        <v>45761</v>
      </c>
      <c r="C4000" s="1" t="n">
        <v>45802</v>
      </c>
      <c r="D4000" t="inlineStr">
        <is>
          <t>VÄSTERNORRLANDS LÄN</t>
        </is>
      </c>
      <c r="E4000" t="inlineStr">
        <is>
          <t>SOLLEFTEÅ</t>
        </is>
      </c>
      <c r="F4000" t="inlineStr">
        <is>
          <t>SCA</t>
        </is>
      </c>
      <c r="G4000" t="n">
        <v>41.6</v>
      </c>
      <c r="H4000" t="n">
        <v>0</v>
      </c>
      <c r="I4000" t="n">
        <v>0</v>
      </c>
      <c r="J4000" t="n">
        <v>0</v>
      </c>
      <c r="K4000" t="n">
        <v>0</v>
      </c>
      <c r="L4000" t="n">
        <v>0</v>
      </c>
      <c r="M4000" t="n">
        <v>0</v>
      </c>
      <c r="N4000" t="n">
        <v>0</v>
      </c>
      <c r="O4000" t="n">
        <v>0</v>
      </c>
      <c r="P4000" t="n">
        <v>0</v>
      </c>
      <c r="Q4000" t="n">
        <v>0</v>
      </c>
      <c r="R4000" s="2" t="inlineStr"/>
    </row>
    <row r="4001" ht="15" customHeight="1">
      <c r="A4001" t="inlineStr">
        <is>
          <t>A 17993-2025</t>
        </is>
      </c>
      <c r="B4001" s="1" t="n">
        <v>45761</v>
      </c>
      <c r="C4001" s="1" t="n">
        <v>45802</v>
      </c>
      <c r="D4001" t="inlineStr">
        <is>
          <t>VÄSTERNORRLANDS LÄN</t>
        </is>
      </c>
      <c r="E4001" t="inlineStr">
        <is>
          <t>SOLLEFTEÅ</t>
        </is>
      </c>
      <c r="F4001" t="inlineStr">
        <is>
          <t>SCA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18263-2025</t>
        </is>
      </c>
      <c r="B4002" s="1" t="n">
        <v>45762</v>
      </c>
      <c r="C4002" s="1" t="n">
        <v>45802</v>
      </c>
      <c r="D4002" t="inlineStr">
        <is>
          <t>VÄSTERNORRLANDS LÄN</t>
        </is>
      </c>
      <c r="E4002" t="inlineStr">
        <is>
          <t>SOLLEFTEÅ</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18442-2025</t>
        </is>
      </c>
      <c r="B4003" s="1" t="n">
        <v>45762</v>
      </c>
      <c r="C4003" s="1" t="n">
        <v>45802</v>
      </c>
      <c r="D4003" t="inlineStr">
        <is>
          <t>VÄSTERNORRLANDS LÄN</t>
        </is>
      </c>
      <c r="E4003" t="inlineStr">
        <is>
          <t>SOLLEFTEÅ</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18696-2025</t>
        </is>
      </c>
      <c r="B4004" s="1" t="n">
        <v>45763</v>
      </c>
      <c r="C4004" s="1" t="n">
        <v>45802</v>
      </c>
      <c r="D4004" t="inlineStr">
        <is>
          <t>VÄSTERNORRLANDS LÄN</t>
        </is>
      </c>
      <c r="E4004" t="inlineStr">
        <is>
          <t>SOLLEFTEÅ</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18691-2025</t>
        </is>
      </c>
      <c r="B4005" s="1" t="n">
        <v>45763</v>
      </c>
      <c r="C4005" s="1" t="n">
        <v>45802</v>
      </c>
      <c r="D4005" t="inlineStr">
        <is>
          <t>VÄSTERNORRLANDS LÄN</t>
        </is>
      </c>
      <c r="E4005" t="inlineStr">
        <is>
          <t>SOLLEFTEÅ</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18795-2025</t>
        </is>
      </c>
      <c r="B4006" s="1" t="n">
        <v>45764</v>
      </c>
      <c r="C4006" s="1" t="n">
        <v>45802</v>
      </c>
      <c r="D4006" t="inlineStr">
        <is>
          <t>VÄSTERNORRLANDS LÄN</t>
        </is>
      </c>
      <c r="E4006" t="inlineStr">
        <is>
          <t>SOLLEFTEÅ</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18951-2025</t>
        </is>
      </c>
      <c r="B4007" s="1" t="n">
        <v>45764</v>
      </c>
      <c r="C4007" s="1" t="n">
        <v>45802</v>
      </c>
      <c r="D4007" t="inlineStr">
        <is>
          <t>VÄSTERNORRLANDS LÄN</t>
        </is>
      </c>
      <c r="E4007" t="inlineStr">
        <is>
          <t>SOLLEFTEÅ</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18949-2025</t>
        </is>
      </c>
      <c r="B4008" s="1" t="n">
        <v>45764</v>
      </c>
      <c r="C4008" s="1" t="n">
        <v>45802</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19407-2025</t>
        </is>
      </c>
      <c r="B4009" s="1" t="n">
        <v>45769</v>
      </c>
      <c r="C4009" s="1" t="n">
        <v>45802</v>
      </c>
      <c r="D4009" t="inlineStr">
        <is>
          <t>VÄSTERNORRLANDS LÄN</t>
        </is>
      </c>
      <c r="E4009" t="inlineStr">
        <is>
          <t>SOLLEFTEÅ</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19145-2025</t>
        </is>
      </c>
      <c r="B4010" s="1" t="n">
        <v>45769</v>
      </c>
      <c r="C4010" s="1" t="n">
        <v>45802</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19354-2025</t>
        </is>
      </c>
      <c r="B4011" s="1" t="n">
        <v>45769</v>
      </c>
      <c r="C4011" s="1" t="n">
        <v>45802</v>
      </c>
      <c r="D4011" t="inlineStr">
        <is>
          <t>VÄSTERNORRLANDS LÄN</t>
        </is>
      </c>
      <c r="E4011" t="inlineStr">
        <is>
          <t>SOLLEFTEÅ</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19199-2025</t>
        </is>
      </c>
      <c r="B4012" s="1" t="n">
        <v>45769</v>
      </c>
      <c r="C4012" s="1" t="n">
        <v>45802</v>
      </c>
      <c r="D4012" t="inlineStr">
        <is>
          <t>VÄSTERNORRLANDS LÄN</t>
        </is>
      </c>
      <c r="E4012" t="inlineStr">
        <is>
          <t>SOLLEFTEÅ</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19205-2025</t>
        </is>
      </c>
      <c r="B4013" s="1" t="n">
        <v>45769</v>
      </c>
      <c r="C4013" s="1" t="n">
        <v>45802</v>
      </c>
      <c r="D4013" t="inlineStr">
        <is>
          <t>VÄSTERNORRLANDS LÄN</t>
        </is>
      </c>
      <c r="E4013" t="inlineStr">
        <is>
          <t>SOLLEFTEÅ</t>
        </is>
      </c>
      <c r="F4013" t="inlineStr">
        <is>
          <t>SCA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19207-2025</t>
        </is>
      </c>
      <c r="B4014" s="1" t="n">
        <v>45769</v>
      </c>
      <c r="C4014" s="1" t="n">
        <v>45802</v>
      </c>
      <c r="D4014" t="inlineStr">
        <is>
          <t>VÄSTERNORRLANDS LÄN</t>
        </is>
      </c>
      <c r="E4014" t="inlineStr">
        <is>
          <t>SOLLEFTEÅ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19682-2025</t>
        </is>
      </c>
      <c r="B4015" s="1" t="n">
        <v>45770</v>
      </c>
      <c r="C4015" s="1" t="n">
        <v>45802</v>
      </c>
      <c r="D4015" t="inlineStr">
        <is>
          <t>VÄSTERNORRLANDS LÄN</t>
        </is>
      </c>
      <c r="E4015" t="inlineStr">
        <is>
          <t>SOLLEFTEÅ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19489-2025</t>
        </is>
      </c>
      <c r="B4016" s="1" t="n">
        <v>45770</v>
      </c>
      <c r="C4016" s="1" t="n">
        <v>45802</v>
      </c>
      <c r="D4016" t="inlineStr">
        <is>
          <t>VÄSTERNORRLANDS LÄN</t>
        </is>
      </c>
      <c r="E4016" t="inlineStr">
        <is>
          <t>SOLLEFTEÅ</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19635-2025</t>
        </is>
      </c>
      <c r="B4017" s="1" t="n">
        <v>45770</v>
      </c>
      <c r="C4017" s="1" t="n">
        <v>45802</v>
      </c>
      <c r="D4017" t="inlineStr">
        <is>
          <t>VÄSTERNORRLANDS LÄN</t>
        </is>
      </c>
      <c r="E4017" t="inlineStr">
        <is>
          <t>SOLLEFTEÅ</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19633-2025</t>
        </is>
      </c>
      <c r="B4018" s="1" t="n">
        <v>45770</v>
      </c>
      <c r="C4018" s="1" t="n">
        <v>45802</v>
      </c>
      <c r="D4018" t="inlineStr">
        <is>
          <t>VÄSTERNORRLANDS LÄN</t>
        </is>
      </c>
      <c r="E4018" t="inlineStr">
        <is>
          <t>SOLLEFTEÅ</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19652-2025</t>
        </is>
      </c>
      <c r="B4019" s="1" t="n">
        <v>45770</v>
      </c>
      <c r="C4019" s="1" t="n">
        <v>45802</v>
      </c>
      <c r="D4019" t="inlineStr">
        <is>
          <t>VÄSTERNORRLANDS LÄN</t>
        </is>
      </c>
      <c r="E4019" t="inlineStr">
        <is>
          <t>SOLLEFTEÅ</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19901-2025</t>
        </is>
      </c>
      <c r="B4020" s="1" t="n">
        <v>45771</v>
      </c>
      <c r="C4020" s="1" t="n">
        <v>45802</v>
      </c>
      <c r="D4020" t="inlineStr">
        <is>
          <t>VÄSTERNORRLANDS LÄN</t>
        </is>
      </c>
      <c r="E4020" t="inlineStr">
        <is>
          <t>SOLLEFTEÅ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19929-2025</t>
        </is>
      </c>
      <c r="B4021" s="1" t="n">
        <v>45771</v>
      </c>
      <c r="C4021" s="1" t="n">
        <v>45802</v>
      </c>
      <c r="D4021" t="inlineStr">
        <is>
          <t>VÄSTERNORRLANDS LÄN</t>
        </is>
      </c>
      <c r="E4021" t="inlineStr">
        <is>
          <t>SOLLEFTEÅ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19949-2025</t>
        </is>
      </c>
      <c r="B4022" s="1" t="n">
        <v>45771</v>
      </c>
      <c r="C4022" s="1" t="n">
        <v>45802</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19932-2025</t>
        </is>
      </c>
      <c r="B4023" s="1" t="n">
        <v>45771</v>
      </c>
      <c r="C4023" s="1" t="n">
        <v>45802</v>
      </c>
      <c r="D4023" t="inlineStr">
        <is>
          <t>VÄSTERNORRLANDS LÄN</t>
        </is>
      </c>
      <c r="E4023" t="inlineStr">
        <is>
          <t>SOLLEFTEÅ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19892-2025</t>
        </is>
      </c>
      <c r="B4024" s="1" t="n">
        <v>45771</v>
      </c>
      <c r="C4024" s="1" t="n">
        <v>45802</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19936-2025</t>
        </is>
      </c>
      <c r="B4025" s="1" t="n">
        <v>45771</v>
      </c>
      <c r="C4025" s="1" t="n">
        <v>45802</v>
      </c>
      <c r="D4025" t="inlineStr">
        <is>
          <t>VÄSTERNORRLANDS LÄN</t>
        </is>
      </c>
      <c r="E4025" t="inlineStr">
        <is>
          <t>SOLLEFTEÅ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19945-2025</t>
        </is>
      </c>
      <c r="B4026" s="1" t="n">
        <v>45771</v>
      </c>
      <c r="C4026" s="1" t="n">
        <v>45802</v>
      </c>
      <c r="D4026" t="inlineStr">
        <is>
          <t>VÄSTERNORRLANDS LÄN</t>
        </is>
      </c>
      <c r="E4026" t="inlineStr">
        <is>
          <t>SOLLEFTEÅ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19749-2025</t>
        </is>
      </c>
      <c r="B4027" s="1" t="n">
        <v>45771</v>
      </c>
      <c r="C4027" s="1" t="n">
        <v>45802</v>
      </c>
      <c r="D4027" t="inlineStr">
        <is>
          <t>VÄSTERNORRLANDS LÄN</t>
        </is>
      </c>
      <c r="E4027" t="inlineStr">
        <is>
          <t>SOLLEFTEÅ</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20204-2025</t>
        </is>
      </c>
      <c r="B4028" s="1" t="n">
        <v>45772</v>
      </c>
      <c r="C4028" s="1" t="n">
        <v>45802</v>
      </c>
      <c r="D4028" t="inlineStr">
        <is>
          <t>VÄSTERNORRLANDS LÄN</t>
        </is>
      </c>
      <c r="E4028" t="inlineStr">
        <is>
          <t>SOLLEFTEÅ</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20205-2025</t>
        </is>
      </c>
      <c r="B4029" s="1" t="n">
        <v>45772</v>
      </c>
      <c r="C4029" s="1" t="n">
        <v>45802</v>
      </c>
      <c r="D4029" t="inlineStr">
        <is>
          <t>VÄSTERNORRLANDS LÄN</t>
        </is>
      </c>
      <c r="E4029" t="inlineStr">
        <is>
          <t>SOLLEFTEÅ</t>
        </is>
      </c>
      <c r="F4029" t="inlineStr">
        <is>
          <t>SCA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20151-2025</t>
        </is>
      </c>
      <c r="B4030" s="1" t="n">
        <v>45772</v>
      </c>
      <c r="C4030" s="1" t="n">
        <v>45802</v>
      </c>
      <c r="D4030" t="inlineStr">
        <is>
          <t>VÄSTERNORRLANDS LÄN</t>
        </is>
      </c>
      <c r="E4030" t="inlineStr">
        <is>
          <t>SOLLEFTEÅ</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20183-2025</t>
        </is>
      </c>
      <c r="B4031" s="1" t="n">
        <v>45772</v>
      </c>
      <c r="C4031" s="1" t="n">
        <v>45802</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20133-2025</t>
        </is>
      </c>
      <c r="B4032" s="1" t="n">
        <v>45772</v>
      </c>
      <c r="C4032" s="1" t="n">
        <v>45802</v>
      </c>
      <c r="D4032" t="inlineStr">
        <is>
          <t>VÄSTERNORRLANDS LÄN</t>
        </is>
      </c>
      <c r="E4032" t="inlineStr">
        <is>
          <t>SOLLEFTEÅ</t>
        </is>
      </c>
      <c r="F4032" t="inlineStr">
        <is>
          <t>SCA</t>
        </is>
      </c>
      <c r="G4032" t="n">
        <v>58.2</v>
      </c>
      <c r="H4032" t="n">
        <v>0</v>
      </c>
      <c r="I4032" t="n">
        <v>0</v>
      </c>
      <c r="J4032" t="n">
        <v>0</v>
      </c>
      <c r="K4032" t="n">
        <v>0</v>
      </c>
      <c r="L4032" t="n">
        <v>0</v>
      </c>
      <c r="M4032" t="n">
        <v>0</v>
      </c>
      <c r="N4032" t="n">
        <v>0</v>
      </c>
      <c r="O4032" t="n">
        <v>0</v>
      </c>
      <c r="P4032" t="n">
        <v>0</v>
      </c>
      <c r="Q4032" t="n">
        <v>0</v>
      </c>
      <c r="R4032" s="2" t="inlineStr"/>
    </row>
    <row r="4033" ht="15" customHeight="1">
      <c r="A4033" t="inlineStr">
        <is>
          <t>A 20150-2025</t>
        </is>
      </c>
      <c r="B4033" s="1" t="n">
        <v>45772</v>
      </c>
      <c r="C4033" s="1" t="n">
        <v>45802</v>
      </c>
      <c r="D4033" t="inlineStr">
        <is>
          <t>VÄSTERNORRLANDS LÄN</t>
        </is>
      </c>
      <c r="E4033" t="inlineStr">
        <is>
          <t>SOLLEFTEÅ</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20184-2025</t>
        </is>
      </c>
      <c r="B4034" s="1" t="n">
        <v>45772</v>
      </c>
      <c r="C4034" s="1" t="n">
        <v>45802</v>
      </c>
      <c r="D4034" t="inlineStr">
        <is>
          <t>VÄSTERNORRLANDS LÄN</t>
        </is>
      </c>
      <c r="E4034" t="inlineStr">
        <is>
          <t>SOLLEFTEÅ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20101-2025</t>
        </is>
      </c>
      <c r="B4035" s="1" t="n">
        <v>45772</v>
      </c>
      <c r="C4035" s="1" t="n">
        <v>45802</v>
      </c>
      <c r="D4035" t="inlineStr">
        <is>
          <t>VÄSTERNORRLANDS LÄN</t>
        </is>
      </c>
      <c r="E4035" t="inlineStr">
        <is>
          <t>SOLLEFTEÅ</t>
        </is>
      </c>
      <c r="F4035" t="inlineStr">
        <is>
          <t>SCA</t>
        </is>
      </c>
      <c r="G4035" t="n">
        <v>13.5</v>
      </c>
      <c r="H4035" t="n">
        <v>0</v>
      </c>
      <c r="I4035" t="n">
        <v>0</v>
      </c>
      <c r="J4035" t="n">
        <v>0</v>
      </c>
      <c r="K4035" t="n">
        <v>0</v>
      </c>
      <c r="L4035" t="n">
        <v>0</v>
      </c>
      <c r="M4035" t="n">
        <v>0</v>
      </c>
      <c r="N4035" t="n">
        <v>0</v>
      </c>
      <c r="O4035" t="n">
        <v>0</v>
      </c>
      <c r="P4035" t="n">
        <v>0</v>
      </c>
      <c r="Q4035" t="n">
        <v>0</v>
      </c>
      <c r="R4035" s="2" t="inlineStr"/>
    </row>
    <row r="4036" ht="15" customHeight="1">
      <c r="A4036" t="inlineStr">
        <is>
          <t>A 20334-2025</t>
        </is>
      </c>
      <c r="B4036" s="1" t="n">
        <v>45775</v>
      </c>
      <c r="C4036" s="1" t="n">
        <v>45802</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20550-2025</t>
        </is>
      </c>
      <c r="B4037" s="1" t="n">
        <v>45775</v>
      </c>
      <c r="C4037" s="1" t="n">
        <v>45802</v>
      </c>
      <c r="D4037" t="inlineStr">
        <is>
          <t>VÄSTERNORRLANDS LÄN</t>
        </is>
      </c>
      <c r="E4037" t="inlineStr">
        <is>
          <t>SOLLEFTEÅ</t>
        </is>
      </c>
      <c r="F4037" t="inlineStr">
        <is>
          <t>SCA</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20437-2025</t>
        </is>
      </c>
      <c r="B4038" s="1" t="n">
        <v>45775</v>
      </c>
      <c r="C4038" s="1" t="n">
        <v>45802</v>
      </c>
      <c r="D4038" t="inlineStr">
        <is>
          <t>VÄSTERNORRLANDS LÄN</t>
        </is>
      </c>
      <c r="E4038" t="inlineStr">
        <is>
          <t>SOLLEFTEÅ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20335-2025</t>
        </is>
      </c>
      <c r="B4039" s="1" t="n">
        <v>45775</v>
      </c>
      <c r="C4039" s="1" t="n">
        <v>45802</v>
      </c>
      <c r="D4039" t="inlineStr">
        <is>
          <t>VÄSTERNORRLANDS LÄN</t>
        </is>
      </c>
      <c r="E4039" t="inlineStr">
        <is>
          <t>SOLLEFTEÅ</t>
        </is>
      </c>
      <c r="F4039" t="inlineStr">
        <is>
          <t>SCA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20458-2025</t>
        </is>
      </c>
      <c r="B4040" s="1" t="n">
        <v>45775</v>
      </c>
      <c r="C4040" s="1" t="n">
        <v>45802</v>
      </c>
      <c r="D4040" t="inlineStr">
        <is>
          <t>VÄSTERNORRLANDS LÄN</t>
        </is>
      </c>
      <c r="E4040" t="inlineStr">
        <is>
          <t>SOLLEFTEÅ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20389-2025</t>
        </is>
      </c>
      <c r="B4041" s="1" t="n">
        <v>45775</v>
      </c>
      <c r="C4041" s="1" t="n">
        <v>45802</v>
      </c>
      <c r="D4041" t="inlineStr">
        <is>
          <t>VÄSTERNORRLANDS LÄN</t>
        </is>
      </c>
      <c r="E4041" t="inlineStr">
        <is>
          <t>SOLLEFTEÅ</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20638-2025</t>
        </is>
      </c>
      <c r="B4042" s="1" t="n">
        <v>45776</v>
      </c>
      <c r="C4042" s="1" t="n">
        <v>45802</v>
      </c>
      <c r="D4042" t="inlineStr">
        <is>
          <t>VÄSTERNORRLANDS LÄN</t>
        </is>
      </c>
      <c r="E4042" t="inlineStr">
        <is>
          <t>SOLLEFTEÅ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20793-2025</t>
        </is>
      </c>
      <c r="B4043" s="1" t="n">
        <v>45776</v>
      </c>
      <c r="C4043" s="1" t="n">
        <v>45802</v>
      </c>
      <c r="D4043" t="inlineStr">
        <is>
          <t>VÄSTERNORRLANDS LÄN</t>
        </is>
      </c>
      <c r="E4043" t="inlineStr">
        <is>
          <t>SOLLEFTEÅ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45802</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20725-2025</t>
        </is>
      </c>
      <c r="B4045" s="1" t="n">
        <v>45776</v>
      </c>
      <c r="C4045" s="1" t="n">
        <v>45802</v>
      </c>
      <c r="D4045" t="inlineStr">
        <is>
          <t>VÄSTERNORRLANDS LÄN</t>
        </is>
      </c>
      <c r="E4045" t="inlineStr">
        <is>
          <t>SOLLEFTEÅ</t>
        </is>
      </c>
      <c r="F4045" t="inlineStr">
        <is>
          <t>SCA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21109-2025</t>
        </is>
      </c>
      <c r="B4046" s="1" t="n">
        <v>45777</v>
      </c>
      <c r="C4046" s="1" t="n">
        <v>45802</v>
      </c>
      <c r="D4046" t="inlineStr">
        <is>
          <t>VÄSTERNORRLANDS LÄN</t>
        </is>
      </c>
      <c r="E4046" t="inlineStr">
        <is>
          <t>SOLLEFTEÅ</t>
        </is>
      </c>
      <c r="F4046" t="inlineStr">
        <is>
          <t>SCA</t>
        </is>
      </c>
      <c r="G4046" t="n">
        <v>38.2</v>
      </c>
      <c r="H4046" t="n">
        <v>0</v>
      </c>
      <c r="I4046" t="n">
        <v>0</v>
      </c>
      <c r="J4046" t="n">
        <v>0</v>
      </c>
      <c r="K4046" t="n">
        <v>0</v>
      </c>
      <c r="L4046" t="n">
        <v>0</v>
      </c>
      <c r="M4046" t="n">
        <v>0</v>
      </c>
      <c r="N4046" t="n">
        <v>0</v>
      </c>
      <c r="O4046" t="n">
        <v>0</v>
      </c>
      <c r="P4046" t="n">
        <v>0</v>
      </c>
      <c r="Q4046" t="n">
        <v>0</v>
      </c>
      <c r="R4046" s="2" t="inlineStr"/>
    </row>
    <row r="4047" ht="15" customHeight="1">
      <c r="A4047" t="inlineStr">
        <is>
          <t>A 21002-2025</t>
        </is>
      </c>
      <c r="B4047" s="1" t="n">
        <v>45777</v>
      </c>
      <c r="C4047" s="1" t="n">
        <v>45802</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20867-2025</t>
        </is>
      </c>
      <c r="B4048" s="1" t="n">
        <v>45777</v>
      </c>
      <c r="C4048" s="1" t="n">
        <v>45802</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21088-2025</t>
        </is>
      </c>
      <c r="B4049" s="1" t="n">
        <v>45777</v>
      </c>
      <c r="C4049" s="1" t="n">
        <v>45802</v>
      </c>
      <c r="D4049" t="inlineStr">
        <is>
          <t>VÄSTERNORRLANDS LÄN</t>
        </is>
      </c>
      <c r="E4049" t="inlineStr">
        <is>
          <t>SOLLEFTEÅ</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21089-2025</t>
        </is>
      </c>
      <c r="B4050" s="1" t="n">
        <v>45777</v>
      </c>
      <c r="C4050" s="1" t="n">
        <v>45802</v>
      </c>
      <c r="D4050" t="inlineStr">
        <is>
          <t>VÄSTERNORRLANDS LÄN</t>
        </is>
      </c>
      <c r="E4050" t="inlineStr">
        <is>
          <t>SOLLEFTEÅ</t>
        </is>
      </c>
      <c r="F4050" t="inlineStr">
        <is>
          <t>SCA</t>
        </is>
      </c>
      <c r="G4050" t="n">
        <v>19.9</v>
      </c>
      <c r="H4050" t="n">
        <v>0</v>
      </c>
      <c r="I4050" t="n">
        <v>0</v>
      </c>
      <c r="J4050" t="n">
        <v>0</v>
      </c>
      <c r="K4050" t="n">
        <v>0</v>
      </c>
      <c r="L4050" t="n">
        <v>0</v>
      </c>
      <c r="M4050" t="n">
        <v>0</v>
      </c>
      <c r="N4050" t="n">
        <v>0</v>
      </c>
      <c r="O4050" t="n">
        <v>0</v>
      </c>
      <c r="P4050" t="n">
        <v>0</v>
      </c>
      <c r="Q4050" t="n">
        <v>0</v>
      </c>
      <c r="R4050" s="2" t="inlineStr"/>
    </row>
    <row r="4051" ht="15" customHeight="1">
      <c r="A4051" t="inlineStr">
        <is>
          <t>A 21166-2025</t>
        </is>
      </c>
      <c r="B4051" s="1" t="n">
        <v>45779</v>
      </c>
      <c r="C4051" s="1" t="n">
        <v>45802</v>
      </c>
      <c r="D4051" t="inlineStr">
        <is>
          <t>VÄSTERNORRLANDS LÄN</t>
        </is>
      </c>
      <c r="E4051" t="inlineStr">
        <is>
          <t>SOLLEFTEÅ</t>
        </is>
      </c>
      <c r="F4051" t="inlineStr">
        <is>
          <t>SCA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21269-2025</t>
        </is>
      </c>
      <c r="B4052" s="1" t="n">
        <v>45779</v>
      </c>
      <c r="C4052" s="1" t="n">
        <v>45802</v>
      </c>
      <c r="D4052" t="inlineStr">
        <is>
          <t>VÄSTERNORRLANDS LÄN</t>
        </is>
      </c>
      <c r="E4052" t="inlineStr">
        <is>
          <t>SOLLEFTEÅ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21481-2025</t>
        </is>
      </c>
      <c r="B4053" s="1" t="n">
        <v>45782</v>
      </c>
      <c r="C4053" s="1" t="n">
        <v>45802</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21348-2025</t>
        </is>
      </c>
      <c r="B4054" s="1" t="n">
        <v>45782</v>
      </c>
      <c r="C4054" s="1" t="n">
        <v>45802</v>
      </c>
      <c r="D4054" t="inlineStr">
        <is>
          <t>VÄSTERNORRLANDS LÄN</t>
        </is>
      </c>
      <c r="E4054" t="inlineStr">
        <is>
          <t>SOLLEFTEÅ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21553-2025</t>
        </is>
      </c>
      <c r="B4055" s="1" t="n">
        <v>45782</v>
      </c>
      <c r="C4055" s="1" t="n">
        <v>45802</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21489-2025</t>
        </is>
      </c>
      <c r="B4056" s="1" t="n">
        <v>45782</v>
      </c>
      <c r="C4056" s="1" t="n">
        <v>45802</v>
      </c>
      <c r="D4056" t="inlineStr">
        <is>
          <t>VÄSTERNORRLANDS LÄN</t>
        </is>
      </c>
      <c r="E4056" t="inlineStr">
        <is>
          <t>SOLLEFTEÅ</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21491-2025</t>
        </is>
      </c>
      <c r="B4057" s="1" t="n">
        <v>45782</v>
      </c>
      <c r="C4057" s="1" t="n">
        <v>45802</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21564-2025</t>
        </is>
      </c>
      <c r="B4058" s="1" t="n">
        <v>45782</v>
      </c>
      <c r="C4058" s="1" t="n">
        <v>45802</v>
      </c>
      <c r="D4058" t="inlineStr">
        <is>
          <t>VÄSTERNORRLANDS LÄN</t>
        </is>
      </c>
      <c r="E4058" t="inlineStr">
        <is>
          <t>SOLLEFTEÅ</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21346-2025</t>
        </is>
      </c>
      <c r="B4059" s="1" t="n">
        <v>45782</v>
      </c>
      <c r="C4059" s="1" t="n">
        <v>45802</v>
      </c>
      <c r="D4059" t="inlineStr">
        <is>
          <t>VÄSTERNORRLANDS LÄN</t>
        </is>
      </c>
      <c r="E4059" t="inlineStr">
        <is>
          <t>SOLLEFTEÅ</t>
        </is>
      </c>
      <c r="F4059" t="inlineStr">
        <is>
          <t>SCA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21555-2025</t>
        </is>
      </c>
      <c r="B4060" s="1" t="n">
        <v>45782</v>
      </c>
      <c r="C4060" s="1" t="n">
        <v>45802</v>
      </c>
      <c r="D4060" t="inlineStr">
        <is>
          <t>VÄSTERNORRLANDS LÄN</t>
        </is>
      </c>
      <c r="E4060" t="inlineStr">
        <is>
          <t>SOLLEFTEÅ</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21429-2025</t>
        </is>
      </c>
      <c r="B4061" s="1" t="n">
        <v>45782</v>
      </c>
      <c r="C4061" s="1" t="n">
        <v>45802</v>
      </c>
      <c r="D4061" t="inlineStr">
        <is>
          <t>VÄSTERNORRLANDS LÄN</t>
        </is>
      </c>
      <c r="E4061" t="inlineStr">
        <is>
          <t>SOLLEFTEÅ</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21565-2025</t>
        </is>
      </c>
      <c r="B4062" s="1" t="n">
        <v>45782</v>
      </c>
      <c r="C4062" s="1" t="n">
        <v>45802</v>
      </c>
      <c r="D4062" t="inlineStr">
        <is>
          <t>VÄSTERNORRLANDS LÄN</t>
        </is>
      </c>
      <c r="E4062" t="inlineStr">
        <is>
          <t>SOLLEFTEÅ</t>
        </is>
      </c>
      <c r="F4062" t="inlineStr">
        <is>
          <t>SCA</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21455-2025</t>
        </is>
      </c>
      <c r="B4063" s="1" t="n">
        <v>45782</v>
      </c>
      <c r="C4063" s="1" t="n">
        <v>45802</v>
      </c>
      <c r="D4063" t="inlineStr">
        <is>
          <t>VÄSTERNORRLANDS LÄN</t>
        </is>
      </c>
      <c r="E4063" t="inlineStr">
        <is>
          <t>SOLLEFTEÅ</t>
        </is>
      </c>
      <c r="F4063" t="inlineStr">
        <is>
          <t>SCA</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21687-2025</t>
        </is>
      </c>
      <c r="B4064" s="1" t="n">
        <v>45783</v>
      </c>
      <c r="C4064" s="1" t="n">
        <v>45802</v>
      </c>
      <c r="D4064" t="inlineStr">
        <is>
          <t>VÄSTERNORRLANDS LÄN</t>
        </is>
      </c>
      <c r="E4064" t="inlineStr">
        <is>
          <t>SOLLEFTEÅ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21684-2025</t>
        </is>
      </c>
      <c r="B4065" s="1" t="n">
        <v>45783</v>
      </c>
      <c r="C4065" s="1" t="n">
        <v>45802</v>
      </c>
      <c r="D4065" t="inlineStr">
        <is>
          <t>VÄSTERNORRLANDS LÄN</t>
        </is>
      </c>
      <c r="E4065" t="inlineStr">
        <is>
          <t>SOLLEFTEÅ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21669-2025</t>
        </is>
      </c>
      <c r="B4066" s="1" t="n">
        <v>45783</v>
      </c>
      <c r="C4066" s="1" t="n">
        <v>45802</v>
      </c>
      <c r="D4066" t="inlineStr">
        <is>
          <t>VÄSTERNORRLANDS LÄN</t>
        </is>
      </c>
      <c r="E4066" t="inlineStr">
        <is>
          <t>SOLLEFTEÅ</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21987-2025</t>
        </is>
      </c>
      <c r="B4067" s="1" t="n">
        <v>45784</v>
      </c>
      <c r="C4067" s="1" t="n">
        <v>45802</v>
      </c>
      <c r="D4067" t="inlineStr">
        <is>
          <t>VÄSTERNORRLANDS LÄN</t>
        </is>
      </c>
      <c r="E4067" t="inlineStr">
        <is>
          <t>SOLLEFTEÅ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21896-2025</t>
        </is>
      </c>
      <c r="B4068" s="1" t="n">
        <v>45784</v>
      </c>
      <c r="C4068" s="1" t="n">
        <v>45802</v>
      </c>
      <c r="D4068" t="inlineStr">
        <is>
          <t>VÄSTERNORRLANDS LÄN</t>
        </is>
      </c>
      <c r="E4068" t="inlineStr">
        <is>
          <t>SOLLEFTEÅ</t>
        </is>
      </c>
      <c r="G4068" t="n">
        <v>16.1</v>
      </c>
      <c r="H4068" t="n">
        <v>0</v>
      </c>
      <c r="I4068" t="n">
        <v>0</v>
      </c>
      <c r="J4068" t="n">
        <v>0</v>
      </c>
      <c r="K4068" t="n">
        <v>0</v>
      </c>
      <c r="L4068" t="n">
        <v>0</v>
      </c>
      <c r="M4068" t="n">
        <v>0</v>
      </c>
      <c r="N4068" t="n">
        <v>0</v>
      </c>
      <c r="O4068" t="n">
        <v>0</v>
      </c>
      <c r="P4068" t="n">
        <v>0</v>
      </c>
      <c r="Q4068" t="n">
        <v>0</v>
      </c>
      <c r="R4068" s="2" t="inlineStr"/>
    </row>
    <row r="4069" ht="15" customHeight="1">
      <c r="A4069" t="inlineStr">
        <is>
          <t>A 21898-2025</t>
        </is>
      </c>
      <c r="B4069" s="1" t="n">
        <v>45784</v>
      </c>
      <c r="C4069" s="1" t="n">
        <v>45802</v>
      </c>
      <c r="D4069" t="inlineStr">
        <is>
          <t>VÄSTERNORRLANDS LÄN</t>
        </is>
      </c>
      <c r="E4069" t="inlineStr">
        <is>
          <t>SOLLEFTEÅ</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21863-2025</t>
        </is>
      </c>
      <c r="B4070" s="1" t="n">
        <v>45784</v>
      </c>
      <c r="C4070" s="1" t="n">
        <v>45802</v>
      </c>
      <c r="D4070" t="inlineStr">
        <is>
          <t>VÄSTERNORRLANDS LÄN</t>
        </is>
      </c>
      <c r="E4070" t="inlineStr">
        <is>
          <t>SOLLEFTEÅ</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21983-2025</t>
        </is>
      </c>
      <c r="B4071" s="1" t="n">
        <v>45784</v>
      </c>
      <c r="C4071" s="1" t="n">
        <v>45802</v>
      </c>
      <c r="D4071" t="inlineStr">
        <is>
          <t>VÄSTERNORRLANDS LÄN</t>
        </is>
      </c>
      <c r="E4071" t="inlineStr">
        <is>
          <t>SOLLEFTEÅ</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21897-2025</t>
        </is>
      </c>
      <c r="B4072" s="1" t="n">
        <v>45784</v>
      </c>
      <c r="C4072" s="1" t="n">
        <v>45802</v>
      </c>
      <c r="D4072" t="inlineStr">
        <is>
          <t>VÄSTERNORRLANDS LÄN</t>
        </is>
      </c>
      <c r="E4072" t="inlineStr">
        <is>
          <t>SOLLEFTEÅ</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21985-2025</t>
        </is>
      </c>
      <c r="B4073" s="1" t="n">
        <v>45784</v>
      </c>
      <c r="C4073" s="1" t="n">
        <v>45802</v>
      </c>
      <c r="D4073" t="inlineStr">
        <is>
          <t>VÄSTERNORRLANDS LÄN</t>
        </is>
      </c>
      <c r="E4073" t="inlineStr">
        <is>
          <t>SOLLEFTEÅ</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22205-2025</t>
        </is>
      </c>
      <c r="B4074" s="1" t="n">
        <v>45785</v>
      </c>
      <c r="C4074" s="1" t="n">
        <v>45802</v>
      </c>
      <c r="D4074" t="inlineStr">
        <is>
          <t>VÄSTERNORRLANDS LÄN</t>
        </is>
      </c>
      <c r="E4074" t="inlineStr">
        <is>
          <t>SOLLEFTEÅ</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22215-2025</t>
        </is>
      </c>
      <c r="B4075" s="1" t="n">
        <v>45785</v>
      </c>
      <c r="C4075" s="1" t="n">
        <v>45802</v>
      </c>
      <c r="D4075" t="inlineStr">
        <is>
          <t>VÄSTERNORRLANDS LÄN</t>
        </is>
      </c>
      <c r="E4075" t="inlineStr">
        <is>
          <t>SOLLEFTEÅ</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22218-2025</t>
        </is>
      </c>
      <c r="B4076" s="1" t="n">
        <v>45785</v>
      </c>
      <c r="C4076" s="1" t="n">
        <v>45802</v>
      </c>
      <c r="D4076" t="inlineStr">
        <is>
          <t>VÄSTERNORRLANDS LÄN</t>
        </is>
      </c>
      <c r="E4076" t="inlineStr">
        <is>
          <t>SOLLEFTEÅ</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22184-2025</t>
        </is>
      </c>
      <c r="B4077" s="1" t="n">
        <v>45785</v>
      </c>
      <c r="C4077" s="1" t="n">
        <v>45802</v>
      </c>
      <c r="D4077" t="inlineStr">
        <is>
          <t>VÄSTERNORRLANDS LÄN</t>
        </is>
      </c>
      <c r="E4077" t="inlineStr">
        <is>
          <t>SOLLEFTEÅ</t>
        </is>
      </c>
      <c r="F4077" t="inlineStr">
        <is>
          <t>SCA</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22036-2025</t>
        </is>
      </c>
      <c r="B4078" s="1" t="n">
        <v>45785</v>
      </c>
      <c r="C4078" s="1" t="n">
        <v>45802</v>
      </c>
      <c r="D4078" t="inlineStr">
        <is>
          <t>VÄSTERNORRLANDS LÄN</t>
        </is>
      </c>
      <c r="E4078" t="inlineStr">
        <is>
          <t>SOLLEFTEÅ</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22166-2025</t>
        </is>
      </c>
      <c r="B4079" s="1" t="n">
        <v>45785</v>
      </c>
      <c r="C4079" s="1" t="n">
        <v>45802</v>
      </c>
      <c r="D4079" t="inlineStr">
        <is>
          <t>VÄSTERNORRLANDS LÄN</t>
        </is>
      </c>
      <c r="E4079" t="inlineStr">
        <is>
          <t>SOLLEFTEÅ</t>
        </is>
      </c>
      <c r="F4079" t="inlineStr">
        <is>
          <t>SCA</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22217-2025</t>
        </is>
      </c>
      <c r="B4080" s="1" t="n">
        <v>45785</v>
      </c>
      <c r="C4080" s="1" t="n">
        <v>45802</v>
      </c>
      <c r="D4080" t="inlineStr">
        <is>
          <t>VÄSTERNORRLANDS LÄN</t>
        </is>
      </c>
      <c r="E4080" t="inlineStr">
        <is>
          <t>SOLLEFTEÅ</t>
        </is>
      </c>
      <c r="F4080" t="inlineStr">
        <is>
          <t>SCA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22046-2025</t>
        </is>
      </c>
      <c r="B4081" s="1" t="n">
        <v>45785</v>
      </c>
      <c r="C4081" s="1" t="n">
        <v>45802</v>
      </c>
      <c r="D4081" t="inlineStr">
        <is>
          <t>VÄSTERNORRLANDS LÄN</t>
        </is>
      </c>
      <c r="E4081" t="inlineStr">
        <is>
          <t>SOLLEFTEÅ</t>
        </is>
      </c>
      <c r="F4081" t="inlineStr">
        <is>
          <t>SCA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22182-2025</t>
        </is>
      </c>
      <c r="B4082" s="1" t="n">
        <v>45785</v>
      </c>
      <c r="C4082" s="1" t="n">
        <v>45802</v>
      </c>
      <c r="D4082" t="inlineStr">
        <is>
          <t>VÄSTERNORRLANDS LÄN</t>
        </is>
      </c>
      <c r="E4082" t="inlineStr">
        <is>
          <t>SOLLEFTEÅ</t>
        </is>
      </c>
      <c r="F4082" t="inlineStr">
        <is>
          <t>SCA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22106-2025</t>
        </is>
      </c>
      <c r="B4083" s="1" t="n">
        <v>45785</v>
      </c>
      <c r="C4083" s="1" t="n">
        <v>45802</v>
      </c>
      <c r="D4083" t="inlineStr">
        <is>
          <t>VÄSTERNORRLANDS LÄN</t>
        </is>
      </c>
      <c r="E4083" t="inlineStr">
        <is>
          <t>SOLLEFTEÅ</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22207-2025</t>
        </is>
      </c>
      <c r="B4084" s="1" t="n">
        <v>45785</v>
      </c>
      <c r="C4084" s="1" t="n">
        <v>45802</v>
      </c>
      <c r="D4084" t="inlineStr">
        <is>
          <t>VÄSTERNORRLANDS LÄN</t>
        </is>
      </c>
      <c r="E4084" t="inlineStr">
        <is>
          <t>SOLLEFTEÅ</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22211-2025</t>
        </is>
      </c>
      <c r="B4085" s="1" t="n">
        <v>45785</v>
      </c>
      <c r="C4085" s="1" t="n">
        <v>45802</v>
      </c>
      <c r="D4085" t="inlineStr">
        <is>
          <t>VÄSTERNORRLANDS LÄN</t>
        </is>
      </c>
      <c r="E4085" t="inlineStr">
        <is>
          <t>SOLLEFTEÅ</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22255-2025</t>
        </is>
      </c>
      <c r="B4086" s="1" t="n">
        <v>45785</v>
      </c>
      <c r="C4086" s="1" t="n">
        <v>45802</v>
      </c>
      <c r="D4086" t="inlineStr">
        <is>
          <t>VÄSTERNORRLANDS LÄN</t>
        </is>
      </c>
      <c r="E4086" t="inlineStr">
        <is>
          <t>SOLLEFTEÅ</t>
        </is>
      </c>
      <c r="F4086" t="inlineStr">
        <is>
          <t>SCA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22287-2025</t>
        </is>
      </c>
      <c r="B4087" s="1" t="n">
        <v>45786</v>
      </c>
      <c r="C4087" s="1" t="n">
        <v>45802</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22390-2025</t>
        </is>
      </c>
      <c r="B4088" s="1" t="n">
        <v>45786</v>
      </c>
      <c r="C4088" s="1" t="n">
        <v>45802</v>
      </c>
      <c r="D4088" t="inlineStr">
        <is>
          <t>VÄSTERNORRLANDS LÄN</t>
        </is>
      </c>
      <c r="E4088" t="inlineStr">
        <is>
          <t>SOLLEFTEÅ</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22391-2025</t>
        </is>
      </c>
      <c r="B4089" s="1" t="n">
        <v>45786</v>
      </c>
      <c r="C4089" s="1" t="n">
        <v>45802</v>
      </c>
      <c r="D4089" t="inlineStr">
        <is>
          <t>VÄSTERNORRLANDS LÄN</t>
        </is>
      </c>
      <c r="E4089" t="inlineStr">
        <is>
          <t>SOLLEFTEÅ</t>
        </is>
      </c>
      <c r="G4089" t="n">
        <v>11.6</v>
      </c>
      <c r="H4089" t="n">
        <v>0</v>
      </c>
      <c r="I4089" t="n">
        <v>0</v>
      </c>
      <c r="J4089" t="n">
        <v>0</v>
      </c>
      <c r="K4089" t="n">
        <v>0</v>
      </c>
      <c r="L4089" t="n">
        <v>0</v>
      </c>
      <c r="M4089" t="n">
        <v>0</v>
      </c>
      <c r="N4089" t="n">
        <v>0</v>
      </c>
      <c r="O4089" t="n">
        <v>0</v>
      </c>
      <c r="P4089" t="n">
        <v>0</v>
      </c>
      <c r="Q4089" t="n">
        <v>0</v>
      </c>
      <c r="R4089" s="2" t="inlineStr"/>
    </row>
    <row r="4090" ht="15" customHeight="1">
      <c r="A4090" t="inlineStr">
        <is>
          <t>A 22517-2025</t>
        </is>
      </c>
      <c r="B4090" s="1" t="n">
        <v>45786</v>
      </c>
      <c r="C4090" s="1" t="n">
        <v>45802</v>
      </c>
      <c r="D4090" t="inlineStr">
        <is>
          <t>VÄSTERNORRLANDS LÄN</t>
        </is>
      </c>
      <c r="E4090" t="inlineStr">
        <is>
          <t>SOLLEFTEÅ</t>
        </is>
      </c>
      <c r="F4090" t="inlineStr">
        <is>
          <t>SCA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22444-2025</t>
        </is>
      </c>
      <c r="B4091" s="1" t="n">
        <v>45786</v>
      </c>
      <c r="C4091" s="1" t="n">
        <v>45802</v>
      </c>
      <c r="D4091" t="inlineStr">
        <is>
          <t>VÄSTERNORRLANDS LÄN</t>
        </is>
      </c>
      <c r="E4091" t="inlineStr">
        <is>
          <t>SOLLEFTEÅ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22514-2025</t>
        </is>
      </c>
      <c r="B4092" s="1" t="n">
        <v>45786</v>
      </c>
      <c r="C4092" s="1" t="n">
        <v>45802</v>
      </c>
      <c r="D4092" t="inlineStr">
        <is>
          <t>VÄSTERNORRLANDS LÄN</t>
        </is>
      </c>
      <c r="E4092" t="inlineStr">
        <is>
          <t>SOLLEFTEÅ</t>
        </is>
      </c>
      <c r="F4092" t="inlineStr">
        <is>
          <t>SCA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22446-2025</t>
        </is>
      </c>
      <c r="B4093" s="1" t="n">
        <v>45786</v>
      </c>
      <c r="C4093" s="1" t="n">
        <v>45802</v>
      </c>
      <c r="D4093" t="inlineStr">
        <is>
          <t>VÄSTERNORRLANDS LÄN</t>
        </is>
      </c>
      <c r="E4093" t="inlineStr">
        <is>
          <t>SOLLEFTEÅ</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22516-2025</t>
        </is>
      </c>
      <c r="B4094" s="1" t="n">
        <v>45786</v>
      </c>
      <c r="C4094" s="1" t="n">
        <v>45802</v>
      </c>
      <c r="D4094" t="inlineStr">
        <is>
          <t>VÄSTERNORRLANDS LÄN</t>
        </is>
      </c>
      <c r="E4094" t="inlineStr">
        <is>
          <t>SOLLEFTEÅ</t>
        </is>
      </c>
      <c r="G4094" t="n">
        <v>26.7</v>
      </c>
      <c r="H4094" t="n">
        <v>0</v>
      </c>
      <c r="I4094" t="n">
        <v>0</v>
      </c>
      <c r="J4094" t="n">
        <v>0</v>
      </c>
      <c r="K4094" t="n">
        <v>0</v>
      </c>
      <c r="L4094" t="n">
        <v>0</v>
      </c>
      <c r="M4094" t="n">
        <v>0</v>
      </c>
      <c r="N4094" t="n">
        <v>0</v>
      </c>
      <c r="O4094" t="n">
        <v>0</v>
      </c>
      <c r="P4094" t="n">
        <v>0</v>
      </c>
      <c r="Q4094" t="n">
        <v>0</v>
      </c>
      <c r="R4094" s="2" t="inlineStr"/>
    </row>
    <row r="4095" ht="15" customHeight="1">
      <c r="A4095" t="inlineStr">
        <is>
          <t>A 22737-2025</t>
        </is>
      </c>
      <c r="B4095" s="1" t="n">
        <v>45789</v>
      </c>
      <c r="C4095" s="1" t="n">
        <v>45802</v>
      </c>
      <c r="D4095" t="inlineStr">
        <is>
          <t>VÄSTERNORRLANDS LÄN</t>
        </is>
      </c>
      <c r="E4095" t="inlineStr">
        <is>
          <t>SOLLEFTEÅ</t>
        </is>
      </c>
      <c r="G4095" t="n">
        <v>15.6</v>
      </c>
      <c r="H4095" t="n">
        <v>0</v>
      </c>
      <c r="I4095" t="n">
        <v>0</v>
      </c>
      <c r="J4095" t="n">
        <v>0</v>
      </c>
      <c r="K4095" t="n">
        <v>0</v>
      </c>
      <c r="L4095" t="n">
        <v>0</v>
      </c>
      <c r="M4095" t="n">
        <v>0</v>
      </c>
      <c r="N4095" t="n">
        <v>0</v>
      </c>
      <c r="O4095" t="n">
        <v>0</v>
      </c>
      <c r="P4095" t="n">
        <v>0</v>
      </c>
      <c r="Q4095" t="n">
        <v>0</v>
      </c>
      <c r="R4095" s="2" t="inlineStr"/>
    </row>
    <row r="4096" ht="15" customHeight="1">
      <c r="A4096" t="inlineStr">
        <is>
          <t>A 22569-2025</t>
        </is>
      </c>
      <c r="B4096" s="1" t="n">
        <v>45789</v>
      </c>
      <c r="C4096" s="1" t="n">
        <v>45802</v>
      </c>
      <c r="D4096" t="inlineStr">
        <is>
          <t>VÄSTERNORRLANDS LÄN</t>
        </is>
      </c>
      <c r="E4096" t="inlineStr">
        <is>
          <t>SOLLEFTEÅ</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22615-2025</t>
        </is>
      </c>
      <c r="B4097" s="1" t="n">
        <v>45789</v>
      </c>
      <c r="C4097" s="1" t="n">
        <v>45802</v>
      </c>
      <c r="D4097" t="inlineStr">
        <is>
          <t>VÄSTERNORRLANDS LÄN</t>
        </is>
      </c>
      <c r="E4097" t="inlineStr">
        <is>
          <t>SOLLEFTEÅ</t>
        </is>
      </c>
      <c r="F4097" t="inlineStr">
        <is>
          <t>SCA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22704-2025</t>
        </is>
      </c>
      <c r="B4098" s="1" t="n">
        <v>45789</v>
      </c>
      <c r="C4098" s="1" t="n">
        <v>45802</v>
      </c>
      <c r="D4098" t="inlineStr">
        <is>
          <t>VÄSTERNORRLANDS LÄN</t>
        </is>
      </c>
      <c r="E4098" t="inlineStr">
        <is>
          <t>SOLLEFTEÅ</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22810-2025</t>
        </is>
      </c>
      <c r="B4099" s="1" t="n">
        <v>45789</v>
      </c>
      <c r="C4099" s="1" t="n">
        <v>45802</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22562-2025</t>
        </is>
      </c>
      <c r="B4100" s="1" t="n">
        <v>45789</v>
      </c>
      <c r="C4100" s="1" t="n">
        <v>45802</v>
      </c>
      <c r="D4100" t="inlineStr">
        <is>
          <t>VÄSTERNORRLANDS LÄN</t>
        </is>
      </c>
      <c r="E4100" t="inlineStr">
        <is>
          <t>SOLLEFTEÅ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45802</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22803-2025</t>
        </is>
      </c>
      <c r="B4102" s="1" t="n">
        <v>45789</v>
      </c>
      <c r="C4102" s="1" t="n">
        <v>45802</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22815-2025</t>
        </is>
      </c>
      <c r="B4103" s="1" t="n">
        <v>45789</v>
      </c>
      <c r="C4103" s="1" t="n">
        <v>45802</v>
      </c>
      <c r="D4103" t="inlineStr">
        <is>
          <t>VÄSTERNORRLANDS LÄN</t>
        </is>
      </c>
      <c r="E4103" t="inlineStr">
        <is>
          <t>SOLLEFTEÅ</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45802</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45802</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22866-2025</t>
        </is>
      </c>
      <c r="B4106" s="1" t="n">
        <v>45790</v>
      </c>
      <c r="C4106" s="1" t="n">
        <v>45802</v>
      </c>
      <c r="D4106" t="inlineStr">
        <is>
          <t>VÄSTERNORRLANDS LÄN</t>
        </is>
      </c>
      <c r="E4106" t="inlineStr">
        <is>
          <t>SOLLEFTEÅ</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23025-2025</t>
        </is>
      </c>
      <c r="B4107" s="1" t="n">
        <v>45790</v>
      </c>
      <c r="C4107" s="1" t="n">
        <v>45802</v>
      </c>
      <c r="D4107" t="inlineStr">
        <is>
          <t>VÄSTERNORRLANDS LÄN</t>
        </is>
      </c>
      <c r="E4107" t="inlineStr">
        <is>
          <t>SOLLEFTEÅ</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23339-2025</t>
        </is>
      </c>
      <c r="B4108" s="1" t="n">
        <v>45791</v>
      </c>
      <c r="C4108" s="1" t="n">
        <v>45802</v>
      </c>
      <c r="D4108" t="inlineStr">
        <is>
          <t>VÄSTERNORRLANDS LÄN</t>
        </is>
      </c>
      <c r="E4108" t="inlineStr">
        <is>
          <t>SOLLEFTEÅ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45802</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45802</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23318-2025</t>
        </is>
      </c>
      <c r="B4111" s="1" t="n">
        <v>45791</v>
      </c>
      <c r="C4111" s="1" t="n">
        <v>45802</v>
      </c>
      <c r="D4111" t="inlineStr">
        <is>
          <t>VÄSTERNORRLANDS LÄN</t>
        </is>
      </c>
      <c r="E4111" t="inlineStr">
        <is>
          <t>SOLLEFTEÅ</t>
        </is>
      </c>
      <c r="F4111" t="inlineStr">
        <is>
          <t>SCA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23347-2025</t>
        </is>
      </c>
      <c r="B4112" s="1" t="n">
        <v>45791</v>
      </c>
      <c r="C4112" s="1" t="n">
        <v>45802</v>
      </c>
      <c r="D4112" t="inlineStr">
        <is>
          <t>VÄSTERNORRLANDS LÄN</t>
        </is>
      </c>
      <c r="E4112" t="inlineStr">
        <is>
          <t>SOLLEFTEÅ</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23345-2025</t>
        </is>
      </c>
      <c r="B4113" s="1" t="n">
        <v>45791</v>
      </c>
      <c r="C4113" s="1" t="n">
        <v>45802</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23564-2025</t>
        </is>
      </c>
      <c r="B4114" s="1" t="n">
        <v>45792</v>
      </c>
      <c r="C4114" s="1" t="n">
        <v>45802</v>
      </c>
      <c r="D4114" t="inlineStr">
        <is>
          <t>VÄSTERNORRLANDS LÄN</t>
        </is>
      </c>
      <c r="E4114" t="inlineStr">
        <is>
          <t>SOLLEFTEÅ</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23478-2025</t>
        </is>
      </c>
      <c r="B4115" s="1" t="n">
        <v>45792</v>
      </c>
      <c r="C4115" s="1" t="n">
        <v>45802</v>
      </c>
      <c r="D4115" t="inlineStr">
        <is>
          <t>VÄSTERNORRLANDS LÄN</t>
        </is>
      </c>
      <c r="E4115" t="inlineStr">
        <is>
          <t>SOLLEFTEÅ</t>
        </is>
      </c>
      <c r="F4115" t="inlineStr">
        <is>
          <t>Holmen skog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23409-2025</t>
        </is>
      </c>
      <c r="B4116" s="1" t="n">
        <v>45792</v>
      </c>
      <c r="C4116" s="1" t="n">
        <v>45802</v>
      </c>
      <c r="D4116" t="inlineStr">
        <is>
          <t>VÄSTERNORRLANDS LÄN</t>
        </is>
      </c>
      <c r="E4116" t="inlineStr">
        <is>
          <t>SOLLEFTEÅ</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23629-2025</t>
        </is>
      </c>
      <c r="B4117" s="1" t="n">
        <v>45792</v>
      </c>
      <c r="C4117" s="1" t="n">
        <v>45802</v>
      </c>
      <c r="D4117" t="inlineStr">
        <is>
          <t>VÄSTERNORRLANDS LÄN</t>
        </is>
      </c>
      <c r="E4117" t="inlineStr">
        <is>
          <t>SOLLEFTEÅ</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23542-2025</t>
        </is>
      </c>
      <c r="B4118" s="1" t="n">
        <v>45792</v>
      </c>
      <c r="C4118" s="1" t="n">
        <v>45802</v>
      </c>
      <c r="D4118" t="inlineStr">
        <is>
          <t>VÄSTERNORRLANDS LÄN</t>
        </is>
      </c>
      <c r="E4118" t="inlineStr">
        <is>
          <t>SOLLEFTEÅ</t>
        </is>
      </c>
      <c r="F4118" t="inlineStr">
        <is>
          <t>Holmen skog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23630-2025</t>
        </is>
      </c>
      <c r="B4119" s="1" t="n">
        <v>45792</v>
      </c>
      <c r="C4119" s="1" t="n">
        <v>45802</v>
      </c>
      <c r="D4119" t="inlineStr">
        <is>
          <t>VÄSTERNORRLANDS LÄN</t>
        </is>
      </c>
      <c r="E4119" t="inlineStr">
        <is>
          <t>SOLLEFTEÅ</t>
        </is>
      </c>
      <c r="F4119" t="inlineStr">
        <is>
          <t>SCA</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23633-2025</t>
        </is>
      </c>
      <c r="B4120" s="1" t="n">
        <v>45792</v>
      </c>
      <c r="C4120" s="1" t="n">
        <v>45802</v>
      </c>
      <c r="D4120" t="inlineStr">
        <is>
          <t>VÄSTERNORRLANDS LÄN</t>
        </is>
      </c>
      <c r="E4120" t="inlineStr">
        <is>
          <t>SOLLEFTEÅ</t>
        </is>
      </c>
      <c r="F4120" t="inlineStr">
        <is>
          <t>SCA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23634-2025</t>
        </is>
      </c>
      <c r="B4121" s="1" t="n">
        <v>45792</v>
      </c>
      <c r="C4121" s="1" t="n">
        <v>45802</v>
      </c>
      <c r="D4121" t="inlineStr">
        <is>
          <t>VÄSTERNORRLANDS LÄN</t>
        </is>
      </c>
      <c r="E4121" t="inlineStr">
        <is>
          <t>SOLLEFTEÅ</t>
        </is>
      </c>
      <c r="F4121" t="inlineStr">
        <is>
          <t>SCA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23522-2025</t>
        </is>
      </c>
      <c r="B4122" s="1" t="n">
        <v>45792</v>
      </c>
      <c r="C4122" s="1" t="n">
        <v>45802</v>
      </c>
      <c r="D4122" t="inlineStr">
        <is>
          <t>VÄSTERNORRLANDS LÄN</t>
        </is>
      </c>
      <c r="E4122" t="inlineStr">
        <is>
          <t>SOLLEFTEÅ</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23515-2025</t>
        </is>
      </c>
      <c r="B4123" s="1" t="n">
        <v>45792</v>
      </c>
      <c r="C4123" s="1" t="n">
        <v>45802</v>
      </c>
      <c r="D4123" t="inlineStr">
        <is>
          <t>VÄSTERNORRLANDS LÄN</t>
        </is>
      </c>
      <c r="E4123" t="inlineStr">
        <is>
          <t>SOLLEFTEÅ</t>
        </is>
      </c>
      <c r="F4123" t="inlineStr">
        <is>
          <t>Holmen skog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23871-2025</t>
        </is>
      </c>
      <c r="B4124" s="1" t="n">
        <v>45793</v>
      </c>
      <c r="C4124" s="1" t="n">
        <v>45802</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23734-2025</t>
        </is>
      </c>
      <c r="B4125" s="1" t="n">
        <v>45793</v>
      </c>
      <c r="C4125" s="1" t="n">
        <v>45802</v>
      </c>
      <c r="D4125" t="inlineStr">
        <is>
          <t>VÄSTERNORRLANDS LÄN</t>
        </is>
      </c>
      <c r="E4125" t="inlineStr">
        <is>
          <t>SOLLEFTEÅ</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23735-2025</t>
        </is>
      </c>
      <c r="B4126" s="1" t="n">
        <v>45793</v>
      </c>
      <c r="C4126" s="1" t="n">
        <v>45802</v>
      </c>
      <c r="D4126" t="inlineStr">
        <is>
          <t>VÄSTERNORRLANDS LÄN</t>
        </is>
      </c>
      <c r="E4126" t="inlineStr">
        <is>
          <t>SOLLEFTEÅ</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23738-2025</t>
        </is>
      </c>
      <c r="B4127" s="1" t="n">
        <v>45793</v>
      </c>
      <c r="C4127" s="1" t="n">
        <v>45802</v>
      </c>
      <c r="D4127" t="inlineStr">
        <is>
          <t>VÄSTERNORRLANDS LÄN</t>
        </is>
      </c>
      <c r="E4127" t="inlineStr">
        <is>
          <t>SOLLEFTEÅ</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23889-2025</t>
        </is>
      </c>
      <c r="B4128" s="1" t="n">
        <v>45793</v>
      </c>
      <c r="C4128" s="1" t="n">
        <v>45802</v>
      </c>
      <c r="D4128" t="inlineStr">
        <is>
          <t>VÄSTERNORRLANDS LÄN</t>
        </is>
      </c>
      <c r="E4128" t="inlineStr">
        <is>
          <t>SOLLEFTEÅ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23977-2025</t>
        </is>
      </c>
      <c r="B4129" s="1" t="n">
        <v>45796</v>
      </c>
      <c r="C4129" s="1" t="n">
        <v>45802</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23974-2025</t>
        </is>
      </c>
      <c r="B4130" s="1" t="n">
        <v>45796</v>
      </c>
      <c r="C4130" s="1" t="n">
        <v>45802</v>
      </c>
      <c r="D4130" t="inlineStr">
        <is>
          <t>VÄSTERNORRLANDS LÄN</t>
        </is>
      </c>
      <c r="E4130" t="inlineStr">
        <is>
          <t>SOLLEFTEÅ</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23997-2025</t>
        </is>
      </c>
      <c r="B4131" s="1" t="n">
        <v>45796</v>
      </c>
      <c r="C4131" s="1" t="n">
        <v>45802</v>
      </c>
      <c r="D4131" t="inlineStr">
        <is>
          <t>VÄSTERNORRLANDS LÄN</t>
        </is>
      </c>
      <c r="E4131" t="inlineStr">
        <is>
          <t>SOLLEFTEÅ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24393-2025</t>
        </is>
      </c>
      <c r="B4132" s="1" t="n">
        <v>45797</v>
      </c>
      <c r="C4132" s="1" t="n">
        <v>45802</v>
      </c>
      <c r="D4132" t="inlineStr">
        <is>
          <t>VÄSTERNORRLANDS LÄN</t>
        </is>
      </c>
      <c r="E4132" t="inlineStr">
        <is>
          <t>SOLLEFTEÅ</t>
        </is>
      </c>
      <c r="F4132" t="inlineStr">
        <is>
          <t>SCA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24420-2025</t>
        </is>
      </c>
      <c r="B4133" s="1" t="n">
        <v>45797</v>
      </c>
      <c r="C4133" s="1" t="n">
        <v>45802</v>
      </c>
      <c r="D4133" t="inlineStr">
        <is>
          <t>VÄSTERNORRLANDS LÄN</t>
        </is>
      </c>
      <c r="E4133" t="inlineStr">
        <is>
          <t>SOLLEFTEÅ</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24488-2025</t>
        </is>
      </c>
      <c r="B4134" s="1" t="n">
        <v>45798</v>
      </c>
      <c r="C4134" s="1" t="n">
        <v>45802</v>
      </c>
      <c r="D4134" t="inlineStr">
        <is>
          <t>VÄSTERNORRLANDS LÄN</t>
        </is>
      </c>
      <c r="E4134" t="inlineStr">
        <is>
          <t>SOLLEFTEÅ</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24530-2025</t>
        </is>
      </c>
      <c r="B4135" s="1" t="n">
        <v>45798</v>
      </c>
      <c r="C4135" s="1" t="n">
        <v>45802</v>
      </c>
      <c r="D4135" t="inlineStr">
        <is>
          <t>VÄSTERNORRLANDS LÄN</t>
        </is>
      </c>
      <c r="E4135" t="inlineStr">
        <is>
          <t>SOLLEFTEÅ</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24552-2025</t>
        </is>
      </c>
      <c r="B4136" s="1" t="n">
        <v>45798</v>
      </c>
      <c r="C4136" s="1" t="n">
        <v>45802</v>
      </c>
      <c r="D4136" t="inlineStr">
        <is>
          <t>VÄSTERNORRLANDS LÄN</t>
        </is>
      </c>
      <c r="E4136" t="inlineStr">
        <is>
          <t>SOLLEFTEÅ</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24693-2025</t>
        </is>
      </c>
      <c r="B4137" s="1" t="n">
        <v>45798</v>
      </c>
      <c r="C4137" s="1" t="n">
        <v>45802</v>
      </c>
      <c r="D4137" t="inlineStr">
        <is>
          <t>VÄSTERNORRLANDS LÄN</t>
        </is>
      </c>
      <c r="E4137" t="inlineStr">
        <is>
          <t>SOLLEFTEÅ</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24531-2025</t>
        </is>
      </c>
      <c r="B4138" s="1" t="n">
        <v>45798</v>
      </c>
      <c r="C4138" s="1" t="n">
        <v>45802</v>
      </c>
      <c r="D4138" t="inlineStr">
        <is>
          <t>VÄSTERNORRLANDS LÄN</t>
        </is>
      </c>
      <c r="E4138" t="inlineStr">
        <is>
          <t>SOLLEFTEÅ</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24532-2025</t>
        </is>
      </c>
      <c r="B4139" s="1" t="n">
        <v>45798</v>
      </c>
      <c r="C4139" s="1" t="n">
        <v>45802</v>
      </c>
      <c r="D4139" t="inlineStr">
        <is>
          <t>VÄSTERNORRLANDS LÄN</t>
        </is>
      </c>
      <c r="E4139" t="inlineStr">
        <is>
          <t>SOLLEFTEÅ</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24760-2025</t>
        </is>
      </c>
      <c r="B4140" s="1" t="n">
        <v>45799</v>
      </c>
      <c r="C4140" s="1" t="n">
        <v>45802</v>
      </c>
      <c r="D4140" t="inlineStr">
        <is>
          <t>VÄSTERNORRLANDS LÄN</t>
        </is>
      </c>
      <c r="E4140" t="inlineStr">
        <is>
          <t>SOLLEFTEÅ</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24730-2025</t>
        </is>
      </c>
      <c r="B4141" s="1" t="n">
        <v>45799</v>
      </c>
      <c r="C4141" s="1" t="n">
        <v>45802</v>
      </c>
      <c r="D4141" t="inlineStr">
        <is>
          <t>VÄSTERNORRLANDS LÄN</t>
        </is>
      </c>
      <c r="E4141" t="inlineStr">
        <is>
          <t>SOLLEFTEÅ</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24787-2025</t>
        </is>
      </c>
      <c r="B4142" s="1" t="n">
        <v>45799</v>
      </c>
      <c r="C4142" s="1" t="n">
        <v>45802</v>
      </c>
      <c r="D4142" t="inlineStr">
        <is>
          <t>VÄSTERNORRLANDS LÄN</t>
        </is>
      </c>
      <c r="E4142" t="inlineStr">
        <is>
          <t>SOLLEFTEÅ</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25313-2025</t>
        </is>
      </c>
      <c r="B4143" s="1" t="n">
        <v>45799</v>
      </c>
      <c r="C4143" s="1" t="n">
        <v>45802</v>
      </c>
      <c r="D4143" t="inlineStr">
        <is>
          <t>VÄSTERNORRLANDS LÄN</t>
        </is>
      </c>
      <c r="E4143" t="inlineStr">
        <is>
          <t>SOLLEFTEÅ</t>
        </is>
      </c>
      <c r="F4143" t="inlineStr">
        <is>
          <t>Kommuner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24759-2025</t>
        </is>
      </c>
      <c r="B4144" s="1" t="n">
        <v>45799</v>
      </c>
      <c r="C4144" s="1" t="n">
        <v>45802</v>
      </c>
      <c r="D4144" t="inlineStr">
        <is>
          <t>VÄSTERNORRLANDS LÄN</t>
        </is>
      </c>
      <c r="E4144" t="inlineStr">
        <is>
          <t>SOLLEFTEÅ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25242-2025</t>
        </is>
      </c>
      <c r="B4145" s="1" t="n">
        <v>45800</v>
      </c>
      <c r="C4145" s="1" t="n">
        <v>45802</v>
      </c>
      <c r="D4145" t="inlineStr">
        <is>
          <t>VÄSTERNORRLANDS LÄN</t>
        </is>
      </c>
      <c r="E4145" t="inlineStr">
        <is>
          <t>SOLLEFTEÅ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25243-2025</t>
        </is>
      </c>
      <c r="B4146" s="1" t="n">
        <v>45800</v>
      </c>
      <c r="C4146" s="1" t="n">
        <v>45802</v>
      </c>
      <c r="D4146" t="inlineStr">
        <is>
          <t>VÄSTERNORRLANDS LÄN</t>
        </is>
      </c>
      <c r="E4146" t="inlineStr">
        <is>
          <t>SOLLEFTEÅ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25297-2025</t>
        </is>
      </c>
      <c r="B4147" s="1" t="n">
        <v>45800</v>
      </c>
      <c r="C4147" s="1" t="n">
        <v>45802</v>
      </c>
      <c r="D4147" t="inlineStr">
        <is>
          <t>VÄSTERNORRLANDS LÄN</t>
        </is>
      </c>
      <c r="E4147" t="inlineStr">
        <is>
          <t>SOLLEFTEÅ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25145-2025</t>
        </is>
      </c>
      <c r="B4148" s="1" t="n">
        <v>45800</v>
      </c>
      <c r="C4148" s="1" t="n">
        <v>45802</v>
      </c>
      <c r="D4148" t="inlineStr">
        <is>
          <t>VÄSTERNORRLANDS LÄN</t>
        </is>
      </c>
      <c r="E4148" t="inlineStr">
        <is>
          <t>SOLLEFTEÅ</t>
        </is>
      </c>
      <c r="G4148" t="n">
        <v>8.800000000000001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25132-2025</t>
        </is>
      </c>
      <c r="B4149" s="1" t="n">
        <v>45800</v>
      </c>
      <c r="C4149" s="1" t="n">
        <v>45802</v>
      </c>
      <c r="D4149" t="inlineStr">
        <is>
          <t>VÄSTERNORRLANDS LÄN</t>
        </is>
      </c>
      <c r="E4149" t="inlineStr">
        <is>
          <t>SOLLEFTEÅ</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25238-2025</t>
        </is>
      </c>
      <c r="B4150" s="1" t="n">
        <v>45800</v>
      </c>
      <c r="C4150" s="1" t="n">
        <v>45802</v>
      </c>
      <c r="D4150" t="inlineStr">
        <is>
          <t>VÄSTERNORRLANDS LÄN</t>
        </is>
      </c>
      <c r="E4150" t="inlineStr">
        <is>
          <t>SOLLEFTEÅ</t>
        </is>
      </c>
      <c r="F4150" t="inlineStr">
        <is>
          <t>SCA</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25207-2025</t>
        </is>
      </c>
      <c r="B4151" s="1" t="n">
        <v>45800</v>
      </c>
      <c r="C4151" s="1" t="n">
        <v>45802</v>
      </c>
      <c r="D4151" t="inlineStr">
        <is>
          <t>VÄSTERNORRLANDS LÄN</t>
        </is>
      </c>
      <c r="E4151" t="inlineStr">
        <is>
          <t>SOLLEFTEÅ</t>
        </is>
      </c>
      <c r="G4151" t="n">
        <v>23</v>
      </c>
      <c r="H4151" t="n">
        <v>0</v>
      </c>
      <c r="I4151" t="n">
        <v>0</v>
      </c>
      <c r="J4151" t="n">
        <v>0</v>
      </c>
      <c r="K4151" t="n">
        <v>0</v>
      </c>
      <c r="L4151" t="n">
        <v>0</v>
      </c>
      <c r="M4151" t="n">
        <v>0</v>
      </c>
      <c r="N4151" t="n">
        <v>0</v>
      </c>
      <c r="O4151" t="n">
        <v>0</v>
      </c>
      <c r="P4151" t="n">
        <v>0</v>
      </c>
      <c r="Q4151" t="n">
        <v>0</v>
      </c>
      <c r="R4151" s="2" t="inlineStr"/>
    </row>
    <row r="4152">
      <c r="A4152" t="inlineStr">
        <is>
          <t>A 25181-2025</t>
        </is>
      </c>
      <c r="B4152" s="1" t="n">
        <v>45800</v>
      </c>
      <c r="C4152" s="1" t="n">
        <v>45802</v>
      </c>
      <c r="D4152" t="inlineStr">
        <is>
          <t>VÄSTERNORRLANDS LÄN</t>
        </is>
      </c>
      <c r="E4152" t="inlineStr">
        <is>
          <t>SOLLEFTEÅ</t>
        </is>
      </c>
      <c r="G4152" t="n">
        <v>15.6</v>
      </c>
      <c r="H4152" t="n">
        <v>0</v>
      </c>
      <c r="I4152" t="n">
        <v>0</v>
      </c>
      <c r="J4152" t="n">
        <v>0</v>
      </c>
      <c r="K4152" t="n">
        <v>0</v>
      </c>
      <c r="L4152" t="n">
        <v>0</v>
      </c>
      <c r="M4152" t="n">
        <v>0</v>
      </c>
      <c r="N4152" t="n">
        <v>0</v>
      </c>
      <c r="O4152" t="n">
        <v>0</v>
      </c>
      <c r="P4152" t="n">
        <v>0</v>
      </c>
      <c r="Q4152" t="n">
        <v>0</v>
      </c>
      <c r="R4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2025-05-25T18:12:34Z</dcterms:created>
  <dcterms:modified xmlns:dcterms="http://purl.org/dc/terms/" xmlns:xsi="http://www.w3.org/2001/XMLSchema-instance" xsi:type="dcterms:W3CDTF">2025-05-25T18:12:38Z</dcterms:modified>
</cp:coreProperties>
</file>