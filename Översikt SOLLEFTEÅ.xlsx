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45260</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45260</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45260</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45260</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45260</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45260</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45260</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45260</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45260</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45260</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45260</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45260</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45260</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45260</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45260</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45260</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45260</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45260</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45260</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45260</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45260</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45260</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45260</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45260</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45260</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45260</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45260</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45260</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45260</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45260</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45260</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45260</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45260</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45260</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45260</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45260</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45260</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45260</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45260</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45260</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45260</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45260</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45260</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45260</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45260</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45260</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45260</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45260</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45260</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45260</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45260</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45260</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45260</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45260</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45260</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45260</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45260</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45260</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45260</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45260</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45260</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45260</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14860-2023</t>
        </is>
      </c>
      <c r="B66" s="1" t="n">
        <v>45015</v>
      </c>
      <c r="C66" s="1" t="n">
        <v>45260</v>
      </c>
      <c r="D66" t="inlineStr">
        <is>
          <t>VÄSTERNORRLANDS LÄN</t>
        </is>
      </c>
      <c r="E66" t="inlineStr">
        <is>
          <t>SOLLEFTEÅ</t>
        </is>
      </c>
      <c r="F66" t="inlineStr">
        <is>
          <t>SCA</t>
        </is>
      </c>
      <c r="G66" t="n">
        <v>5.8</v>
      </c>
      <c r="H66" t="n">
        <v>1</v>
      </c>
      <c r="I66" t="n">
        <v>2</v>
      </c>
      <c r="J66" t="n">
        <v>3</v>
      </c>
      <c r="K66" t="n">
        <v>1</v>
      </c>
      <c r="L66" t="n">
        <v>0</v>
      </c>
      <c r="M66" t="n">
        <v>0</v>
      </c>
      <c r="N66" t="n">
        <v>0</v>
      </c>
      <c r="O66" t="n">
        <v>4</v>
      </c>
      <c r="P66" t="n">
        <v>1</v>
      </c>
      <c r="Q66" t="n">
        <v>6</v>
      </c>
      <c r="R66" s="2" t="inlineStr">
        <is>
          <t>Knärot
Granticka
Lunglav
Ullticka
Skinnlav
Stuplav</t>
        </is>
      </c>
      <c r="S66">
        <f>HYPERLINK("https://klasma.github.io/Logging_2283/artfynd/A 14860-2023 artfynd.xlsx", "A 14860-2023")</f>
        <v/>
      </c>
      <c r="T66">
        <f>HYPERLINK("https://klasma.github.io/Logging_2283/kartor/A 14860-2023 karta.png", "A 14860-2023")</f>
        <v/>
      </c>
      <c r="U66">
        <f>HYPERLINK("https://klasma.github.io/Logging_2283/knärot/A 14860-2023 karta knärot.png", "A 14860-2023")</f>
        <v/>
      </c>
      <c r="V66">
        <f>HYPERLINK("https://klasma.github.io/Logging_2283/klagomål/A 14860-2023 FSC-klagomål.docx", "A 14860-2023")</f>
        <v/>
      </c>
      <c r="W66">
        <f>HYPERLINK("https://klasma.github.io/Logging_2283/klagomålsmail/A 14860-2023 FSC-klagomål mail.docx", "A 14860-2023")</f>
        <v/>
      </c>
      <c r="X66">
        <f>HYPERLINK("https://klasma.github.io/Logging_2283/tillsyn/A 14860-2023 tillsynsbegäran.docx", "A 14860-2023")</f>
        <v/>
      </c>
      <c r="Y66">
        <f>HYPERLINK("https://klasma.github.io/Logging_2283/tillsynsmail/A 14860-2023 tillsynsbegäran mail.docx", "A 14860-2023")</f>
        <v/>
      </c>
    </row>
    <row r="67" ht="15" customHeight="1">
      <c r="A67" t="inlineStr">
        <is>
          <t>A 39198-2023</t>
        </is>
      </c>
      <c r="B67" s="1" t="n">
        <v>45166</v>
      </c>
      <c r="C67" s="1" t="n">
        <v>45260</v>
      </c>
      <c r="D67" t="inlineStr">
        <is>
          <t>VÄSTERNORRLANDS LÄN</t>
        </is>
      </c>
      <c r="E67" t="inlineStr">
        <is>
          <t>SOLLEFTEÅ</t>
        </is>
      </c>
      <c r="G67" t="n">
        <v>11</v>
      </c>
      <c r="H67" t="n">
        <v>0</v>
      </c>
      <c r="I67" t="n">
        <v>2</v>
      </c>
      <c r="J67" t="n">
        <v>4</v>
      </c>
      <c r="K67" t="n">
        <v>0</v>
      </c>
      <c r="L67" t="n">
        <v>0</v>
      </c>
      <c r="M67" t="n">
        <v>0</v>
      </c>
      <c r="N67" t="n">
        <v>0</v>
      </c>
      <c r="O67" t="n">
        <v>4</v>
      </c>
      <c r="P67" t="n">
        <v>0</v>
      </c>
      <c r="Q67" t="n">
        <v>6</v>
      </c>
      <c r="R67" s="2" t="inlineStr">
        <is>
          <t>Garnlav
Lunglav
Rosenticka
Ullticka
Stor aspticka
Vedticka</t>
        </is>
      </c>
      <c r="S67">
        <f>HYPERLINK("https://klasma.github.io/Logging_2283/artfynd/A 39198-2023 artfynd.xlsx", "A 39198-2023")</f>
        <v/>
      </c>
      <c r="T67">
        <f>HYPERLINK("https://klasma.github.io/Logging_2283/kartor/A 39198-2023 karta.png", "A 39198-2023")</f>
        <v/>
      </c>
      <c r="U67">
        <f>HYPERLINK("https://klasma.github.io/Logging_2283/knärot/A 39198-2023 karta knärot.png", "A 39198-2023")</f>
        <v/>
      </c>
      <c r="V67">
        <f>HYPERLINK("https://klasma.github.io/Logging_2283/klagomål/A 39198-2023 FSC-klagomål.docx", "A 39198-2023")</f>
        <v/>
      </c>
      <c r="W67">
        <f>HYPERLINK("https://klasma.github.io/Logging_2283/klagomålsmail/A 39198-2023 FSC-klagomål mail.docx", "A 39198-2023")</f>
        <v/>
      </c>
      <c r="X67">
        <f>HYPERLINK("https://klasma.github.io/Logging_2283/tillsyn/A 39198-2023 tillsynsbegäran.docx", "A 39198-2023")</f>
        <v/>
      </c>
      <c r="Y67">
        <f>HYPERLINK("https://klasma.github.io/Logging_2283/tillsynsmail/A 39198-2023 tillsynsbegäran mail.docx", "A 39198-2023")</f>
        <v/>
      </c>
    </row>
    <row r="68" ht="15" customHeight="1">
      <c r="A68" t="inlineStr">
        <is>
          <t>A 40420-2023</t>
        </is>
      </c>
      <c r="B68" s="1" t="n">
        <v>45169</v>
      </c>
      <c r="C68" s="1" t="n">
        <v>45260</v>
      </c>
      <c r="D68" t="inlineStr">
        <is>
          <t>VÄSTERNORRLANDS LÄN</t>
        </is>
      </c>
      <c r="E68" t="inlineStr">
        <is>
          <t>SOLLEFTEÅ</t>
        </is>
      </c>
      <c r="F68" t="inlineStr">
        <is>
          <t>SCA</t>
        </is>
      </c>
      <c r="G68" t="n">
        <v>10</v>
      </c>
      <c r="H68" t="n">
        <v>2</v>
      </c>
      <c r="I68" t="n">
        <v>0</v>
      </c>
      <c r="J68" t="n">
        <v>3</v>
      </c>
      <c r="K68" t="n">
        <v>2</v>
      </c>
      <c r="L68" t="n">
        <v>0</v>
      </c>
      <c r="M68" t="n">
        <v>0</v>
      </c>
      <c r="N68" t="n">
        <v>0</v>
      </c>
      <c r="O68" t="n">
        <v>5</v>
      </c>
      <c r="P68" t="n">
        <v>2</v>
      </c>
      <c r="Q68" t="n">
        <v>6</v>
      </c>
      <c r="R68" s="2" t="inlineStr">
        <is>
          <t>Knärot
Rynkskinn
Lunglav
Rosenticka
Ullticka
Tjäder</t>
        </is>
      </c>
      <c r="S68">
        <f>HYPERLINK("https://klasma.github.io/Logging_2283/artfynd/A 40420-2023 artfynd.xlsx", "A 40420-2023")</f>
        <v/>
      </c>
      <c r="T68">
        <f>HYPERLINK("https://klasma.github.io/Logging_2283/kartor/A 40420-2023 karta.png", "A 40420-2023")</f>
        <v/>
      </c>
      <c r="U68">
        <f>HYPERLINK("https://klasma.github.io/Logging_2283/knärot/A 40420-2023 karta knärot.png", "A 40420-2023")</f>
        <v/>
      </c>
      <c r="V68">
        <f>HYPERLINK("https://klasma.github.io/Logging_2283/klagomål/A 40420-2023 FSC-klagomål.docx", "A 40420-2023")</f>
        <v/>
      </c>
      <c r="W68">
        <f>HYPERLINK("https://klasma.github.io/Logging_2283/klagomålsmail/A 40420-2023 FSC-klagomål mail.docx", "A 40420-2023")</f>
        <v/>
      </c>
      <c r="X68">
        <f>HYPERLINK("https://klasma.github.io/Logging_2283/tillsyn/A 40420-2023 tillsynsbegäran.docx", "A 40420-2023")</f>
        <v/>
      </c>
      <c r="Y68">
        <f>HYPERLINK("https://klasma.github.io/Logging_2283/tillsynsmail/A 40420-2023 tillsynsbegäran mail.docx", "A 40420-2023")</f>
        <v/>
      </c>
    </row>
    <row r="69" ht="15" customHeight="1">
      <c r="A69" t="inlineStr">
        <is>
          <t>A 40417-2023</t>
        </is>
      </c>
      <c r="B69" s="1" t="n">
        <v>45169</v>
      </c>
      <c r="C69" s="1" t="n">
        <v>45260</v>
      </c>
      <c r="D69" t="inlineStr">
        <is>
          <t>VÄSTERNORRLANDS LÄN</t>
        </is>
      </c>
      <c r="E69" t="inlineStr">
        <is>
          <t>SOLLEFTEÅ</t>
        </is>
      </c>
      <c r="F69" t="inlineStr">
        <is>
          <t>SCA</t>
        </is>
      </c>
      <c r="G69" t="n">
        <v>10.6</v>
      </c>
      <c r="H69" t="n">
        <v>2</v>
      </c>
      <c r="I69" t="n">
        <v>0</v>
      </c>
      <c r="J69" t="n">
        <v>4</v>
      </c>
      <c r="K69" t="n">
        <v>1</v>
      </c>
      <c r="L69" t="n">
        <v>0</v>
      </c>
      <c r="M69" t="n">
        <v>0</v>
      </c>
      <c r="N69" t="n">
        <v>0</v>
      </c>
      <c r="O69" t="n">
        <v>5</v>
      </c>
      <c r="P69" t="n">
        <v>1</v>
      </c>
      <c r="Q69" t="n">
        <v>6</v>
      </c>
      <c r="R69" s="2" t="inlineStr">
        <is>
          <t>Knärot
Kolflarnlav
Lunglav
Motaggsvamp
Mörk kolflarnlav
Tjäder</t>
        </is>
      </c>
      <c r="S69">
        <f>HYPERLINK("https://klasma.github.io/Logging_2283/artfynd/A 40417-2023 artfynd.xlsx", "A 40417-2023")</f>
        <v/>
      </c>
      <c r="T69">
        <f>HYPERLINK("https://klasma.github.io/Logging_2283/kartor/A 40417-2023 karta.png", "A 40417-2023")</f>
        <v/>
      </c>
      <c r="U69">
        <f>HYPERLINK("https://klasma.github.io/Logging_2283/knärot/A 40417-2023 karta knärot.png", "A 40417-2023")</f>
        <v/>
      </c>
      <c r="V69">
        <f>HYPERLINK("https://klasma.github.io/Logging_2283/klagomål/A 40417-2023 FSC-klagomål.docx", "A 40417-2023")</f>
        <v/>
      </c>
      <c r="W69">
        <f>HYPERLINK("https://klasma.github.io/Logging_2283/klagomålsmail/A 40417-2023 FSC-klagomål mail.docx", "A 40417-2023")</f>
        <v/>
      </c>
      <c r="X69">
        <f>HYPERLINK("https://klasma.github.io/Logging_2283/tillsyn/A 40417-2023 tillsynsbegäran.docx", "A 40417-2023")</f>
        <v/>
      </c>
      <c r="Y69">
        <f>HYPERLINK("https://klasma.github.io/Logging_2283/tillsynsmail/A 40417-2023 tillsynsbegäran mail.docx", "A 40417-2023")</f>
        <v/>
      </c>
    </row>
    <row r="70" ht="15" customHeight="1">
      <c r="A70" t="inlineStr">
        <is>
          <t>A 62051-2018</t>
        </is>
      </c>
      <c r="B70" s="1" t="n">
        <v>43416</v>
      </c>
      <c r="C70" s="1" t="n">
        <v>45260</v>
      </c>
      <c r="D70" t="inlineStr">
        <is>
          <t>VÄSTERNORRLANDS LÄN</t>
        </is>
      </c>
      <c r="E70" t="inlineStr">
        <is>
          <t>SOLLEFTEÅ</t>
        </is>
      </c>
      <c r="F70" t="inlineStr">
        <is>
          <t>Kyrkan</t>
        </is>
      </c>
      <c r="G70" t="n">
        <v>16.1</v>
      </c>
      <c r="H70" t="n">
        <v>1</v>
      </c>
      <c r="I70" t="n">
        <v>1</v>
      </c>
      <c r="J70" t="n">
        <v>4</v>
      </c>
      <c r="K70" t="n">
        <v>0</v>
      </c>
      <c r="L70" t="n">
        <v>0</v>
      </c>
      <c r="M70" t="n">
        <v>0</v>
      </c>
      <c r="N70" t="n">
        <v>0</v>
      </c>
      <c r="O70" t="n">
        <v>4</v>
      </c>
      <c r="P70" t="n">
        <v>0</v>
      </c>
      <c r="Q70" t="n">
        <v>5</v>
      </c>
      <c r="R70" s="2" t="inlineStr">
        <is>
          <t>Garnlav
Lunglav
Rosenticka
Tretåig hackspett
Vanlig flatbagge</t>
        </is>
      </c>
      <c r="S70">
        <f>HYPERLINK("https://klasma.github.io/Logging_2283/artfynd/A 62051-2018 artfynd.xlsx", "A 62051-2018")</f>
        <v/>
      </c>
      <c r="T70">
        <f>HYPERLINK("https://klasma.github.io/Logging_2283/kartor/A 62051-2018 karta.png", "A 62051-2018")</f>
        <v/>
      </c>
      <c r="V70">
        <f>HYPERLINK("https://klasma.github.io/Logging_2283/klagomål/A 62051-2018 FSC-klagomål.docx", "A 62051-2018")</f>
        <v/>
      </c>
      <c r="W70">
        <f>HYPERLINK("https://klasma.github.io/Logging_2283/klagomålsmail/A 62051-2018 FSC-klagomål mail.docx", "A 62051-2018")</f>
        <v/>
      </c>
      <c r="X70">
        <f>HYPERLINK("https://klasma.github.io/Logging_2283/tillsyn/A 62051-2018 tillsynsbegäran.docx", "A 62051-2018")</f>
        <v/>
      </c>
      <c r="Y70">
        <f>HYPERLINK("https://klasma.github.io/Logging_2283/tillsynsmail/A 62051-2018 tillsynsbegäran mail.docx", "A 62051-2018")</f>
        <v/>
      </c>
    </row>
    <row r="71" ht="15" customHeight="1">
      <c r="A71" t="inlineStr">
        <is>
          <t>A 68033-2018</t>
        </is>
      </c>
      <c r="B71" s="1" t="n">
        <v>43437</v>
      </c>
      <c r="C71" s="1" t="n">
        <v>45260</v>
      </c>
      <c r="D71" t="inlineStr">
        <is>
          <t>VÄSTERNORRLANDS LÄN</t>
        </is>
      </c>
      <c r="E71" t="inlineStr">
        <is>
          <t>SOLLEFTEÅ</t>
        </is>
      </c>
      <c r="F71" t="inlineStr">
        <is>
          <t>Holmen skog AB</t>
        </is>
      </c>
      <c r="G71" t="n">
        <v>7.5</v>
      </c>
      <c r="H71" t="n">
        <v>0</v>
      </c>
      <c r="I71" t="n">
        <v>1</v>
      </c>
      <c r="J71" t="n">
        <v>2</v>
      </c>
      <c r="K71" t="n">
        <v>1</v>
      </c>
      <c r="L71" t="n">
        <v>1</v>
      </c>
      <c r="M71" t="n">
        <v>0</v>
      </c>
      <c r="N71" t="n">
        <v>0</v>
      </c>
      <c r="O71" t="n">
        <v>4</v>
      </c>
      <c r="P71" t="n">
        <v>2</v>
      </c>
      <c r="Q71" t="n">
        <v>5</v>
      </c>
      <c r="R71" s="2" t="inlineStr">
        <is>
          <t>Isabellporing
Lappticka
Nordtagging
Tofsnålskinn
Vedticka</t>
        </is>
      </c>
      <c r="S71">
        <f>HYPERLINK("https://klasma.github.io/Logging_2283/artfynd/A 68033-2018 artfynd.xlsx", "A 68033-2018")</f>
        <v/>
      </c>
      <c r="T71">
        <f>HYPERLINK("https://klasma.github.io/Logging_2283/kartor/A 68033-2018 karta.png", "A 68033-2018")</f>
        <v/>
      </c>
      <c r="V71">
        <f>HYPERLINK("https://klasma.github.io/Logging_2283/klagomål/A 68033-2018 FSC-klagomål.docx", "A 68033-2018")</f>
        <v/>
      </c>
      <c r="W71">
        <f>HYPERLINK("https://klasma.github.io/Logging_2283/klagomålsmail/A 68033-2018 FSC-klagomål mail.docx", "A 68033-2018")</f>
        <v/>
      </c>
      <c r="X71">
        <f>HYPERLINK("https://klasma.github.io/Logging_2283/tillsyn/A 68033-2018 tillsynsbegäran.docx", "A 68033-2018")</f>
        <v/>
      </c>
      <c r="Y71">
        <f>HYPERLINK("https://klasma.github.io/Logging_2283/tillsynsmail/A 68033-2018 tillsynsbegäran mail.docx", "A 68033-2018")</f>
        <v/>
      </c>
    </row>
    <row r="72" ht="15" customHeight="1">
      <c r="A72" t="inlineStr">
        <is>
          <t>A 26633-2019</t>
        </is>
      </c>
      <c r="B72" s="1" t="n">
        <v>43612</v>
      </c>
      <c r="C72" s="1" t="n">
        <v>45260</v>
      </c>
      <c r="D72" t="inlineStr">
        <is>
          <t>VÄSTERNORRLANDS LÄN</t>
        </is>
      </c>
      <c r="E72" t="inlineStr">
        <is>
          <t>SOLLEFTEÅ</t>
        </is>
      </c>
      <c r="F72" t="inlineStr">
        <is>
          <t>SCA</t>
        </is>
      </c>
      <c r="G72" t="n">
        <v>20.5</v>
      </c>
      <c r="H72" t="n">
        <v>1</v>
      </c>
      <c r="I72" t="n">
        <v>1</v>
      </c>
      <c r="J72" t="n">
        <v>4</v>
      </c>
      <c r="K72" t="n">
        <v>0</v>
      </c>
      <c r="L72" t="n">
        <v>0</v>
      </c>
      <c r="M72" t="n">
        <v>0</v>
      </c>
      <c r="N72" t="n">
        <v>0</v>
      </c>
      <c r="O72" t="n">
        <v>4</v>
      </c>
      <c r="P72" t="n">
        <v>0</v>
      </c>
      <c r="Q72" t="n">
        <v>5</v>
      </c>
      <c r="R72" s="2" t="inlineStr">
        <is>
          <t>Grantaggsvamp
Knölgrynna
Tallriska
Tretåig hackspett
Dropptaggsvamp</t>
        </is>
      </c>
      <c r="S72">
        <f>HYPERLINK("https://klasma.github.io/Logging_2283/artfynd/A 26633-2019 artfynd.xlsx", "A 26633-2019")</f>
        <v/>
      </c>
      <c r="T72">
        <f>HYPERLINK("https://klasma.github.io/Logging_2283/kartor/A 26633-2019 karta.png", "A 26633-2019")</f>
        <v/>
      </c>
      <c r="V72">
        <f>HYPERLINK("https://klasma.github.io/Logging_2283/klagomål/A 26633-2019 FSC-klagomål.docx", "A 26633-2019")</f>
        <v/>
      </c>
      <c r="W72">
        <f>HYPERLINK("https://klasma.github.io/Logging_2283/klagomålsmail/A 26633-2019 FSC-klagomål mail.docx", "A 26633-2019")</f>
        <v/>
      </c>
      <c r="X72">
        <f>HYPERLINK("https://klasma.github.io/Logging_2283/tillsyn/A 26633-2019 tillsynsbegäran.docx", "A 26633-2019")</f>
        <v/>
      </c>
      <c r="Y72">
        <f>HYPERLINK("https://klasma.github.io/Logging_2283/tillsynsmail/A 26633-2019 tillsynsbegäran mail.docx", "A 26633-2019")</f>
        <v/>
      </c>
    </row>
    <row r="73" ht="15" customHeight="1">
      <c r="A73" t="inlineStr">
        <is>
          <t>A 41785-2019</t>
        </is>
      </c>
      <c r="B73" s="1" t="n">
        <v>43699</v>
      </c>
      <c r="C73" s="1" t="n">
        <v>45260</v>
      </c>
      <c r="D73" t="inlineStr">
        <is>
          <t>VÄSTERNORRLANDS LÄN</t>
        </is>
      </c>
      <c r="E73" t="inlineStr">
        <is>
          <t>SOLLEFTEÅ</t>
        </is>
      </c>
      <c r="F73" t="inlineStr">
        <is>
          <t>SCA</t>
        </is>
      </c>
      <c r="G73" t="n">
        <v>3.1</v>
      </c>
      <c r="H73" t="n">
        <v>0</v>
      </c>
      <c r="I73" t="n">
        <v>1</v>
      </c>
      <c r="J73" t="n">
        <v>3</v>
      </c>
      <c r="K73" t="n">
        <v>1</v>
      </c>
      <c r="L73" t="n">
        <v>0</v>
      </c>
      <c r="M73" t="n">
        <v>0</v>
      </c>
      <c r="N73" t="n">
        <v>0</v>
      </c>
      <c r="O73" t="n">
        <v>4</v>
      </c>
      <c r="P73" t="n">
        <v>1</v>
      </c>
      <c r="Q73" t="n">
        <v>5</v>
      </c>
      <c r="R73" s="2" t="inlineStr">
        <is>
          <t>Rynkskinn
Rosenticka
Ullticka
Violmussling
Stor aspticka</t>
        </is>
      </c>
      <c r="S73">
        <f>HYPERLINK("https://klasma.github.io/Logging_2283/artfynd/A 41785-2019 artfynd.xlsx", "A 41785-2019")</f>
        <v/>
      </c>
      <c r="T73">
        <f>HYPERLINK("https://klasma.github.io/Logging_2283/kartor/A 41785-2019 karta.png", "A 41785-2019")</f>
        <v/>
      </c>
      <c r="V73">
        <f>HYPERLINK("https://klasma.github.io/Logging_2283/klagomål/A 41785-2019 FSC-klagomål.docx", "A 41785-2019")</f>
        <v/>
      </c>
      <c r="W73">
        <f>HYPERLINK("https://klasma.github.io/Logging_2283/klagomålsmail/A 41785-2019 FSC-klagomål mail.docx", "A 41785-2019")</f>
        <v/>
      </c>
      <c r="X73">
        <f>HYPERLINK("https://klasma.github.io/Logging_2283/tillsyn/A 41785-2019 tillsynsbegäran.docx", "A 41785-2019")</f>
        <v/>
      </c>
      <c r="Y73">
        <f>HYPERLINK("https://klasma.github.io/Logging_2283/tillsynsmail/A 41785-2019 tillsynsbegäran mail.docx", "A 41785-2019")</f>
        <v/>
      </c>
    </row>
    <row r="74" ht="15" customHeight="1">
      <c r="A74" t="inlineStr">
        <is>
          <t>A 57076-2020</t>
        </is>
      </c>
      <c r="B74" s="1" t="n">
        <v>44138</v>
      </c>
      <c r="C74" s="1" t="n">
        <v>45260</v>
      </c>
      <c r="D74" t="inlineStr">
        <is>
          <t>VÄSTERNORRLANDS LÄN</t>
        </is>
      </c>
      <c r="E74" t="inlineStr">
        <is>
          <t>SOLLEFTEÅ</t>
        </is>
      </c>
      <c r="G74" t="n">
        <v>3.8</v>
      </c>
      <c r="H74" t="n">
        <v>3</v>
      </c>
      <c r="I74" t="n">
        <v>1</v>
      </c>
      <c r="J74" t="n">
        <v>3</v>
      </c>
      <c r="K74" t="n">
        <v>0</v>
      </c>
      <c r="L74" t="n">
        <v>0</v>
      </c>
      <c r="M74" t="n">
        <v>0</v>
      </c>
      <c r="N74" t="n">
        <v>0</v>
      </c>
      <c r="O74" t="n">
        <v>3</v>
      </c>
      <c r="P74" t="n">
        <v>0</v>
      </c>
      <c r="Q74" t="n">
        <v>5</v>
      </c>
      <c r="R74" s="2" t="inlineStr">
        <is>
          <t>Kråka
Nipsippa
Rosenticka
Strutbräken
Revlummer</t>
        </is>
      </c>
      <c r="S74">
        <f>HYPERLINK("https://klasma.github.io/Logging_2283/artfynd/A 57076-2020 artfynd.xlsx", "A 57076-2020")</f>
        <v/>
      </c>
      <c r="T74">
        <f>HYPERLINK("https://klasma.github.io/Logging_2283/kartor/A 57076-2020 karta.png", "A 57076-2020")</f>
        <v/>
      </c>
      <c r="V74">
        <f>HYPERLINK("https://klasma.github.io/Logging_2283/klagomål/A 57076-2020 FSC-klagomål.docx", "A 57076-2020")</f>
        <v/>
      </c>
      <c r="W74">
        <f>HYPERLINK("https://klasma.github.io/Logging_2283/klagomålsmail/A 57076-2020 FSC-klagomål mail.docx", "A 57076-2020")</f>
        <v/>
      </c>
      <c r="X74">
        <f>HYPERLINK("https://klasma.github.io/Logging_2283/tillsyn/A 57076-2020 tillsynsbegäran.docx", "A 57076-2020")</f>
        <v/>
      </c>
      <c r="Y74">
        <f>HYPERLINK("https://klasma.github.io/Logging_2283/tillsynsmail/A 57076-2020 tillsynsbegäran mail.docx", "A 57076-2020")</f>
        <v/>
      </c>
    </row>
    <row r="75" ht="15" customHeight="1">
      <c r="A75" t="inlineStr">
        <is>
          <t>A 59318-2021</t>
        </is>
      </c>
      <c r="B75" s="1" t="n">
        <v>44491</v>
      </c>
      <c r="C75" s="1" t="n">
        <v>45260</v>
      </c>
      <c r="D75" t="inlineStr">
        <is>
          <t>VÄSTERNORRLANDS LÄN</t>
        </is>
      </c>
      <c r="E75" t="inlineStr">
        <is>
          <t>SOLLEFTEÅ</t>
        </is>
      </c>
      <c r="G75" t="n">
        <v>1.2</v>
      </c>
      <c r="H75" t="n">
        <v>2</v>
      </c>
      <c r="I75" t="n">
        <v>1</v>
      </c>
      <c r="J75" t="n">
        <v>4</v>
      </c>
      <c r="K75" t="n">
        <v>0</v>
      </c>
      <c r="L75" t="n">
        <v>0</v>
      </c>
      <c r="M75" t="n">
        <v>0</v>
      </c>
      <c r="N75" t="n">
        <v>0</v>
      </c>
      <c r="O75" t="n">
        <v>4</v>
      </c>
      <c r="P75" t="n">
        <v>0</v>
      </c>
      <c r="Q75" t="n">
        <v>5</v>
      </c>
      <c r="R75" s="2" t="inlineStr">
        <is>
          <t>Gammelgransskål
Garnlav
Spillkråka
Talltita
Skinnlav</t>
        </is>
      </c>
      <c r="S75">
        <f>HYPERLINK("https://klasma.github.io/Logging_2283/artfynd/A 59318-2021 artfynd.xlsx", "A 59318-2021")</f>
        <v/>
      </c>
      <c r="T75">
        <f>HYPERLINK("https://klasma.github.io/Logging_2283/kartor/A 59318-2021 karta.png", "A 59318-2021")</f>
        <v/>
      </c>
      <c r="V75">
        <f>HYPERLINK("https://klasma.github.io/Logging_2283/klagomål/A 59318-2021 FSC-klagomål.docx", "A 59318-2021")</f>
        <v/>
      </c>
      <c r="W75">
        <f>HYPERLINK("https://klasma.github.io/Logging_2283/klagomålsmail/A 59318-2021 FSC-klagomål mail.docx", "A 59318-2021")</f>
        <v/>
      </c>
      <c r="X75">
        <f>HYPERLINK("https://klasma.github.io/Logging_2283/tillsyn/A 59318-2021 tillsynsbegäran.docx", "A 59318-2021")</f>
        <v/>
      </c>
      <c r="Y75">
        <f>HYPERLINK("https://klasma.github.io/Logging_2283/tillsynsmail/A 59318-2021 tillsynsbegäran mail.docx", "A 59318-2021")</f>
        <v/>
      </c>
    </row>
    <row r="76" ht="15" customHeight="1">
      <c r="A76" t="inlineStr">
        <is>
          <t>A 68354-2021</t>
        </is>
      </c>
      <c r="B76" s="1" t="n">
        <v>44528</v>
      </c>
      <c r="C76" s="1" t="n">
        <v>45260</v>
      </c>
      <c r="D76" t="inlineStr">
        <is>
          <t>VÄSTERNORRLANDS LÄN</t>
        </is>
      </c>
      <c r="E76" t="inlineStr">
        <is>
          <t>SOLLEFTEÅ</t>
        </is>
      </c>
      <c r="G76" t="n">
        <v>3.3</v>
      </c>
      <c r="H76" t="n">
        <v>2</v>
      </c>
      <c r="I76" t="n">
        <v>1</v>
      </c>
      <c r="J76" t="n">
        <v>4</v>
      </c>
      <c r="K76" t="n">
        <v>0</v>
      </c>
      <c r="L76" t="n">
        <v>0</v>
      </c>
      <c r="M76" t="n">
        <v>0</v>
      </c>
      <c r="N76" t="n">
        <v>0</v>
      </c>
      <c r="O76" t="n">
        <v>4</v>
      </c>
      <c r="P76" t="n">
        <v>0</v>
      </c>
      <c r="Q76" t="n">
        <v>5</v>
      </c>
      <c r="R76" s="2" t="inlineStr">
        <is>
          <t>Rosenticka
Spillkråka
Talltita
Ullticka
Vanlig flatbagge</t>
        </is>
      </c>
      <c r="S76">
        <f>HYPERLINK("https://klasma.github.io/Logging_2283/artfynd/A 68354-2021 artfynd.xlsx", "A 68354-2021")</f>
        <v/>
      </c>
      <c r="T76">
        <f>HYPERLINK("https://klasma.github.io/Logging_2283/kartor/A 68354-2021 karta.png", "A 68354-2021")</f>
        <v/>
      </c>
      <c r="V76">
        <f>HYPERLINK("https://klasma.github.io/Logging_2283/klagomål/A 68354-2021 FSC-klagomål.docx", "A 68354-2021")</f>
        <v/>
      </c>
      <c r="W76">
        <f>HYPERLINK("https://klasma.github.io/Logging_2283/klagomålsmail/A 68354-2021 FSC-klagomål mail.docx", "A 68354-2021")</f>
        <v/>
      </c>
      <c r="X76">
        <f>HYPERLINK("https://klasma.github.io/Logging_2283/tillsyn/A 68354-2021 tillsynsbegäran.docx", "A 68354-2021")</f>
        <v/>
      </c>
      <c r="Y76">
        <f>HYPERLINK("https://klasma.github.io/Logging_2283/tillsynsmail/A 68354-2021 tillsynsbegäran mail.docx", "A 68354-2021")</f>
        <v/>
      </c>
    </row>
    <row r="77" ht="15" customHeight="1">
      <c r="A77" t="inlineStr">
        <is>
          <t>A 10400-2022</t>
        </is>
      </c>
      <c r="B77" s="1" t="n">
        <v>44623</v>
      </c>
      <c r="C77" s="1" t="n">
        <v>45260</v>
      </c>
      <c r="D77" t="inlineStr">
        <is>
          <t>VÄSTERNORRLANDS LÄN</t>
        </is>
      </c>
      <c r="E77" t="inlineStr">
        <is>
          <t>SOLLEFTEÅ</t>
        </is>
      </c>
      <c r="G77" t="n">
        <v>25.8</v>
      </c>
      <c r="H77" t="n">
        <v>2</v>
      </c>
      <c r="I77" t="n">
        <v>1</v>
      </c>
      <c r="J77" t="n">
        <v>4</v>
      </c>
      <c r="K77" t="n">
        <v>0</v>
      </c>
      <c r="L77" t="n">
        <v>0</v>
      </c>
      <c r="M77" t="n">
        <v>0</v>
      </c>
      <c r="N77" t="n">
        <v>0</v>
      </c>
      <c r="O77" t="n">
        <v>4</v>
      </c>
      <c r="P77" t="n">
        <v>0</v>
      </c>
      <c r="Q77" t="n">
        <v>5</v>
      </c>
      <c r="R77" s="2" t="inlineStr">
        <is>
          <t>Lunglav
Spillkråka
Tretåig hackspett
Ullticka
Korallblylav</t>
        </is>
      </c>
      <c r="S77">
        <f>HYPERLINK("https://klasma.github.io/Logging_2283/artfynd/A 10400-2022 artfynd.xlsx", "A 10400-2022")</f>
        <v/>
      </c>
      <c r="T77">
        <f>HYPERLINK("https://klasma.github.io/Logging_2283/kartor/A 10400-2022 karta.png", "A 10400-2022")</f>
        <v/>
      </c>
      <c r="V77">
        <f>HYPERLINK("https://klasma.github.io/Logging_2283/klagomål/A 10400-2022 FSC-klagomål.docx", "A 10400-2022")</f>
        <v/>
      </c>
      <c r="W77">
        <f>HYPERLINK("https://klasma.github.io/Logging_2283/klagomålsmail/A 10400-2022 FSC-klagomål mail.docx", "A 10400-2022")</f>
        <v/>
      </c>
      <c r="X77">
        <f>HYPERLINK("https://klasma.github.io/Logging_2283/tillsyn/A 10400-2022 tillsynsbegäran.docx", "A 10400-2022")</f>
        <v/>
      </c>
      <c r="Y77">
        <f>HYPERLINK("https://klasma.github.io/Logging_2283/tillsynsmail/A 10400-2022 tillsynsbegäran mail.docx", "A 10400-2022")</f>
        <v/>
      </c>
    </row>
    <row r="78" ht="15" customHeight="1">
      <c r="A78" t="inlineStr">
        <is>
          <t>A 11490-2022</t>
        </is>
      </c>
      <c r="B78" s="1" t="n">
        <v>44630</v>
      </c>
      <c r="C78" s="1" t="n">
        <v>45260</v>
      </c>
      <c r="D78" t="inlineStr">
        <is>
          <t>VÄSTERNORRLANDS LÄN</t>
        </is>
      </c>
      <c r="E78" t="inlineStr">
        <is>
          <t>SOLLEFTEÅ</t>
        </is>
      </c>
      <c r="F78" t="inlineStr">
        <is>
          <t>SCA</t>
        </is>
      </c>
      <c r="G78" t="n">
        <v>2</v>
      </c>
      <c r="H78" t="n">
        <v>2</v>
      </c>
      <c r="I78" t="n">
        <v>0</v>
      </c>
      <c r="J78" t="n">
        <v>5</v>
      </c>
      <c r="K78" t="n">
        <v>0</v>
      </c>
      <c r="L78" t="n">
        <v>0</v>
      </c>
      <c r="M78" t="n">
        <v>0</v>
      </c>
      <c r="N78" t="n">
        <v>0</v>
      </c>
      <c r="O78" t="n">
        <v>5</v>
      </c>
      <c r="P78" t="n">
        <v>0</v>
      </c>
      <c r="Q78" t="n">
        <v>5</v>
      </c>
      <c r="R78" s="2" t="inlineStr">
        <is>
          <t>Garnlav
Lunglav
Spillkråka
Tretåig hackspett
Ullticka</t>
        </is>
      </c>
      <c r="S78">
        <f>HYPERLINK("https://klasma.github.io/Logging_2283/artfynd/A 11490-2022 artfynd.xlsx", "A 11490-2022")</f>
        <v/>
      </c>
      <c r="T78">
        <f>HYPERLINK("https://klasma.github.io/Logging_2283/kartor/A 11490-2022 karta.png", "A 11490-2022")</f>
        <v/>
      </c>
      <c r="V78">
        <f>HYPERLINK("https://klasma.github.io/Logging_2283/klagomål/A 11490-2022 FSC-klagomål.docx", "A 11490-2022")</f>
        <v/>
      </c>
      <c r="W78">
        <f>HYPERLINK("https://klasma.github.io/Logging_2283/klagomålsmail/A 11490-2022 FSC-klagomål mail.docx", "A 11490-2022")</f>
        <v/>
      </c>
      <c r="X78">
        <f>HYPERLINK("https://klasma.github.io/Logging_2283/tillsyn/A 11490-2022 tillsynsbegäran.docx", "A 11490-2022")</f>
        <v/>
      </c>
      <c r="Y78">
        <f>HYPERLINK("https://klasma.github.io/Logging_2283/tillsynsmail/A 11490-2022 tillsynsbegäran mail.docx", "A 11490-2022")</f>
        <v/>
      </c>
    </row>
    <row r="79" ht="15" customHeight="1">
      <c r="A79" t="inlineStr">
        <is>
          <t>A 20949-2022</t>
        </is>
      </c>
      <c r="B79" s="1" t="n">
        <v>44702</v>
      </c>
      <c r="C79" s="1" t="n">
        <v>45260</v>
      </c>
      <c r="D79" t="inlineStr">
        <is>
          <t>VÄSTERNORRLANDS LÄN</t>
        </is>
      </c>
      <c r="E79" t="inlineStr">
        <is>
          <t>SOLLEFTEÅ</t>
        </is>
      </c>
      <c r="F79" t="inlineStr">
        <is>
          <t>SCA</t>
        </is>
      </c>
      <c r="G79" t="n">
        <v>2.2</v>
      </c>
      <c r="H79" t="n">
        <v>1</v>
      </c>
      <c r="I79" t="n">
        <v>0</v>
      </c>
      <c r="J79" t="n">
        <v>5</v>
      </c>
      <c r="K79" t="n">
        <v>0</v>
      </c>
      <c r="L79" t="n">
        <v>0</v>
      </c>
      <c r="M79" t="n">
        <v>0</v>
      </c>
      <c r="N79" t="n">
        <v>0</v>
      </c>
      <c r="O79" t="n">
        <v>5</v>
      </c>
      <c r="P79" t="n">
        <v>0</v>
      </c>
      <c r="Q79" t="n">
        <v>5</v>
      </c>
      <c r="R79" s="2" t="inlineStr">
        <is>
          <t>Garnlav
Kolflarnlav
Lunglav
Tretåig hackspett
Vedskivlav</t>
        </is>
      </c>
      <c r="S79">
        <f>HYPERLINK("https://klasma.github.io/Logging_2283/artfynd/A 20949-2022 artfynd.xlsx", "A 20949-2022")</f>
        <v/>
      </c>
      <c r="T79">
        <f>HYPERLINK("https://klasma.github.io/Logging_2283/kartor/A 20949-2022 karta.png", "A 20949-2022")</f>
        <v/>
      </c>
      <c r="V79">
        <f>HYPERLINK("https://klasma.github.io/Logging_2283/klagomål/A 20949-2022 FSC-klagomål.docx", "A 20949-2022")</f>
        <v/>
      </c>
      <c r="W79">
        <f>HYPERLINK("https://klasma.github.io/Logging_2283/klagomålsmail/A 20949-2022 FSC-klagomål mail.docx", "A 20949-2022")</f>
        <v/>
      </c>
      <c r="X79">
        <f>HYPERLINK("https://klasma.github.io/Logging_2283/tillsyn/A 20949-2022 tillsynsbegäran.docx", "A 20949-2022")</f>
        <v/>
      </c>
      <c r="Y79">
        <f>HYPERLINK("https://klasma.github.io/Logging_2283/tillsynsmail/A 20949-2022 tillsynsbegäran mail.docx", "A 20949-2022")</f>
        <v/>
      </c>
    </row>
    <row r="80" ht="15" customHeight="1">
      <c r="A80" t="inlineStr">
        <is>
          <t>A 41169-2022</t>
        </is>
      </c>
      <c r="B80" s="1" t="n">
        <v>44825</v>
      </c>
      <c r="C80" s="1" t="n">
        <v>45260</v>
      </c>
      <c r="D80" t="inlineStr">
        <is>
          <t>VÄSTERNORRLANDS LÄN</t>
        </is>
      </c>
      <c r="E80" t="inlineStr">
        <is>
          <t>SOLLEFTEÅ</t>
        </is>
      </c>
      <c r="F80" t="inlineStr">
        <is>
          <t>SCA</t>
        </is>
      </c>
      <c r="G80" t="n">
        <v>1.8</v>
      </c>
      <c r="H80" t="n">
        <v>2</v>
      </c>
      <c r="I80" t="n">
        <v>1</v>
      </c>
      <c r="J80" t="n">
        <v>4</v>
      </c>
      <c r="K80" t="n">
        <v>0</v>
      </c>
      <c r="L80" t="n">
        <v>0</v>
      </c>
      <c r="M80" t="n">
        <v>0</v>
      </c>
      <c r="N80" t="n">
        <v>0</v>
      </c>
      <c r="O80" t="n">
        <v>4</v>
      </c>
      <c r="P80" t="n">
        <v>0</v>
      </c>
      <c r="Q80" t="n">
        <v>5</v>
      </c>
      <c r="R80" s="2" t="inlineStr">
        <is>
          <t>Spillkråka
Tretåig hackspett
Ullticka
Vedskivlav
Vedticka</t>
        </is>
      </c>
      <c r="S80">
        <f>HYPERLINK("https://klasma.github.io/Logging_2283/artfynd/A 41169-2022 artfynd.xlsx", "A 41169-2022")</f>
        <v/>
      </c>
      <c r="T80">
        <f>HYPERLINK("https://klasma.github.io/Logging_2283/kartor/A 41169-2022 karta.png", "A 41169-2022")</f>
        <v/>
      </c>
      <c r="V80">
        <f>HYPERLINK("https://klasma.github.io/Logging_2283/klagomål/A 41169-2022 FSC-klagomål.docx", "A 41169-2022")</f>
        <v/>
      </c>
      <c r="W80">
        <f>HYPERLINK("https://klasma.github.io/Logging_2283/klagomålsmail/A 41169-2022 FSC-klagomål mail.docx", "A 41169-2022")</f>
        <v/>
      </c>
      <c r="X80">
        <f>HYPERLINK("https://klasma.github.io/Logging_2283/tillsyn/A 41169-2022 tillsynsbegäran.docx", "A 41169-2022")</f>
        <v/>
      </c>
      <c r="Y80">
        <f>HYPERLINK("https://klasma.github.io/Logging_2283/tillsynsmail/A 41169-2022 tillsynsbegäran mail.docx", "A 41169-2022")</f>
        <v/>
      </c>
    </row>
    <row r="81" ht="15" customHeight="1">
      <c r="A81" t="inlineStr">
        <is>
          <t>A 81-2023</t>
        </is>
      </c>
      <c r="B81" s="1" t="n">
        <v>44920</v>
      </c>
      <c r="C81" s="1" t="n">
        <v>45260</v>
      </c>
      <c r="D81" t="inlineStr">
        <is>
          <t>VÄSTERNORRLANDS LÄN</t>
        </is>
      </c>
      <c r="E81" t="inlineStr">
        <is>
          <t>SOLLEFTEÅ</t>
        </is>
      </c>
      <c r="G81" t="n">
        <v>20</v>
      </c>
      <c r="H81" t="n">
        <v>2</v>
      </c>
      <c r="I81" t="n">
        <v>1</v>
      </c>
      <c r="J81" t="n">
        <v>3</v>
      </c>
      <c r="K81" t="n">
        <v>1</v>
      </c>
      <c r="L81" t="n">
        <v>0</v>
      </c>
      <c r="M81" t="n">
        <v>0</v>
      </c>
      <c r="N81" t="n">
        <v>0</v>
      </c>
      <c r="O81" t="n">
        <v>4</v>
      </c>
      <c r="P81" t="n">
        <v>1</v>
      </c>
      <c r="Q81" t="n">
        <v>5</v>
      </c>
      <c r="R81" s="2" t="inlineStr">
        <is>
          <t>Knärot
Garnlav
Lunglav
Talltita
Luddlav</t>
        </is>
      </c>
      <c r="S81">
        <f>HYPERLINK("https://klasma.github.io/Logging_2283/artfynd/A 81-2023 artfynd.xlsx", "A 81-2023")</f>
        <v/>
      </c>
      <c r="T81">
        <f>HYPERLINK("https://klasma.github.io/Logging_2283/kartor/A 81-2023 karta.png", "A 81-2023")</f>
        <v/>
      </c>
      <c r="U81">
        <f>HYPERLINK("https://klasma.github.io/Logging_2283/knärot/A 81-2023 karta knärot.png", "A 81-2023")</f>
        <v/>
      </c>
      <c r="V81">
        <f>HYPERLINK("https://klasma.github.io/Logging_2283/klagomål/A 81-2023 FSC-klagomål.docx", "A 81-2023")</f>
        <v/>
      </c>
      <c r="W81">
        <f>HYPERLINK("https://klasma.github.io/Logging_2283/klagomålsmail/A 81-2023 FSC-klagomål mail.docx", "A 81-2023")</f>
        <v/>
      </c>
      <c r="X81">
        <f>HYPERLINK("https://klasma.github.io/Logging_2283/tillsyn/A 81-2023 tillsynsbegäran.docx", "A 81-2023")</f>
        <v/>
      </c>
      <c r="Y81">
        <f>HYPERLINK("https://klasma.github.io/Logging_2283/tillsynsmail/A 81-2023 tillsynsbegäran mail.docx", "A 81-2023")</f>
        <v/>
      </c>
    </row>
    <row r="82" ht="15" customHeight="1">
      <c r="A82" t="inlineStr">
        <is>
          <t>A 14079-2023</t>
        </is>
      </c>
      <c r="B82" s="1" t="n">
        <v>45009</v>
      </c>
      <c r="C82" s="1" t="n">
        <v>45260</v>
      </c>
      <c r="D82" t="inlineStr">
        <is>
          <t>VÄSTERNORRLANDS LÄN</t>
        </is>
      </c>
      <c r="E82" t="inlineStr">
        <is>
          <t>SOLLEFTEÅ</t>
        </is>
      </c>
      <c r="F82" t="inlineStr">
        <is>
          <t>SCA</t>
        </is>
      </c>
      <c r="G82" t="n">
        <v>9</v>
      </c>
      <c r="H82" t="n">
        <v>0</v>
      </c>
      <c r="I82" t="n">
        <v>0</v>
      </c>
      <c r="J82" t="n">
        <v>5</v>
      </c>
      <c r="K82" t="n">
        <v>0</v>
      </c>
      <c r="L82" t="n">
        <v>0</v>
      </c>
      <c r="M82" t="n">
        <v>0</v>
      </c>
      <c r="N82" t="n">
        <v>0</v>
      </c>
      <c r="O82" t="n">
        <v>5</v>
      </c>
      <c r="P82" t="n">
        <v>0</v>
      </c>
      <c r="Q82" t="n">
        <v>5</v>
      </c>
      <c r="R82" s="2" t="inlineStr">
        <is>
          <t>Gammelgransskål
Garnlav
Ullticka
Vedskivlav
Vedtrappmossa</t>
        </is>
      </c>
      <c r="S82">
        <f>HYPERLINK("https://klasma.github.io/Logging_2283/artfynd/A 14079-2023 artfynd.xlsx", "A 14079-2023")</f>
        <v/>
      </c>
      <c r="T82">
        <f>HYPERLINK("https://klasma.github.io/Logging_2283/kartor/A 14079-2023 karta.png", "A 14079-2023")</f>
        <v/>
      </c>
      <c r="V82">
        <f>HYPERLINK("https://klasma.github.io/Logging_2283/klagomål/A 14079-2023 FSC-klagomål.docx", "A 14079-2023")</f>
        <v/>
      </c>
      <c r="W82">
        <f>HYPERLINK("https://klasma.github.io/Logging_2283/klagomålsmail/A 14079-2023 FSC-klagomål mail.docx", "A 14079-2023")</f>
        <v/>
      </c>
      <c r="X82">
        <f>HYPERLINK("https://klasma.github.io/Logging_2283/tillsyn/A 14079-2023 tillsynsbegäran.docx", "A 14079-2023")</f>
        <v/>
      </c>
      <c r="Y82">
        <f>HYPERLINK("https://klasma.github.io/Logging_2283/tillsynsmail/A 14079-2023 tillsynsbegäran mail.docx", "A 14079-2023")</f>
        <v/>
      </c>
    </row>
    <row r="83" ht="15" customHeight="1">
      <c r="A83" t="inlineStr">
        <is>
          <t>A 18163-2023</t>
        </is>
      </c>
      <c r="B83" s="1" t="n">
        <v>45040</v>
      </c>
      <c r="C83" s="1" t="n">
        <v>45260</v>
      </c>
      <c r="D83" t="inlineStr">
        <is>
          <t>VÄSTERNORRLANDS LÄN</t>
        </is>
      </c>
      <c r="E83" t="inlineStr">
        <is>
          <t>SOLLEFTEÅ</t>
        </is>
      </c>
      <c r="F83" t="inlineStr">
        <is>
          <t>SCA</t>
        </is>
      </c>
      <c r="G83" t="n">
        <v>5.2</v>
      </c>
      <c r="H83" t="n">
        <v>1</v>
      </c>
      <c r="I83" t="n">
        <v>0</v>
      </c>
      <c r="J83" t="n">
        <v>5</v>
      </c>
      <c r="K83" t="n">
        <v>0</v>
      </c>
      <c r="L83" t="n">
        <v>0</v>
      </c>
      <c r="M83" t="n">
        <v>0</v>
      </c>
      <c r="N83" t="n">
        <v>0</v>
      </c>
      <c r="O83" t="n">
        <v>5</v>
      </c>
      <c r="P83" t="n">
        <v>0</v>
      </c>
      <c r="Q83" t="n">
        <v>5</v>
      </c>
      <c r="R83" s="2" t="inlineStr">
        <is>
          <t>Garnlav
Granticka
Kolflarnlav
Spillkråka
Ullticka</t>
        </is>
      </c>
      <c r="S83">
        <f>HYPERLINK("https://klasma.github.io/Logging_2283/artfynd/A 18163-2023 artfynd.xlsx", "A 18163-2023")</f>
        <v/>
      </c>
      <c r="T83">
        <f>HYPERLINK("https://klasma.github.io/Logging_2283/kartor/A 18163-2023 karta.png", "A 18163-2023")</f>
        <v/>
      </c>
      <c r="V83">
        <f>HYPERLINK("https://klasma.github.io/Logging_2283/klagomål/A 18163-2023 FSC-klagomål.docx", "A 18163-2023")</f>
        <v/>
      </c>
      <c r="W83">
        <f>HYPERLINK("https://klasma.github.io/Logging_2283/klagomålsmail/A 18163-2023 FSC-klagomål mail.docx", "A 18163-2023")</f>
        <v/>
      </c>
      <c r="X83">
        <f>HYPERLINK("https://klasma.github.io/Logging_2283/tillsyn/A 18163-2023 tillsynsbegäran.docx", "A 18163-2023")</f>
        <v/>
      </c>
      <c r="Y83">
        <f>HYPERLINK("https://klasma.github.io/Logging_2283/tillsynsmail/A 18163-2023 tillsynsbegäran mail.docx", "A 18163-2023")</f>
        <v/>
      </c>
    </row>
    <row r="84" ht="15" customHeight="1">
      <c r="A84" t="inlineStr">
        <is>
          <t>A 27675-2023</t>
        </is>
      </c>
      <c r="B84" s="1" t="n">
        <v>45097</v>
      </c>
      <c r="C84" s="1" t="n">
        <v>45260</v>
      </c>
      <c r="D84" t="inlineStr">
        <is>
          <t>VÄSTERNORRLANDS LÄN</t>
        </is>
      </c>
      <c r="E84" t="inlineStr">
        <is>
          <t>SOLLEFTEÅ</t>
        </is>
      </c>
      <c r="G84" t="n">
        <v>4.7</v>
      </c>
      <c r="H84" t="n">
        <v>1</v>
      </c>
      <c r="I84" t="n">
        <v>1</v>
      </c>
      <c r="J84" t="n">
        <v>3</v>
      </c>
      <c r="K84" t="n">
        <v>1</v>
      </c>
      <c r="L84" t="n">
        <v>0</v>
      </c>
      <c r="M84" t="n">
        <v>0</v>
      </c>
      <c r="N84" t="n">
        <v>0</v>
      </c>
      <c r="O84" t="n">
        <v>4</v>
      </c>
      <c r="P84" t="n">
        <v>1</v>
      </c>
      <c r="Q84" t="n">
        <v>5</v>
      </c>
      <c r="R84" s="2" t="inlineStr">
        <is>
          <t>Knärot
Garnlav
Lunglav
Ullticka
Stuplav</t>
        </is>
      </c>
      <c r="S84">
        <f>HYPERLINK("https://klasma.github.io/Logging_2283/artfynd/A 27675-2023 artfynd.xlsx", "A 27675-2023")</f>
        <v/>
      </c>
      <c r="T84">
        <f>HYPERLINK("https://klasma.github.io/Logging_2283/kartor/A 27675-2023 karta.png", "A 27675-2023")</f>
        <v/>
      </c>
      <c r="U84">
        <f>HYPERLINK("https://klasma.github.io/Logging_2283/knärot/A 27675-2023 karta knärot.png", "A 27675-2023")</f>
        <v/>
      </c>
      <c r="V84">
        <f>HYPERLINK("https://klasma.github.io/Logging_2283/klagomål/A 27675-2023 FSC-klagomål.docx", "A 27675-2023")</f>
        <v/>
      </c>
      <c r="W84">
        <f>HYPERLINK("https://klasma.github.io/Logging_2283/klagomålsmail/A 27675-2023 FSC-klagomål mail.docx", "A 27675-2023")</f>
        <v/>
      </c>
      <c r="X84">
        <f>HYPERLINK("https://klasma.github.io/Logging_2283/tillsyn/A 27675-2023 tillsynsbegäran.docx", "A 27675-2023")</f>
        <v/>
      </c>
      <c r="Y84">
        <f>HYPERLINK("https://klasma.github.io/Logging_2283/tillsynsmail/A 27675-2023 tillsynsbegäran mail.docx", "A 27675-2023")</f>
        <v/>
      </c>
    </row>
    <row r="85" ht="15" customHeight="1">
      <c r="A85" t="inlineStr">
        <is>
          <t>A 8475-2019</t>
        </is>
      </c>
      <c r="B85" s="1" t="n">
        <v>43497</v>
      </c>
      <c r="C85" s="1" t="n">
        <v>45260</v>
      </c>
      <c r="D85" t="inlineStr">
        <is>
          <t>VÄSTERNORRLANDS LÄN</t>
        </is>
      </c>
      <c r="E85" t="inlineStr">
        <is>
          <t>SOLLEFTEÅ</t>
        </is>
      </c>
      <c r="G85" t="n">
        <v>2.6</v>
      </c>
      <c r="H85" t="n">
        <v>1</v>
      </c>
      <c r="I85" t="n">
        <v>0</v>
      </c>
      <c r="J85" t="n">
        <v>3</v>
      </c>
      <c r="K85" t="n">
        <v>0</v>
      </c>
      <c r="L85" t="n">
        <v>0</v>
      </c>
      <c r="M85" t="n">
        <v>0</v>
      </c>
      <c r="N85" t="n">
        <v>0</v>
      </c>
      <c r="O85" t="n">
        <v>3</v>
      </c>
      <c r="P85" t="n">
        <v>0</v>
      </c>
      <c r="Q85" t="n">
        <v>4</v>
      </c>
      <c r="R85" s="2" t="inlineStr">
        <is>
          <t>Garnlav
Ullticka
Vitgrynig nållav
Revlummer</t>
        </is>
      </c>
      <c r="S85">
        <f>HYPERLINK("https://klasma.github.io/Logging_2283/artfynd/A 8475-2019 artfynd.xlsx", "A 8475-2019")</f>
        <v/>
      </c>
      <c r="T85">
        <f>HYPERLINK("https://klasma.github.io/Logging_2283/kartor/A 8475-2019 karta.png", "A 8475-2019")</f>
        <v/>
      </c>
      <c r="V85">
        <f>HYPERLINK("https://klasma.github.io/Logging_2283/klagomål/A 8475-2019 FSC-klagomål.docx", "A 8475-2019")</f>
        <v/>
      </c>
      <c r="W85">
        <f>HYPERLINK("https://klasma.github.io/Logging_2283/klagomålsmail/A 8475-2019 FSC-klagomål mail.docx", "A 8475-2019")</f>
        <v/>
      </c>
      <c r="X85">
        <f>HYPERLINK("https://klasma.github.io/Logging_2283/tillsyn/A 8475-2019 tillsynsbegäran.docx", "A 8475-2019")</f>
        <v/>
      </c>
      <c r="Y85">
        <f>HYPERLINK("https://klasma.github.io/Logging_2283/tillsynsmail/A 8475-2019 tillsynsbegäran mail.docx", "A 8475-2019")</f>
        <v/>
      </c>
    </row>
    <row r="86" ht="15" customHeight="1">
      <c r="A86" t="inlineStr">
        <is>
          <t>A 23860-2020</t>
        </is>
      </c>
      <c r="B86" s="1" t="n">
        <v>43971</v>
      </c>
      <c r="C86" s="1" t="n">
        <v>45260</v>
      </c>
      <c r="D86" t="inlineStr">
        <is>
          <t>VÄSTERNORRLANDS LÄN</t>
        </is>
      </c>
      <c r="E86" t="inlineStr">
        <is>
          <t>SOLLEFTEÅ</t>
        </is>
      </c>
      <c r="G86" t="n">
        <v>22.3</v>
      </c>
      <c r="H86" t="n">
        <v>0</v>
      </c>
      <c r="I86" t="n">
        <v>1</v>
      </c>
      <c r="J86" t="n">
        <v>2</v>
      </c>
      <c r="K86" t="n">
        <v>1</v>
      </c>
      <c r="L86" t="n">
        <v>0</v>
      </c>
      <c r="M86" t="n">
        <v>0</v>
      </c>
      <c r="N86" t="n">
        <v>0</v>
      </c>
      <c r="O86" t="n">
        <v>3</v>
      </c>
      <c r="P86" t="n">
        <v>1</v>
      </c>
      <c r="Q86" t="n">
        <v>4</v>
      </c>
      <c r="R86" s="2" t="inlineStr">
        <is>
          <t>Aspgelélav
Lunglav
Vedskivlav
Dropptaggsvamp</t>
        </is>
      </c>
      <c r="S86">
        <f>HYPERLINK("https://klasma.github.io/Logging_2283/artfynd/A 23860-2020 artfynd.xlsx", "A 23860-2020")</f>
        <v/>
      </c>
      <c r="T86">
        <f>HYPERLINK("https://klasma.github.io/Logging_2283/kartor/A 23860-2020 karta.png", "A 23860-2020")</f>
        <v/>
      </c>
      <c r="U86">
        <f>HYPERLINK("https://klasma.github.io/Logging_2283/knärot/A 23860-2020 karta knärot.png", "A 23860-2020")</f>
        <v/>
      </c>
      <c r="V86">
        <f>HYPERLINK("https://klasma.github.io/Logging_2283/klagomål/A 23860-2020 FSC-klagomål.docx", "A 23860-2020")</f>
        <v/>
      </c>
      <c r="W86">
        <f>HYPERLINK("https://klasma.github.io/Logging_2283/klagomålsmail/A 23860-2020 FSC-klagomål mail.docx", "A 23860-2020")</f>
        <v/>
      </c>
      <c r="X86">
        <f>HYPERLINK("https://klasma.github.io/Logging_2283/tillsyn/A 23860-2020 tillsynsbegäran.docx", "A 23860-2020")</f>
        <v/>
      </c>
      <c r="Y86">
        <f>HYPERLINK("https://klasma.github.io/Logging_2283/tillsynsmail/A 23860-2020 tillsynsbegäran mail.docx", "A 23860-2020")</f>
        <v/>
      </c>
    </row>
    <row r="87" ht="15" customHeight="1">
      <c r="A87" t="inlineStr">
        <is>
          <t>A 44344-2021</t>
        </is>
      </c>
      <c r="B87" s="1" t="n">
        <v>44435</v>
      </c>
      <c r="C87" s="1" t="n">
        <v>45260</v>
      </c>
      <c r="D87" t="inlineStr">
        <is>
          <t>VÄSTERNORRLANDS LÄN</t>
        </is>
      </c>
      <c r="E87" t="inlineStr">
        <is>
          <t>SOLLEFTEÅ</t>
        </is>
      </c>
      <c r="F87" t="inlineStr">
        <is>
          <t>Kommuner</t>
        </is>
      </c>
      <c r="G87" t="n">
        <v>10.8</v>
      </c>
      <c r="H87" t="n">
        <v>0</v>
      </c>
      <c r="I87" t="n">
        <v>1</v>
      </c>
      <c r="J87" t="n">
        <v>2</v>
      </c>
      <c r="K87" t="n">
        <v>1</v>
      </c>
      <c r="L87" t="n">
        <v>0</v>
      </c>
      <c r="M87" t="n">
        <v>0</v>
      </c>
      <c r="N87" t="n">
        <v>0</v>
      </c>
      <c r="O87" t="n">
        <v>3</v>
      </c>
      <c r="P87" t="n">
        <v>1</v>
      </c>
      <c r="Q87" t="n">
        <v>4</v>
      </c>
      <c r="R87" s="2" t="inlineStr">
        <is>
          <t>Rynkskinn
Rosenticka
Ullticka
Skinnlav</t>
        </is>
      </c>
      <c r="S87">
        <f>HYPERLINK("https://klasma.github.io/Logging_2283/artfynd/A 44344-2021 artfynd.xlsx", "A 44344-2021")</f>
        <v/>
      </c>
      <c r="T87">
        <f>HYPERLINK("https://klasma.github.io/Logging_2283/kartor/A 44344-2021 karta.png", "A 44344-2021")</f>
        <v/>
      </c>
      <c r="V87">
        <f>HYPERLINK("https://klasma.github.io/Logging_2283/klagomål/A 44344-2021 FSC-klagomål.docx", "A 44344-2021")</f>
        <v/>
      </c>
      <c r="W87">
        <f>HYPERLINK("https://klasma.github.io/Logging_2283/klagomålsmail/A 44344-2021 FSC-klagomål mail.docx", "A 44344-2021")</f>
        <v/>
      </c>
      <c r="X87">
        <f>HYPERLINK("https://klasma.github.io/Logging_2283/tillsyn/A 44344-2021 tillsynsbegäran.docx", "A 44344-2021")</f>
        <v/>
      </c>
      <c r="Y87">
        <f>HYPERLINK("https://klasma.github.io/Logging_2283/tillsynsmail/A 44344-2021 tillsynsbegäran mail.docx", "A 44344-2021")</f>
        <v/>
      </c>
    </row>
    <row r="88" ht="15" customHeight="1">
      <c r="A88" t="inlineStr">
        <is>
          <t>A 64943-2021</t>
        </is>
      </c>
      <c r="B88" s="1" t="n">
        <v>44512</v>
      </c>
      <c r="C88" s="1" t="n">
        <v>45260</v>
      </c>
      <c r="D88" t="inlineStr">
        <is>
          <t>VÄSTERNORRLANDS LÄN</t>
        </is>
      </c>
      <c r="E88" t="inlineStr">
        <is>
          <t>SOLLEFTEÅ</t>
        </is>
      </c>
      <c r="F88" t="inlineStr">
        <is>
          <t>SCA</t>
        </is>
      </c>
      <c r="G88" t="n">
        <v>8.1</v>
      </c>
      <c r="H88" t="n">
        <v>0</v>
      </c>
      <c r="I88" t="n">
        <v>1</v>
      </c>
      <c r="J88" t="n">
        <v>3</v>
      </c>
      <c r="K88" t="n">
        <v>0</v>
      </c>
      <c r="L88" t="n">
        <v>0</v>
      </c>
      <c r="M88" t="n">
        <v>0</v>
      </c>
      <c r="N88" t="n">
        <v>0</v>
      </c>
      <c r="O88" t="n">
        <v>3</v>
      </c>
      <c r="P88" t="n">
        <v>0</v>
      </c>
      <c r="Q88" t="n">
        <v>4</v>
      </c>
      <c r="R88" s="2" t="inlineStr">
        <is>
          <t>Garnlav
Lunglav
Ullticka
Vedticka</t>
        </is>
      </c>
      <c r="S88">
        <f>HYPERLINK("https://klasma.github.io/Logging_2283/artfynd/A 64943-2021 artfynd.xlsx", "A 64943-2021")</f>
        <v/>
      </c>
      <c r="T88">
        <f>HYPERLINK("https://klasma.github.io/Logging_2283/kartor/A 64943-2021 karta.png", "A 64943-2021")</f>
        <v/>
      </c>
      <c r="V88">
        <f>HYPERLINK("https://klasma.github.io/Logging_2283/klagomål/A 64943-2021 FSC-klagomål.docx", "A 64943-2021")</f>
        <v/>
      </c>
      <c r="W88">
        <f>HYPERLINK("https://klasma.github.io/Logging_2283/klagomålsmail/A 64943-2021 FSC-klagomål mail.docx", "A 64943-2021")</f>
        <v/>
      </c>
      <c r="X88">
        <f>HYPERLINK("https://klasma.github.io/Logging_2283/tillsyn/A 64943-2021 tillsynsbegäran.docx", "A 64943-2021")</f>
        <v/>
      </c>
      <c r="Y88">
        <f>HYPERLINK("https://klasma.github.io/Logging_2283/tillsynsmail/A 64943-2021 tillsynsbegäran mail.docx", "A 64943-2021")</f>
        <v/>
      </c>
    </row>
    <row r="89" ht="15" customHeight="1">
      <c r="A89" t="inlineStr">
        <is>
          <t>A 18009-2022</t>
        </is>
      </c>
      <c r="B89" s="1" t="n">
        <v>44683</v>
      </c>
      <c r="C89" s="1" t="n">
        <v>45260</v>
      </c>
      <c r="D89" t="inlineStr">
        <is>
          <t>VÄSTERNORRLANDS LÄN</t>
        </is>
      </c>
      <c r="E89" t="inlineStr">
        <is>
          <t>SOLLEFTEÅ</t>
        </is>
      </c>
      <c r="F89" t="inlineStr">
        <is>
          <t>SCA</t>
        </is>
      </c>
      <c r="G89" t="n">
        <v>3.6</v>
      </c>
      <c r="H89" t="n">
        <v>3</v>
      </c>
      <c r="I89" t="n">
        <v>0</v>
      </c>
      <c r="J89" t="n">
        <v>3</v>
      </c>
      <c r="K89" t="n">
        <v>1</v>
      </c>
      <c r="L89" t="n">
        <v>0</v>
      </c>
      <c r="M89" t="n">
        <v>0</v>
      </c>
      <c r="N89" t="n">
        <v>0</v>
      </c>
      <c r="O89" t="n">
        <v>4</v>
      </c>
      <c r="P89" t="n">
        <v>1</v>
      </c>
      <c r="Q89" t="n">
        <v>4</v>
      </c>
      <c r="R89" s="2" t="inlineStr">
        <is>
          <t>Knärot
Garnlav
Järpe
Tretåig hackspett</t>
        </is>
      </c>
      <c r="S89">
        <f>HYPERLINK("https://klasma.github.io/Logging_2283/artfynd/A 18009-2022 artfynd.xlsx", "A 18009-2022")</f>
        <v/>
      </c>
      <c r="T89">
        <f>HYPERLINK("https://klasma.github.io/Logging_2283/kartor/A 18009-2022 karta.png", "A 18009-2022")</f>
        <v/>
      </c>
      <c r="U89">
        <f>HYPERLINK("https://klasma.github.io/Logging_2283/knärot/A 18009-2022 karta knärot.png", "A 18009-2022")</f>
        <v/>
      </c>
      <c r="V89">
        <f>HYPERLINK("https://klasma.github.io/Logging_2283/klagomål/A 18009-2022 FSC-klagomål.docx", "A 18009-2022")</f>
        <v/>
      </c>
      <c r="W89">
        <f>HYPERLINK("https://klasma.github.io/Logging_2283/klagomålsmail/A 18009-2022 FSC-klagomål mail.docx", "A 18009-2022")</f>
        <v/>
      </c>
      <c r="X89">
        <f>HYPERLINK("https://klasma.github.io/Logging_2283/tillsyn/A 18009-2022 tillsynsbegäran.docx", "A 18009-2022")</f>
        <v/>
      </c>
      <c r="Y89">
        <f>HYPERLINK("https://klasma.github.io/Logging_2283/tillsynsmail/A 18009-2022 tillsynsbegäran mail.docx", "A 18009-2022")</f>
        <v/>
      </c>
    </row>
    <row r="90" ht="15" customHeight="1">
      <c r="A90" t="inlineStr">
        <is>
          <t>A 18005-2022</t>
        </is>
      </c>
      <c r="B90" s="1" t="n">
        <v>44684</v>
      </c>
      <c r="C90" s="1" t="n">
        <v>45260</v>
      </c>
      <c r="D90" t="inlineStr">
        <is>
          <t>VÄSTERNORRLANDS LÄN</t>
        </is>
      </c>
      <c r="E90" t="inlineStr">
        <is>
          <t>SOLLEFTEÅ</t>
        </is>
      </c>
      <c r="F90" t="inlineStr">
        <is>
          <t>SCA</t>
        </is>
      </c>
      <c r="G90" t="n">
        <v>6.3</v>
      </c>
      <c r="H90" t="n">
        <v>0</v>
      </c>
      <c r="I90" t="n">
        <v>0</v>
      </c>
      <c r="J90" t="n">
        <v>4</v>
      </c>
      <c r="K90" t="n">
        <v>0</v>
      </c>
      <c r="L90" t="n">
        <v>0</v>
      </c>
      <c r="M90" t="n">
        <v>0</v>
      </c>
      <c r="N90" t="n">
        <v>0</v>
      </c>
      <c r="O90" t="n">
        <v>4</v>
      </c>
      <c r="P90" t="n">
        <v>0</v>
      </c>
      <c r="Q90" t="n">
        <v>4</v>
      </c>
      <c r="R90" s="2" t="inlineStr">
        <is>
          <t>Garnlav
Gränsticka
Lunglav
Ullticka</t>
        </is>
      </c>
      <c r="S90">
        <f>HYPERLINK("https://klasma.github.io/Logging_2283/artfynd/A 18005-2022 artfynd.xlsx", "A 18005-2022")</f>
        <v/>
      </c>
      <c r="T90">
        <f>HYPERLINK("https://klasma.github.io/Logging_2283/kartor/A 18005-2022 karta.png", "A 18005-2022")</f>
        <v/>
      </c>
      <c r="V90">
        <f>HYPERLINK("https://klasma.github.io/Logging_2283/klagomål/A 18005-2022 FSC-klagomål.docx", "A 18005-2022")</f>
        <v/>
      </c>
      <c r="W90">
        <f>HYPERLINK("https://klasma.github.io/Logging_2283/klagomålsmail/A 18005-2022 FSC-klagomål mail.docx", "A 18005-2022")</f>
        <v/>
      </c>
      <c r="X90">
        <f>HYPERLINK("https://klasma.github.io/Logging_2283/tillsyn/A 18005-2022 tillsynsbegäran.docx", "A 18005-2022")</f>
        <v/>
      </c>
      <c r="Y90">
        <f>HYPERLINK("https://klasma.github.io/Logging_2283/tillsynsmail/A 18005-2022 tillsynsbegäran mail.docx", "A 18005-2022")</f>
        <v/>
      </c>
    </row>
    <row r="91" ht="15" customHeight="1">
      <c r="A91" t="inlineStr">
        <is>
          <t>A 18025-2022</t>
        </is>
      </c>
      <c r="B91" s="1" t="n">
        <v>44683</v>
      </c>
      <c r="C91" s="1" t="n">
        <v>45260</v>
      </c>
      <c r="D91" t="inlineStr">
        <is>
          <t>VÄSTERNORRLANDS LÄN</t>
        </is>
      </c>
      <c r="E91" t="inlineStr">
        <is>
          <t>SOLLEFTEÅ</t>
        </is>
      </c>
      <c r="F91" t="inlineStr">
        <is>
          <t>SCA</t>
        </is>
      </c>
      <c r="G91" t="n">
        <v>5.2</v>
      </c>
      <c r="H91" t="n">
        <v>1</v>
      </c>
      <c r="I91" t="n">
        <v>1</v>
      </c>
      <c r="J91" t="n">
        <v>2</v>
      </c>
      <c r="K91" t="n">
        <v>0</v>
      </c>
      <c r="L91" t="n">
        <v>0</v>
      </c>
      <c r="M91" t="n">
        <v>0</v>
      </c>
      <c r="N91" t="n">
        <v>0</v>
      </c>
      <c r="O91" t="n">
        <v>2</v>
      </c>
      <c r="P91" t="n">
        <v>0</v>
      </c>
      <c r="Q91" t="n">
        <v>4</v>
      </c>
      <c r="R91" s="2" t="inlineStr">
        <is>
          <t>Garnlav
Lunglav
Bronshjon
Fläcknycklar</t>
        </is>
      </c>
      <c r="S91">
        <f>HYPERLINK("https://klasma.github.io/Logging_2283/artfynd/A 18025-2022 artfynd.xlsx", "A 18025-2022")</f>
        <v/>
      </c>
      <c r="T91">
        <f>HYPERLINK("https://klasma.github.io/Logging_2283/kartor/A 18025-2022 karta.png", "A 18025-2022")</f>
        <v/>
      </c>
      <c r="V91">
        <f>HYPERLINK("https://klasma.github.io/Logging_2283/klagomål/A 18025-2022 FSC-klagomål.docx", "A 18025-2022")</f>
        <v/>
      </c>
      <c r="W91">
        <f>HYPERLINK("https://klasma.github.io/Logging_2283/klagomålsmail/A 18025-2022 FSC-klagomål mail.docx", "A 18025-2022")</f>
        <v/>
      </c>
      <c r="X91">
        <f>HYPERLINK("https://klasma.github.io/Logging_2283/tillsyn/A 18025-2022 tillsynsbegäran.docx", "A 18025-2022")</f>
        <v/>
      </c>
      <c r="Y91">
        <f>HYPERLINK("https://klasma.github.io/Logging_2283/tillsynsmail/A 18025-2022 tillsynsbegäran mail.docx", "A 18025-2022")</f>
        <v/>
      </c>
    </row>
    <row r="92" ht="15" customHeight="1">
      <c r="A92" t="inlineStr">
        <is>
          <t>A 27071-2022</t>
        </is>
      </c>
      <c r="B92" s="1" t="n">
        <v>44741</v>
      </c>
      <c r="C92" s="1" t="n">
        <v>45260</v>
      </c>
      <c r="D92" t="inlineStr">
        <is>
          <t>VÄSTERNORRLANDS LÄN</t>
        </is>
      </c>
      <c r="E92" t="inlineStr">
        <is>
          <t>SOLLEFTEÅ</t>
        </is>
      </c>
      <c r="G92" t="n">
        <v>19</v>
      </c>
      <c r="H92" t="n">
        <v>1</v>
      </c>
      <c r="I92" t="n">
        <v>0</v>
      </c>
      <c r="J92" t="n">
        <v>4</v>
      </c>
      <c r="K92" t="n">
        <v>0</v>
      </c>
      <c r="L92" t="n">
        <v>0</v>
      </c>
      <c r="M92" t="n">
        <v>0</v>
      </c>
      <c r="N92" t="n">
        <v>0</v>
      </c>
      <c r="O92" t="n">
        <v>4</v>
      </c>
      <c r="P92" t="n">
        <v>0</v>
      </c>
      <c r="Q92" t="n">
        <v>4</v>
      </c>
      <c r="R92" s="2" t="inlineStr">
        <is>
          <t>Granticka
Rosenticka
Tretåig hackspett
Ullticka</t>
        </is>
      </c>
      <c r="S92">
        <f>HYPERLINK("https://klasma.github.io/Logging_2283/artfynd/A 27071-2022 artfynd.xlsx", "A 27071-2022")</f>
        <v/>
      </c>
      <c r="T92">
        <f>HYPERLINK("https://klasma.github.io/Logging_2283/kartor/A 27071-2022 karta.png", "A 27071-2022")</f>
        <v/>
      </c>
      <c r="V92">
        <f>HYPERLINK("https://klasma.github.io/Logging_2283/klagomål/A 27071-2022 FSC-klagomål.docx", "A 27071-2022")</f>
        <v/>
      </c>
      <c r="W92">
        <f>HYPERLINK("https://klasma.github.io/Logging_2283/klagomålsmail/A 27071-2022 FSC-klagomål mail.docx", "A 27071-2022")</f>
        <v/>
      </c>
      <c r="X92">
        <f>HYPERLINK("https://klasma.github.io/Logging_2283/tillsyn/A 27071-2022 tillsynsbegäran.docx", "A 27071-2022")</f>
        <v/>
      </c>
      <c r="Y92">
        <f>HYPERLINK("https://klasma.github.io/Logging_2283/tillsynsmail/A 27071-2022 tillsynsbegäran mail.docx", "A 27071-2022")</f>
        <v/>
      </c>
    </row>
    <row r="93" ht="15" customHeight="1">
      <c r="A93" t="inlineStr">
        <is>
          <t>A 57001-2022</t>
        </is>
      </c>
      <c r="B93" s="1" t="n">
        <v>44894</v>
      </c>
      <c r="C93" s="1" t="n">
        <v>45260</v>
      </c>
      <c r="D93" t="inlineStr">
        <is>
          <t>VÄSTERNORRLANDS LÄN</t>
        </is>
      </c>
      <c r="E93" t="inlineStr">
        <is>
          <t>SOLLEFTEÅ</t>
        </is>
      </c>
      <c r="F93" t="inlineStr">
        <is>
          <t>SCA</t>
        </is>
      </c>
      <c r="G93" t="n">
        <v>1.2</v>
      </c>
      <c r="H93" t="n">
        <v>2</v>
      </c>
      <c r="I93" t="n">
        <v>0</v>
      </c>
      <c r="J93" t="n">
        <v>3</v>
      </c>
      <c r="K93" t="n">
        <v>1</v>
      </c>
      <c r="L93" t="n">
        <v>0</v>
      </c>
      <c r="M93" t="n">
        <v>0</v>
      </c>
      <c r="N93" t="n">
        <v>0</v>
      </c>
      <c r="O93" t="n">
        <v>4</v>
      </c>
      <c r="P93" t="n">
        <v>1</v>
      </c>
      <c r="Q93" t="n">
        <v>4</v>
      </c>
      <c r="R93" s="2" t="inlineStr">
        <is>
          <t>Knärot
Garnlav
Järpe
Lunglav</t>
        </is>
      </c>
      <c r="S93">
        <f>HYPERLINK("https://klasma.github.io/Logging_2283/artfynd/A 57001-2022 artfynd.xlsx", "A 57001-2022")</f>
        <v/>
      </c>
      <c r="T93">
        <f>HYPERLINK("https://klasma.github.io/Logging_2283/kartor/A 57001-2022 karta.png", "A 57001-2022")</f>
        <v/>
      </c>
      <c r="U93">
        <f>HYPERLINK("https://klasma.github.io/Logging_2283/knärot/A 57001-2022 karta knärot.png", "A 57001-2022")</f>
        <v/>
      </c>
      <c r="V93">
        <f>HYPERLINK("https://klasma.github.io/Logging_2283/klagomål/A 57001-2022 FSC-klagomål.docx", "A 57001-2022")</f>
        <v/>
      </c>
      <c r="W93">
        <f>HYPERLINK("https://klasma.github.io/Logging_2283/klagomålsmail/A 57001-2022 FSC-klagomål mail.docx", "A 57001-2022")</f>
        <v/>
      </c>
      <c r="X93">
        <f>HYPERLINK("https://klasma.github.io/Logging_2283/tillsyn/A 57001-2022 tillsynsbegäran.docx", "A 57001-2022")</f>
        <v/>
      </c>
      <c r="Y93">
        <f>HYPERLINK("https://klasma.github.io/Logging_2283/tillsynsmail/A 57001-2022 tillsynsbegäran mail.docx", "A 57001-2022")</f>
        <v/>
      </c>
    </row>
    <row r="94" ht="15" customHeight="1">
      <c r="A94" t="inlineStr">
        <is>
          <t>A 62638-2022</t>
        </is>
      </c>
      <c r="B94" s="1" t="n">
        <v>44925</v>
      </c>
      <c r="C94" s="1" t="n">
        <v>45260</v>
      </c>
      <c r="D94" t="inlineStr">
        <is>
          <t>VÄSTERNORRLANDS LÄN</t>
        </is>
      </c>
      <c r="E94" t="inlineStr">
        <is>
          <t>SOLLEFTEÅ</t>
        </is>
      </c>
      <c r="F94" t="inlineStr">
        <is>
          <t>Holmen skog AB</t>
        </is>
      </c>
      <c r="G94" t="n">
        <v>4</v>
      </c>
      <c r="H94" t="n">
        <v>1</v>
      </c>
      <c r="I94" t="n">
        <v>1</v>
      </c>
      <c r="J94" t="n">
        <v>2</v>
      </c>
      <c r="K94" t="n">
        <v>1</v>
      </c>
      <c r="L94" t="n">
        <v>0</v>
      </c>
      <c r="M94" t="n">
        <v>0</v>
      </c>
      <c r="N94" t="n">
        <v>0</v>
      </c>
      <c r="O94" t="n">
        <v>3</v>
      </c>
      <c r="P94" t="n">
        <v>1</v>
      </c>
      <c r="Q94" t="n">
        <v>4</v>
      </c>
      <c r="R94" s="2" t="inlineStr">
        <is>
          <t>Knärot
Koralltaggsvamp
Lunglav
Skinnlav</t>
        </is>
      </c>
      <c r="S94">
        <f>HYPERLINK("https://klasma.github.io/Logging_2283/artfynd/A 62638-2022 artfynd.xlsx", "A 62638-2022")</f>
        <v/>
      </c>
      <c r="T94">
        <f>HYPERLINK("https://klasma.github.io/Logging_2283/kartor/A 62638-2022 karta.png", "A 62638-2022")</f>
        <v/>
      </c>
      <c r="U94">
        <f>HYPERLINK("https://klasma.github.io/Logging_2283/knärot/A 62638-2022 karta knärot.png", "A 62638-2022")</f>
        <v/>
      </c>
      <c r="V94">
        <f>HYPERLINK("https://klasma.github.io/Logging_2283/klagomål/A 62638-2022 FSC-klagomål.docx", "A 62638-2022")</f>
        <v/>
      </c>
      <c r="W94">
        <f>HYPERLINK("https://klasma.github.io/Logging_2283/klagomålsmail/A 62638-2022 FSC-klagomål mail.docx", "A 62638-2022")</f>
        <v/>
      </c>
      <c r="X94">
        <f>HYPERLINK("https://klasma.github.io/Logging_2283/tillsyn/A 62638-2022 tillsynsbegäran.docx", "A 62638-2022")</f>
        <v/>
      </c>
      <c r="Y94">
        <f>HYPERLINK("https://klasma.github.io/Logging_2283/tillsynsmail/A 62638-2022 tillsynsbegäran mail.docx", "A 62638-2022")</f>
        <v/>
      </c>
    </row>
    <row r="95" ht="15" customHeight="1">
      <c r="A95" t="inlineStr">
        <is>
          <t>A 62632-2022</t>
        </is>
      </c>
      <c r="B95" s="1" t="n">
        <v>44925</v>
      </c>
      <c r="C95" s="1" t="n">
        <v>45260</v>
      </c>
      <c r="D95" t="inlineStr">
        <is>
          <t>VÄSTERNORRLANDS LÄN</t>
        </is>
      </c>
      <c r="E95" t="inlineStr">
        <is>
          <t>SOLLEFTEÅ</t>
        </is>
      </c>
      <c r="F95" t="inlineStr">
        <is>
          <t>Holmen skog AB</t>
        </is>
      </c>
      <c r="G95" t="n">
        <v>4.4</v>
      </c>
      <c r="H95" t="n">
        <v>1</v>
      </c>
      <c r="I95" t="n">
        <v>1</v>
      </c>
      <c r="J95" t="n">
        <v>2</v>
      </c>
      <c r="K95" t="n">
        <v>1</v>
      </c>
      <c r="L95" t="n">
        <v>0</v>
      </c>
      <c r="M95" t="n">
        <v>0</v>
      </c>
      <c r="N95" t="n">
        <v>0</v>
      </c>
      <c r="O95" t="n">
        <v>3</v>
      </c>
      <c r="P95" t="n">
        <v>1</v>
      </c>
      <c r="Q95" t="n">
        <v>4</v>
      </c>
      <c r="R95" s="2" t="inlineStr">
        <is>
          <t>Bitter taggsvamp
Blå taggsvamp
Orange taggsvamp
Plattlummer</t>
        </is>
      </c>
      <c r="S95">
        <f>HYPERLINK("https://klasma.github.io/Logging_2283/artfynd/A 62632-2022 artfynd.xlsx", "A 62632-2022")</f>
        <v/>
      </c>
      <c r="T95">
        <f>HYPERLINK("https://klasma.github.io/Logging_2283/kartor/A 62632-2022 karta.png", "A 62632-2022")</f>
        <v/>
      </c>
      <c r="V95">
        <f>HYPERLINK("https://klasma.github.io/Logging_2283/klagomål/A 62632-2022 FSC-klagomål.docx", "A 62632-2022")</f>
        <v/>
      </c>
      <c r="W95">
        <f>HYPERLINK("https://klasma.github.io/Logging_2283/klagomålsmail/A 62632-2022 FSC-klagomål mail.docx", "A 62632-2022")</f>
        <v/>
      </c>
      <c r="X95">
        <f>HYPERLINK("https://klasma.github.io/Logging_2283/tillsyn/A 62632-2022 tillsynsbegäran.docx", "A 62632-2022")</f>
        <v/>
      </c>
      <c r="Y95">
        <f>HYPERLINK("https://klasma.github.io/Logging_2283/tillsynsmail/A 62632-2022 tillsynsbegäran mail.docx", "A 62632-2022")</f>
        <v/>
      </c>
    </row>
    <row r="96" ht="15" customHeight="1">
      <c r="A96" t="inlineStr">
        <is>
          <t>A 2409-2023</t>
        </is>
      </c>
      <c r="B96" s="1" t="n">
        <v>44942</v>
      </c>
      <c r="C96" s="1" t="n">
        <v>45260</v>
      </c>
      <c r="D96" t="inlineStr">
        <is>
          <t>VÄSTERNORRLANDS LÄN</t>
        </is>
      </c>
      <c r="E96" t="inlineStr">
        <is>
          <t>SOLLEFTEÅ</t>
        </is>
      </c>
      <c r="F96" t="inlineStr">
        <is>
          <t>SCA</t>
        </is>
      </c>
      <c r="G96" t="n">
        <v>2</v>
      </c>
      <c r="H96" t="n">
        <v>0</v>
      </c>
      <c r="I96" t="n">
        <v>1</v>
      </c>
      <c r="J96" t="n">
        <v>3</v>
      </c>
      <c r="K96" t="n">
        <v>0</v>
      </c>
      <c r="L96" t="n">
        <v>0</v>
      </c>
      <c r="M96" t="n">
        <v>0</v>
      </c>
      <c r="N96" t="n">
        <v>0</v>
      </c>
      <c r="O96" t="n">
        <v>3</v>
      </c>
      <c r="P96" t="n">
        <v>0</v>
      </c>
      <c r="Q96" t="n">
        <v>4</v>
      </c>
      <c r="R96" s="2" t="inlineStr">
        <is>
          <t>Rosenticka
Tallticka
Ullticka
Dropptaggsvamp</t>
        </is>
      </c>
      <c r="S96">
        <f>HYPERLINK("https://klasma.github.io/Logging_2283/artfynd/A 2409-2023 artfynd.xlsx", "A 2409-2023")</f>
        <v/>
      </c>
      <c r="T96">
        <f>HYPERLINK("https://klasma.github.io/Logging_2283/kartor/A 2409-2023 karta.png", "A 2409-2023")</f>
        <v/>
      </c>
      <c r="V96">
        <f>HYPERLINK("https://klasma.github.io/Logging_2283/klagomål/A 2409-2023 FSC-klagomål.docx", "A 2409-2023")</f>
        <v/>
      </c>
      <c r="W96">
        <f>HYPERLINK("https://klasma.github.io/Logging_2283/klagomålsmail/A 2409-2023 FSC-klagomål mail.docx", "A 2409-2023")</f>
        <v/>
      </c>
      <c r="X96">
        <f>HYPERLINK("https://klasma.github.io/Logging_2283/tillsyn/A 2409-2023 tillsynsbegäran.docx", "A 2409-2023")</f>
        <v/>
      </c>
      <c r="Y96">
        <f>HYPERLINK("https://klasma.github.io/Logging_2283/tillsynsmail/A 2409-2023 tillsynsbegäran mail.docx", "A 2409-2023")</f>
        <v/>
      </c>
    </row>
    <row r="97" ht="15" customHeight="1">
      <c r="A97" t="inlineStr">
        <is>
          <t>A 10776-2023</t>
        </is>
      </c>
      <c r="B97" s="1" t="n">
        <v>44988</v>
      </c>
      <c r="C97" s="1" t="n">
        <v>45260</v>
      </c>
      <c r="D97" t="inlineStr">
        <is>
          <t>VÄSTERNORRLANDS LÄN</t>
        </is>
      </c>
      <c r="E97" t="inlineStr">
        <is>
          <t>SOLLEFTEÅ</t>
        </is>
      </c>
      <c r="F97" t="inlineStr">
        <is>
          <t>SCA</t>
        </is>
      </c>
      <c r="G97" t="n">
        <v>6.2</v>
      </c>
      <c r="H97" t="n">
        <v>0</v>
      </c>
      <c r="I97" t="n">
        <v>0</v>
      </c>
      <c r="J97" t="n">
        <v>4</v>
      </c>
      <c r="K97" t="n">
        <v>0</v>
      </c>
      <c r="L97" t="n">
        <v>0</v>
      </c>
      <c r="M97" t="n">
        <v>0</v>
      </c>
      <c r="N97" t="n">
        <v>0</v>
      </c>
      <c r="O97" t="n">
        <v>4</v>
      </c>
      <c r="P97" t="n">
        <v>0</v>
      </c>
      <c r="Q97" t="n">
        <v>4</v>
      </c>
      <c r="R97" s="2" t="inlineStr">
        <is>
          <t>Granticka
Rosenticka
Ullticka
Vedskivlav</t>
        </is>
      </c>
      <c r="S97">
        <f>HYPERLINK("https://klasma.github.io/Logging_2283/artfynd/A 10776-2023 artfynd.xlsx", "A 10776-2023")</f>
        <v/>
      </c>
      <c r="T97">
        <f>HYPERLINK("https://klasma.github.io/Logging_2283/kartor/A 10776-2023 karta.png", "A 10776-2023")</f>
        <v/>
      </c>
      <c r="V97">
        <f>HYPERLINK("https://klasma.github.io/Logging_2283/klagomål/A 10776-2023 FSC-klagomål.docx", "A 10776-2023")</f>
        <v/>
      </c>
      <c r="W97">
        <f>HYPERLINK("https://klasma.github.io/Logging_2283/klagomålsmail/A 10776-2023 FSC-klagomål mail.docx", "A 10776-2023")</f>
        <v/>
      </c>
      <c r="X97">
        <f>HYPERLINK("https://klasma.github.io/Logging_2283/tillsyn/A 10776-2023 tillsynsbegäran.docx", "A 10776-2023")</f>
        <v/>
      </c>
      <c r="Y97">
        <f>HYPERLINK("https://klasma.github.io/Logging_2283/tillsynsmail/A 10776-2023 tillsynsbegäran mail.docx", "A 10776-2023")</f>
        <v/>
      </c>
    </row>
    <row r="98" ht="15" customHeight="1">
      <c r="A98" t="inlineStr">
        <is>
          <t>A 12365-2023</t>
        </is>
      </c>
      <c r="B98" s="1" t="n">
        <v>44999</v>
      </c>
      <c r="C98" s="1" t="n">
        <v>45260</v>
      </c>
      <c r="D98" t="inlineStr">
        <is>
          <t>VÄSTERNORRLANDS LÄN</t>
        </is>
      </c>
      <c r="E98" t="inlineStr">
        <is>
          <t>SOLLEFTEÅ</t>
        </is>
      </c>
      <c r="F98" t="inlineStr">
        <is>
          <t>Kommuner</t>
        </is>
      </c>
      <c r="G98" t="n">
        <v>2.2</v>
      </c>
      <c r="H98" t="n">
        <v>0</v>
      </c>
      <c r="I98" t="n">
        <v>2</v>
      </c>
      <c r="J98" t="n">
        <v>2</v>
      </c>
      <c r="K98" t="n">
        <v>0</v>
      </c>
      <c r="L98" t="n">
        <v>0</v>
      </c>
      <c r="M98" t="n">
        <v>0</v>
      </c>
      <c r="N98" t="n">
        <v>0</v>
      </c>
      <c r="O98" t="n">
        <v>2</v>
      </c>
      <c r="P98" t="n">
        <v>0</v>
      </c>
      <c r="Q98" t="n">
        <v>4</v>
      </c>
      <c r="R98" s="2" t="inlineStr">
        <is>
          <t>Rosenticka
Ullticka
Mörk husmossa
Skinnlav</t>
        </is>
      </c>
      <c r="S98">
        <f>HYPERLINK("https://klasma.github.io/Logging_2283/artfynd/A 12365-2023 artfynd.xlsx", "A 12365-2023")</f>
        <v/>
      </c>
      <c r="T98">
        <f>HYPERLINK("https://klasma.github.io/Logging_2283/kartor/A 12365-2023 karta.png", "A 12365-2023")</f>
        <v/>
      </c>
      <c r="U98">
        <f>HYPERLINK("https://klasma.github.io/Logging_2283/knärot/A 12365-2023 karta knärot.png", "A 12365-2023")</f>
        <v/>
      </c>
      <c r="V98">
        <f>HYPERLINK("https://klasma.github.io/Logging_2283/klagomål/A 12365-2023 FSC-klagomål.docx", "A 12365-2023")</f>
        <v/>
      </c>
      <c r="W98">
        <f>HYPERLINK("https://klasma.github.io/Logging_2283/klagomålsmail/A 12365-2023 FSC-klagomål mail.docx", "A 12365-2023")</f>
        <v/>
      </c>
      <c r="X98">
        <f>HYPERLINK("https://klasma.github.io/Logging_2283/tillsyn/A 12365-2023 tillsynsbegäran.docx", "A 12365-2023")</f>
        <v/>
      </c>
      <c r="Y98">
        <f>HYPERLINK("https://klasma.github.io/Logging_2283/tillsynsmail/A 12365-2023 tillsynsbegäran mail.docx", "A 12365-2023")</f>
        <v/>
      </c>
    </row>
    <row r="99" ht="15" customHeight="1">
      <c r="A99" t="inlineStr">
        <is>
          <t>A 18066-2023</t>
        </is>
      </c>
      <c r="B99" s="1" t="n">
        <v>45040</v>
      </c>
      <c r="C99" s="1" t="n">
        <v>45260</v>
      </c>
      <c r="D99" t="inlineStr">
        <is>
          <t>VÄSTERNORRLANDS LÄN</t>
        </is>
      </c>
      <c r="E99" t="inlineStr">
        <is>
          <t>SOLLEFTEÅ</t>
        </is>
      </c>
      <c r="G99" t="n">
        <v>0.8</v>
      </c>
      <c r="H99" t="n">
        <v>1</v>
      </c>
      <c r="I99" t="n">
        <v>0</v>
      </c>
      <c r="J99" t="n">
        <v>3</v>
      </c>
      <c r="K99" t="n">
        <v>1</v>
      </c>
      <c r="L99" t="n">
        <v>0</v>
      </c>
      <c r="M99" t="n">
        <v>0</v>
      </c>
      <c r="N99" t="n">
        <v>0</v>
      </c>
      <c r="O99" t="n">
        <v>4</v>
      </c>
      <c r="P99" t="n">
        <v>1</v>
      </c>
      <c r="Q99" t="n">
        <v>4</v>
      </c>
      <c r="R99" s="2" t="inlineStr">
        <is>
          <t>Knärot
Garnlav
Rosenticka
Ullticka</t>
        </is>
      </c>
      <c r="S99">
        <f>HYPERLINK("https://klasma.github.io/Logging_2283/artfynd/A 18066-2023 artfynd.xlsx", "A 18066-2023")</f>
        <v/>
      </c>
      <c r="T99">
        <f>HYPERLINK("https://klasma.github.io/Logging_2283/kartor/A 18066-2023 karta.png", "A 18066-2023")</f>
        <v/>
      </c>
      <c r="U99">
        <f>HYPERLINK("https://klasma.github.io/Logging_2283/knärot/A 18066-2023 karta knärot.png", "A 18066-2023")</f>
        <v/>
      </c>
      <c r="V99">
        <f>HYPERLINK("https://klasma.github.io/Logging_2283/klagomål/A 18066-2023 FSC-klagomål.docx", "A 18066-2023")</f>
        <v/>
      </c>
      <c r="W99">
        <f>HYPERLINK("https://klasma.github.io/Logging_2283/klagomålsmail/A 18066-2023 FSC-klagomål mail.docx", "A 18066-2023")</f>
        <v/>
      </c>
      <c r="X99">
        <f>HYPERLINK("https://klasma.github.io/Logging_2283/tillsyn/A 18066-2023 tillsynsbegäran.docx", "A 18066-2023")</f>
        <v/>
      </c>
      <c r="Y99">
        <f>HYPERLINK("https://klasma.github.io/Logging_2283/tillsynsmail/A 18066-2023 tillsynsbegäran mail.docx", "A 18066-2023")</f>
        <v/>
      </c>
    </row>
    <row r="100" ht="15" customHeight="1">
      <c r="A100" t="inlineStr">
        <is>
          <t>A 50839-2023</t>
        </is>
      </c>
      <c r="B100" s="1" t="n">
        <v>45217</v>
      </c>
      <c r="C100" s="1" t="n">
        <v>45260</v>
      </c>
      <c r="D100" t="inlineStr">
        <is>
          <t>VÄSTERNORRLANDS LÄN</t>
        </is>
      </c>
      <c r="E100" t="inlineStr">
        <is>
          <t>SOLLEFTEÅ</t>
        </is>
      </c>
      <c r="F100" t="inlineStr">
        <is>
          <t>SCA</t>
        </is>
      </c>
      <c r="G100" t="n">
        <v>2.8</v>
      </c>
      <c r="H100" t="n">
        <v>0</v>
      </c>
      <c r="I100" t="n">
        <v>1</v>
      </c>
      <c r="J100" t="n">
        <v>3</v>
      </c>
      <c r="K100" t="n">
        <v>0</v>
      </c>
      <c r="L100" t="n">
        <v>0</v>
      </c>
      <c r="M100" t="n">
        <v>0</v>
      </c>
      <c r="N100" t="n">
        <v>0</v>
      </c>
      <c r="O100" t="n">
        <v>3</v>
      </c>
      <c r="P100" t="n">
        <v>0</v>
      </c>
      <c r="Q100" t="n">
        <v>4</v>
      </c>
      <c r="R100" s="2" t="inlineStr">
        <is>
          <t>Garnlav
Granticka
Vitskaftad svartspik
Gulnål</t>
        </is>
      </c>
      <c r="S100">
        <f>HYPERLINK("https://klasma.github.io/Logging_2283/artfynd/A 50839-2023 artfynd.xlsx", "A 50839-2023")</f>
        <v/>
      </c>
      <c r="T100">
        <f>HYPERLINK("https://klasma.github.io/Logging_2283/kartor/A 50839-2023 karta.png", "A 50839-2023")</f>
        <v/>
      </c>
      <c r="V100">
        <f>HYPERLINK("https://klasma.github.io/Logging_2283/klagomål/A 50839-2023 FSC-klagomål.docx", "A 50839-2023")</f>
        <v/>
      </c>
      <c r="W100">
        <f>HYPERLINK("https://klasma.github.io/Logging_2283/klagomålsmail/A 50839-2023 FSC-klagomål mail.docx", "A 50839-2023")</f>
        <v/>
      </c>
      <c r="X100">
        <f>HYPERLINK("https://klasma.github.io/Logging_2283/tillsyn/A 50839-2023 tillsynsbegäran.docx", "A 50839-2023")</f>
        <v/>
      </c>
      <c r="Y100">
        <f>HYPERLINK("https://klasma.github.io/Logging_2283/tillsynsmail/A 50839-2023 tillsynsbegäran mail.docx", "A 50839-2023")</f>
        <v/>
      </c>
    </row>
    <row r="101" ht="15" customHeight="1">
      <c r="A101" t="inlineStr">
        <is>
          <t>A 52088-2023</t>
        </is>
      </c>
      <c r="B101" s="1" t="n">
        <v>45223</v>
      </c>
      <c r="C101" s="1" t="n">
        <v>45260</v>
      </c>
      <c r="D101" t="inlineStr">
        <is>
          <t>VÄSTERNORRLANDS LÄN</t>
        </is>
      </c>
      <c r="E101" t="inlineStr">
        <is>
          <t>SOLLEFTEÅ</t>
        </is>
      </c>
      <c r="G101" t="n">
        <v>6.4</v>
      </c>
      <c r="H101" t="n">
        <v>0</v>
      </c>
      <c r="I101" t="n">
        <v>1</v>
      </c>
      <c r="J101" t="n">
        <v>3</v>
      </c>
      <c r="K101" t="n">
        <v>0</v>
      </c>
      <c r="L101" t="n">
        <v>0</v>
      </c>
      <c r="M101" t="n">
        <v>0</v>
      </c>
      <c r="N101" t="n">
        <v>0</v>
      </c>
      <c r="O101" t="n">
        <v>3</v>
      </c>
      <c r="P101" t="n">
        <v>0</v>
      </c>
      <c r="Q101" t="n">
        <v>4</v>
      </c>
      <c r="R101" s="2" t="inlineStr">
        <is>
          <t>Granticka
Lunglav
Rosenticka
Vedticka</t>
        </is>
      </c>
      <c r="S101">
        <f>HYPERLINK("https://klasma.github.io/Logging_2283/artfynd/A 52088-2023 artfynd.xlsx", "A 52088-2023")</f>
        <v/>
      </c>
      <c r="T101">
        <f>HYPERLINK("https://klasma.github.io/Logging_2283/kartor/A 52088-2023 karta.png", "A 52088-2023")</f>
        <v/>
      </c>
      <c r="V101">
        <f>HYPERLINK("https://klasma.github.io/Logging_2283/klagomål/A 52088-2023 FSC-klagomål.docx", "A 52088-2023")</f>
        <v/>
      </c>
      <c r="W101">
        <f>HYPERLINK("https://klasma.github.io/Logging_2283/klagomålsmail/A 52088-2023 FSC-klagomål mail.docx", "A 52088-2023")</f>
        <v/>
      </c>
      <c r="X101">
        <f>HYPERLINK("https://klasma.github.io/Logging_2283/tillsyn/A 52088-2023 tillsynsbegäran.docx", "A 52088-2023")</f>
        <v/>
      </c>
      <c r="Y101">
        <f>HYPERLINK("https://klasma.github.io/Logging_2283/tillsynsmail/A 52088-2023 tillsynsbegäran mail.docx", "A 52088-2023")</f>
        <v/>
      </c>
    </row>
    <row r="102" ht="15" customHeight="1">
      <c r="A102" t="inlineStr">
        <is>
          <t>A 53566-2023</t>
        </is>
      </c>
      <c r="B102" s="1" t="n">
        <v>45223</v>
      </c>
      <c r="C102" s="1" t="n">
        <v>45260</v>
      </c>
      <c r="D102" t="inlineStr">
        <is>
          <t>VÄSTERNORRLANDS LÄN</t>
        </is>
      </c>
      <c r="E102" t="inlineStr">
        <is>
          <t>SOLLEFTEÅ</t>
        </is>
      </c>
      <c r="G102" t="n">
        <v>9</v>
      </c>
      <c r="H102" t="n">
        <v>2</v>
      </c>
      <c r="I102" t="n">
        <v>0</v>
      </c>
      <c r="J102" t="n">
        <v>2</v>
      </c>
      <c r="K102" t="n">
        <v>0</v>
      </c>
      <c r="L102" t="n">
        <v>0</v>
      </c>
      <c r="M102" t="n">
        <v>0</v>
      </c>
      <c r="N102" t="n">
        <v>0</v>
      </c>
      <c r="O102" t="n">
        <v>2</v>
      </c>
      <c r="P102" t="n">
        <v>0</v>
      </c>
      <c r="Q102" t="n">
        <v>4</v>
      </c>
      <c r="R102" s="2" t="inlineStr">
        <is>
          <t>Garnlav
Lunglav
Fläcknycklar
Revlummer</t>
        </is>
      </c>
      <c r="S102">
        <f>HYPERLINK("https://klasma.github.io/Logging_2283/artfynd/A 53566-2023 artfynd.xlsx", "A 53566-2023")</f>
        <v/>
      </c>
      <c r="T102">
        <f>HYPERLINK("https://klasma.github.io/Logging_2283/kartor/A 53566-2023 karta.png", "A 53566-2023")</f>
        <v/>
      </c>
      <c r="V102">
        <f>HYPERLINK("https://klasma.github.io/Logging_2283/klagomål/A 53566-2023 FSC-klagomål.docx", "A 53566-2023")</f>
        <v/>
      </c>
      <c r="W102">
        <f>HYPERLINK("https://klasma.github.io/Logging_2283/klagomålsmail/A 53566-2023 FSC-klagomål mail.docx", "A 53566-2023")</f>
        <v/>
      </c>
      <c r="X102">
        <f>HYPERLINK("https://klasma.github.io/Logging_2283/tillsyn/A 53566-2023 tillsynsbegäran.docx", "A 53566-2023")</f>
        <v/>
      </c>
      <c r="Y102">
        <f>HYPERLINK("https://klasma.github.io/Logging_2283/tillsynsmail/A 53566-2023 tillsynsbegäran mail.docx", "A 53566-2023")</f>
        <v/>
      </c>
    </row>
    <row r="103" ht="15" customHeight="1">
      <c r="A103" t="inlineStr">
        <is>
          <t>A 56248-2023</t>
        </is>
      </c>
      <c r="B103" s="1" t="n">
        <v>45240</v>
      </c>
      <c r="C103" s="1" t="n">
        <v>45260</v>
      </c>
      <c r="D103" t="inlineStr">
        <is>
          <t>VÄSTERNORRLANDS LÄN</t>
        </is>
      </c>
      <c r="E103" t="inlineStr">
        <is>
          <t>SOLLEFTEÅ</t>
        </is>
      </c>
      <c r="F103" t="inlineStr">
        <is>
          <t>SCA</t>
        </is>
      </c>
      <c r="G103" t="n">
        <v>12.2</v>
      </c>
      <c r="H103" t="n">
        <v>3</v>
      </c>
      <c r="I103" t="n">
        <v>0</v>
      </c>
      <c r="J103" t="n">
        <v>3</v>
      </c>
      <c r="K103" t="n">
        <v>0</v>
      </c>
      <c r="L103" t="n">
        <v>0</v>
      </c>
      <c r="M103" t="n">
        <v>0</v>
      </c>
      <c r="N103" t="n">
        <v>0</v>
      </c>
      <c r="O103" t="n">
        <v>3</v>
      </c>
      <c r="P103" t="n">
        <v>0</v>
      </c>
      <c r="Q103" t="n">
        <v>4</v>
      </c>
      <c r="R103" s="2" t="inlineStr">
        <is>
          <t>Granticka
Mindre hackspett
Tretåig hackspett
Lavskrika</t>
        </is>
      </c>
      <c r="S103">
        <f>HYPERLINK("https://klasma.github.io/Logging_2283/artfynd/A 56248-2023 artfynd.xlsx", "A 56248-2023")</f>
        <v/>
      </c>
      <c r="T103">
        <f>HYPERLINK("https://klasma.github.io/Logging_2283/kartor/A 56248-2023 karta.png", "A 56248-2023")</f>
        <v/>
      </c>
      <c r="V103">
        <f>HYPERLINK("https://klasma.github.io/Logging_2283/klagomål/A 56248-2023 FSC-klagomål.docx", "A 56248-2023")</f>
        <v/>
      </c>
      <c r="W103">
        <f>HYPERLINK("https://klasma.github.io/Logging_2283/klagomålsmail/A 56248-2023 FSC-klagomål mail.docx", "A 56248-2023")</f>
        <v/>
      </c>
      <c r="X103">
        <f>HYPERLINK("https://klasma.github.io/Logging_2283/tillsyn/A 56248-2023 tillsynsbegäran.docx", "A 56248-2023")</f>
        <v/>
      </c>
      <c r="Y103">
        <f>HYPERLINK("https://klasma.github.io/Logging_2283/tillsynsmail/A 56248-2023 tillsynsbegäran mail.docx", "A 56248-2023")</f>
        <v/>
      </c>
    </row>
    <row r="104" ht="15" customHeight="1">
      <c r="A104" t="inlineStr">
        <is>
          <t>A 44334-2018</t>
        </is>
      </c>
      <c r="B104" s="1" t="n">
        <v>43360</v>
      </c>
      <c r="C104" s="1" t="n">
        <v>45260</v>
      </c>
      <c r="D104" t="inlineStr">
        <is>
          <t>VÄSTERNORRLANDS LÄN</t>
        </is>
      </c>
      <c r="E104" t="inlineStr">
        <is>
          <t>SOLLEFTEÅ</t>
        </is>
      </c>
      <c r="G104" t="n">
        <v>6.7</v>
      </c>
      <c r="H104" t="n">
        <v>0</v>
      </c>
      <c r="I104" t="n">
        <v>0</v>
      </c>
      <c r="J104" t="n">
        <v>2</v>
      </c>
      <c r="K104" t="n">
        <v>1</v>
      </c>
      <c r="L104" t="n">
        <v>0</v>
      </c>
      <c r="M104" t="n">
        <v>0</v>
      </c>
      <c r="N104" t="n">
        <v>0</v>
      </c>
      <c r="O104" t="n">
        <v>3</v>
      </c>
      <c r="P104" t="n">
        <v>1</v>
      </c>
      <c r="Q104" t="n">
        <v>3</v>
      </c>
      <c r="R104" s="2" t="inlineStr">
        <is>
          <t>Rynkskinn
Granticka
Ullticka</t>
        </is>
      </c>
      <c r="S104">
        <f>HYPERLINK("https://klasma.github.io/Logging_2283/artfynd/A 44334-2018 artfynd.xlsx", "A 44334-2018")</f>
        <v/>
      </c>
      <c r="T104">
        <f>HYPERLINK("https://klasma.github.io/Logging_2283/kartor/A 44334-2018 karta.png", "A 44334-2018")</f>
        <v/>
      </c>
      <c r="V104">
        <f>HYPERLINK("https://klasma.github.io/Logging_2283/klagomål/A 44334-2018 FSC-klagomål.docx", "A 44334-2018")</f>
        <v/>
      </c>
      <c r="W104">
        <f>HYPERLINK("https://klasma.github.io/Logging_2283/klagomålsmail/A 44334-2018 FSC-klagomål mail.docx", "A 44334-2018")</f>
        <v/>
      </c>
      <c r="X104">
        <f>HYPERLINK("https://klasma.github.io/Logging_2283/tillsyn/A 44334-2018 tillsynsbegäran.docx", "A 44334-2018")</f>
        <v/>
      </c>
      <c r="Y104">
        <f>HYPERLINK("https://klasma.github.io/Logging_2283/tillsynsmail/A 44334-2018 tillsynsbegäran mail.docx", "A 44334-2018")</f>
        <v/>
      </c>
    </row>
    <row r="105" ht="15" customHeight="1">
      <c r="A105" t="inlineStr">
        <is>
          <t>A 57649-2018</t>
        </is>
      </c>
      <c r="B105" s="1" t="n">
        <v>43404</v>
      </c>
      <c r="C105" s="1" t="n">
        <v>45260</v>
      </c>
      <c r="D105" t="inlineStr">
        <is>
          <t>VÄSTERNORRLANDS LÄN</t>
        </is>
      </c>
      <c r="E105" t="inlineStr">
        <is>
          <t>SOLLEFTEÅ</t>
        </is>
      </c>
      <c r="F105" t="inlineStr">
        <is>
          <t>SCA</t>
        </is>
      </c>
      <c r="G105" t="n">
        <v>4.2</v>
      </c>
      <c r="H105" t="n">
        <v>0</v>
      </c>
      <c r="I105" t="n">
        <v>0</v>
      </c>
      <c r="J105" t="n">
        <v>2</v>
      </c>
      <c r="K105" t="n">
        <v>1</v>
      </c>
      <c r="L105" t="n">
        <v>0</v>
      </c>
      <c r="M105" t="n">
        <v>0</v>
      </c>
      <c r="N105" t="n">
        <v>0</v>
      </c>
      <c r="O105" t="n">
        <v>3</v>
      </c>
      <c r="P105" t="n">
        <v>1</v>
      </c>
      <c r="Q105" t="n">
        <v>3</v>
      </c>
      <c r="R105" s="2" t="inlineStr">
        <is>
          <t>Läderlappslav
Stiftgelélav
Violettgrå tagellav</t>
        </is>
      </c>
      <c r="S105">
        <f>HYPERLINK("https://klasma.github.io/Logging_2283/artfynd/A 57649-2018 artfynd.xlsx", "A 57649-2018")</f>
        <v/>
      </c>
      <c r="T105">
        <f>HYPERLINK("https://klasma.github.io/Logging_2283/kartor/A 57649-2018 karta.png", "A 57649-2018")</f>
        <v/>
      </c>
      <c r="V105">
        <f>HYPERLINK("https://klasma.github.io/Logging_2283/klagomål/A 57649-2018 FSC-klagomål.docx", "A 57649-2018")</f>
        <v/>
      </c>
      <c r="W105">
        <f>HYPERLINK("https://klasma.github.io/Logging_2283/klagomålsmail/A 57649-2018 FSC-klagomål mail.docx", "A 57649-2018")</f>
        <v/>
      </c>
      <c r="X105">
        <f>HYPERLINK("https://klasma.github.io/Logging_2283/tillsyn/A 57649-2018 tillsynsbegäran.docx", "A 57649-2018")</f>
        <v/>
      </c>
      <c r="Y105">
        <f>HYPERLINK("https://klasma.github.io/Logging_2283/tillsynsmail/A 57649-2018 tillsynsbegäran mail.docx", "A 57649-2018")</f>
        <v/>
      </c>
    </row>
    <row r="106" ht="15" customHeight="1">
      <c r="A106" t="inlineStr">
        <is>
          <t>A 71518-2018</t>
        </is>
      </c>
      <c r="B106" s="1" t="n">
        <v>43454</v>
      </c>
      <c r="C106" s="1" t="n">
        <v>45260</v>
      </c>
      <c r="D106" t="inlineStr">
        <is>
          <t>VÄSTERNORRLANDS LÄN</t>
        </is>
      </c>
      <c r="E106" t="inlineStr">
        <is>
          <t>SOLLEFTEÅ</t>
        </is>
      </c>
      <c r="G106" t="n">
        <v>2</v>
      </c>
      <c r="H106" t="n">
        <v>0</v>
      </c>
      <c r="I106" t="n">
        <v>0</v>
      </c>
      <c r="J106" t="n">
        <v>3</v>
      </c>
      <c r="K106" t="n">
        <v>0</v>
      </c>
      <c r="L106" t="n">
        <v>0</v>
      </c>
      <c r="M106" t="n">
        <v>0</v>
      </c>
      <c r="N106" t="n">
        <v>0</v>
      </c>
      <c r="O106" t="n">
        <v>3</v>
      </c>
      <c r="P106" t="n">
        <v>0</v>
      </c>
      <c r="Q106" t="n">
        <v>3</v>
      </c>
      <c r="R106" s="2" t="inlineStr">
        <is>
          <t>Granticka
Rosenticka
Ullticka</t>
        </is>
      </c>
      <c r="S106">
        <f>HYPERLINK("https://klasma.github.io/Logging_2283/artfynd/A 71518-2018 artfynd.xlsx", "A 71518-2018")</f>
        <v/>
      </c>
      <c r="T106">
        <f>HYPERLINK("https://klasma.github.io/Logging_2283/kartor/A 71518-2018 karta.png", "A 71518-2018")</f>
        <v/>
      </c>
      <c r="V106">
        <f>HYPERLINK("https://klasma.github.io/Logging_2283/klagomål/A 71518-2018 FSC-klagomål.docx", "A 71518-2018")</f>
        <v/>
      </c>
      <c r="W106">
        <f>HYPERLINK("https://klasma.github.io/Logging_2283/klagomålsmail/A 71518-2018 FSC-klagomål mail.docx", "A 71518-2018")</f>
        <v/>
      </c>
      <c r="X106">
        <f>HYPERLINK("https://klasma.github.io/Logging_2283/tillsyn/A 71518-2018 tillsynsbegäran.docx", "A 71518-2018")</f>
        <v/>
      </c>
      <c r="Y106">
        <f>HYPERLINK("https://klasma.github.io/Logging_2283/tillsynsmail/A 71518-2018 tillsynsbegäran mail.docx", "A 71518-2018")</f>
        <v/>
      </c>
    </row>
    <row r="107" ht="15" customHeight="1">
      <c r="A107" t="inlineStr">
        <is>
          <t>A 55683-2019</t>
        </is>
      </c>
      <c r="B107" s="1" t="n">
        <v>43760</v>
      </c>
      <c r="C107" s="1" t="n">
        <v>45260</v>
      </c>
      <c r="D107" t="inlineStr">
        <is>
          <t>VÄSTERNORRLANDS LÄN</t>
        </is>
      </c>
      <c r="E107" t="inlineStr">
        <is>
          <t>SOLLEFTEÅ</t>
        </is>
      </c>
      <c r="F107" t="inlineStr">
        <is>
          <t>SCA</t>
        </is>
      </c>
      <c r="G107" t="n">
        <v>2.9</v>
      </c>
      <c r="H107" t="n">
        <v>0</v>
      </c>
      <c r="I107" t="n">
        <v>0</v>
      </c>
      <c r="J107" t="n">
        <v>2</v>
      </c>
      <c r="K107" t="n">
        <v>1</v>
      </c>
      <c r="L107" t="n">
        <v>0</v>
      </c>
      <c r="M107" t="n">
        <v>0</v>
      </c>
      <c r="N107" t="n">
        <v>0</v>
      </c>
      <c r="O107" t="n">
        <v>3</v>
      </c>
      <c r="P107" t="n">
        <v>1</v>
      </c>
      <c r="Q107" t="n">
        <v>3</v>
      </c>
      <c r="R107" s="2" t="inlineStr">
        <is>
          <t>Rynkskinn
Granticka
Rosenticka</t>
        </is>
      </c>
      <c r="S107">
        <f>HYPERLINK("https://klasma.github.io/Logging_2283/artfynd/A 55683-2019 artfynd.xlsx", "A 55683-2019")</f>
        <v/>
      </c>
      <c r="T107">
        <f>HYPERLINK("https://klasma.github.io/Logging_2283/kartor/A 55683-2019 karta.png", "A 55683-2019")</f>
        <v/>
      </c>
      <c r="V107">
        <f>HYPERLINK("https://klasma.github.io/Logging_2283/klagomål/A 55683-2019 FSC-klagomål.docx", "A 55683-2019")</f>
        <v/>
      </c>
      <c r="W107">
        <f>HYPERLINK("https://klasma.github.io/Logging_2283/klagomålsmail/A 55683-2019 FSC-klagomål mail.docx", "A 55683-2019")</f>
        <v/>
      </c>
      <c r="X107">
        <f>HYPERLINK("https://klasma.github.io/Logging_2283/tillsyn/A 55683-2019 tillsynsbegäran.docx", "A 55683-2019")</f>
        <v/>
      </c>
      <c r="Y107">
        <f>HYPERLINK("https://klasma.github.io/Logging_2283/tillsynsmail/A 55683-2019 tillsynsbegäran mail.docx", "A 55683-2019")</f>
        <v/>
      </c>
    </row>
    <row r="108" ht="15" customHeight="1">
      <c r="A108" t="inlineStr">
        <is>
          <t>A 24219-2020</t>
        </is>
      </c>
      <c r="B108" s="1" t="n">
        <v>43973</v>
      </c>
      <c r="C108" s="1" t="n">
        <v>45260</v>
      </c>
      <c r="D108" t="inlineStr">
        <is>
          <t>VÄSTERNORRLANDS LÄN</t>
        </is>
      </c>
      <c r="E108" t="inlineStr">
        <is>
          <t>SOLLEFTEÅ</t>
        </is>
      </c>
      <c r="G108" t="n">
        <v>11.9</v>
      </c>
      <c r="H108" t="n">
        <v>0</v>
      </c>
      <c r="I108" t="n">
        <v>0</v>
      </c>
      <c r="J108" t="n">
        <v>3</v>
      </c>
      <c r="K108" t="n">
        <v>0</v>
      </c>
      <c r="L108" t="n">
        <v>0</v>
      </c>
      <c r="M108" t="n">
        <v>0</v>
      </c>
      <c r="N108" t="n">
        <v>0</v>
      </c>
      <c r="O108" t="n">
        <v>3</v>
      </c>
      <c r="P108" t="n">
        <v>0</v>
      </c>
      <c r="Q108" t="n">
        <v>3</v>
      </c>
      <c r="R108" s="2" t="inlineStr">
        <is>
          <t>Garnlav
Lunglav
Rosenticka</t>
        </is>
      </c>
      <c r="S108">
        <f>HYPERLINK("https://klasma.github.io/Logging_2283/artfynd/A 24219-2020 artfynd.xlsx", "A 24219-2020")</f>
        <v/>
      </c>
      <c r="T108">
        <f>HYPERLINK("https://klasma.github.io/Logging_2283/kartor/A 24219-2020 karta.png", "A 24219-2020")</f>
        <v/>
      </c>
      <c r="V108">
        <f>HYPERLINK("https://klasma.github.io/Logging_2283/klagomål/A 24219-2020 FSC-klagomål.docx", "A 24219-2020")</f>
        <v/>
      </c>
      <c r="W108">
        <f>HYPERLINK("https://klasma.github.io/Logging_2283/klagomålsmail/A 24219-2020 FSC-klagomål mail.docx", "A 24219-2020")</f>
        <v/>
      </c>
      <c r="X108">
        <f>HYPERLINK("https://klasma.github.io/Logging_2283/tillsyn/A 24219-2020 tillsynsbegäran.docx", "A 24219-2020")</f>
        <v/>
      </c>
      <c r="Y108">
        <f>HYPERLINK("https://klasma.github.io/Logging_2283/tillsynsmail/A 24219-2020 tillsynsbegäran mail.docx", "A 24219-2020")</f>
        <v/>
      </c>
    </row>
    <row r="109" ht="15" customHeight="1">
      <c r="A109" t="inlineStr">
        <is>
          <t>A 31640-2020</t>
        </is>
      </c>
      <c r="B109" s="1" t="n">
        <v>44013</v>
      </c>
      <c r="C109" s="1" t="n">
        <v>45260</v>
      </c>
      <c r="D109" t="inlineStr">
        <is>
          <t>VÄSTERNORRLANDS LÄN</t>
        </is>
      </c>
      <c r="E109" t="inlineStr">
        <is>
          <t>SOLLEFTEÅ</t>
        </is>
      </c>
      <c r="F109" t="inlineStr">
        <is>
          <t>SCA</t>
        </is>
      </c>
      <c r="G109" t="n">
        <v>27.4</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HYPERLINK("https://klasma.github.io/Logging_2283/artfynd/A 31640-2020 artfynd.xlsx", "A 31640-2020")</f>
        <v/>
      </c>
      <c r="T109">
        <f>HYPERLINK("https://klasma.github.io/Logging_2283/kartor/A 31640-2020 karta.png", "A 31640-2020")</f>
        <v/>
      </c>
      <c r="V109">
        <f>HYPERLINK("https://klasma.github.io/Logging_2283/klagomål/A 31640-2020 FSC-klagomål.docx", "A 31640-2020")</f>
        <v/>
      </c>
      <c r="W109">
        <f>HYPERLINK("https://klasma.github.io/Logging_2283/klagomålsmail/A 31640-2020 FSC-klagomål mail.docx", "A 31640-2020")</f>
        <v/>
      </c>
      <c r="X109">
        <f>HYPERLINK("https://klasma.github.io/Logging_2283/tillsyn/A 31640-2020 tillsynsbegäran.docx", "A 31640-2020")</f>
        <v/>
      </c>
      <c r="Y109">
        <f>HYPERLINK("https://klasma.github.io/Logging_2283/tillsynsmail/A 31640-2020 tillsynsbegäran mail.docx", "A 31640-2020")</f>
        <v/>
      </c>
    </row>
    <row r="110" ht="15" customHeight="1">
      <c r="A110" t="inlineStr">
        <is>
          <t>A 44599-2021</t>
        </is>
      </c>
      <c r="B110" s="1" t="n">
        <v>44436</v>
      </c>
      <c r="C110" s="1" t="n">
        <v>45260</v>
      </c>
      <c r="D110" t="inlineStr">
        <is>
          <t>VÄSTERNORRLANDS LÄN</t>
        </is>
      </c>
      <c r="E110" t="inlineStr">
        <is>
          <t>SOLLEFTEÅ</t>
        </is>
      </c>
      <c r="F110" t="inlineStr">
        <is>
          <t>SCA</t>
        </is>
      </c>
      <c r="G110" t="n">
        <v>6.1</v>
      </c>
      <c r="H110" t="n">
        <v>0</v>
      </c>
      <c r="I110" t="n">
        <v>2</v>
      </c>
      <c r="J110" t="n">
        <v>1</v>
      </c>
      <c r="K110" t="n">
        <v>0</v>
      </c>
      <c r="L110" t="n">
        <v>0</v>
      </c>
      <c r="M110" t="n">
        <v>0</v>
      </c>
      <c r="N110" t="n">
        <v>0</v>
      </c>
      <c r="O110" t="n">
        <v>1</v>
      </c>
      <c r="P110" t="n">
        <v>0</v>
      </c>
      <c r="Q110" t="n">
        <v>3</v>
      </c>
      <c r="R110" s="2" t="inlineStr">
        <is>
          <t>Rosenticka
Strutbräken
Stuplav</t>
        </is>
      </c>
      <c r="S110">
        <f>HYPERLINK("https://klasma.github.io/Logging_2283/artfynd/A 44599-2021 artfynd.xlsx", "A 44599-2021")</f>
        <v/>
      </c>
      <c r="T110">
        <f>HYPERLINK("https://klasma.github.io/Logging_2283/kartor/A 44599-2021 karta.png", "A 44599-2021")</f>
        <v/>
      </c>
      <c r="V110">
        <f>HYPERLINK("https://klasma.github.io/Logging_2283/klagomål/A 44599-2021 FSC-klagomål.docx", "A 44599-2021")</f>
        <v/>
      </c>
      <c r="W110">
        <f>HYPERLINK("https://klasma.github.io/Logging_2283/klagomålsmail/A 44599-2021 FSC-klagomål mail.docx", "A 44599-2021")</f>
        <v/>
      </c>
      <c r="X110">
        <f>HYPERLINK("https://klasma.github.io/Logging_2283/tillsyn/A 44599-2021 tillsynsbegäran.docx", "A 44599-2021")</f>
        <v/>
      </c>
      <c r="Y110">
        <f>HYPERLINK("https://klasma.github.io/Logging_2283/tillsynsmail/A 44599-2021 tillsynsbegäran mail.docx", "A 44599-2021")</f>
        <v/>
      </c>
    </row>
    <row r="111" ht="15" customHeight="1">
      <c r="A111" t="inlineStr">
        <is>
          <t>A 61481-2021</t>
        </is>
      </c>
      <c r="B111" s="1" t="n">
        <v>44500</v>
      </c>
      <c r="C111" s="1" t="n">
        <v>45260</v>
      </c>
      <c r="D111" t="inlineStr">
        <is>
          <t>VÄSTERNORRLANDS LÄN</t>
        </is>
      </c>
      <c r="E111" t="inlineStr">
        <is>
          <t>SOLLEFTEÅ</t>
        </is>
      </c>
      <c r="F111" t="inlineStr">
        <is>
          <t>SCA</t>
        </is>
      </c>
      <c r="G111" t="n">
        <v>6.8</v>
      </c>
      <c r="H111" t="n">
        <v>0</v>
      </c>
      <c r="I111" t="n">
        <v>1</v>
      </c>
      <c r="J111" t="n">
        <v>2</v>
      </c>
      <c r="K111" t="n">
        <v>0</v>
      </c>
      <c r="L111" t="n">
        <v>0</v>
      </c>
      <c r="M111" t="n">
        <v>0</v>
      </c>
      <c r="N111" t="n">
        <v>0</v>
      </c>
      <c r="O111" t="n">
        <v>2</v>
      </c>
      <c r="P111" t="n">
        <v>0</v>
      </c>
      <c r="Q111" t="n">
        <v>3</v>
      </c>
      <c r="R111" s="2" t="inlineStr">
        <is>
          <t>Lunglav
Skrovellav
Kambräken</t>
        </is>
      </c>
      <c r="S111">
        <f>HYPERLINK("https://klasma.github.io/Logging_2283/artfynd/A 61481-2021 artfynd.xlsx", "A 61481-2021")</f>
        <v/>
      </c>
      <c r="T111">
        <f>HYPERLINK("https://klasma.github.io/Logging_2283/kartor/A 61481-2021 karta.png", "A 61481-2021")</f>
        <v/>
      </c>
      <c r="V111">
        <f>HYPERLINK("https://klasma.github.io/Logging_2283/klagomål/A 61481-2021 FSC-klagomål.docx", "A 61481-2021")</f>
        <v/>
      </c>
      <c r="W111">
        <f>HYPERLINK("https://klasma.github.io/Logging_2283/klagomålsmail/A 61481-2021 FSC-klagomål mail.docx", "A 61481-2021")</f>
        <v/>
      </c>
      <c r="X111">
        <f>HYPERLINK("https://klasma.github.io/Logging_2283/tillsyn/A 61481-2021 tillsynsbegäran.docx", "A 61481-2021")</f>
        <v/>
      </c>
      <c r="Y111">
        <f>HYPERLINK("https://klasma.github.io/Logging_2283/tillsynsmail/A 61481-2021 tillsynsbegäran mail.docx", "A 61481-2021")</f>
        <v/>
      </c>
    </row>
    <row r="112" ht="15" customHeight="1">
      <c r="A112" t="inlineStr">
        <is>
          <t>A 18012-2022</t>
        </is>
      </c>
      <c r="B112" s="1" t="n">
        <v>44683</v>
      </c>
      <c r="C112" s="1" t="n">
        <v>45260</v>
      </c>
      <c r="D112" t="inlineStr">
        <is>
          <t>VÄSTERNORRLANDS LÄN</t>
        </is>
      </c>
      <c r="E112" t="inlineStr">
        <is>
          <t>SOLLEFTEÅ</t>
        </is>
      </c>
      <c r="F112" t="inlineStr">
        <is>
          <t>SCA</t>
        </is>
      </c>
      <c r="G112" t="n">
        <v>1.7</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HYPERLINK("https://klasma.github.io/Logging_2283/artfynd/A 18012-2022 artfynd.xlsx", "A 18012-2022")</f>
        <v/>
      </c>
      <c r="T112">
        <f>HYPERLINK("https://klasma.github.io/Logging_2283/kartor/A 18012-2022 karta.png", "A 18012-2022")</f>
        <v/>
      </c>
      <c r="U112">
        <f>HYPERLINK("https://klasma.github.io/Logging_2283/knärot/A 18012-2022 karta knärot.png", "A 18012-2022")</f>
        <v/>
      </c>
      <c r="V112">
        <f>HYPERLINK("https://klasma.github.io/Logging_2283/klagomål/A 18012-2022 FSC-klagomål.docx", "A 18012-2022")</f>
        <v/>
      </c>
      <c r="W112">
        <f>HYPERLINK("https://klasma.github.io/Logging_2283/klagomålsmail/A 18012-2022 FSC-klagomål mail.docx", "A 18012-2022")</f>
        <v/>
      </c>
      <c r="X112">
        <f>HYPERLINK("https://klasma.github.io/Logging_2283/tillsyn/A 18012-2022 tillsynsbegäran.docx", "A 18012-2022")</f>
        <v/>
      </c>
      <c r="Y112">
        <f>HYPERLINK("https://klasma.github.io/Logging_2283/tillsynsmail/A 18012-2022 tillsynsbegäran mail.docx", "A 18012-2022")</f>
        <v/>
      </c>
    </row>
    <row r="113" ht="15" customHeight="1">
      <c r="A113" t="inlineStr">
        <is>
          <t>A 34528-2022</t>
        </is>
      </c>
      <c r="B113" s="1" t="n">
        <v>44792</v>
      </c>
      <c r="C113" s="1" t="n">
        <v>45260</v>
      </c>
      <c r="D113" t="inlineStr">
        <is>
          <t>VÄSTERNORRLANDS LÄN</t>
        </is>
      </c>
      <c r="E113" t="inlineStr">
        <is>
          <t>SOLLEFTEÅ</t>
        </is>
      </c>
      <c r="F113" t="inlineStr">
        <is>
          <t>SCA</t>
        </is>
      </c>
      <c r="G113" t="n">
        <v>1.8</v>
      </c>
      <c r="H113" t="n">
        <v>0</v>
      </c>
      <c r="I113" t="n">
        <v>0</v>
      </c>
      <c r="J113" t="n">
        <v>3</v>
      </c>
      <c r="K113" t="n">
        <v>0</v>
      </c>
      <c r="L113" t="n">
        <v>0</v>
      </c>
      <c r="M113" t="n">
        <v>0</v>
      </c>
      <c r="N113" t="n">
        <v>0</v>
      </c>
      <c r="O113" t="n">
        <v>3</v>
      </c>
      <c r="P113" t="n">
        <v>0</v>
      </c>
      <c r="Q113" t="n">
        <v>3</v>
      </c>
      <c r="R113" s="2" t="inlineStr">
        <is>
          <t>Garnlav
Mörk kolflarnlav
Rosenticka</t>
        </is>
      </c>
      <c r="S113">
        <f>HYPERLINK("https://klasma.github.io/Logging_2283/artfynd/A 34528-2022 artfynd.xlsx", "A 34528-2022")</f>
        <v/>
      </c>
      <c r="T113">
        <f>HYPERLINK("https://klasma.github.io/Logging_2283/kartor/A 34528-2022 karta.png", "A 34528-2022")</f>
        <v/>
      </c>
      <c r="V113">
        <f>HYPERLINK("https://klasma.github.io/Logging_2283/klagomål/A 34528-2022 FSC-klagomål.docx", "A 34528-2022")</f>
        <v/>
      </c>
      <c r="W113">
        <f>HYPERLINK("https://klasma.github.io/Logging_2283/klagomålsmail/A 34528-2022 FSC-klagomål mail.docx", "A 34528-2022")</f>
        <v/>
      </c>
      <c r="X113">
        <f>HYPERLINK("https://klasma.github.io/Logging_2283/tillsyn/A 34528-2022 tillsynsbegäran.docx", "A 34528-2022")</f>
        <v/>
      </c>
      <c r="Y113">
        <f>HYPERLINK("https://klasma.github.io/Logging_2283/tillsynsmail/A 34528-2022 tillsynsbegäran mail.docx", "A 34528-2022")</f>
        <v/>
      </c>
    </row>
    <row r="114" ht="15" customHeight="1">
      <c r="A114" t="inlineStr">
        <is>
          <t>A 20781-2023</t>
        </is>
      </c>
      <c r="B114" s="1" t="n">
        <v>45058</v>
      </c>
      <c r="C114" s="1" t="n">
        <v>45260</v>
      </c>
      <c r="D114" t="inlineStr">
        <is>
          <t>VÄSTERNORRLANDS LÄN</t>
        </is>
      </c>
      <c r="E114" t="inlineStr">
        <is>
          <t>SOLLEFTEÅ</t>
        </is>
      </c>
      <c r="F114" t="inlineStr">
        <is>
          <t>Kyrkan</t>
        </is>
      </c>
      <c r="G114" t="n">
        <v>11.1</v>
      </c>
      <c r="H114" t="n">
        <v>1</v>
      </c>
      <c r="I114" t="n">
        <v>0</v>
      </c>
      <c r="J114" t="n">
        <v>2</v>
      </c>
      <c r="K114" t="n">
        <v>1</v>
      </c>
      <c r="L114" t="n">
        <v>0</v>
      </c>
      <c r="M114" t="n">
        <v>0</v>
      </c>
      <c r="N114" t="n">
        <v>0</v>
      </c>
      <c r="O114" t="n">
        <v>3</v>
      </c>
      <c r="P114" t="n">
        <v>1</v>
      </c>
      <c r="Q114" t="n">
        <v>3</v>
      </c>
      <c r="R114" s="2" t="inlineStr">
        <is>
          <t>Knärot
Garnlav
Ullticka</t>
        </is>
      </c>
      <c r="S114">
        <f>HYPERLINK("https://klasma.github.io/Logging_2283/artfynd/A 20781-2023 artfynd.xlsx", "A 20781-2023")</f>
        <v/>
      </c>
      <c r="T114">
        <f>HYPERLINK("https://klasma.github.io/Logging_2283/kartor/A 20781-2023 karta.png", "A 20781-2023")</f>
        <v/>
      </c>
      <c r="U114">
        <f>HYPERLINK("https://klasma.github.io/Logging_2283/knärot/A 20781-2023 karta knärot.png", "A 20781-2023")</f>
        <v/>
      </c>
      <c r="V114">
        <f>HYPERLINK("https://klasma.github.io/Logging_2283/klagomål/A 20781-2023 FSC-klagomål.docx", "A 20781-2023")</f>
        <v/>
      </c>
      <c r="W114">
        <f>HYPERLINK("https://klasma.github.io/Logging_2283/klagomålsmail/A 20781-2023 FSC-klagomål mail.docx", "A 20781-2023")</f>
        <v/>
      </c>
      <c r="X114">
        <f>HYPERLINK("https://klasma.github.io/Logging_2283/tillsyn/A 20781-2023 tillsynsbegäran.docx", "A 20781-2023")</f>
        <v/>
      </c>
      <c r="Y114">
        <f>HYPERLINK("https://klasma.github.io/Logging_2283/tillsynsmail/A 20781-2023 tillsynsbegäran mail.docx", "A 20781-2023")</f>
        <v/>
      </c>
    </row>
    <row r="115" ht="15" customHeight="1">
      <c r="A115" t="inlineStr">
        <is>
          <t>A 21342-2023</t>
        </is>
      </c>
      <c r="B115" s="1" t="n">
        <v>45062</v>
      </c>
      <c r="C115" s="1" t="n">
        <v>45260</v>
      </c>
      <c r="D115" t="inlineStr">
        <is>
          <t>VÄSTERNORRLANDS LÄN</t>
        </is>
      </c>
      <c r="E115" t="inlineStr">
        <is>
          <t>SOLLEFTEÅ</t>
        </is>
      </c>
      <c r="F115" t="inlineStr">
        <is>
          <t>SCA</t>
        </is>
      </c>
      <c r="G115" t="n">
        <v>4.3</v>
      </c>
      <c r="H115" t="n">
        <v>1</v>
      </c>
      <c r="I115" t="n">
        <v>1</v>
      </c>
      <c r="J115" t="n">
        <v>2</v>
      </c>
      <c r="K115" t="n">
        <v>0</v>
      </c>
      <c r="L115" t="n">
        <v>0</v>
      </c>
      <c r="M115" t="n">
        <v>0</v>
      </c>
      <c r="N115" t="n">
        <v>0</v>
      </c>
      <c r="O115" t="n">
        <v>2</v>
      </c>
      <c r="P115" t="n">
        <v>0</v>
      </c>
      <c r="Q115" t="n">
        <v>3</v>
      </c>
      <c r="R115" s="2" t="inlineStr">
        <is>
          <t>Dvärgbägarlav
Kolflarnlav
Plattlummer</t>
        </is>
      </c>
      <c r="S115">
        <f>HYPERLINK("https://klasma.github.io/Logging_2283/artfynd/A 21342-2023 artfynd.xlsx", "A 21342-2023")</f>
        <v/>
      </c>
      <c r="T115">
        <f>HYPERLINK("https://klasma.github.io/Logging_2283/kartor/A 21342-2023 karta.png", "A 21342-2023")</f>
        <v/>
      </c>
      <c r="V115">
        <f>HYPERLINK("https://klasma.github.io/Logging_2283/klagomål/A 21342-2023 FSC-klagomål.docx", "A 21342-2023")</f>
        <v/>
      </c>
      <c r="W115">
        <f>HYPERLINK("https://klasma.github.io/Logging_2283/klagomålsmail/A 21342-2023 FSC-klagomål mail.docx", "A 21342-2023")</f>
        <v/>
      </c>
      <c r="X115">
        <f>HYPERLINK("https://klasma.github.io/Logging_2283/tillsyn/A 21342-2023 tillsynsbegäran.docx", "A 21342-2023")</f>
        <v/>
      </c>
      <c r="Y115">
        <f>HYPERLINK("https://klasma.github.io/Logging_2283/tillsynsmail/A 21342-2023 tillsynsbegäran mail.docx", "A 21342-2023")</f>
        <v/>
      </c>
    </row>
    <row r="116" ht="15" customHeight="1">
      <c r="A116" t="inlineStr">
        <is>
          <t>A 21343-2023</t>
        </is>
      </c>
      <c r="B116" s="1" t="n">
        <v>45062</v>
      </c>
      <c r="C116" s="1" t="n">
        <v>45260</v>
      </c>
      <c r="D116" t="inlineStr">
        <is>
          <t>VÄSTERNORRLANDS LÄN</t>
        </is>
      </c>
      <c r="E116" t="inlineStr">
        <is>
          <t>SOLLEFTEÅ</t>
        </is>
      </c>
      <c r="F116" t="inlineStr">
        <is>
          <t>SCA</t>
        </is>
      </c>
      <c r="G116" t="n">
        <v>4.8</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HYPERLINK("https://klasma.github.io/Logging_2283/artfynd/A 21343-2023 artfynd.xlsx", "A 21343-2023")</f>
        <v/>
      </c>
      <c r="T116">
        <f>HYPERLINK("https://klasma.github.io/Logging_2283/kartor/A 21343-2023 karta.png", "A 21343-2023")</f>
        <v/>
      </c>
      <c r="V116">
        <f>HYPERLINK("https://klasma.github.io/Logging_2283/klagomål/A 21343-2023 FSC-klagomål.docx", "A 21343-2023")</f>
        <v/>
      </c>
      <c r="W116">
        <f>HYPERLINK("https://klasma.github.io/Logging_2283/klagomålsmail/A 21343-2023 FSC-klagomål mail.docx", "A 21343-2023")</f>
        <v/>
      </c>
      <c r="X116">
        <f>HYPERLINK("https://klasma.github.io/Logging_2283/tillsyn/A 21343-2023 tillsynsbegäran.docx", "A 21343-2023")</f>
        <v/>
      </c>
      <c r="Y116">
        <f>HYPERLINK("https://klasma.github.io/Logging_2283/tillsynsmail/A 21343-2023 tillsynsbegäran mail.docx", "A 21343-2023")</f>
        <v/>
      </c>
    </row>
    <row r="117" ht="15" customHeight="1">
      <c r="A117" t="inlineStr">
        <is>
          <t>A 23782-2023</t>
        </is>
      </c>
      <c r="B117" s="1" t="n">
        <v>45077</v>
      </c>
      <c r="C117" s="1" t="n">
        <v>45260</v>
      </c>
      <c r="D117" t="inlineStr">
        <is>
          <t>VÄSTERNORRLANDS LÄN</t>
        </is>
      </c>
      <c r="E117" t="inlineStr">
        <is>
          <t>SOLLEFTEÅ</t>
        </is>
      </c>
      <c r="F117" t="inlineStr">
        <is>
          <t>SCA</t>
        </is>
      </c>
      <c r="G117" t="n">
        <v>6.3</v>
      </c>
      <c r="H117" t="n">
        <v>0</v>
      </c>
      <c r="I117" t="n">
        <v>2</v>
      </c>
      <c r="J117" t="n">
        <v>1</v>
      </c>
      <c r="K117" t="n">
        <v>0</v>
      </c>
      <c r="L117" t="n">
        <v>0</v>
      </c>
      <c r="M117" t="n">
        <v>0</v>
      </c>
      <c r="N117" t="n">
        <v>0</v>
      </c>
      <c r="O117" t="n">
        <v>1</v>
      </c>
      <c r="P117" t="n">
        <v>0</v>
      </c>
      <c r="Q117" t="n">
        <v>3</v>
      </c>
      <c r="R117" s="2" t="inlineStr">
        <is>
          <t>Garnlav
Bollvitmossa
Norrlandslav</t>
        </is>
      </c>
      <c r="S117">
        <f>HYPERLINK("https://klasma.github.io/Logging_2283/artfynd/A 23782-2023 artfynd.xlsx", "A 23782-2023")</f>
        <v/>
      </c>
      <c r="T117">
        <f>HYPERLINK("https://klasma.github.io/Logging_2283/kartor/A 23782-2023 karta.png", "A 23782-2023")</f>
        <v/>
      </c>
      <c r="V117">
        <f>HYPERLINK("https://klasma.github.io/Logging_2283/klagomål/A 23782-2023 FSC-klagomål.docx", "A 23782-2023")</f>
        <v/>
      </c>
      <c r="W117">
        <f>HYPERLINK("https://klasma.github.io/Logging_2283/klagomålsmail/A 23782-2023 FSC-klagomål mail.docx", "A 23782-2023")</f>
        <v/>
      </c>
      <c r="X117">
        <f>HYPERLINK("https://klasma.github.io/Logging_2283/tillsyn/A 23782-2023 tillsynsbegäran.docx", "A 23782-2023")</f>
        <v/>
      </c>
      <c r="Y117">
        <f>HYPERLINK("https://klasma.github.io/Logging_2283/tillsynsmail/A 23782-2023 tillsynsbegäran mail.docx", "A 23782-2023")</f>
        <v/>
      </c>
    </row>
    <row r="118" ht="15" customHeight="1">
      <c r="A118" t="inlineStr">
        <is>
          <t>A 26374-2023</t>
        </is>
      </c>
      <c r="B118" s="1" t="n">
        <v>45092</v>
      </c>
      <c r="C118" s="1" t="n">
        <v>45260</v>
      </c>
      <c r="D118" t="inlineStr">
        <is>
          <t>VÄSTERNORRLANDS LÄN</t>
        </is>
      </c>
      <c r="E118" t="inlineStr">
        <is>
          <t>SOLLEFTEÅ</t>
        </is>
      </c>
      <c r="F118" t="inlineStr">
        <is>
          <t>SCA</t>
        </is>
      </c>
      <c r="G118" t="n">
        <v>0.9</v>
      </c>
      <c r="H118" t="n">
        <v>0</v>
      </c>
      <c r="I118" t="n">
        <v>0</v>
      </c>
      <c r="J118" t="n">
        <v>2</v>
      </c>
      <c r="K118" t="n">
        <v>1</v>
      </c>
      <c r="L118" t="n">
        <v>0</v>
      </c>
      <c r="M118" t="n">
        <v>0</v>
      </c>
      <c r="N118" t="n">
        <v>0</v>
      </c>
      <c r="O118" t="n">
        <v>3</v>
      </c>
      <c r="P118" t="n">
        <v>1</v>
      </c>
      <c r="Q118" t="n">
        <v>3</v>
      </c>
      <c r="R118" s="2" t="inlineStr">
        <is>
          <t>Blackticka
Granticka
Ullticka</t>
        </is>
      </c>
      <c r="S118">
        <f>HYPERLINK("https://klasma.github.io/Logging_2283/artfynd/A 26374-2023 artfynd.xlsx", "A 26374-2023")</f>
        <v/>
      </c>
      <c r="T118">
        <f>HYPERLINK("https://klasma.github.io/Logging_2283/kartor/A 26374-2023 karta.png", "A 26374-2023")</f>
        <v/>
      </c>
      <c r="V118">
        <f>HYPERLINK("https://klasma.github.io/Logging_2283/klagomål/A 26374-2023 FSC-klagomål.docx", "A 26374-2023")</f>
        <v/>
      </c>
      <c r="W118">
        <f>HYPERLINK("https://klasma.github.io/Logging_2283/klagomålsmail/A 26374-2023 FSC-klagomål mail.docx", "A 26374-2023")</f>
        <v/>
      </c>
      <c r="X118">
        <f>HYPERLINK("https://klasma.github.io/Logging_2283/tillsyn/A 26374-2023 tillsynsbegäran.docx", "A 26374-2023")</f>
        <v/>
      </c>
      <c r="Y118">
        <f>HYPERLINK("https://klasma.github.io/Logging_2283/tillsynsmail/A 26374-2023 tillsynsbegäran mail.docx", "A 26374-2023")</f>
        <v/>
      </c>
    </row>
    <row r="119" ht="15" customHeight="1">
      <c r="A119" t="inlineStr">
        <is>
          <t>A 45006-2023</t>
        </is>
      </c>
      <c r="B119" s="1" t="n">
        <v>45190</v>
      </c>
      <c r="C119" s="1" t="n">
        <v>45260</v>
      </c>
      <c r="D119" t="inlineStr">
        <is>
          <t>VÄSTERNORRLANDS LÄN</t>
        </is>
      </c>
      <c r="E119" t="inlineStr">
        <is>
          <t>SOLLEFTEÅ</t>
        </is>
      </c>
      <c r="F119" t="inlineStr">
        <is>
          <t>SCA</t>
        </is>
      </c>
      <c r="G119" t="n">
        <v>5.1</v>
      </c>
      <c r="H119" t="n">
        <v>0</v>
      </c>
      <c r="I119" t="n">
        <v>0</v>
      </c>
      <c r="J119" t="n">
        <v>2</v>
      </c>
      <c r="K119" t="n">
        <v>1</v>
      </c>
      <c r="L119" t="n">
        <v>0</v>
      </c>
      <c r="M119" t="n">
        <v>0</v>
      </c>
      <c r="N119" t="n">
        <v>0</v>
      </c>
      <c r="O119" t="n">
        <v>3</v>
      </c>
      <c r="P119" t="n">
        <v>1</v>
      </c>
      <c r="Q119" t="n">
        <v>3</v>
      </c>
      <c r="R119" s="2" t="inlineStr">
        <is>
          <t>Rynkskinn
Gammelgransskål
Rosenticka</t>
        </is>
      </c>
      <c r="S119">
        <f>HYPERLINK("https://klasma.github.io/Logging_2283/artfynd/A 45006-2023 artfynd.xlsx", "A 45006-2023")</f>
        <v/>
      </c>
      <c r="T119">
        <f>HYPERLINK("https://klasma.github.io/Logging_2283/kartor/A 45006-2023 karta.png", "A 45006-2023")</f>
        <v/>
      </c>
      <c r="V119">
        <f>HYPERLINK("https://klasma.github.io/Logging_2283/klagomål/A 45006-2023 FSC-klagomål.docx", "A 45006-2023")</f>
        <v/>
      </c>
      <c r="W119">
        <f>HYPERLINK("https://klasma.github.io/Logging_2283/klagomålsmail/A 45006-2023 FSC-klagomål mail.docx", "A 45006-2023")</f>
        <v/>
      </c>
      <c r="X119">
        <f>HYPERLINK("https://klasma.github.io/Logging_2283/tillsyn/A 45006-2023 tillsynsbegäran.docx", "A 45006-2023")</f>
        <v/>
      </c>
      <c r="Y119">
        <f>HYPERLINK("https://klasma.github.io/Logging_2283/tillsynsmail/A 45006-2023 tillsynsbegäran mail.docx", "A 45006-2023")</f>
        <v/>
      </c>
    </row>
    <row r="120" ht="15" customHeight="1">
      <c r="A120" t="inlineStr">
        <is>
          <t>A 50838-2023</t>
        </is>
      </c>
      <c r="B120" s="1" t="n">
        <v>45217</v>
      </c>
      <c r="C120" s="1" t="n">
        <v>45260</v>
      </c>
      <c r="D120" t="inlineStr">
        <is>
          <t>VÄSTERNORRLANDS LÄN</t>
        </is>
      </c>
      <c r="E120" t="inlineStr">
        <is>
          <t>SOLLEFTEÅ</t>
        </is>
      </c>
      <c r="F120" t="inlineStr">
        <is>
          <t>SCA</t>
        </is>
      </c>
      <c r="G120" t="n">
        <v>2.1</v>
      </c>
      <c r="H120" t="n">
        <v>2</v>
      </c>
      <c r="I120" t="n">
        <v>0</v>
      </c>
      <c r="J120" t="n">
        <v>1</v>
      </c>
      <c r="K120" t="n">
        <v>2</v>
      </c>
      <c r="L120" t="n">
        <v>0</v>
      </c>
      <c r="M120" t="n">
        <v>0</v>
      </c>
      <c r="N120" t="n">
        <v>0</v>
      </c>
      <c r="O120" t="n">
        <v>3</v>
      </c>
      <c r="P120" t="n">
        <v>2</v>
      </c>
      <c r="Q120" t="n">
        <v>3</v>
      </c>
      <c r="R120" s="2" t="inlineStr">
        <is>
          <t>Doftticka
Knärot
Lunglav</t>
        </is>
      </c>
      <c r="S120">
        <f>HYPERLINK("https://klasma.github.io/Logging_2283/artfynd/A 50838-2023 artfynd.xlsx", "A 50838-2023")</f>
        <v/>
      </c>
      <c r="T120">
        <f>HYPERLINK("https://klasma.github.io/Logging_2283/kartor/A 50838-2023 karta.png", "A 50838-2023")</f>
        <v/>
      </c>
      <c r="U120">
        <f>HYPERLINK("https://klasma.github.io/Logging_2283/knärot/A 50838-2023 karta knärot.png", "A 50838-2023")</f>
        <v/>
      </c>
      <c r="V120">
        <f>HYPERLINK("https://klasma.github.io/Logging_2283/klagomål/A 50838-2023 FSC-klagomål.docx", "A 50838-2023")</f>
        <v/>
      </c>
      <c r="W120">
        <f>HYPERLINK("https://klasma.github.io/Logging_2283/klagomålsmail/A 50838-2023 FSC-klagomål mail.docx", "A 50838-2023")</f>
        <v/>
      </c>
      <c r="X120">
        <f>HYPERLINK("https://klasma.github.io/Logging_2283/tillsyn/A 50838-2023 tillsynsbegäran.docx", "A 50838-2023")</f>
        <v/>
      </c>
      <c r="Y120">
        <f>HYPERLINK("https://klasma.github.io/Logging_2283/tillsynsmail/A 50838-2023 tillsynsbegäran mail.docx", "A 50838-2023")</f>
        <v/>
      </c>
    </row>
    <row r="121" ht="15" customHeight="1">
      <c r="A121" t="inlineStr">
        <is>
          <t>A 52762-2023</t>
        </is>
      </c>
      <c r="B121" s="1" t="n">
        <v>45225</v>
      </c>
      <c r="C121" s="1" t="n">
        <v>45260</v>
      </c>
      <c r="D121" t="inlineStr">
        <is>
          <t>VÄSTERNORRLANDS LÄN</t>
        </is>
      </c>
      <c r="E121" t="inlineStr">
        <is>
          <t>SOLLEFTEÅ</t>
        </is>
      </c>
      <c r="F121" t="inlineStr">
        <is>
          <t>SCA</t>
        </is>
      </c>
      <c r="G121" t="n">
        <v>6.3</v>
      </c>
      <c r="H121" t="n">
        <v>1</v>
      </c>
      <c r="I121" t="n">
        <v>0</v>
      </c>
      <c r="J121" t="n">
        <v>2</v>
      </c>
      <c r="K121" t="n">
        <v>0</v>
      </c>
      <c r="L121" t="n">
        <v>0</v>
      </c>
      <c r="M121" t="n">
        <v>0</v>
      </c>
      <c r="N121" t="n">
        <v>0</v>
      </c>
      <c r="O121" t="n">
        <v>2</v>
      </c>
      <c r="P121" t="n">
        <v>0</v>
      </c>
      <c r="Q121" t="n">
        <v>3</v>
      </c>
      <c r="R121" s="2" t="inlineStr">
        <is>
          <t>Rosenticka
Ullticka
Fläcknycklar</t>
        </is>
      </c>
      <c r="S121">
        <f>HYPERLINK("https://klasma.github.io/Logging_2283/artfynd/A 52762-2023 artfynd.xlsx", "A 52762-2023")</f>
        <v/>
      </c>
      <c r="T121">
        <f>HYPERLINK("https://klasma.github.io/Logging_2283/kartor/A 52762-2023 karta.png", "A 52762-2023")</f>
        <v/>
      </c>
      <c r="V121">
        <f>HYPERLINK("https://klasma.github.io/Logging_2283/klagomål/A 52762-2023 FSC-klagomål.docx", "A 52762-2023")</f>
        <v/>
      </c>
      <c r="W121">
        <f>HYPERLINK("https://klasma.github.io/Logging_2283/klagomålsmail/A 52762-2023 FSC-klagomål mail.docx", "A 52762-2023")</f>
        <v/>
      </c>
      <c r="X121">
        <f>HYPERLINK("https://klasma.github.io/Logging_2283/tillsyn/A 52762-2023 tillsynsbegäran.docx", "A 52762-2023")</f>
        <v/>
      </c>
      <c r="Y121">
        <f>HYPERLINK("https://klasma.github.io/Logging_2283/tillsynsmail/A 52762-2023 tillsynsbegäran mail.docx", "A 52762-2023")</f>
        <v/>
      </c>
    </row>
    <row r="122" ht="15" customHeight="1">
      <c r="A122" t="inlineStr">
        <is>
          <t>A 58579-2018</t>
        </is>
      </c>
      <c r="B122" s="1" t="n">
        <v>43409</v>
      </c>
      <c r="C122" s="1" t="n">
        <v>45260</v>
      </c>
      <c r="D122" t="inlineStr">
        <is>
          <t>VÄSTERNORRLANDS LÄN</t>
        </is>
      </c>
      <c r="E122" t="inlineStr">
        <is>
          <t>SOLLEFTEÅ</t>
        </is>
      </c>
      <c r="G122" t="n">
        <v>2.3</v>
      </c>
      <c r="H122" t="n">
        <v>0</v>
      </c>
      <c r="I122" t="n">
        <v>0</v>
      </c>
      <c r="J122" t="n">
        <v>2</v>
      </c>
      <c r="K122" t="n">
        <v>0</v>
      </c>
      <c r="L122" t="n">
        <v>0</v>
      </c>
      <c r="M122" t="n">
        <v>0</v>
      </c>
      <c r="N122" t="n">
        <v>0</v>
      </c>
      <c r="O122" t="n">
        <v>2</v>
      </c>
      <c r="P122" t="n">
        <v>0</v>
      </c>
      <c r="Q122" t="n">
        <v>2</v>
      </c>
      <c r="R122" s="2" t="inlineStr">
        <is>
          <t>Garnlav
Ullticka</t>
        </is>
      </c>
      <c r="S122">
        <f>HYPERLINK("https://klasma.github.io/Logging_2283/artfynd/A 58579-2018 artfynd.xlsx", "A 58579-2018")</f>
        <v/>
      </c>
      <c r="T122">
        <f>HYPERLINK("https://klasma.github.io/Logging_2283/kartor/A 58579-2018 karta.png", "A 58579-2018")</f>
        <v/>
      </c>
      <c r="V122">
        <f>HYPERLINK("https://klasma.github.io/Logging_2283/klagomål/A 58579-2018 FSC-klagomål.docx", "A 58579-2018")</f>
        <v/>
      </c>
      <c r="W122">
        <f>HYPERLINK("https://klasma.github.io/Logging_2283/klagomålsmail/A 58579-2018 FSC-klagomål mail.docx", "A 58579-2018")</f>
        <v/>
      </c>
      <c r="X122">
        <f>HYPERLINK("https://klasma.github.io/Logging_2283/tillsyn/A 58579-2018 tillsynsbegäran.docx", "A 58579-2018")</f>
        <v/>
      </c>
      <c r="Y122">
        <f>HYPERLINK("https://klasma.github.io/Logging_2283/tillsynsmail/A 58579-2018 tillsynsbegäran mail.docx", "A 58579-2018")</f>
        <v/>
      </c>
    </row>
    <row r="123" ht="15" customHeight="1">
      <c r="A123" t="inlineStr">
        <is>
          <t>A 3782-2019</t>
        </is>
      </c>
      <c r="B123" s="1" t="n">
        <v>43481</v>
      </c>
      <c r="C123" s="1" t="n">
        <v>45260</v>
      </c>
      <c r="D123" t="inlineStr">
        <is>
          <t>VÄSTERNORRLANDS LÄN</t>
        </is>
      </c>
      <c r="E123" t="inlineStr">
        <is>
          <t>SOLLEFTEÅ</t>
        </is>
      </c>
      <c r="F123" t="inlineStr">
        <is>
          <t>SCA</t>
        </is>
      </c>
      <c r="G123" t="n">
        <v>3.7</v>
      </c>
      <c r="H123" t="n">
        <v>2</v>
      </c>
      <c r="I123" t="n">
        <v>0</v>
      </c>
      <c r="J123" t="n">
        <v>2</v>
      </c>
      <c r="K123" t="n">
        <v>0</v>
      </c>
      <c r="L123" t="n">
        <v>0</v>
      </c>
      <c r="M123" t="n">
        <v>0</v>
      </c>
      <c r="N123" t="n">
        <v>0</v>
      </c>
      <c r="O123" t="n">
        <v>2</v>
      </c>
      <c r="P123" t="n">
        <v>0</v>
      </c>
      <c r="Q123" t="n">
        <v>2</v>
      </c>
      <c r="R123" s="2" t="inlineStr">
        <is>
          <t>Drillsnäppa
Rödvingetrast</t>
        </is>
      </c>
      <c r="S123">
        <f>HYPERLINK("https://klasma.github.io/Logging_2283/artfynd/A 3782-2019 artfynd.xlsx", "A 3782-2019")</f>
        <v/>
      </c>
      <c r="T123">
        <f>HYPERLINK("https://klasma.github.io/Logging_2283/kartor/A 3782-2019 karta.png", "A 3782-2019")</f>
        <v/>
      </c>
      <c r="V123">
        <f>HYPERLINK("https://klasma.github.io/Logging_2283/klagomål/A 3782-2019 FSC-klagomål.docx", "A 3782-2019")</f>
        <v/>
      </c>
      <c r="W123">
        <f>HYPERLINK("https://klasma.github.io/Logging_2283/klagomålsmail/A 3782-2019 FSC-klagomål mail.docx", "A 3782-2019")</f>
        <v/>
      </c>
      <c r="X123">
        <f>HYPERLINK("https://klasma.github.io/Logging_2283/tillsyn/A 3782-2019 tillsynsbegäran.docx", "A 3782-2019")</f>
        <v/>
      </c>
      <c r="Y123">
        <f>HYPERLINK("https://klasma.github.io/Logging_2283/tillsynsmail/A 3782-2019 tillsynsbegäran mail.docx", "A 3782-2019")</f>
        <v/>
      </c>
    </row>
    <row r="124" ht="15" customHeight="1">
      <c r="A124" t="inlineStr">
        <is>
          <t>A 34918-2019</t>
        </is>
      </c>
      <c r="B124" s="1" t="n">
        <v>43658</v>
      </c>
      <c r="C124" s="1" t="n">
        <v>45260</v>
      </c>
      <c r="D124" t="inlineStr">
        <is>
          <t>VÄSTERNORRLANDS LÄN</t>
        </is>
      </c>
      <c r="E124" t="inlineStr">
        <is>
          <t>SOLLEFTEÅ</t>
        </is>
      </c>
      <c r="G124" t="n">
        <v>2.7</v>
      </c>
      <c r="H124" t="n">
        <v>0</v>
      </c>
      <c r="I124" t="n">
        <v>0</v>
      </c>
      <c r="J124" t="n">
        <v>2</v>
      </c>
      <c r="K124" t="n">
        <v>0</v>
      </c>
      <c r="L124" t="n">
        <v>0</v>
      </c>
      <c r="M124" t="n">
        <v>0</v>
      </c>
      <c r="N124" t="n">
        <v>0</v>
      </c>
      <c r="O124" t="n">
        <v>2</v>
      </c>
      <c r="P124" t="n">
        <v>0</v>
      </c>
      <c r="Q124" t="n">
        <v>2</v>
      </c>
      <c r="R124" s="2" t="inlineStr">
        <is>
          <t>Granticka
Ullticka</t>
        </is>
      </c>
      <c r="S124">
        <f>HYPERLINK("https://klasma.github.io/Logging_2283/artfynd/A 34918-2019 artfynd.xlsx", "A 34918-2019")</f>
        <v/>
      </c>
      <c r="T124">
        <f>HYPERLINK("https://klasma.github.io/Logging_2283/kartor/A 34918-2019 karta.png", "A 34918-2019")</f>
        <v/>
      </c>
      <c r="V124">
        <f>HYPERLINK("https://klasma.github.io/Logging_2283/klagomål/A 34918-2019 FSC-klagomål.docx", "A 34918-2019")</f>
        <v/>
      </c>
      <c r="W124">
        <f>HYPERLINK("https://klasma.github.io/Logging_2283/klagomålsmail/A 34918-2019 FSC-klagomål mail.docx", "A 34918-2019")</f>
        <v/>
      </c>
      <c r="X124">
        <f>HYPERLINK("https://klasma.github.io/Logging_2283/tillsyn/A 34918-2019 tillsynsbegäran.docx", "A 34918-2019")</f>
        <v/>
      </c>
      <c r="Y124">
        <f>HYPERLINK("https://klasma.github.io/Logging_2283/tillsynsmail/A 34918-2019 tillsynsbegäran mail.docx", "A 34918-2019")</f>
        <v/>
      </c>
    </row>
    <row r="125" ht="15" customHeight="1">
      <c r="A125" t="inlineStr">
        <is>
          <t>A 66366-2019</t>
        </is>
      </c>
      <c r="B125" s="1" t="n">
        <v>43808</v>
      </c>
      <c r="C125" s="1" t="n">
        <v>45260</v>
      </c>
      <c r="D125" t="inlineStr">
        <is>
          <t>VÄSTERNORRLANDS LÄN</t>
        </is>
      </c>
      <c r="E125" t="inlineStr">
        <is>
          <t>SOLLEFTEÅ</t>
        </is>
      </c>
      <c r="G125" t="n">
        <v>2.9</v>
      </c>
      <c r="H125" t="n">
        <v>0</v>
      </c>
      <c r="I125" t="n">
        <v>1</v>
      </c>
      <c r="J125" t="n">
        <v>1</v>
      </c>
      <c r="K125" t="n">
        <v>0</v>
      </c>
      <c r="L125" t="n">
        <v>0</v>
      </c>
      <c r="M125" t="n">
        <v>0</v>
      </c>
      <c r="N125" t="n">
        <v>0</v>
      </c>
      <c r="O125" t="n">
        <v>1</v>
      </c>
      <c r="P125" t="n">
        <v>0</v>
      </c>
      <c r="Q125" t="n">
        <v>2</v>
      </c>
      <c r="R125" s="2" t="inlineStr">
        <is>
          <t>Lunglav
Stor aspticka</t>
        </is>
      </c>
      <c r="S125">
        <f>HYPERLINK("https://klasma.github.io/Logging_2283/artfynd/A 66366-2019 artfynd.xlsx", "A 66366-2019")</f>
        <v/>
      </c>
      <c r="T125">
        <f>HYPERLINK("https://klasma.github.io/Logging_2283/kartor/A 66366-2019 karta.png", "A 66366-2019")</f>
        <v/>
      </c>
      <c r="V125">
        <f>HYPERLINK("https://klasma.github.io/Logging_2283/klagomål/A 66366-2019 FSC-klagomål.docx", "A 66366-2019")</f>
        <v/>
      </c>
      <c r="W125">
        <f>HYPERLINK("https://klasma.github.io/Logging_2283/klagomålsmail/A 66366-2019 FSC-klagomål mail.docx", "A 66366-2019")</f>
        <v/>
      </c>
      <c r="X125">
        <f>HYPERLINK("https://klasma.github.io/Logging_2283/tillsyn/A 66366-2019 tillsynsbegäran.docx", "A 66366-2019")</f>
        <v/>
      </c>
      <c r="Y125">
        <f>HYPERLINK("https://klasma.github.io/Logging_2283/tillsynsmail/A 66366-2019 tillsynsbegäran mail.docx", "A 66366-2019")</f>
        <v/>
      </c>
    </row>
    <row r="126" ht="15" customHeight="1">
      <c r="A126" t="inlineStr">
        <is>
          <t>A 5314-2020</t>
        </is>
      </c>
      <c r="B126" s="1" t="n">
        <v>43857</v>
      </c>
      <c r="C126" s="1" t="n">
        <v>45260</v>
      </c>
      <c r="D126" t="inlineStr">
        <is>
          <t>VÄSTERNORRLANDS LÄN</t>
        </is>
      </c>
      <c r="E126" t="inlineStr">
        <is>
          <t>SOLLEFTEÅ</t>
        </is>
      </c>
      <c r="G126" t="n">
        <v>1.1</v>
      </c>
      <c r="H126" t="n">
        <v>0</v>
      </c>
      <c r="I126" t="n">
        <v>0</v>
      </c>
      <c r="J126" t="n">
        <v>2</v>
      </c>
      <c r="K126" t="n">
        <v>0</v>
      </c>
      <c r="L126" t="n">
        <v>0</v>
      </c>
      <c r="M126" t="n">
        <v>0</v>
      </c>
      <c r="N126" t="n">
        <v>0</v>
      </c>
      <c r="O126" t="n">
        <v>2</v>
      </c>
      <c r="P126" t="n">
        <v>0</v>
      </c>
      <c r="Q126" t="n">
        <v>2</v>
      </c>
      <c r="R126" s="2" t="inlineStr">
        <is>
          <t>Kolflarnlav
Vedskivlav</t>
        </is>
      </c>
      <c r="S126">
        <f>HYPERLINK("https://klasma.github.io/Logging_2283/artfynd/A 5314-2020 artfynd.xlsx", "A 5314-2020")</f>
        <v/>
      </c>
      <c r="T126">
        <f>HYPERLINK("https://klasma.github.io/Logging_2283/kartor/A 5314-2020 karta.png", "A 5314-2020")</f>
        <v/>
      </c>
      <c r="V126">
        <f>HYPERLINK("https://klasma.github.io/Logging_2283/klagomål/A 5314-2020 FSC-klagomål.docx", "A 5314-2020")</f>
        <v/>
      </c>
      <c r="W126">
        <f>HYPERLINK("https://klasma.github.io/Logging_2283/klagomålsmail/A 5314-2020 FSC-klagomål mail.docx", "A 5314-2020")</f>
        <v/>
      </c>
      <c r="X126">
        <f>HYPERLINK("https://klasma.github.io/Logging_2283/tillsyn/A 5314-2020 tillsynsbegäran.docx", "A 5314-2020")</f>
        <v/>
      </c>
      <c r="Y126">
        <f>HYPERLINK("https://klasma.github.io/Logging_2283/tillsynsmail/A 5314-2020 tillsynsbegäran mail.docx", "A 5314-2020")</f>
        <v/>
      </c>
    </row>
    <row r="127" ht="15" customHeight="1">
      <c r="A127" t="inlineStr">
        <is>
          <t>A 29505-2020</t>
        </is>
      </c>
      <c r="B127" s="1" t="n">
        <v>44004</v>
      </c>
      <c r="C127" s="1" t="n">
        <v>45260</v>
      </c>
      <c r="D127" t="inlineStr">
        <is>
          <t>VÄSTERNORRLANDS LÄN</t>
        </is>
      </c>
      <c r="E127" t="inlineStr">
        <is>
          <t>SOLLEFTEÅ</t>
        </is>
      </c>
      <c r="F127" t="inlineStr">
        <is>
          <t>SCA</t>
        </is>
      </c>
      <c r="G127" t="n">
        <v>1.9</v>
      </c>
      <c r="H127" t="n">
        <v>0</v>
      </c>
      <c r="I127" t="n">
        <v>1</v>
      </c>
      <c r="J127" t="n">
        <v>1</v>
      </c>
      <c r="K127" t="n">
        <v>0</v>
      </c>
      <c r="L127" t="n">
        <v>0</v>
      </c>
      <c r="M127" t="n">
        <v>0</v>
      </c>
      <c r="N127" t="n">
        <v>0</v>
      </c>
      <c r="O127" t="n">
        <v>1</v>
      </c>
      <c r="P127" t="n">
        <v>0</v>
      </c>
      <c r="Q127" t="n">
        <v>2</v>
      </c>
      <c r="R127" s="2" t="inlineStr">
        <is>
          <t>Lunglav
Bårdlav</t>
        </is>
      </c>
      <c r="S127">
        <f>HYPERLINK("https://klasma.github.io/Logging_2283/artfynd/A 29505-2020 artfynd.xlsx", "A 29505-2020")</f>
        <v/>
      </c>
      <c r="T127">
        <f>HYPERLINK("https://klasma.github.io/Logging_2283/kartor/A 29505-2020 karta.png", "A 29505-2020")</f>
        <v/>
      </c>
      <c r="V127">
        <f>HYPERLINK("https://klasma.github.io/Logging_2283/klagomål/A 29505-2020 FSC-klagomål.docx", "A 29505-2020")</f>
        <v/>
      </c>
      <c r="W127">
        <f>HYPERLINK("https://klasma.github.io/Logging_2283/klagomålsmail/A 29505-2020 FSC-klagomål mail.docx", "A 29505-2020")</f>
        <v/>
      </c>
      <c r="X127">
        <f>HYPERLINK("https://klasma.github.io/Logging_2283/tillsyn/A 29505-2020 tillsynsbegäran.docx", "A 29505-2020")</f>
        <v/>
      </c>
      <c r="Y127">
        <f>HYPERLINK("https://klasma.github.io/Logging_2283/tillsynsmail/A 29505-2020 tillsynsbegäran mail.docx", "A 29505-2020")</f>
        <v/>
      </c>
    </row>
    <row r="128" ht="15" customHeight="1">
      <c r="A128" t="inlineStr">
        <is>
          <t>A 34085-2020</t>
        </is>
      </c>
      <c r="B128" s="1" t="n">
        <v>44028</v>
      </c>
      <c r="C128" s="1" t="n">
        <v>45260</v>
      </c>
      <c r="D128" t="inlineStr">
        <is>
          <t>VÄSTERNORRLANDS LÄN</t>
        </is>
      </c>
      <c r="E128" t="inlineStr">
        <is>
          <t>SOLLEFTEÅ</t>
        </is>
      </c>
      <c r="F128" t="inlineStr">
        <is>
          <t>SCA</t>
        </is>
      </c>
      <c r="G128" t="n">
        <v>3.7</v>
      </c>
      <c r="H128" t="n">
        <v>1</v>
      </c>
      <c r="I128" t="n">
        <v>0</v>
      </c>
      <c r="J128" t="n">
        <v>1</v>
      </c>
      <c r="K128" t="n">
        <v>1</v>
      </c>
      <c r="L128" t="n">
        <v>0</v>
      </c>
      <c r="M128" t="n">
        <v>0</v>
      </c>
      <c r="N128" t="n">
        <v>0</v>
      </c>
      <c r="O128" t="n">
        <v>2</v>
      </c>
      <c r="P128" t="n">
        <v>1</v>
      </c>
      <c r="Q128" t="n">
        <v>2</v>
      </c>
      <c r="R128" s="2" t="inlineStr">
        <is>
          <t>Knärot
Lunglav</t>
        </is>
      </c>
      <c r="S128">
        <f>HYPERLINK("https://klasma.github.io/Logging_2283/artfynd/A 34085-2020 artfynd.xlsx", "A 34085-2020")</f>
        <v/>
      </c>
      <c r="T128">
        <f>HYPERLINK("https://klasma.github.io/Logging_2283/kartor/A 34085-2020 karta.png", "A 34085-2020")</f>
        <v/>
      </c>
      <c r="U128">
        <f>HYPERLINK("https://klasma.github.io/Logging_2283/knärot/A 34085-2020 karta knärot.png", "A 34085-2020")</f>
        <v/>
      </c>
      <c r="V128">
        <f>HYPERLINK("https://klasma.github.io/Logging_2283/klagomål/A 34085-2020 FSC-klagomål.docx", "A 34085-2020")</f>
        <v/>
      </c>
      <c r="W128">
        <f>HYPERLINK("https://klasma.github.io/Logging_2283/klagomålsmail/A 34085-2020 FSC-klagomål mail.docx", "A 34085-2020")</f>
        <v/>
      </c>
      <c r="X128">
        <f>HYPERLINK("https://klasma.github.io/Logging_2283/tillsyn/A 34085-2020 tillsynsbegäran.docx", "A 34085-2020")</f>
        <v/>
      </c>
      <c r="Y128">
        <f>HYPERLINK("https://klasma.github.io/Logging_2283/tillsynsmail/A 34085-2020 tillsynsbegäran mail.docx", "A 34085-2020")</f>
        <v/>
      </c>
    </row>
    <row r="129" ht="15" customHeight="1">
      <c r="A129" t="inlineStr">
        <is>
          <t>A 2309-2021</t>
        </is>
      </c>
      <c r="B129" s="1" t="n">
        <v>44213</v>
      </c>
      <c r="C129" s="1" t="n">
        <v>45260</v>
      </c>
      <c r="D129" t="inlineStr">
        <is>
          <t>VÄSTERNORRLANDS LÄN</t>
        </is>
      </c>
      <c r="E129" t="inlineStr">
        <is>
          <t>SOLLEFTEÅ</t>
        </is>
      </c>
      <c r="G129" t="n">
        <v>2.1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HYPERLINK("https://klasma.github.io/Logging_2283/artfynd/A 2309-2021 artfynd.xlsx", "A 2309-2021")</f>
        <v/>
      </c>
      <c r="T129">
        <f>HYPERLINK("https://klasma.github.io/Logging_2283/kartor/A 2309-2021 karta.png", "A 2309-2021")</f>
        <v/>
      </c>
      <c r="V129">
        <f>HYPERLINK("https://klasma.github.io/Logging_2283/klagomål/A 2309-2021 FSC-klagomål.docx", "A 2309-2021")</f>
        <v/>
      </c>
      <c r="W129">
        <f>HYPERLINK("https://klasma.github.io/Logging_2283/klagomålsmail/A 2309-2021 FSC-klagomål mail.docx", "A 2309-2021")</f>
        <v/>
      </c>
      <c r="X129">
        <f>HYPERLINK("https://klasma.github.io/Logging_2283/tillsyn/A 2309-2021 tillsynsbegäran.docx", "A 2309-2021")</f>
        <v/>
      </c>
      <c r="Y129">
        <f>HYPERLINK("https://klasma.github.io/Logging_2283/tillsynsmail/A 2309-2021 tillsynsbegäran mail.docx", "A 2309-2021")</f>
        <v/>
      </c>
    </row>
    <row r="130" ht="15" customHeight="1">
      <c r="A130" t="inlineStr">
        <is>
          <t>A 20836-2021</t>
        </is>
      </c>
      <c r="B130" s="1" t="n">
        <v>44318</v>
      </c>
      <c r="C130" s="1" t="n">
        <v>45260</v>
      </c>
      <c r="D130" t="inlineStr">
        <is>
          <t>VÄSTERNORRLANDS LÄN</t>
        </is>
      </c>
      <c r="E130" t="inlineStr">
        <is>
          <t>SOLLEFTEÅ</t>
        </is>
      </c>
      <c r="F130" t="inlineStr">
        <is>
          <t>SCA</t>
        </is>
      </c>
      <c r="G130" t="n">
        <v>4.8</v>
      </c>
      <c r="H130" t="n">
        <v>1</v>
      </c>
      <c r="I130" t="n">
        <v>0</v>
      </c>
      <c r="J130" t="n">
        <v>2</v>
      </c>
      <c r="K130" t="n">
        <v>0</v>
      </c>
      <c r="L130" t="n">
        <v>0</v>
      </c>
      <c r="M130" t="n">
        <v>0</v>
      </c>
      <c r="N130" t="n">
        <v>0</v>
      </c>
      <c r="O130" t="n">
        <v>2</v>
      </c>
      <c r="P130" t="n">
        <v>0</v>
      </c>
      <c r="Q130" t="n">
        <v>2</v>
      </c>
      <c r="R130" s="2" t="inlineStr">
        <is>
          <t>Garnlav
Talltita</t>
        </is>
      </c>
      <c r="S130">
        <f>HYPERLINK("https://klasma.github.io/Logging_2283/artfynd/A 20836-2021 artfynd.xlsx", "A 20836-2021")</f>
        <v/>
      </c>
      <c r="T130">
        <f>HYPERLINK("https://klasma.github.io/Logging_2283/kartor/A 20836-2021 karta.png", "A 20836-2021")</f>
        <v/>
      </c>
      <c r="V130">
        <f>HYPERLINK("https://klasma.github.io/Logging_2283/klagomål/A 20836-2021 FSC-klagomål.docx", "A 20836-2021")</f>
        <v/>
      </c>
      <c r="W130">
        <f>HYPERLINK("https://klasma.github.io/Logging_2283/klagomålsmail/A 20836-2021 FSC-klagomål mail.docx", "A 20836-2021")</f>
        <v/>
      </c>
      <c r="X130">
        <f>HYPERLINK("https://klasma.github.io/Logging_2283/tillsyn/A 20836-2021 tillsynsbegäran.docx", "A 20836-2021")</f>
        <v/>
      </c>
      <c r="Y130">
        <f>HYPERLINK("https://klasma.github.io/Logging_2283/tillsynsmail/A 20836-2021 tillsynsbegäran mail.docx", "A 20836-2021")</f>
        <v/>
      </c>
    </row>
    <row r="131" ht="15" customHeight="1">
      <c r="A131" t="inlineStr">
        <is>
          <t>A 27983-2021</t>
        </is>
      </c>
      <c r="B131" s="1" t="n">
        <v>44354</v>
      </c>
      <c r="C131" s="1" t="n">
        <v>45260</v>
      </c>
      <c r="D131" t="inlineStr">
        <is>
          <t>VÄSTERNORRLANDS LÄN</t>
        </is>
      </c>
      <c r="E131" t="inlineStr">
        <is>
          <t>SOLLEFTEÅ</t>
        </is>
      </c>
      <c r="F131" t="inlineStr">
        <is>
          <t>SCA</t>
        </is>
      </c>
      <c r="G131" t="n">
        <v>5.4</v>
      </c>
      <c r="H131" t="n">
        <v>0</v>
      </c>
      <c r="I131" t="n">
        <v>0</v>
      </c>
      <c r="J131" t="n">
        <v>2</v>
      </c>
      <c r="K131" t="n">
        <v>0</v>
      </c>
      <c r="L131" t="n">
        <v>0</v>
      </c>
      <c r="M131" t="n">
        <v>0</v>
      </c>
      <c r="N131" t="n">
        <v>0</v>
      </c>
      <c r="O131" t="n">
        <v>2</v>
      </c>
      <c r="P131" t="n">
        <v>0</v>
      </c>
      <c r="Q131" t="n">
        <v>2</v>
      </c>
      <c r="R131" s="2" t="inlineStr">
        <is>
          <t>Rosenticka
Ullticka</t>
        </is>
      </c>
      <c r="S131">
        <f>HYPERLINK("https://klasma.github.io/Logging_2283/artfynd/A 27983-2021 artfynd.xlsx", "A 27983-2021")</f>
        <v/>
      </c>
      <c r="T131">
        <f>HYPERLINK("https://klasma.github.io/Logging_2283/kartor/A 27983-2021 karta.png", "A 27983-2021")</f>
        <v/>
      </c>
      <c r="V131">
        <f>HYPERLINK("https://klasma.github.io/Logging_2283/klagomål/A 27983-2021 FSC-klagomål.docx", "A 27983-2021")</f>
        <v/>
      </c>
      <c r="W131">
        <f>HYPERLINK("https://klasma.github.io/Logging_2283/klagomålsmail/A 27983-2021 FSC-klagomål mail.docx", "A 27983-2021")</f>
        <v/>
      </c>
      <c r="X131">
        <f>HYPERLINK("https://klasma.github.io/Logging_2283/tillsyn/A 27983-2021 tillsynsbegäran.docx", "A 27983-2021")</f>
        <v/>
      </c>
      <c r="Y131">
        <f>HYPERLINK("https://klasma.github.io/Logging_2283/tillsynsmail/A 27983-2021 tillsynsbegäran mail.docx", "A 27983-2021")</f>
        <v/>
      </c>
    </row>
    <row r="132" ht="15" customHeight="1">
      <c r="A132" t="inlineStr">
        <is>
          <t>A 39329-2021</t>
        </is>
      </c>
      <c r="B132" s="1" t="n">
        <v>44414</v>
      </c>
      <c r="C132" s="1" t="n">
        <v>45260</v>
      </c>
      <c r="D132" t="inlineStr">
        <is>
          <t>VÄSTERNORRLANDS LÄN</t>
        </is>
      </c>
      <c r="E132" t="inlineStr">
        <is>
          <t>SOLLEFTEÅ</t>
        </is>
      </c>
      <c r="F132" t="inlineStr">
        <is>
          <t>SCA</t>
        </is>
      </c>
      <c r="G132" t="n">
        <v>2.7</v>
      </c>
      <c r="H132" t="n">
        <v>0</v>
      </c>
      <c r="I132" t="n">
        <v>1</v>
      </c>
      <c r="J132" t="n">
        <v>1</v>
      </c>
      <c r="K132" t="n">
        <v>0</v>
      </c>
      <c r="L132" t="n">
        <v>0</v>
      </c>
      <c r="M132" t="n">
        <v>0</v>
      </c>
      <c r="N132" t="n">
        <v>0</v>
      </c>
      <c r="O132" t="n">
        <v>1</v>
      </c>
      <c r="P132" t="n">
        <v>0</v>
      </c>
      <c r="Q132" t="n">
        <v>2</v>
      </c>
      <c r="R132" s="2" t="inlineStr">
        <is>
          <t>Mörk kolflarnlav
Bollvitmossa</t>
        </is>
      </c>
      <c r="S132">
        <f>HYPERLINK("https://klasma.github.io/Logging_2283/artfynd/A 39329-2021 artfynd.xlsx", "A 39329-2021")</f>
        <v/>
      </c>
      <c r="T132">
        <f>HYPERLINK("https://klasma.github.io/Logging_2283/kartor/A 39329-2021 karta.png", "A 39329-2021")</f>
        <v/>
      </c>
      <c r="V132">
        <f>HYPERLINK("https://klasma.github.io/Logging_2283/klagomål/A 39329-2021 FSC-klagomål.docx", "A 39329-2021")</f>
        <v/>
      </c>
      <c r="W132">
        <f>HYPERLINK("https://klasma.github.io/Logging_2283/klagomålsmail/A 39329-2021 FSC-klagomål mail.docx", "A 39329-2021")</f>
        <v/>
      </c>
      <c r="X132">
        <f>HYPERLINK("https://klasma.github.io/Logging_2283/tillsyn/A 39329-2021 tillsynsbegäran.docx", "A 39329-2021")</f>
        <v/>
      </c>
      <c r="Y132">
        <f>HYPERLINK("https://klasma.github.io/Logging_2283/tillsynsmail/A 39329-2021 tillsynsbegäran mail.docx", "A 39329-2021")</f>
        <v/>
      </c>
    </row>
    <row r="133" ht="15" customHeight="1">
      <c r="A133" t="inlineStr">
        <is>
          <t>A 47858-2021</t>
        </is>
      </c>
      <c r="B133" s="1" t="n">
        <v>44448</v>
      </c>
      <c r="C133" s="1" t="n">
        <v>45260</v>
      </c>
      <c r="D133" t="inlineStr">
        <is>
          <t>VÄSTERNORRLANDS LÄN</t>
        </is>
      </c>
      <c r="E133" t="inlineStr">
        <is>
          <t>SOLLEFTEÅ</t>
        </is>
      </c>
      <c r="G133" t="n">
        <v>7.7</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47858-2021 artfynd.xlsx", "A 47858-2021")</f>
        <v/>
      </c>
      <c r="T133">
        <f>HYPERLINK("https://klasma.github.io/Logging_2283/kartor/A 47858-2021 karta.png", "A 47858-2021")</f>
        <v/>
      </c>
      <c r="V133">
        <f>HYPERLINK("https://klasma.github.io/Logging_2283/klagomål/A 47858-2021 FSC-klagomål.docx", "A 47858-2021")</f>
        <v/>
      </c>
      <c r="W133">
        <f>HYPERLINK("https://klasma.github.io/Logging_2283/klagomålsmail/A 47858-2021 FSC-klagomål mail.docx", "A 47858-2021")</f>
        <v/>
      </c>
      <c r="X133">
        <f>HYPERLINK("https://klasma.github.io/Logging_2283/tillsyn/A 47858-2021 tillsynsbegäran.docx", "A 47858-2021")</f>
        <v/>
      </c>
      <c r="Y133">
        <f>HYPERLINK("https://klasma.github.io/Logging_2283/tillsynsmail/A 47858-2021 tillsynsbegäran mail.docx", "A 47858-2021")</f>
        <v/>
      </c>
    </row>
    <row r="134" ht="15" customHeight="1">
      <c r="A134" t="inlineStr">
        <is>
          <t>A 51024-2021</t>
        </is>
      </c>
      <c r="B134" s="1" t="n">
        <v>44461</v>
      </c>
      <c r="C134" s="1" t="n">
        <v>45260</v>
      </c>
      <c r="D134" t="inlineStr">
        <is>
          <t>VÄSTERNORRLANDS LÄN</t>
        </is>
      </c>
      <c r="E134" t="inlineStr">
        <is>
          <t>SOLLEFTEÅ</t>
        </is>
      </c>
      <c r="F134" t="inlineStr">
        <is>
          <t>SCA</t>
        </is>
      </c>
      <c r="G134" t="n">
        <v>7.1</v>
      </c>
      <c r="H134" t="n">
        <v>0</v>
      </c>
      <c r="I134" t="n">
        <v>0</v>
      </c>
      <c r="J134" t="n">
        <v>2</v>
      </c>
      <c r="K134" t="n">
        <v>0</v>
      </c>
      <c r="L134" t="n">
        <v>0</v>
      </c>
      <c r="M134" t="n">
        <v>0</v>
      </c>
      <c r="N134" t="n">
        <v>0</v>
      </c>
      <c r="O134" t="n">
        <v>2</v>
      </c>
      <c r="P134" t="n">
        <v>0</v>
      </c>
      <c r="Q134" t="n">
        <v>2</v>
      </c>
      <c r="R134" s="2" t="inlineStr">
        <is>
          <t>Tallticka
Ullticka</t>
        </is>
      </c>
      <c r="S134">
        <f>HYPERLINK("https://klasma.github.io/Logging_2283/artfynd/A 51024-2021 artfynd.xlsx", "A 51024-2021")</f>
        <v/>
      </c>
      <c r="T134">
        <f>HYPERLINK("https://klasma.github.io/Logging_2283/kartor/A 51024-2021 karta.png", "A 51024-2021")</f>
        <v/>
      </c>
      <c r="V134">
        <f>HYPERLINK("https://klasma.github.io/Logging_2283/klagomål/A 51024-2021 FSC-klagomål.docx", "A 51024-2021")</f>
        <v/>
      </c>
      <c r="W134">
        <f>HYPERLINK("https://klasma.github.io/Logging_2283/klagomålsmail/A 51024-2021 FSC-klagomål mail.docx", "A 51024-2021")</f>
        <v/>
      </c>
      <c r="X134">
        <f>HYPERLINK("https://klasma.github.io/Logging_2283/tillsyn/A 51024-2021 tillsynsbegäran.docx", "A 51024-2021")</f>
        <v/>
      </c>
      <c r="Y134">
        <f>HYPERLINK("https://klasma.github.io/Logging_2283/tillsynsmail/A 51024-2021 tillsynsbegäran mail.docx", "A 51024-2021")</f>
        <v/>
      </c>
    </row>
    <row r="135" ht="15" customHeight="1">
      <c r="A135" t="inlineStr">
        <is>
          <t>A 54153-2021</t>
        </is>
      </c>
      <c r="B135" s="1" t="n">
        <v>44469</v>
      </c>
      <c r="C135" s="1" t="n">
        <v>45260</v>
      </c>
      <c r="D135" t="inlineStr">
        <is>
          <t>VÄSTERNORRLANDS LÄN</t>
        </is>
      </c>
      <c r="E135" t="inlineStr">
        <is>
          <t>SOLLEFTEÅ</t>
        </is>
      </c>
      <c r="G135" t="n">
        <v>1.4</v>
      </c>
      <c r="H135" t="n">
        <v>0</v>
      </c>
      <c r="I135" t="n">
        <v>0</v>
      </c>
      <c r="J135" t="n">
        <v>2</v>
      </c>
      <c r="K135" t="n">
        <v>0</v>
      </c>
      <c r="L135" t="n">
        <v>0</v>
      </c>
      <c r="M135" t="n">
        <v>0</v>
      </c>
      <c r="N135" t="n">
        <v>0</v>
      </c>
      <c r="O135" t="n">
        <v>2</v>
      </c>
      <c r="P135" t="n">
        <v>0</v>
      </c>
      <c r="Q135" t="n">
        <v>2</v>
      </c>
      <c r="R135" s="2" t="inlineStr">
        <is>
          <t>Garnlav
Rosenticka</t>
        </is>
      </c>
      <c r="S135">
        <f>HYPERLINK("https://klasma.github.io/Logging_2283/artfynd/A 54153-2021 artfynd.xlsx", "A 54153-2021")</f>
        <v/>
      </c>
      <c r="T135">
        <f>HYPERLINK("https://klasma.github.io/Logging_2283/kartor/A 54153-2021 karta.png", "A 54153-2021")</f>
        <v/>
      </c>
      <c r="V135">
        <f>HYPERLINK("https://klasma.github.io/Logging_2283/klagomål/A 54153-2021 FSC-klagomål.docx", "A 54153-2021")</f>
        <v/>
      </c>
      <c r="W135">
        <f>HYPERLINK("https://klasma.github.io/Logging_2283/klagomålsmail/A 54153-2021 FSC-klagomål mail.docx", "A 54153-2021")</f>
        <v/>
      </c>
      <c r="X135">
        <f>HYPERLINK("https://klasma.github.io/Logging_2283/tillsyn/A 54153-2021 tillsynsbegäran.docx", "A 54153-2021")</f>
        <v/>
      </c>
      <c r="Y135">
        <f>HYPERLINK("https://klasma.github.io/Logging_2283/tillsynsmail/A 54153-2021 tillsynsbegäran mail.docx", "A 54153-2021")</f>
        <v/>
      </c>
    </row>
    <row r="136" ht="15" customHeight="1">
      <c r="A136" t="inlineStr">
        <is>
          <t>A 13059-2022</t>
        </is>
      </c>
      <c r="B136" s="1" t="n">
        <v>44643</v>
      </c>
      <c r="C136" s="1" t="n">
        <v>45260</v>
      </c>
      <c r="D136" t="inlineStr">
        <is>
          <t>VÄSTERNORRLANDS LÄN</t>
        </is>
      </c>
      <c r="E136" t="inlineStr">
        <is>
          <t>SOLLEFTEÅ</t>
        </is>
      </c>
      <c r="G136" t="n">
        <v>9.9</v>
      </c>
      <c r="H136" t="n">
        <v>0</v>
      </c>
      <c r="I136" t="n">
        <v>0</v>
      </c>
      <c r="J136" t="n">
        <v>2</v>
      </c>
      <c r="K136" t="n">
        <v>0</v>
      </c>
      <c r="L136" t="n">
        <v>0</v>
      </c>
      <c r="M136" t="n">
        <v>0</v>
      </c>
      <c r="N136" t="n">
        <v>0</v>
      </c>
      <c r="O136" t="n">
        <v>2</v>
      </c>
      <c r="P136" t="n">
        <v>0</v>
      </c>
      <c r="Q136" t="n">
        <v>2</v>
      </c>
      <c r="R136" s="2" t="inlineStr">
        <is>
          <t>Garnlav
Ullticka</t>
        </is>
      </c>
      <c r="S136">
        <f>HYPERLINK("https://klasma.github.io/Logging_2283/artfynd/A 13059-2022 artfynd.xlsx", "A 13059-2022")</f>
        <v/>
      </c>
      <c r="T136">
        <f>HYPERLINK("https://klasma.github.io/Logging_2283/kartor/A 13059-2022 karta.png", "A 13059-2022")</f>
        <v/>
      </c>
      <c r="V136">
        <f>HYPERLINK("https://klasma.github.io/Logging_2283/klagomål/A 13059-2022 FSC-klagomål.docx", "A 13059-2022")</f>
        <v/>
      </c>
      <c r="W136">
        <f>HYPERLINK("https://klasma.github.io/Logging_2283/klagomålsmail/A 13059-2022 FSC-klagomål mail.docx", "A 13059-2022")</f>
        <v/>
      </c>
      <c r="X136">
        <f>HYPERLINK("https://klasma.github.io/Logging_2283/tillsyn/A 13059-2022 tillsynsbegäran.docx", "A 13059-2022")</f>
        <v/>
      </c>
      <c r="Y136">
        <f>HYPERLINK("https://klasma.github.io/Logging_2283/tillsynsmail/A 13059-2022 tillsynsbegäran mail.docx", "A 13059-2022")</f>
        <v/>
      </c>
    </row>
    <row r="137" ht="15" customHeight="1">
      <c r="A137" t="inlineStr">
        <is>
          <t>A 20956-2022</t>
        </is>
      </c>
      <c r="B137" s="1" t="n">
        <v>44701</v>
      </c>
      <c r="C137" s="1" t="n">
        <v>45260</v>
      </c>
      <c r="D137" t="inlineStr">
        <is>
          <t>VÄSTERNORRLANDS LÄN</t>
        </is>
      </c>
      <c r="E137" t="inlineStr">
        <is>
          <t>SOLLEFTEÅ</t>
        </is>
      </c>
      <c r="F137" t="inlineStr">
        <is>
          <t>SCA</t>
        </is>
      </c>
      <c r="G137" t="n">
        <v>2.5</v>
      </c>
      <c r="H137" t="n">
        <v>0</v>
      </c>
      <c r="I137" t="n">
        <v>0</v>
      </c>
      <c r="J137" t="n">
        <v>2</v>
      </c>
      <c r="K137" t="n">
        <v>0</v>
      </c>
      <c r="L137" t="n">
        <v>0</v>
      </c>
      <c r="M137" t="n">
        <v>0</v>
      </c>
      <c r="N137" t="n">
        <v>0</v>
      </c>
      <c r="O137" t="n">
        <v>2</v>
      </c>
      <c r="P137" t="n">
        <v>0</v>
      </c>
      <c r="Q137" t="n">
        <v>2</v>
      </c>
      <c r="R137" s="2" t="inlineStr">
        <is>
          <t>Kandelabersvamp
Stiftgelélav</t>
        </is>
      </c>
      <c r="S137">
        <f>HYPERLINK("https://klasma.github.io/Logging_2283/artfynd/A 20956-2022 artfynd.xlsx", "A 20956-2022")</f>
        <v/>
      </c>
      <c r="T137">
        <f>HYPERLINK("https://klasma.github.io/Logging_2283/kartor/A 20956-2022 karta.png", "A 20956-2022")</f>
        <v/>
      </c>
      <c r="V137">
        <f>HYPERLINK("https://klasma.github.io/Logging_2283/klagomål/A 20956-2022 FSC-klagomål.docx", "A 20956-2022")</f>
        <v/>
      </c>
      <c r="W137">
        <f>HYPERLINK("https://klasma.github.io/Logging_2283/klagomålsmail/A 20956-2022 FSC-klagomål mail.docx", "A 20956-2022")</f>
        <v/>
      </c>
      <c r="X137">
        <f>HYPERLINK("https://klasma.github.io/Logging_2283/tillsyn/A 20956-2022 tillsynsbegäran.docx", "A 20956-2022")</f>
        <v/>
      </c>
      <c r="Y137">
        <f>HYPERLINK("https://klasma.github.io/Logging_2283/tillsynsmail/A 20956-2022 tillsynsbegäran mail.docx", "A 20956-2022")</f>
        <v/>
      </c>
    </row>
    <row r="138" ht="15" customHeight="1">
      <c r="A138" t="inlineStr">
        <is>
          <t>A 24321-2022</t>
        </is>
      </c>
      <c r="B138" s="1" t="n">
        <v>44725</v>
      </c>
      <c r="C138" s="1" t="n">
        <v>45260</v>
      </c>
      <c r="D138" t="inlineStr">
        <is>
          <t>VÄSTERNORRLANDS LÄN</t>
        </is>
      </c>
      <c r="E138" t="inlineStr">
        <is>
          <t>SOLLEFTEÅ</t>
        </is>
      </c>
      <c r="F138" t="inlineStr">
        <is>
          <t>SCA</t>
        </is>
      </c>
      <c r="G138" t="n">
        <v>1.1</v>
      </c>
      <c r="H138" t="n">
        <v>1</v>
      </c>
      <c r="I138" t="n">
        <v>0</v>
      </c>
      <c r="J138" t="n">
        <v>1</v>
      </c>
      <c r="K138" t="n">
        <v>1</v>
      </c>
      <c r="L138" t="n">
        <v>0</v>
      </c>
      <c r="M138" t="n">
        <v>0</v>
      </c>
      <c r="N138" t="n">
        <v>0</v>
      </c>
      <c r="O138" t="n">
        <v>2</v>
      </c>
      <c r="P138" t="n">
        <v>1</v>
      </c>
      <c r="Q138" t="n">
        <v>2</v>
      </c>
      <c r="R138" s="2" t="inlineStr">
        <is>
          <t>Knärot
Garnlav</t>
        </is>
      </c>
      <c r="S138">
        <f>HYPERLINK("https://klasma.github.io/Logging_2283/artfynd/A 24321-2022 artfynd.xlsx", "A 24321-2022")</f>
        <v/>
      </c>
      <c r="T138">
        <f>HYPERLINK("https://klasma.github.io/Logging_2283/kartor/A 24321-2022 karta.png", "A 24321-2022")</f>
        <v/>
      </c>
      <c r="U138">
        <f>HYPERLINK("https://klasma.github.io/Logging_2283/knärot/A 24321-2022 karta knärot.png", "A 24321-2022")</f>
        <v/>
      </c>
      <c r="V138">
        <f>HYPERLINK("https://klasma.github.io/Logging_2283/klagomål/A 24321-2022 FSC-klagomål.docx", "A 24321-2022")</f>
        <v/>
      </c>
      <c r="W138">
        <f>HYPERLINK("https://klasma.github.io/Logging_2283/klagomålsmail/A 24321-2022 FSC-klagomål mail.docx", "A 24321-2022")</f>
        <v/>
      </c>
      <c r="X138">
        <f>HYPERLINK("https://klasma.github.io/Logging_2283/tillsyn/A 24321-2022 tillsynsbegäran.docx", "A 24321-2022")</f>
        <v/>
      </c>
      <c r="Y138">
        <f>HYPERLINK("https://klasma.github.io/Logging_2283/tillsynsmail/A 24321-2022 tillsynsbegäran mail.docx", "A 24321-2022")</f>
        <v/>
      </c>
    </row>
    <row r="139" ht="15" customHeight="1">
      <c r="A139" t="inlineStr">
        <is>
          <t>A 29549-2022</t>
        </is>
      </c>
      <c r="B139" s="1" t="n">
        <v>44753</v>
      </c>
      <c r="C139" s="1" t="n">
        <v>45260</v>
      </c>
      <c r="D139" t="inlineStr">
        <is>
          <t>VÄSTERNORRLANDS LÄN</t>
        </is>
      </c>
      <c r="E139" t="inlineStr">
        <is>
          <t>SOLLEFTEÅ</t>
        </is>
      </c>
      <c r="F139" t="inlineStr">
        <is>
          <t>SCA</t>
        </is>
      </c>
      <c r="G139" t="n">
        <v>36.7</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HYPERLINK("https://klasma.github.io/Logging_2283/artfynd/A 29549-2022 artfynd.xlsx", "A 29549-2022")</f>
        <v/>
      </c>
      <c r="T139">
        <f>HYPERLINK("https://klasma.github.io/Logging_2283/kartor/A 29549-2022 karta.png", "A 29549-2022")</f>
        <v/>
      </c>
      <c r="V139">
        <f>HYPERLINK("https://klasma.github.io/Logging_2283/klagomål/A 29549-2022 FSC-klagomål.docx", "A 29549-2022")</f>
        <v/>
      </c>
      <c r="W139">
        <f>HYPERLINK("https://klasma.github.io/Logging_2283/klagomålsmail/A 29549-2022 FSC-klagomål mail.docx", "A 29549-2022")</f>
        <v/>
      </c>
      <c r="X139">
        <f>HYPERLINK("https://klasma.github.io/Logging_2283/tillsyn/A 29549-2022 tillsynsbegäran.docx", "A 29549-2022")</f>
        <v/>
      </c>
      <c r="Y139">
        <f>HYPERLINK("https://klasma.github.io/Logging_2283/tillsynsmail/A 29549-2022 tillsynsbegäran mail.docx", "A 29549-2022")</f>
        <v/>
      </c>
    </row>
    <row r="140" ht="15" customHeight="1">
      <c r="A140" t="inlineStr">
        <is>
          <t>A 30235-2022</t>
        </is>
      </c>
      <c r="B140" s="1" t="n">
        <v>44757</v>
      </c>
      <c r="C140" s="1" t="n">
        <v>45260</v>
      </c>
      <c r="D140" t="inlineStr">
        <is>
          <t>VÄSTERNORRLANDS LÄN</t>
        </is>
      </c>
      <c r="E140" t="inlineStr">
        <is>
          <t>SOLLEFTEÅ</t>
        </is>
      </c>
      <c r="F140" t="inlineStr">
        <is>
          <t>SCA</t>
        </is>
      </c>
      <c r="G140" t="n">
        <v>4.7</v>
      </c>
      <c r="H140" t="n">
        <v>2</v>
      </c>
      <c r="I140" t="n">
        <v>0</v>
      </c>
      <c r="J140" t="n">
        <v>0</v>
      </c>
      <c r="K140" t="n">
        <v>2</v>
      </c>
      <c r="L140" t="n">
        <v>0</v>
      </c>
      <c r="M140" t="n">
        <v>0</v>
      </c>
      <c r="N140" t="n">
        <v>0</v>
      </c>
      <c r="O140" t="n">
        <v>2</v>
      </c>
      <c r="P140" t="n">
        <v>2</v>
      </c>
      <c r="Q140" t="n">
        <v>2</v>
      </c>
      <c r="R140" s="2" t="inlineStr">
        <is>
          <t>Doftticka
Knärot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row>
    <row r="141" ht="15" customHeight="1">
      <c r="A141" t="inlineStr">
        <is>
          <t>A 33087-2022</t>
        </is>
      </c>
      <c r="B141" s="1" t="n">
        <v>44785</v>
      </c>
      <c r="C141" s="1" t="n">
        <v>45260</v>
      </c>
      <c r="D141" t="inlineStr">
        <is>
          <t>VÄSTERNORRLANDS LÄN</t>
        </is>
      </c>
      <c r="E141" t="inlineStr">
        <is>
          <t>SOLLEFTEÅ</t>
        </is>
      </c>
      <c r="G141" t="n">
        <v>0.5</v>
      </c>
      <c r="H141" t="n">
        <v>0</v>
      </c>
      <c r="I141" t="n">
        <v>0</v>
      </c>
      <c r="J141" t="n">
        <v>2</v>
      </c>
      <c r="K141" t="n">
        <v>0</v>
      </c>
      <c r="L141" t="n">
        <v>0</v>
      </c>
      <c r="M141" t="n">
        <v>0</v>
      </c>
      <c r="N141" t="n">
        <v>0</v>
      </c>
      <c r="O141" t="n">
        <v>2</v>
      </c>
      <c r="P141" t="n">
        <v>0</v>
      </c>
      <c r="Q141" t="n">
        <v>2</v>
      </c>
      <c r="R141" s="2" t="inlineStr">
        <is>
          <t>Garnlav
Lunglav</t>
        </is>
      </c>
      <c r="S141">
        <f>HYPERLINK("https://klasma.github.io/Logging_2283/artfynd/A 33087-2022 artfynd.xlsx", "A 33087-2022")</f>
        <v/>
      </c>
      <c r="T141">
        <f>HYPERLINK("https://klasma.github.io/Logging_2283/kartor/A 33087-2022 karta.png", "A 33087-2022")</f>
        <v/>
      </c>
      <c r="V141">
        <f>HYPERLINK("https://klasma.github.io/Logging_2283/klagomål/A 33087-2022 FSC-klagomål.docx", "A 33087-2022")</f>
        <v/>
      </c>
      <c r="W141">
        <f>HYPERLINK("https://klasma.github.io/Logging_2283/klagomålsmail/A 33087-2022 FSC-klagomål mail.docx", "A 33087-2022")</f>
        <v/>
      </c>
      <c r="X141">
        <f>HYPERLINK("https://klasma.github.io/Logging_2283/tillsyn/A 33087-2022 tillsynsbegäran.docx", "A 33087-2022")</f>
        <v/>
      </c>
      <c r="Y141">
        <f>HYPERLINK("https://klasma.github.io/Logging_2283/tillsynsmail/A 33087-2022 tillsynsbegäran mail.docx", "A 33087-2022")</f>
        <v/>
      </c>
    </row>
    <row r="142" ht="15" customHeight="1">
      <c r="A142" t="inlineStr">
        <is>
          <t>A 34526-2022</t>
        </is>
      </c>
      <c r="B142" s="1" t="n">
        <v>44792</v>
      </c>
      <c r="C142" s="1" t="n">
        <v>45260</v>
      </c>
      <c r="D142" t="inlineStr">
        <is>
          <t>VÄSTERNORRLANDS LÄN</t>
        </is>
      </c>
      <c r="E142" t="inlineStr">
        <is>
          <t>SOLLEFTEÅ</t>
        </is>
      </c>
      <c r="F142" t="inlineStr">
        <is>
          <t>SCA</t>
        </is>
      </c>
      <c r="G142" t="n">
        <v>1.4</v>
      </c>
      <c r="H142" t="n">
        <v>0</v>
      </c>
      <c r="I142" t="n">
        <v>0</v>
      </c>
      <c r="J142" t="n">
        <v>2</v>
      </c>
      <c r="K142" t="n">
        <v>0</v>
      </c>
      <c r="L142" t="n">
        <v>0</v>
      </c>
      <c r="M142" t="n">
        <v>0</v>
      </c>
      <c r="N142" t="n">
        <v>0</v>
      </c>
      <c r="O142" t="n">
        <v>2</v>
      </c>
      <c r="P142" t="n">
        <v>0</v>
      </c>
      <c r="Q142" t="n">
        <v>2</v>
      </c>
      <c r="R142" s="2" t="inlineStr">
        <is>
          <t>Garnlav
Mörk kolflarnlav</t>
        </is>
      </c>
      <c r="S142">
        <f>HYPERLINK("https://klasma.github.io/Logging_2283/artfynd/A 34526-2022 artfynd.xlsx", "A 34526-2022")</f>
        <v/>
      </c>
      <c r="T142">
        <f>HYPERLINK("https://klasma.github.io/Logging_2283/kartor/A 34526-2022 karta.png", "A 34526-2022")</f>
        <v/>
      </c>
      <c r="V142">
        <f>HYPERLINK("https://klasma.github.io/Logging_2283/klagomål/A 34526-2022 FSC-klagomål.docx", "A 34526-2022")</f>
        <v/>
      </c>
      <c r="W142">
        <f>HYPERLINK("https://klasma.github.io/Logging_2283/klagomålsmail/A 34526-2022 FSC-klagomål mail.docx", "A 34526-2022")</f>
        <v/>
      </c>
      <c r="X142">
        <f>HYPERLINK("https://klasma.github.io/Logging_2283/tillsyn/A 34526-2022 tillsynsbegäran.docx", "A 34526-2022")</f>
        <v/>
      </c>
      <c r="Y142">
        <f>HYPERLINK("https://klasma.github.io/Logging_2283/tillsynsmail/A 34526-2022 tillsynsbegäran mail.docx", "A 34526-2022")</f>
        <v/>
      </c>
    </row>
    <row r="143" ht="15" customHeight="1">
      <c r="A143" t="inlineStr">
        <is>
          <t>A 37243-2022</t>
        </is>
      </c>
      <c r="B143" s="1" t="n">
        <v>44806</v>
      </c>
      <c r="C143" s="1" t="n">
        <v>45260</v>
      </c>
      <c r="D143" t="inlineStr">
        <is>
          <t>VÄSTERNORRLANDS LÄN</t>
        </is>
      </c>
      <c r="E143" t="inlineStr">
        <is>
          <t>SOLLEFTEÅ</t>
        </is>
      </c>
      <c r="F143" t="inlineStr">
        <is>
          <t>SCA</t>
        </is>
      </c>
      <c r="G143" t="n">
        <v>7.1</v>
      </c>
      <c r="H143" t="n">
        <v>0</v>
      </c>
      <c r="I143" t="n">
        <v>1</v>
      </c>
      <c r="J143" t="n">
        <v>1</v>
      </c>
      <c r="K143" t="n">
        <v>0</v>
      </c>
      <c r="L143" t="n">
        <v>0</v>
      </c>
      <c r="M143" t="n">
        <v>0</v>
      </c>
      <c r="N143" t="n">
        <v>0</v>
      </c>
      <c r="O143" t="n">
        <v>1</v>
      </c>
      <c r="P143" t="n">
        <v>0</v>
      </c>
      <c r="Q143" t="n">
        <v>2</v>
      </c>
      <c r="R143" s="2" t="inlineStr">
        <is>
          <t>Violettgrå tagellav
Dropptaggsvamp</t>
        </is>
      </c>
      <c r="S143">
        <f>HYPERLINK("https://klasma.github.io/Logging_2283/artfynd/A 37243-2022 artfynd.xlsx", "A 37243-2022")</f>
        <v/>
      </c>
      <c r="T143">
        <f>HYPERLINK("https://klasma.github.io/Logging_2283/kartor/A 37243-2022 karta.png", "A 37243-2022")</f>
        <v/>
      </c>
      <c r="V143">
        <f>HYPERLINK("https://klasma.github.io/Logging_2283/klagomål/A 37243-2022 FSC-klagomål.docx", "A 37243-2022")</f>
        <v/>
      </c>
      <c r="W143">
        <f>HYPERLINK("https://klasma.github.io/Logging_2283/klagomålsmail/A 37243-2022 FSC-klagomål mail.docx", "A 37243-2022")</f>
        <v/>
      </c>
      <c r="X143">
        <f>HYPERLINK("https://klasma.github.io/Logging_2283/tillsyn/A 37243-2022 tillsynsbegäran.docx", "A 37243-2022")</f>
        <v/>
      </c>
      <c r="Y143">
        <f>HYPERLINK("https://klasma.github.io/Logging_2283/tillsynsmail/A 37243-2022 tillsynsbegäran mail.docx", "A 37243-2022")</f>
        <v/>
      </c>
    </row>
    <row r="144" ht="15" customHeight="1">
      <c r="A144" t="inlineStr">
        <is>
          <t>A 45083-2022</t>
        </is>
      </c>
      <c r="B144" s="1" t="n">
        <v>44841</v>
      </c>
      <c r="C144" s="1" t="n">
        <v>45260</v>
      </c>
      <c r="D144" t="inlineStr">
        <is>
          <t>VÄSTERNORRLANDS LÄN</t>
        </is>
      </c>
      <c r="E144" t="inlineStr">
        <is>
          <t>SOLLEFTEÅ</t>
        </is>
      </c>
      <c r="F144" t="inlineStr">
        <is>
          <t>SCA</t>
        </is>
      </c>
      <c r="G144" t="n">
        <v>4.3</v>
      </c>
      <c r="H144" t="n">
        <v>2</v>
      </c>
      <c r="I144" t="n">
        <v>0</v>
      </c>
      <c r="J144" t="n">
        <v>1</v>
      </c>
      <c r="K144" t="n">
        <v>0</v>
      </c>
      <c r="L144" t="n">
        <v>0</v>
      </c>
      <c r="M144" t="n">
        <v>0</v>
      </c>
      <c r="N144" t="n">
        <v>0</v>
      </c>
      <c r="O144" t="n">
        <v>1</v>
      </c>
      <c r="P144" t="n">
        <v>0</v>
      </c>
      <c r="Q144" t="n">
        <v>2</v>
      </c>
      <c r="R144" s="2" t="inlineStr">
        <is>
          <t>Talltita
Blåsippa</t>
        </is>
      </c>
      <c r="S144">
        <f>HYPERLINK("https://klasma.github.io/Logging_2283/artfynd/A 45083-2022 artfynd.xlsx", "A 45083-2022")</f>
        <v/>
      </c>
      <c r="T144">
        <f>HYPERLINK("https://klasma.github.io/Logging_2283/kartor/A 45083-2022 karta.png", "A 45083-2022")</f>
        <v/>
      </c>
      <c r="V144">
        <f>HYPERLINK("https://klasma.github.io/Logging_2283/klagomål/A 45083-2022 FSC-klagomål.docx", "A 45083-2022")</f>
        <v/>
      </c>
      <c r="W144">
        <f>HYPERLINK("https://klasma.github.io/Logging_2283/klagomålsmail/A 45083-2022 FSC-klagomål mail.docx", "A 45083-2022")</f>
        <v/>
      </c>
      <c r="X144">
        <f>HYPERLINK("https://klasma.github.io/Logging_2283/tillsyn/A 45083-2022 tillsynsbegäran.docx", "A 45083-2022")</f>
        <v/>
      </c>
      <c r="Y144">
        <f>HYPERLINK("https://klasma.github.io/Logging_2283/tillsynsmail/A 45083-2022 tillsynsbegäran mail.docx", "A 45083-2022")</f>
        <v/>
      </c>
    </row>
    <row r="145" ht="15" customHeight="1">
      <c r="A145" t="inlineStr">
        <is>
          <t>A 45084-2022</t>
        </is>
      </c>
      <c r="B145" s="1" t="n">
        <v>44841</v>
      </c>
      <c r="C145" s="1" t="n">
        <v>45260</v>
      </c>
      <c r="D145" t="inlineStr">
        <is>
          <t>VÄSTERNORRLANDS LÄN</t>
        </is>
      </c>
      <c r="E145" t="inlineStr">
        <is>
          <t>SOLLEFTEÅ</t>
        </is>
      </c>
      <c r="F145" t="inlineStr">
        <is>
          <t>SCA</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45084-2022 artfynd.xlsx", "A 45084-2022")</f>
        <v/>
      </c>
      <c r="T145">
        <f>HYPERLINK("https://klasma.github.io/Logging_2283/kartor/A 45084-2022 karta.png", "A 45084-2022")</f>
        <v/>
      </c>
      <c r="V145">
        <f>HYPERLINK("https://klasma.github.io/Logging_2283/klagomål/A 45084-2022 FSC-klagomål.docx", "A 45084-2022")</f>
        <v/>
      </c>
      <c r="W145">
        <f>HYPERLINK("https://klasma.github.io/Logging_2283/klagomålsmail/A 45084-2022 FSC-klagomål mail.docx", "A 45084-2022")</f>
        <v/>
      </c>
      <c r="X145">
        <f>HYPERLINK("https://klasma.github.io/Logging_2283/tillsyn/A 45084-2022 tillsynsbegäran.docx", "A 45084-2022")</f>
        <v/>
      </c>
      <c r="Y145">
        <f>HYPERLINK("https://klasma.github.io/Logging_2283/tillsynsmail/A 45084-2022 tillsynsbegäran mail.docx", "A 45084-2022")</f>
        <v/>
      </c>
    </row>
    <row r="146" ht="15" customHeight="1">
      <c r="A146" t="inlineStr">
        <is>
          <t>A 48073-2022</t>
        </is>
      </c>
      <c r="B146" s="1" t="n">
        <v>44855</v>
      </c>
      <c r="C146" s="1" t="n">
        <v>45260</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48073-2022 artfynd.xlsx", "A 48073-2022")</f>
        <v/>
      </c>
      <c r="T146">
        <f>HYPERLINK("https://klasma.github.io/Logging_2283/kartor/A 48073-2022 karta.png", "A 48073-2022")</f>
        <v/>
      </c>
      <c r="V146">
        <f>HYPERLINK("https://klasma.github.io/Logging_2283/klagomål/A 48073-2022 FSC-klagomål.docx", "A 48073-2022")</f>
        <v/>
      </c>
      <c r="W146">
        <f>HYPERLINK("https://klasma.github.io/Logging_2283/klagomålsmail/A 48073-2022 FSC-klagomål mail.docx", "A 48073-2022")</f>
        <v/>
      </c>
      <c r="X146">
        <f>HYPERLINK("https://klasma.github.io/Logging_2283/tillsyn/A 48073-2022 tillsynsbegäran.docx", "A 48073-2022")</f>
        <v/>
      </c>
      <c r="Y146">
        <f>HYPERLINK("https://klasma.github.io/Logging_2283/tillsynsmail/A 48073-2022 tillsynsbegäran mail.docx", "A 48073-2022")</f>
        <v/>
      </c>
    </row>
    <row r="147" ht="15" customHeight="1">
      <c r="A147" t="inlineStr">
        <is>
          <t>A 53130-2022</t>
        </is>
      </c>
      <c r="B147" s="1" t="n">
        <v>44873</v>
      </c>
      <c r="C147" s="1" t="n">
        <v>45260</v>
      </c>
      <c r="D147" t="inlineStr">
        <is>
          <t>VÄSTERNORRLANDS LÄN</t>
        </is>
      </c>
      <c r="E147" t="inlineStr">
        <is>
          <t>SOLLEFTEÅ</t>
        </is>
      </c>
      <c r="G147" t="n">
        <v>19.8</v>
      </c>
      <c r="H147" t="n">
        <v>2</v>
      </c>
      <c r="I147" t="n">
        <v>0</v>
      </c>
      <c r="J147" t="n">
        <v>1</v>
      </c>
      <c r="K147" t="n">
        <v>0</v>
      </c>
      <c r="L147" t="n">
        <v>0</v>
      </c>
      <c r="M147" t="n">
        <v>0</v>
      </c>
      <c r="N147" t="n">
        <v>0</v>
      </c>
      <c r="O147" t="n">
        <v>1</v>
      </c>
      <c r="P147" t="n">
        <v>0</v>
      </c>
      <c r="Q147" t="n">
        <v>2</v>
      </c>
      <c r="R147" s="2" t="inlineStr">
        <is>
          <t>Myrbräcka
Fläcknycklar</t>
        </is>
      </c>
      <c r="S147">
        <f>HYPERLINK("https://klasma.github.io/Logging_2283/artfynd/A 53130-2022 artfynd.xlsx", "A 53130-2022")</f>
        <v/>
      </c>
      <c r="T147">
        <f>HYPERLINK("https://klasma.github.io/Logging_2283/kartor/A 53130-2022 karta.png", "A 53130-2022")</f>
        <v/>
      </c>
      <c r="V147">
        <f>HYPERLINK("https://klasma.github.io/Logging_2283/klagomål/A 53130-2022 FSC-klagomål.docx", "A 53130-2022")</f>
        <v/>
      </c>
      <c r="W147">
        <f>HYPERLINK("https://klasma.github.io/Logging_2283/klagomålsmail/A 53130-2022 FSC-klagomål mail.docx", "A 53130-2022")</f>
        <v/>
      </c>
      <c r="X147">
        <f>HYPERLINK("https://klasma.github.io/Logging_2283/tillsyn/A 53130-2022 tillsynsbegäran.docx", "A 53130-2022")</f>
        <v/>
      </c>
      <c r="Y147">
        <f>HYPERLINK("https://klasma.github.io/Logging_2283/tillsynsmail/A 53130-2022 tillsynsbegäran mail.docx", "A 53130-2022")</f>
        <v/>
      </c>
    </row>
    <row r="148" ht="15" customHeight="1">
      <c r="A148" t="inlineStr">
        <is>
          <t>A 55727-2022</t>
        </is>
      </c>
      <c r="B148" s="1" t="n">
        <v>44883</v>
      </c>
      <c r="C148" s="1" t="n">
        <v>45260</v>
      </c>
      <c r="D148" t="inlineStr">
        <is>
          <t>VÄSTERNORRLANDS LÄN</t>
        </is>
      </c>
      <c r="E148" t="inlineStr">
        <is>
          <t>SOLLEFTEÅ</t>
        </is>
      </c>
      <c r="G148" t="n">
        <v>16.7</v>
      </c>
      <c r="H148" t="n">
        <v>1</v>
      </c>
      <c r="I148" t="n">
        <v>0</v>
      </c>
      <c r="J148" t="n">
        <v>2</v>
      </c>
      <c r="K148" t="n">
        <v>0</v>
      </c>
      <c r="L148" t="n">
        <v>0</v>
      </c>
      <c r="M148" t="n">
        <v>0</v>
      </c>
      <c r="N148" t="n">
        <v>0</v>
      </c>
      <c r="O148" t="n">
        <v>2</v>
      </c>
      <c r="P148" t="n">
        <v>0</v>
      </c>
      <c r="Q148" t="n">
        <v>2</v>
      </c>
      <c r="R148" s="2" t="inlineStr">
        <is>
          <t>Rosenticka
Tretåig hackspett</t>
        </is>
      </c>
      <c r="S148">
        <f>HYPERLINK("https://klasma.github.io/Logging_2283/artfynd/A 55727-2022 artfynd.xlsx", "A 55727-2022")</f>
        <v/>
      </c>
      <c r="T148">
        <f>HYPERLINK("https://klasma.github.io/Logging_2283/kartor/A 55727-2022 karta.png", "A 55727-2022")</f>
        <v/>
      </c>
      <c r="V148">
        <f>HYPERLINK("https://klasma.github.io/Logging_2283/klagomål/A 55727-2022 FSC-klagomål.docx", "A 55727-2022")</f>
        <v/>
      </c>
      <c r="W148">
        <f>HYPERLINK("https://klasma.github.io/Logging_2283/klagomålsmail/A 55727-2022 FSC-klagomål mail.docx", "A 55727-2022")</f>
        <v/>
      </c>
      <c r="X148">
        <f>HYPERLINK("https://klasma.github.io/Logging_2283/tillsyn/A 55727-2022 tillsynsbegäran.docx", "A 55727-2022")</f>
        <v/>
      </c>
      <c r="Y148">
        <f>HYPERLINK("https://klasma.github.io/Logging_2283/tillsynsmail/A 55727-2022 tillsynsbegäran mail.docx", "A 55727-2022")</f>
        <v/>
      </c>
    </row>
    <row r="149" ht="15" customHeight="1">
      <c r="A149" t="inlineStr">
        <is>
          <t>A 59046-2022</t>
        </is>
      </c>
      <c r="B149" s="1" t="n">
        <v>44903</v>
      </c>
      <c r="C149" s="1" t="n">
        <v>45260</v>
      </c>
      <c r="D149" t="inlineStr">
        <is>
          <t>VÄSTERNORRLANDS LÄN</t>
        </is>
      </c>
      <c r="E149" t="inlineStr">
        <is>
          <t>SOLLEFTEÅ</t>
        </is>
      </c>
      <c r="F149" t="inlineStr">
        <is>
          <t>SCA</t>
        </is>
      </c>
      <c r="G149" t="n">
        <v>10.3</v>
      </c>
      <c r="H149" t="n">
        <v>1</v>
      </c>
      <c r="I149" t="n">
        <v>0</v>
      </c>
      <c r="J149" t="n">
        <v>2</v>
      </c>
      <c r="K149" t="n">
        <v>0</v>
      </c>
      <c r="L149" t="n">
        <v>0</v>
      </c>
      <c r="M149" t="n">
        <v>0</v>
      </c>
      <c r="N149" t="n">
        <v>0</v>
      </c>
      <c r="O149" t="n">
        <v>2</v>
      </c>
      <c r="P149" t="n">
        <v>0</v>
      </c>
      <c r="Q149" t="n">
        <v>2</v>
      </c>
      <c r="R149" s="2" t="inlineStr">
        <is>
          <t>Lunglav
Tretåig hackspett</t>
        </is>
      </c>
      <c r="S149">
        <f>HYPERLINK("https://klasma.github.io/Logging_2283/artfynd/A 59046-2022 artfynd.xlsx", "A 59046-2022")</f>
        <v/>
      </c>
      <c r="T149">
        <f>HYPERLINK("https://klasma.github.io/Logging_2283/kartor/A 59046-2022 karta.png", "A 59046-2022")</f>
        <v/>
      </c>
      <c r="V149">
        <f>HYPERLINK("https://klasma.github.io/Logging_2283/klagomål/A 59046-2022 FSC-klagomål.docx", "A 59046-2022")</f>
        <v/>
      </c>
      <c r="W149">
        <f>HYPERLINK("https://klasma.github.io/Logging_2283/klagomålsmail/A 59046-2022 FSC-klagomål mail.docx", "A 59046-2022")</f>
        <v/>
      </c>
      <c r="X149">
        <f>HYPERLINK("https://klasma.github.io/Logging_2283/tillsyn/A 59046-2022 tillsynsbegäran.docx", "A 59046-2022")</f>
        <v/>
      </c>
      <c r="Y149">
        <f>HYPERLINK("https://klasma.github.io/Logging_2283/tillsynsmail/A 59046-2022 tillsynsbegäran mail.docx", "A 59046-2022")</f>
        <v/>
      </c>
    </row>
    <row r="150" ht="15" customHeight="1">
      <c r="A150" t="inlineStr">
        <is>
          <t>A 61377-2022</t>
        </is>
      </c>
      <c r="B150" s="1" t="n">
        <v>44915</v>
      </c>
      <c r="C150" s="1" t="n">
        <v>45260</v>
      </c>
      <c r="D150" t="inlineStr">
        <is>
          <t>VÄSTERNORRLANDS LÄN</t>
        </is>
      </c>
      <c r="E150" t="inlineStr">
        <is>
          <t>SOLLEFTEÅ</t>
        </is>
      </c>
      <c r="G150" t="n">
        <v>10.5</v>
      </c>
      <c r="H150" t="n">
        <v>0</v>
      </c>
      <c r="I150" t="n">
        <v>1</v>
      </c>
      <c r="J150" t="n">
        <v>1</v>
      </c>
      <c r="K150" t="n">
        <v>0</v>
      </c>
      <c r="L150" t="n">
        <v>0</v>
      </c>
      <c r="M150" t="n">
        <v>0</v>
      </c>
      <c r="N150" t="n">
        <v>0</v>
      </c>
      <c r="O150" t="n">
        <v>1</v>
      </c>
      <c r="P150" t="n">
        <v>0</v>
      </c>
      <c r="Q150" t="n">
        <v>2</v>
      </c>
      <c r="R150" s="2" t="inlineStr">
        <is>
          <t>Garnlav
Spädstarr</t>
        </is>
      </c>
      <c r="S150">
        <f>HYPERLINK("https://klasma.github.io/Logging_2283/artfynd/A 61377-2022 artfynd.xlsx", "A 61377-2022")</f>
        <v/>
      </c>
      <c r="T150">
        <f>HYPERLINK("https://klasma.github.io/Logging_2283/kartor/A 61377-2022 karta.png", "A 61377-2022")</f>
        <v/>
      </c>
      <c r="V150">
        <f>HYPERLINK("https://klasma.github.io/Logging_2283/klagomål/A 61377-2022 FSC-klagomål.docx", "A 61377-2022")</f>
        <v/>
      </c>
      <c r="W150">
        <f>HYPERLINK("https://klasma.github.io/Logging_2283/klagomålsmail/A 61377-2022 FSC-klagomål mail.docx", "A 61377-2022")</f>
        <v/>
      </c>
      <c r="X150">
        <f>HYPERLINK("https://klasma.github.io/Logging_2283/tillsyn/A 61377-2022 tillsynsbegäran.docx", "A 61377-2022")</f>
        <v/>
      </c>
      <c r="Y150">
        <f>HYPERLINK("https://klasma.github.io/Logging_2283/tillsynsmail/A 61377-2022 tillsynsbegäran mail.docx", "A 61377-2022")</f>
        <v/>
      </c>
    </row>
    <row r="151" ht="15" customHeight="1">
      <c r="A151" t="inlineStr">
        <is>
          <t>A 3017-2023</t>
        </is>
      </c>
      <c r="B151" s="1" t="n">
        <v>44945</v>
      </c>
      <c r="C151" s="1" t="n">
        <v>45260</v>
      </c>
      <c r="D151" t="inlineStr">
        <is>
          <t>VÄSTERNORRLANDS LÄN</t>
        </is>
      </c>
      <c r="E151" t="inlineStr">
        <is>
          <t>SOLLEFTEÅ</t>
        </is>
      </c>
      <c r="G151" t="n">
        <v>3.6</v>
      </c>
      <c r="H151" t="n">
        <v>0</v>
      </c>
      <c r="I151" t="n">
        <v>0</v>
      </c>
      <c r="J151" t="n">
        <v>2</v>
      </c>
      <c r="K151" t="n">
        <v>0</v>
      </c>
      <c r="L151" t="n">
        <v>0</v>
      </c>
      <c r="M151" t="n">
        <v>0</v>
      </c>
      <c r="N151" t="n">
        <v>0</v>
      </c>
      <c r="O151" t="n">
        <v>2</v>
      </c>
      <c r="P151" t="n">
        <v>0</v>
      </c>
      <c r="Q151" t="n">
        <v>2</v>
      </c>
      <c r="R151" s="2" t="inlineStr">
        <is>
          <t>Harticka
Ullticka</t>
        </is>
      </c>
      <c r="S151">
        <f>HYPERLINK("https://klasma.github.io/Logging_2283/artfynd/A 3017-2023 artfynd.xlsx", "A 3017-2023")</f>
        <v/>
      </c>
      <c r="T151">
        <f>HYPERLINK("https://klasma.github.io/Logging_2283/kartor/A 3017-2023 karta.png", "A 3017-2023")</f>
        <v/>
      </c>
      <c r="V151">
        <f>HYPERLINK("https://klasma.github.io/Logging_2283/klagomål/A 3017-2023 FSC-klagomål.docx", "A 3017-2023")</f>
        <v/>
      </c>
      <c r="W151">
        <f>HYPERLINK("https://klasma.github.io/Logging_2283/klagomålsmail/A 3017-2023 FSC-klagomål mail.docx", "A 3017-2023")</f>
        <v/>
      </c>
      <c r="X151">
        <f>HYPERLINK("https://klasma.github.io/Logging_2283/tillsyn/A 3017-2023 tillsynsbegäran.docx", "A 3017-2023")</f>
        <v/>
      </c>
      <c r="Y151">
        <f>HYPERLINK("https://klasma.github.io/Logging_2283/tillsynsmail/A 3017-2023 tillsynsbegäran mail.docx", "A 3017-2023")</f>
        <v/>
      </c>
    </row>
    <row r="152" ht="15" customHeight="1">
      <c r="A152" t="inlineStr">
        <is>
          <t>A 8669-2023</t>
        </is>
      </c>
      <c r="B152" s="1" t="n">
        <v>44977</v>
      </c>
      <c r="C152" s="1" t="n">
        <v>45260</v>
      </c>
      <c r="D152" t="inlineStr">
        <is>
          <t>VÄSTERNORRLANDS LÄN</t>
        </is>
      </c>
      <c r="E152" t="inlineStr">
        <is>
          <t>SOLLEFTEÅ</t>
        </is>
      </c>
      <c r="F152" t="inlineStr">
        <is>
          <t>SCA</t>
        </is>
      </c>
      <c r="G152" t="n">
        <v>2.3</v>
      </c>
      <c r="H152" t="n">
        <v>1</v>
      </c>
      <c r="I152" t="n">
        <v>1</v>
      </c>
      <c r="J152" t="n">
        <v>1</v>
      </c>
      <c r="K152" t="n">
        <v>0</v>
      </c>
      <c r="L152" t="n">
        <v>0</v>
      </c>
      <c r="M152" t="n">
        <v>0</v>
      </c>
      <c r="N152" t="n">
        <v>0</v>
      </c>
      <c r="O152" t="n">
        <v>1</v>
      </c>
      <c r="P152" t="n">
        <v>0</v>
      </c>
      <c r="Q152" t="n">
        <v>2</v>
      </c>
      <c r="R152" s="2" t="inlineStr">
        <is>
          <t>Garnlav
Lappranunkel</t>
        </is>
      </c>
      <c r="S152">
        <f>HYPERLINK("https://klasma.github.io/Logging_2283/artfynd/A 8669-2023 artfynd.xlsx", "A 8669-2023")</f>
        <v/>
      </c>
      <c r="T152">
        <f>HYPERLINK("https://klasma.github.io/Logging_2283/kartor/A 8669-2023 karta.png", "A 8669-2023")</f>
        <v/>
      </c>
      <c r="V152">
        <f>HYPERLINK("https://klasma.github.io/Logging_2283/klagomål/A 8669-2023 FSC-klagomål.docx", "A 8669-2023")</f>
        <v/>
      </c>
      <c r="W152">
        <f>HYPERLINK("https://klasma.github.io/Logging_2283/klagomålsmail/A 8669-2023 FSC-klagomål mail.docx", "A 8669-2023")</f>
        <v/>
      </c>
      <c r="X152">
        <f>HYPERLINK("https://klasma.github.io/Logging_2283/tillsyn/A 8669-2023 tillsynsbegäran.docx", "A 8669-2023")</f>
        <v/>
      </c>
      <c r="Y152">
        <f>HYPERLINK("https://klasma.github.io/Logging_2283/tillsynsmail/A 8669-2023 tillsynsbegäran mail.docx", "A 8669-2023")</f>
        <v/>
      </c>
    </row>
    <row r="153" ht="15" customHeight="1">
      <c r="A153" t="inlineStr">
        <is>
          <t>A 13000-2023</t>
        </is>
      </c>
      <c r="B153" s="1" t="n">
        <v>45002</v>
      </c>
      <c r="C153" s="1" t="n">
        <v>45260</v>
      </c>
      <c r="D153" t="inlineStr">
        <is>
          <t>VÄSTERNORRLANDS LÄN</t>
        </is>
      </c>
      <c r="E153" t="inlineStr">
        <is>
          <t>SOLLEFTEÅ</t>
        </is>
      </c>
      <c r="F153" t="inlineStr">
        <is>
          <t>SCA</t>
        </is>
      </c>
      <c r="G153" t="n">
        <v>93.5</v>
      </c>
      <c r="H153" t="n">
        <v>1</v>
      </c>
      <c r="I153" t="n">
        <v>0</v>
      </c>
      <c r="J153" t="n">
        <v>1</v>
      </c>
      <c r="K153" t="n">
        <v>0</v>
      </c>
      <c r="L153" t="n">
        <v>0</v>
      </c>
      <c r="M153" t="n">
        <v>0</v>
      </c>
      <c r="N153" t="n">
        <v>0</v>
      </c>
      <c r="O153" t="n">
        <v>1</v>
      </c>
      <c r="P153" t="n">
        <v>0</v>
      </c>
      <c r="Q153" t="n">
        <v>2</v>
      </c>
      <c r="R153" s="2" t="inlineStr">
        <is>
          <t>Månlåsbräken
Fläcknycklar</t>
        </is>
      </c>
      <c r="S153">
        <f>HYPERLINK("https://klasma.github.io/Logging_2283/artfynd/A 13000-2023 artfynd.xlsx", "A 13000-2023")</f>
        <v/>
      </c>
      <c r="T153">
        <f>HYPERLINK("https://klasma.github.io/Logging_2283/kartor/A 13000-2023 karta.png", "A 13000-2023")</f>
        <v/>
      </c>
      <c r="V153">
        <f>HYPERLINK("https://klasma.github.io/Logging_2283/klagomål/A 13000-2023 FSC-klagomål.docx", "A 13000-2023")</f>
        <v/>
      </c>
      <c r="W153">
        <f>HYPERLINK("https://klasma.github.io/Logging_2283/klagomålsmail/A 13000-2023 FSC-klagomål mail.docx", "A 13000-2023")</f>
        <v/>
      </c>
      <c r="X153">
        <f>HYPERLINK("https://klasma.github.io/Logging_2283/tillsyn/A 13000-2023 tillsynsbegäran.docx", "A 13000-2023")</f>
        <v/>
      </c>
      <c r="Y153">
        <f>HYPERLINK("https://klasma.github.io/Logging_2283/tillsynsmail/A 13000-2023 tillsynsbegäran mail.docx", "A 13000-2023")</f>
        <v/>
      </c>
    </row>
    <row r="154" ht="15" customHeight="1">
      <c r="A154" t="inlineStr">
        <is>
          <t>A 33036-2023</t>
        </is>
      </c>
      <c r="B154" s="1" t="n">
        <v>45125</v>
      </c>
      <c r="C154" s="1" t="n">
        <v>45260</v>
      </c>
      <c r="D154" t="inlineStr">
        <is>
          <t>VÄSTERNORRLANDS LÄN</t>
        </is>
      </c>
      <c r="E154" t="inlineStr">
        <is>
          <t>SOLLEFTEÅ</t>
        </is>
      </c>
      <c r="F154" t="inlineStr">
        <is>
          <t>SCA</t>
        </is>
      </c>
      <c r="G154" t="n">
        <v>12</v>
      </c>
      <c r="H154" t="n">
        <v>0</v>
      </c>
      <c r="I154" t="n">
        <v>1</v>
      </c>
      <c r="J154" t="n">
        <v>1</v>
      </c>
      <c r="K154" t="n">
        <v>0</v>
      </c>
      <c r="L154" t="n">
        <v>0</v>
      </c>
      <c r="M154" t="n">
        <v>0</v>
      </c>
      <c r="N154" t="n">
        <v>0</v>
      </c>
      <c r="O154" t="n">
        <v>1</v>
      </c>
      <c r="P154" t="n">
        <v>0</v>
      </c>
      <c r="Q154" t="n">
        <v>2</v>
      </c>
      <c r="R154" s="2" t="inlineStr">
        <is>
          <t>Småflikig brosklav
Stuplav</t>
        </is>
      </c>
      <c r="S154">
        <f>HYPERLINK("https://klasma.github.io/Logging_2283/artfynd/A 33036-2023 artfynd.xlsx", "A 33036-2023")</f>
        <v/>
      </c>
      <c r="T154">
        <f>HYPERLINK("https://klasma.github.io/Logging_2283/kartor/A 33036-2023 karta.png", "A 33036-2023")</f>
        <v/>
      </c>
      <c r="V154">
        <f>HYPERLINK("https://klasma.github.io/Logging_2283/klagomål/A 33036-2023 FSC-klagomål.docx", "A 33036-2023")</f>
        <v/>
      </c>
      <c r="W154">
        <f>HYPERLINK("https://klasma.github.io/Logging_2283/klagomålsmail/A 33036-2023 FSC-klagomål mail.docx", "A 33036-2023")</f>
        <v/>
      </c>
      <c r="X154">
        <f>HYPERLINK("https://klasma.github.io/Logging_2283/tillsyn/A 33036-2023 tillsynsbegäran.docx", "A 33036-2023")</f>
        <v/>
      </c>
      <c r="Y154">
        <f>HYPERLINK("https://klasma.github.io/Logging_2283/tillsynsmail/A 33036-2023 tillsynsbegäran mail.docx", "A 33036-2023")</f>
        <v/>
      </c>
    </row>
    <row r="155" ht="15" customHeight="1">
      <c r="A155" t="inlineStr">
        <is>
          <t>A 35587-2023</t>
        </is>
      </c>
      <c r="B155" s="1" t="n">
        <v>45147</v>
      </c>
      <c r="C155" s="1" t="n">
        <v>45260</v>
      </c>
      <c r="D155" t="inlineStr">
        <is>
          <t>VÄSTERNORRLANDS LÄN</t>
        </is>
      </c>
      <c r="E155" t="inlineStr">
        <is>
          <t>SOLLEFTEÅ</t>
        </is>
      </c>
      <c r="F155" t="inlineStr">
        <is>
          <t>Holmen skog AB</t>
        </is>
      </c>
      <c r="G155" t="n">
        <v>5.1</v>
      </c>
      <c r="H155" t="n">
        <v>0</v>
      </c>
      <c r="I155" t="n">
        <v>1</v>
      </c>
      <c r="J155" t="n">
        <v>0</v>
      </c>
      <c r="K155" t="n">
        <v>1</v>
      </c>
      <c r="L155" t="n">
        <v>0</v>
      </c>
      <c r="M155" t="n">
        <v>0</v>
      </c>
      <c r="N155" t="n">
        <v>0</v>
      </c>
      <c r="O155" t="n">
        <v>1</v>
      </c>
      <c r="P155" t="n">
        <v>1</v>
      </c>
      <c r="Q155" t="n">
        <v>2</v>
      </c>
      <c r="R155" s="2" t="inlineStr">
        <is>
          <t>Fläckporing
Dropptaggsvamp</t>
        </is>
      </c>
      <c r="S155">
        <f>HYPERLINK("https://klasma.github.io/Logging_2283/artfynd/A 35587-2023 artfynd.xlsx", "A 35587-2023")</f>
        <v/>
      </c>
      <c r="T155">
        <f>HYPERLINK("https://klasma.github.io/Logging_2283/kartor/A 35587-2023 karta.png", "A 35587-2023")</f>
        <v/>
      </c>
      <c r="V155">
        <f>HYPERLINK("https://klasma.github.io/Logging_2283/klagomål/A 35587-2023 FSC-klagomål.docx", "A 35587-2023")</f>
        <v/>
      </c>
      <c r="W155">
        <f>HYPERLINK("https://klasma.github.io/Logging_2283/klagomålsmail/A 35587-2023 FSC-klagomål mail.docx", "A 35587-2023")</f>
        <v/>
      </c>
      <c r="X155">
        <f>HYPERLINK("https://klasma.github.io/Logging_2283/tillsyn/A 35587-2023 tillsynsbegäran.docx", "A 35587-2023")</f>
        <v/>
      </c>
      <c r="Y155">
        <f>HYPERLINK("https://klasma.github.io/Logging_2283/tillsynsmail/A 35587-2023 tillsynsbegäran mail.docx", "A 35587-2023")</f>
        <v/>
      </c>
    </row>
    <row r="156" ht="15" customHeight="1">
      <c r="A156" t="inlineStr">
        <is>
          <t>A 40419-2023</t>
        </is>
      </c>
      <c r="B156" s="1" t="n">
        <v>45169</v>
      </c>
      <c r="C156" s="1" t="n">
        <v>45260</v>
      </c>
      <c r="D156" t="inlineStr">
        <is>
          <t>VÄSTERNORRLANDS LÄN</t>
        </is>
      </c>
      <c r="E156" t="inlineStr">
        <is>
          <t>SOLLEFTEÅ</t>
        </is>
      </c>
      <c r="F156" t="inlineStr">
        <is>
          <t>SCA</t>
        </is>
      </c>
      <c r="G156" t="n">
        <v>7.9</v>
      </c>
      <c r="H156" t="n">
        <v>1</v>
      </c>
      <c r="I156" t="n">
        <v>0</v>
      </c>
      <c r="J156" t="n">
        <v>1</v>
      </c>
      <c r="K156" t="n">
        <v>1</v>
      </c>
      <c r="L156" t="n">
        <v>0</v>
      </c>
      <c r="M156" t="n">
        <v>0</v>
      </c>
      <c r="N156" t="n">
        <v>0</v>
      </c>
      <c r="O156" t="n">
        <v>2</v>
      </c>
      <c r="P156" t="n">
        <v>1</v>
      </c>
      <c r="Q156" t="n">
        <v>2</v>
      </c>
      <c r="R156" s="2" t="inlineStr">
        <is>
          <t>Knärot
Lunglav</t>
        </is>
      </c>
      <c r="S156">
        <f>HYPERLINK("https://klasma.github.io/Logging_2283/artfynd/A 40419-2023 artfynd.xlsx", "A 40419-2023")</f>
        <v/>
      </c>
      <c r="T156">
        <f>HYPERLINK("https://klasma.github.io/Logging_2283/kartor/A 40419-2023 karta.png", "A 40419-2023")</f>
        <v/>
      </c>
      <c r="U156">
        <f>HYPERLINK("https://klasma.github.io/Logging_2283/knärot/A 40419-2023 karta knärot.png", "A 40419-2023")</f>
        <v/>
      </c>
      <c r="V156">
        <f>HYPERLINK("https://klasma.github.io/Logging_2283/klagomål/A 40419-2023 FSC-klagomål.docx", "A 40419-2023")</f>
        <v/>
      </c>
      <c r="W156">
        <f>HYPERLINK("https://klasma.github.io/Logging_2283/klagomålsmail/A 40419-2023 FSC-klagomål mail.docx", "A 40419-2023")</f>
        <v/>
      </c>
      <c r="X156">
        <f>HYPERLINK("https://klasma.github.io/Logging_2283/tillsyn/A 40419-2023 tillsynsbegäran.docx", "A 40419-2023")</f>
        <v/>
      </c>
      <c r="Y156">
        <f>HYPERLINK("https://klasma.github.io/Logging_2283/tillsynsmail/A 40419-2023 tillsynsbegäran mail.docx", "A 40419-2023")</f>
        <v/>
      </c>
    </row>
    <row r="157" ht="15" customHeight="1">
      <c r="A157" t="inlineStr">
        <is>
          <t>A 40866-2023</t>
        </is>
      </c>
      <c r="B157" s="1" t="n">
        <v>45173</v>
      </c>
      <c r="C157" s="1" t="n">
        <v>45260</v>
      </c>
      <c r="D157" t="inlineStr">
        <is>
          <t>VÄSTERNORRLANDS LÄN</t>
        </is>
      </c>
      <c r="E157" t="inlineStr">
        <is>
          <t>SOLLEFTEÅ</t>
        </is>
      </c>
      <c r="G157" t="n">
        <v>1.7</v>
      </c>
      <c r="H157" t="n">
        <v>1</v>
      </c>
      <c r="I157" t="n">
        <v>1</v>
      </c>
      <c r="J157" t="n">
        <v>0</v>
      </c>
      <c r="K157" t="n">
        <v>0</v>
      </c>
      <c r="L157" t="n">
        <v>0</v>
      </c>
      <c r="M157" t="n">
        <v>0</v>
      </c>
      <c r="N157" t="n">
        <v>0</v>
      </c>
      <c r="O157" t="n">
        <v>0</v>
      </c>
      <c r="P157" t="n">
        <v>0</v>
      </c>
      <c r="Q157" t="n">
        <v>2</v>
      </c>
      <c r="R157" s="2" t="inlineStr">
        <is>
          <t>Tibast
Skogsödla</t>
        </is>
      </c>
      <c r="S157">
        <f>HYPERLINK("https://klasma.github.io/Logging_2283/artfynd/A 40866-2023 artfynd.xlsx", "A 40866-2023")</f>
        <v/>
      </c>
      <c r="T157">
        <f>HYPERLINK("https://klasma.github.io/Logging_2283/kartor/A 40866-2023 karta.png", "A 40866-2023")</f>
        <v/>
      </c>
      <c r="V157">
        <f>HYPERLINK("https://klasma.github.io/Logging_2283/klagomål/A 40866-2023 FSC-klagomål.docx", "A 40866-2023")</f>
        <v/>
      </c>
      <c r="W157">
        <f>HYPERLINK("https://klasma.github.io/Logging_2283/klagomålsmail/A 40866-2023 FSC-klagomål mail.docx", "A 40866-2023")</f>
        <v/>
      </c>
      <c r="X157">
        <f>HYPERLINK("https://klasma.github.io/Logging_2283/tillsyn/A 40866-2023 tillsynsbegäran.docx", "A 40866-2023")</f>
        <v/>
      </c>
      <c r="Y157">
        <f>HYPERLINK("https://klasma.github.io/Logging_2283/tillsynsmail/A 40866-2023 tillsynsbegäran mail.docx", "A 40866-2023")</f>
        <v/>
      </c>
    </row>
    <row r="158" ht="15" customHeight="1">
      <c r="A158" t="inlineStr">
        <is>
          <t>A 48489-2023</t>
        </is>
      </c>
      <c r="B158" s="1" t="n">
        <v>45206</v>
      </c>
      <c r="C158" s="1" t="n">
        <v>45260</v>
      </c>
      <c r="D158" t="inlineStr">
        <is>
          <t>VÄSTERNORRLANDS LÄN</t>
        </is>
      </c>
      <c r="E158" t="inlineStr">
        <is>
          <t>SOLLEFTEÅ</t>
        </is>
      </c>
      <c r="F158" t="inlineStr">
        <is>
          <t>SCA</t>
        </is>
      </c>
      <c r="G158" t="n">
        <v>51.8</v>
      </c>
      <c r="H158" t="n">
        <v>2</v>
      </c>
      <c r="I158" t="n">
        <v>0</v>
      </c>
      <c r="J158" t="n">
        <v>2</v>
      </c>
      <c r="K158" t="n">
        <v>0</v>
      </c>
      <c r="L158" t="n">
        <v>0</v>
      </c>
      <c r="M158" t="n">
        <v>0</v>
      </c>
      <c r="N158" t="n">
        <v>0</v>
      </c>
      <c r="O158" t="n">
        <v>2</v>
      </c>
      <c r="P158" t="n">
        <v>0</v>
      </c>
      <c r="Q158" t="n">
        <v>2</v>
      </c>
      <c r="R158" s="2" t="inlineStr">
        <is>
          <t>Spillkråka
Talltita</t>
        </is>
      </c>
      <c r="S158">
        <f>HYPERLINK("https://klasma.github.io/Logging_2283/artfynd/A 48489-2023 artfynd.xlsx", "A 48489-2023")</f>
        <v/>
      </c>
      <c r="T158">
        <f>HYPERLINK("https://klasma.github.io/Logging_2283/kartor/A 48489-2023 karta.png", "A 48489-2023")</f>
        <v/>
      </c>
      <c r="V158">
        <f>HYPERLINK("https://klasma.github.io/Logging_2283/klagomål/A 48489-2023 FSC-klagomål.docx", "A 48489-2023")</f>
        <v/>
      </c>
      <c r="W158">
        <f>HYPERLINK("https://klasma.github.io/Logging_2283/klagomålsmail/A 48489-2023 FSC-klagomål mail.docx", "A 48489-2023")</f>
        <v/>
      </c>
      <c r="X158">
        <f>HYPERLINK("https://klasma.github.io/Logging_2283/tillsyn/A 48489-2023 tillsynsbegäran.docx", "A 48489-2023")</f>
        <v/>
      </c>
      <c r="Y158">
        <f>HYPERLINK("https://klasma.github.io/Logging_2283/tillsynsmail/A 48489-2023 tillsynsbegäran mail.docx", "A 48489-2023")</f>
        <v/>
      </c>
    </row>
    <row r="159" ht="15" customHeight="1">
      <c r="A159" t="inlineStr">
        <is>
          <t>A 53949-2023</t>
        </is>
      </c>
      <c r="B159" s="1" t="n">
        <v>45224</v>
      </c>
      <c r="C159" s="1" t="n">
        <v>45260</v>
      </c>
      <c r="D159" t="inlineStr">
        <is>
          <t>VÄSTERNORRLANDS LÄN</t>
        </is>
      </c>
      <c r="E159" t="inlineStr">
        <is>
          <t>SOLLEFTEÅ</t>
        </is>
      </c>
      <c r="G159" t="n">
        <v>4</v>
      </c>
      <c r="H159" t="n">
        <v>1</v>
      </c>
      <c r="I159" t="n">
        <v>0</v>
      </c>
      <c r="J159" t="n">
        <v>1</v>
      </c>
      <c r="K159" t="n">
        <v>0</v>
      </c>
      <c r="L159" t="n">
        <v>0</v>
      </c>
      <c r="M159" t="n">
        <v>0</v>
      </c>
      <c r="N159" t="n">
        <v>0</v>
      </c>
      <c r="O159" t="n">
        <v>1</v>
      </c>
      <c r="P159" t="n">
        <v>0</v>
      </c>
      <c r="Q159" t="n">
        <v>2</v>
      </c>
      <c r="R159" s="2" t="inlineStr">
        <is>
          <t>Granticka
Fläcknycklar</t>
        </is>
      </c>
      <c r="S159">
        <f>HYPERLINK("https://klasma.github.io/Logging_2283/artfynd/A 53949-2023 artfynd.xlsx", "A 53949-2023")</f>
        <v/>
      </c>
      <c r="T159">
        <f>HYPERLINK("https://klasma.github.io/Logging_2283/kartor/A 53949-2023 karta.png", "A 53949-2023")</f>
        <v/>
      </c>
      <c r="V159">
        <f>HYPERLINK("https://klasma.github.io/Logging_2283/klagomål/A 53949-2023 FSC-klagomål.docx", "A 53949-2023")</f>
        <v/>
      </c>
      <c r="W159">
        <f>HYPERLINK("https://klasma.github.io/Logging_2283/klagomålsmail/A 53949-2023 FSC-klagomål mail.docx", "A 53949-2023")</f>
        <v/>
      </c>
      <c r="X159">
        <f>HYPERLINK("https://klasma.github.io/Logging_2283/tillsyn/A 53949-2023 tillsynsbegäran.docx", "A 53949-2023")</f>
        <v/>
      </c>
      <c r="Y159">
        <f>HYPERLINK("https://klasma.github.io/Logging_2283/tillsynsmail/A 53949-2023 tillsynsbegäran mail.docx", "A 53949-2023")</f>
        <v/>
      </c>
    </row>
    <row r="160" ht="15" customHeight="1">
      <c r="A160" t="inlineStr">
        <is>
          <t>A 54030-2023</t>
        </is>
      </c>
      <c r="B160" s="1" t="n">
        <v>45231</v>
      </c>
      <c r="C160" s="1" t="n">
        <v>45260</v>
      </c>
      <c r="D160" t="inlineStr">
        <is>
          <t>VÄSTERNORRLANDS LÄN</t>
        </is>
      </c>
      <c r="E160" t="inlineStr">
        <is>
          <t>SOLLEFTEÅ</t>
        </is>
      </c>
      <c r="G160" t="n">
        <v>4.4</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54030-2023 artfynd.xlsx", "A 54030-2023")</f>
        <v/>
      </c>
      <c r="T160">
        <f>HYPERLINK("https://klasma.github.io/Logging_2283/kartor/A 54030-2023 karta.png", "A 54030-2023")</f>
        <v/>
      </c>
      <c r="V160">
        <f>HYPERLINK("https://klasma.github.io/Logging_2283/klagomål/A 54030-2023 FSC-klagomål.docx", "A 54030-2023")</f>
        <v/>
      </c>
      <c r="W160">
        <f>HYPERLINK("https://klasma.github.io/Logging_2283/klagomålsmail/A 54030-2023 FSC-klagomål mail.docx", "A 54030-2023")</f>
        <v/>
      </c>
      <c r="X160">
        <f>HYPERLINK("https://klasma.github.io/Logging_2283/tillsyn/A 54030-2023 tillsynsbegäran.docx", "A 54030-2023")</f>
        <v/>
      </c>
      <c r="Y160">
        <f>HYPERLINK("https://klasma.github.io/Logging_2283/tillsynsmail/A 54030-2023 tillsynsbegäran mail.docx", "A 54030-2023")</f>
        <v/>
      </c>
    </row>
    <row r="161" ht="15" customHeight="1">
      <c r="A161" t="inlineStr">
        <is>
          <t>A 58827-2023</t>
        </is>
      </c>
      <c r="B161" s="1" t="n">
        <v>45247</v>
      </c>
      <c r="C161" s="1" t="n">
        <v>45260</v>
      </c>
      <c r="D161" t="inlineStr">
        <is>
          <t>VÄSTERNORRLANDS LÄN</t>
        </is>
      </c>
      <c r="E161" t="inlineStr">
        <is>
          <t>SOLLEFTEÅ</t>
        </is>
      </c>
      <c r="G161" t="n">
        <v>2.2</v>
      </c>
      <c r="H161" t="n">
        <v>1</v>
      </c>
      <c r="I161" t="n">
        <v>0</v>
      </c>
      <c r="J161" t="n">
        <v>1</v>
      </c>
      <c r="K161" t="n">
        <v>0</v>
      </c>
      <c r="L161" t="n">
        <v>0</v>
      </c>
      <c r="M161" t="n">
        <v>0</v>
      </c>
      <c r="N161" t="n">
        <v>0</v>
      </c>
      <c r="O161" t="n">
        <v>1</v>
      </c>
      <c r="P161" t="n">
        <v>0</v>
      </c>
      <c r="Q161" t="n">
        <v>2</v>
      </c>
      <c r="R161" s="2" t="inlineStr">
        <is>
          <t>Garnlav
Mattlummer</t>
        </is>
      </c>
      <c r="S161">
        <f>HYPERLINK("https://klasma.github.io/Logging_2283/artfynd/A 58827-2023 artfynd.xlsx", "A 58827-2023")</f>
        <v/>
      </c>
      <c r="T161">
        <f>HYPERLINK("https://klasma.github.io/Logging_2283/kartor/A 58827-2023 karta.png", "A 58827-2023")</f>
        <v/>
      </c>
      <c r="V161">
        <f>HYPERLINK("https://klasma.github.io/Logging_2283/klagomål/A 58827-2023 FSC-klagomål.docx", "A 58827-2023")</f>
        <v/>
      </c>
      <c r="W161">
        <f>HYPERLINK("https://klasma.github.io/Logging_2283/klagomålsmail/A 58827-2023 FSC-klagomål mail.docx", "A 58827-2023")</f>
        <v/>
      </c>
      <c r="X161">
        <f>HYPERLINK("https://klasma.github.io/Logging_2283/tillsyn/A 58827-2023 tillsynsbegäran.docx", "A 58827-2023")</f>
        <v/>
      </c>
      <c r="Y161">
        <f>HYPERLINK("https://klasma.github.io/Logging_2283/tillsynsmail/A 58827-2023 tillsynsbegäran mail.docx", "A 58827-2023")</f>
        <v/>
      </c>
    </row>
    <row r="162" ht="15" customHeight="1">
      <c r="A162" t="inlineStr">
        <is>
          <t>A 58580-2018</t>
        </is>
      </c>
      <c r="B162" s="1" t="n">
        <v>43409</v>
      </c>
      <c r="C162" s="1" t="n">
        <v>45260</v>
      </c>
      <c r="D162" t="inlineStr">
        <is>
          <t>VÄSTERNORRLANDS LÄN</t>
        </is>
      </c>
      <c r="E162" t="inlineStr">
        <is>
          <t>SOLLEFTEÅ</t>
        </is>
      </c>
      <c r="G162" t="n">
        <v>3.9</v>
      </c>
      <c r="H162" t="n">
        <v>0</v>
      </c>
      <c r="I162" t="n">
        <v>0</v>
      </c>
      <c r="J162" t="n">
        <v>1</v>
      </c>
      <c r="K162" t="n">
        <v>0</v>
      </c>
      <c r="L162" t="n">
        <v>0</v>
      </c>
      <c r="M162" t="n">
        <v>0</v>
      </c>
      <c r="N162" t="n">
        <v>0</v>
      </c>
      <c r="O162" t="n">
        <v>1</v>
      </c>
      <c r="P162" t="n">
        <v>0</v>
      </c>
      <c r="Q162" t="n">
        <v>1</v>
      </c>
      <c r="R162" s="2" t="inlineStr">
        <is>
          <t>Garnlav</t>
        </is>
      </c>
      <c r="S162">
        <f>HYPERLINK("https://klasma.github.io/Logging_2283/artfynd/A 58580-2018 artfynd.xlsx", "A 58580-2018")</f>
        <v/>
      </c>
      <c r="T162">
        <f>HYPERLINK("https://klasma.github.io/Logging_2283/kartor/A 58580-2018 karta.png", "A 58580-2018")</f>
        <v/>
      </c>
      <c r="V162">
        <f>HYPERLINK("https://klasma.github.io/Logging_2283/klagomål/A 58580-2018 FSC-klagomål.docx", "A 58580-2018")</f>
        <v/>
      </c>
      <c r="W162">
        <f>HYPERLINK("https://klasma.github.io/Logging_2283/klagomålsmail/A 58580-2018 FSC-klagomål mail.docx", "A 58580-2018")</f>
        <v/>
      </c>
      <c r="X162">
        <f>HYPERLINK("https://klasma.github.io/Logging_2283/tillsyn/A 58580-2018 tillsynsbegäran.docx", "A 58580-2018")</f>
        <v/>
      </c>
      <c r="Y162">
        <f>HYPERLINK("https://klasma.github.io/Logging_2283/tillsynsmail/A 58580-2018 tillsynsbegäran mail.docx", "A 58580-2018")</f>
        <v/>
      </c>
    </row>
    <row r="163" ht="15" customHeight="1">
      <c r="A163" t="inlineStr">
        <is>
          <t>A 70806-2018</t>
        </is>
      </c>
      <c r="B163" s="1" t="n">
        <v>43451</v>
      </c>
      <c r="C163" s="1" t="n">
        <v>45260</v>
      </c>
      <c r="D163" t="inlineStr">
        <is>
          <t>VÄSTERNORRLANDS LÄN</t>
        </is>
      </c>
      <c r="E163" t="inlineStr">
        <is>
          <t>SOLLEFTEÅ</t>
        </is>
      </c>
      <c r="G163" t="n">
        <v>4.3</v>
      </c>
      <c r="H163" t="n">
        <v>0</v>
      </c>
      <c r="I163" t="n">
        <v>0</v>
      </c>
      <c r="J163" t="n">
        <v>1</v>
      </c>
      <c r="K163" t="n">
        <v>0</v>
      </c>
      <c r="L163" t="n">
        <v>0</v>
      </c>
      <c r="M163" t="n">
        <v>0</v>
      </c>
      <c r="N163" t="n">
        <v>0</v>
      </c>
      <c r="O163" t="n">
        <v>1</v>
      </c>
      <c r="P163" t="n">
        <v>0</v>
      </c>
      <c r="Q163" t="n">
        <v>1</v>
      </c>
      <c r="R163" s="2" t="inlineStr">
        <is>
          <t>Garnlav</t>
        </is>
      </c>
      <c r="S163">
        <f>HYPERLINK("https://klasma.github.io/Logging_2283/artfynd/A 70806-2018 artfynd.xlsx", "A 70806-2018")</f>
        <v/>
      </c>
      <c r="T163">
        <f>HYPERLINK("https://klasma.github.io/Logging_2283/kartor/A 70806-2018 karta.png", "A 70806-2018")</f>
        <v/>
      </c>
      <c r="V163">
        <f>HYPERLINK("https://klasma.github.io/Logging_2283/klagomål/A 70806-2018 FSC-klagomål.docx", "A 70806-2018")</f>
        <v/>
      </c>
      <c r="W163">
        <f>HYPERLINK("https://klasma.github.io/Logging_2283/klagomålsmail/A 70806-2018 FSC-klagomål mail.docx", "A 70806-2018")</f>
        <v/>
      </c>
      <c r="X163">
        <f>HYPERLINK("https://klasma.github.io/Logging_2283/tillsyn/A 70806-2018 tillsynsbegäran.docx", "A 70806-2018")</f>
        <v/>
      </c>
      <c r="Y163">
        <f>HYPERLINK("https://klasma.github.io/Logging_2283/tillsynsmail/A 70806-2018 tillsynsbegäran mail.docx", "A 70806-2018")</f>
        <v/>
      </c>
    </row>
    <row r="164" ht="15" customHeight="1">
      <c r="A164" t="inlineStr">
        <is>
          <t>A 71019-2018</t>
        </is>
      </c>
      <c r="B164" s="1" t="n">
        <v>43451</v>
      </c>
      <c r="C164" s="1" t="n">
        <v>45260</v>
      </c>
      <c r="D164" t="inlineStr">
        <is>
          <t>VÄSTERNORRLANDS LÄN</t>
        </is>
      </c>
      <c r="E164" t="inlineStr">
        <is>
          <t>SOLLEFTEÅ</t>
        </is>
      </c>
      <c r="G164" t="n">
        <v>7.6</v>
      </c>
      <c r="H164" t="n">
        <v>0</v>
      </c>
      <c r="I164" t="n">
        <v>0</v>
      </c>
      <c r="J164" t="n">
        <v>1</v>
      </c>
      <c r="K164" t="n">
        <v>0</v>
      </c>
      <c r="L164" t="n">
        <v>0</v>
      </c>
      <c r="M164" t="n">
        <v>0</v>
      </c>
      <c r="N164" t="n">
        <v>0</v>
      </c>
      <c r="O164" t="n">
        <v>1</v>
      </c>
      <c r="P164" t="n">
        <v>0</v>
      </c>
      <c r="Q164" t="n">
        <v>1</v>
      </c>
      <c r="R164" s="2" t="inlineStr">
        <is>
          <t>Rosenticka</t>
        </is>
      </c>
      <c r="S164">
        <f>HYPERLINK("https://klasma.github.io/Logging_2283/artfynd/A 71019-2018 artfynd.xlsx", "A 71019-2018")</f>
        <v/>
      </c>
      <c r="T164">
        <f>HYPERLINK("https://klasma.github.io/Logging_2283/kartor/A 71019-2018 karta.png", "A 71019-2018")</f>
        <v/>
      </c>
      <c r="V164">
        <f>HYPERLINK("https://klasma.github.io/Logging_2283/klagomål/A 71019-2018 FSC-klagomål.docx", "A 71019-2018")</f>
        <v/>
      </c>
      <c r="W164">
        <f>HYPERLINK("https://klasma.github.io/Logging_2283/klagomålsmail/A 71019-2018 FSC-klagomål mail.docx", "A 71019-2018")</f>
        <v/>
      </c>
      <c r="X164">
        <f>HYPERLINK("https://klasma.github.io/Logging_2283/tillsyn/A 71019-2018 tillsynsbegäran.docx", "A 71019-2018")</f>
        <v/>
      </c>
      <c r="Y164">
        <f>HYPERLINK("https://klasma.github.io/Logging_2283/tillsynsmail/A 71019-2018 tillsynsbegäran mail.docx", "A 71019-2018")</f>
        <v/>
      </c>
    </row>
    <row r="165" ht="15" customHeight="1">
      <c r="A165" t="inlineStr">
        <is>
          <t>A 3779-2019</t>
        </is>
      </c>
      <c r="B165" s="1" t="n">
        <v>43481</v>
      </c>
      <c r="C165" s="1" t="n">
        <v>45260</v>
      </c>
      <c r="D165" t="inlineStr">
        <is>
          <t>VÄSTERNORRLANDS LÄN</t>
        </is>
      </c>
      <c r="E165" t="inlineStr">
        <is>
          <t>SOLLEFTEÅ</t>
        </is>
      </c>
      <c r="F165" t="inlineStr">
        <is>
          <t>SCA</t>
        </is>
      </c>
      <c r="G165" t="n">
        <v>3.3</v>
      </c>
      <c r="H165" t="n">
        <v>0</v>
      </c>
      <c r="I165" t="n">
        <v>0</v>
      </c>
      <c r="J165" t="n">
        <v>1</v>
      </c>
      <c r="K165" t="n">
        <v>0</v>
      </c>
      <c r="L165" t="n">
        <v>0</v>
      </c>
      <c r="M165" t="n">
        <v>0</v>
      </c>
      <c r="N165" t="n">
        <v>0</v>
      </c>
      <c r="O165" t="n">
        <v>1</v>
      </c>
      <c r="P165" t="n">
        <v>0</v>
      </c>
      <c r="Q165" t="n">
        <v>1</v>
      </c>
      <c r="R165" s="2" t="inlineStr">
        <is>
          <t>Ullticka</t>
        </is>
      </c>
      <c r="S165">
        <f>HYPERLINK("https://klasma.github.io/Logging_2283/artfynd/A 3779-2019 artfynd.xlsx", "A 3779-2019")</f>
        <v/>
      </c>
      <c r="T165">
        <f>HYPERLINK("https://klasma.github.io/Logging_2283/kartor/A 3779-2019 karta.png", "A 3779-2019")</f>
        <v/>
      </c>
      <c r="V165">
        <f>HYPERLINK("https://klasma.github.io/Logging_2283/klagomål/A 3779-2019 FSC-klagomål.docx", "A 3779-2019")</f>
        <v/>
      </c>
      <c r="W165">
        <f>HYPERLINK("https://klasma.github.io/Logging_2283/klagomålsmail/A 3779-2019 FSC-klagomål mail.docx", "A 3779-2019")</f>
        <v/>
      </c>
      <c r="X165">
        <f>HYPERLINK("https://klasma.github.io/Logging_2283/tillsyn/A 3779-2019 tillsynsbegäran.docx", "A 3779-2019")</f>
        <v/>
      </c>
      <c r="Y165">
        <f>HYPERLINK("https://klasma.github.io/Logging_2283/tillsynsmail/A 3779-2019 tillsynsbegäran mail.docx", "A 3779-2019")</f>
        <v/>
      </c>
    </row>
    <row r="166" ht="15" customHeight="1">
      <c r="A166" t="inlineStr">
        <is>
          <t>A 8476-2019</t>
        </is>
      </c>
      <c r="B166" s="1" t="n">
        <v>43497</v>
      </c>
      <c r="C166" s="1" t="n">
        <v>45260</v>
      </c>
      <c r="D166" t="inlineStr">
        <is>
          <t>VÄSTERNORRLANDS LÄN</t>
        </is>
      </c>
      <c r="E166" t="inlineStr">
        <is>
          <t>SOLLEFTEÅ</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HYPERLINK("https://klasma.github.io/Logging_2283/artfynd/A 8476-2019 artfynd.xlsx", "A 8476-2019")</f>
        <v/>
      </c>
      <c r="T166">
        <f>HYPERLINK("https://klasma.github.io/Logging_2283/kartor/A 8476-2019 karta.png", "A 8476-2019")</f>
        <v/>
      </c>
      <c r="V166">
        <f>HYPERLINK("https://klasma.github.io/Logging_2283/klagomål/A 8476-2019 FSC-klagomål.docx", "A 8476-2019")</f>
        <v/>
      </c>
      <c r="W166">
        <f>HYPERLINK("https://klasma.github.io/Logging_2283/klagomålsmail/A 8476-2019 FSC-klagomål mail.docx", "A 8476-2019")</f>
        <v/>
      </c>
      <c r="X166">
        <f>HYPERLINK("https://klasma.github.io/Logging_2283/tillsyn/A 8476-2019 tillsynsbegäran.docx", "A 8476-2019")</f>
        <v/>
      </c>
      <c r="Y166">
        <f>HYPERLINK("https://klasma.github.io/Logging_2283/tillsynsmail/A 8476-2019 tillsynsbegäran mail.docx", "A 8476-2019")</f>
        <v/>
      </c>
    </row>
    <row r="167" ht="15" customHeight="1">
      <c r="A167" t="inlineStr">
        <is>
          <t>A 16838-2019</t>
        </is>
      </c>
      <c r="B167" s="1" t="n">
        <v>43549</v>
      </c>
      <c r="C167" s="1" t="n">
        <v>45260</v>
      </c>
      <c r="D167" t="inlineStr">
        <is>
          <t>VÄSTERNORRLANDS LÄN</t>
        </is>
      </c>
      <c r="E167" t="inlineStr">
        <is>
          <t>SOLLEFTEÅ</t>
        </is>
      </c>
      <c r="F167" t="inlineStr">
        <is>
          <t>SCA</t>
        </is>
      </c>
      <c r="G167" t="n">
        <v>16.4</v>
      </c>
      <c r="H167" t="n">
        <v>1</v>
      </c>
      <c r="I167" t="n">
        <v>0</v>
      </c>
      <c r="J167" t="n">
        <v>0</v>
      </c>
      <c r="K167" t="n">
        <v>0</v>
      </c>
      <c r="L167" t="n">
        <v>0</v>
      </c>
      <c r="M167" t="n">
        <v>1</v>
      </c>
      <c r="N167" t="n">
        <v>0</v>
      </c>
      <c r="O167" t="n">
        <v>1</v>
      </c>
      <c r="P167" t="n">
        <v>1</v>
      </c>
      <c r="Q167" t="n">
        <v>1</v>
      </c>
      <c r="R167" s="2" t="inlineStr">
        <is>
          <t>Ortolansparv</t>
        </is>
      </c>
      <c r="S167">
        <f>HYPERLINK("https://klasma.github.io/Logging_2283/artfynd/A 16838-2019 artfynd.xlsx", "A 16838-2019")</f>
        <v/>
      </c>
      <c r="T167">
        <f>HYPERLINK("https://klasma.github.io/Logging_2283/kartor/A 16838-2019 karta.png", "A 16838-2019")</f>
        <v/>
      </c>
      <c r="V167">
        <f>HYPERLINK("https://klasma.github.io/Logging_2283/klagomål/A 16838-2019 FSC-klagomål.docx", "A 16838-2019")</f>
        <v/>
      </c>
      <c r="W167">
        <f>HYPERLINK("https://klasma.github.io/Logging_2283/klagomålsmail/A 16838-2019 FSC-klagomål mail.docx", "A 16838-2019")</f>
        <v/>
      </c>
      <c r="X167">
        <f>HYPERLINK("https://klasma.github.io/Logging_2283/tillsyn/A 16838-2019 tillsynsbegäran.docx", "A 16838-2019")</f>
        <v/>
      </c>
      <c r="Y167">
        <f>HYPERLINK("https://klasma.github.io/Logging_2283/tillsynsmail/A 16838-2019 tillsynsbegäran mail.docx", "A 16838-2019")</f>
        <v/>
      </c>
    </row>
    <row r="168" ht="15" customHeight="1">
      <c r="A168" t="inlineStr">
        <is>
          <t>A 21120-2019</t>
        </is>
      </c>
      <c r="B168" s="1" t="n">
        <v>43578</v>
      </c>
      <c r="C168" s="1" t="n">
        <v>45260</v>
      </c>
      <c r="D168" t="inlineStr">
        <is>
          <t>VÄSTERNORRLANDS LÄN</t>
        </is>
      </c>
      <c r="E168" t="inlineStr">
        <is>
          <t>SOLLEFTEÅ</t>
        </is>
      </c>
      <c r="F168" t="inlineStr">
        <is>
          <t>SCA</t>
        </is>
      </c>
      <c r="G168" t="n">
        <v>54.4</v>
      </c>
      <c r="H168" t="n">
        <v>1</v>
      </c>
      <c r="I168" t="n">
        <v>0</v>
      </c>
      <c r="J168" t="n">
        <v>0</v>
      </c>
      <c r="K168" t="n">
        <v>0</v>
      </c>
      <c r="L168" t="n">
        <v>0</v>
      </c>
      <c r="M168" t="n">
        <v>0</v>
      </c>
      <c r="N168" t="n">
        <v>0</v>
      </c>
      <c r="O168" t="n">
        <v>0</v>
      </c>
      <c r="P168" t="n">
        <v>0</v>
      </c>
      <c r="Q168" t="n">
        <v>1</v>
      </c>
      <c r="R168" s="2" t="inlineStr">
        <is>
          <t>Revlummer</t>
        </is>
      </c>
      <c r="S168">
        <f>HYPERLINK("https://klasma.github.io/Logging_2283/artfynd/A 21120-2019 artfynd.xlsx", "A 21120-2019")</f>
        <v/>
      </c>
      <c r="T168">
        <f>HYPERLINK("https://klasma.github.io/Logging_2283/kartor/A 21120-2019 karta.png", "A 21120-2019")</f>
        <v/>
      </c>
      <c r="V168">
        <f>HYPERLINK("https://klasma.github.io/Logging_2283/klagomål/A 21120-2019 FSC-klagomål.docx", "A 21120-2019")</f>
        <v/>
      </c>
      <c r="W168">
        <f>HYPERLINK("https://klasma.github.io/Logging_2283/klagomålsmail/A 21120-2019 FSC-klagomål mail.docx", "A 21120-2019")</f>
        <v/>
      </c>
      <c r="X168">
        <f>HYPERLINK("https://klasma.github.io/Logging_2283/tillsyn/A 21120-2019 tillsynsbegäran.docx", "A 21120-2019")</f>
        <v/>
      </c>
      <c r="Y168">
        <f>HYPERLINK("https://klasma.github.io/Logging_2283/tillsynsmail/A 21120-2019 tillsynsbegäran mail.docx", "A 21120-2019")</f>
        <v/>
      </c>
    </row>
    <row r="169" ht="15" customHeight="1">
      <c r="A169" t="inlineStr">
        <is>
          <t>A 28600-2019</t>
        </is>
      </c>
      <c r="B169" s="1" t="n">
        <v>43626</v>
      </c>
      <c r="C169" s="1" t="n">
        <v>45260</v>
      </c>
      <c r="D169" t="inlineStr">
        <is>
          <t>VÄSTERNORRLANDS LÄN</t>
        </is>
      </c>
      <c r="E169" t="inlineStr">
        <is>
          <t>SOLLEFTEÅ</t>
        </is>
      </c>
      <c r="F169" t="inlineStr">
        <is>
          <t>SCA</t>
        </is>
      </c>
      <c r="G169" t="n">
        <v>5.9</v>
      </c>
      <c r="H169" t="n">
        <v>0</v>
      </c>
      <c r="I169" t="n">
        <v>0</v>
      </c>
      <c r="J169" t="n">
        <v>1</v>
      </c>
      <c r="K169" t="n">
        <v>0</v>
      </c>
      <c r="L169" t="n">
        <v>0</v>
      </c>
      <c r="M169" t="n">
        <v>0</v>
      </c>
      <c r="N169" t="n">
        <v>0</v>
      </c>
      <c r="O169" t="n">
        <v>1</v>
      </c>
      <c r="P169" t="n">
        <v>0</v>
      </c>
      <c r="Q169" t="n">
        <v>1</v>
      </c>
      <c r="R169" s="2" t="inlineStr">
        <is>
          <t>Tallriska</t>
        </is>
      </c>
      <c r="S169">
        <f>HYPERLINK("https://klasma.github.io/Logging_2283/artfynd/A 28600-2019 artfynd.xlsx", "A 28600-2019")</f>
        <v/>
      </c>
      <c r="T169">
        <f>HYPERLINK("https://klasma.github.io/Logging_2283/kartor/A 28600-2019 karta.png", "A 28600-2019")</f>
        <v/>
      </c>
      <c r="V169">
        <f>HYPERLINK("https://klasma.github.io/Logging_2283/klagomål/A 28600-2019 FSC-klagomål.docx", "A 28600-2019")</f>
        <v/>
      </c>
      <c r="W169">
        <f>HYPERLINK("https://klasma.github.io/Logging_2283/klagomålsmail/A 28600-2019 FSC-klagomål mail.docx", "A 28600-2019")</f>
        <v/>
      </c>
      <c r="X169">
        <f>HYPERLINK("https://klasma.github.io/Logging_2283/tillsyn/A 28600-2019 tillsynsbegäran.docx", "A 28600-2019")</f>
        <v/>
      </c>
      <c r="Y169">
        <f>HYPERLINK("https://klasma.github.io/Logging_2283/tillsynsmail/A 28600-2019 tillsynsbegäran mail.docx", "A 28600-2019")</f>
        <v/>
      </c>
    </row>
    <row r="170" ht="15" customHeight="1">
      <c r="A170" t="inlineStr">
        <is>
          <t>A 36982-2019</t>
        </is>
      </c>
      <c r="B170" s="1" t="n">
        <v>43676</v>
      </c>
      <c r="C170" s="1" t="n">
        <v>45260</v>
      </c>
      <c r="D170" t="inlineStr">
        <is>
          <t>VÄSTERNORRLANDS LÄN</t>
        </is>
      </c>
      <c r="E170" t="inlineStr">
        <is>
          <t>SOLLEFTEÅ</t>
        </is>
      </c>
      <c r="G170" t="n">
        <v>1.2</v>
      </c>
      <c r="H170" t="n">
        <v>0</v>
      </c>
      <c r="I170" t="n">
        <v>1</v>
      </c>
      <c r="J170" t="n">
        <v>0</v>
      </c>
      <c r="K170" t="n">
        <v>0</v>
      </c>
      <c r="L170" t="n">
        <v>0</v>
      </c>
      <c r="M170" t="n">
        <v>0</v>
      </c>
      <c r="N170" t="n">
        <v>0</v>
      </c>
      <c r="O170" t="n">
        <v>0</v>
      </c>
      <c r="P170" t="n">
        <v>0</v>
      </c>
      <c r="Q170" t="n">
        <v>1</v>
      </c>
      <c r="R170" s="2" t="inlineStr">
        <is>
          <t>Trådticka</t>
        </is>
      </c>
      <c r="S170">
        <f>HYPERLINK("https://klasma.github.io/Logging_2283/artfynd/A 36982-2019 artfynd.xlsx", "A 36982-2019")</f>
        <v/>
      </c>
      <c r="T170">
        <f>HYPERLINK("https://klasma.github.io/Logging_2283/kartor/A 36982-2019 karta.png", "A 36982-2019")</f>
        <v/>
      </c>
      <c r="V170">
        <f>HYPERLINK("https://klasma.github.io/Logging_2283/klagomål/A 36982-2019 FSC-klagomål.docx", "A 36982-2019")</f>
        <v/>
      </c>
      <c r="W170">
        <f>HYPERLINK("https://klasma.github.io/Logging_2283/klagomålsmail/A 36982-2019 FSC-klagomål mail.docx", "A 36982-2019")</f>
        <v/>
      </c>
      <c r="X170">
        <f>HYPERLINK("https://klasma.github.io/Logging_2283/tillsyn/A 36982-2019 tillsynsbegäran.docx", "A 36982-2019")</f>
        <v/>
      </c>
      <c r="Y170">
        <f>HYPERLINK("https://klasma.github.io/Logging_2283/tillsynsmail/A 36982-2019 tillsynsbegäran mail.docx", "A 36982-2019")</f>
        <v/>
      </c>
    </row>
    <row r="171" ht="15" customHeight="1">
      <c r="A171" t="inlineStr">
        <is>
          <t>A 38091-2019</t>
        </is>
      </c>
      <c r="B171" s="1" t="n">
        <v>43682</v>
      </c>
      <c r="C171" s="1" t="n">
        <v>45260</v>
      </c>
      <c r="D171" t="inlineStr">
        <is>
          <t>VÄSTERNORRLANDS LÄN</t>
        </is>
      </c>
      <c r="E171" t="inlineStr">
        <is>
          <t>SOLLEFTEÅ</t>
        </is>
      </c>
      <c r="F171" t="inlineStr">
        <is>
          <t>Holmen skog AB</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HYPERLINK("https://klasma.github.io/Logging_2283/artfynd/A 38091-2019 artfynd.xlsx", "A 38091-2019")</f>
        <v/>
      </c>
      <c r="T171">
        <f>HYPERLINK("https://klasma.github.io/Logging_2283/kartor/A 38091-2019 karta.png", "A 38091-2019")</f>
        <v/>
      </c>
      <c r="V171">
        <f>HYPERLINK("https://klasma.github.io/Logging_2283/klagomål/A 38091-2019 FSC-klagomål.docx", "A 38091-2019")</f>
        <v/>
      </c>
      <c r="W171">
        <f>HYPERLINK("https://klasma.github.io/Logging_2283/klagomålsmail/A 38091-2019 FSC-klagomål mail.docx", "A 38091-2019")</f>
        <v/>
      </c>
      <c r="X171">
        <f>HYPERLINK("https://klasma.github.io/Logging_2283/tillsyn/A 38091-2019 tillsynsbegäran.docx", "A 38091-2019")</f>
        <v/>
      </c>
      <c r="Y171">
        <f>HYPERLINK("https://klasma.github.io/Logging_2283/tillsynsmail/A 38091-2019 tillsynsbegäran mail.docx", "A 38091-2019")</f>
        <v/>
      </c>
    </row>
    <row r="172" ht="15" customHeight="1">
      <c r="A172" t="inlineStr">
        <is>
          <t>A 51669-2019</t>
        </is>
      </c>
      <c r="B172" s="1" t="n">
        <v>43740</v>
      </c>
      <c r="C172" s="1" t="n">
        <v>45260</v>
      </c>
      <c r="D172" t="inlineStr">
        <is>
          <t>VÄSTERNORRLANDS LÄN</t>
        </is>
      </c>
      <c r="E172" t="inlineStr">
        <is>
          <t>SOLLEFTEÅ</t>
        </is>
      </c>
      <c r="F172" t="inlineStr">
        <is>
          <t>SCA</t>
        </is>
      </c>
      <c r="G172" t="n">
        <v>3.6</v>
      </c>
      <c r="H172" t="n">
        <v>0</v>
      </c>
      <c r="I172" t="n">
        <v>0</v>
      </c>
      <c r="J172" t="n">
        <v>1</v>
      </c>
      <c r="K172" t="n">
        <v>0</v>
      </c>
      <c r="L172" t="n">
        <v>0</v>
      </c>
      <c r="M172" t="n">
        <v>0</v>
      </c>
      <c r="N172" t="n">
        <v>0</v>
      </c>
      <c r="O172" t="n">
        <v>1</v>
      </c>
      <c r="P172" t="n">
        <v>0</v>
      </c>
      <c r="Q172" t="n">
        <v>1</v>
      </c>
      <c r="R172" s="2" t="inlineStr">
        <is>
          <t>Rosenticka</t>
        </is>
      </c>
      <c r="S172">
        <f>HYPERLINK("https://klasma.github.io/Logging_2283/artfynd/A 51669-2019 artfynd.xlsx", "A 51669-2019")</f>
        <v/>
      </c>
      <c r="T172">
        <f>HYPERLINK("https://klasma.github.io/Logging_2283/kartor/A 51669-2019 karta.png", "A 51669-2019")</f>
        <v/>
      </c>
      <c r="V172">
        <f>HYPERLINK("https://klasma.github.io/Logging_2283/klagomål/A 51669-2019 FSC-klagomål.docx", "A 51669-2019")</f>
        <v/>
      </c>
      <c r="W172">
        <f>HYPERLINK("https://klasma.github.io/Logging_2283/klagomålsmail/A 51669-2019 FSC-klagomål mail.docx", "A 51669-2019")</f>
        <v/>
      </c>
      <c r="X172">
        <f>HYPERLINK("https://klasma.github.io/Logging_2283/tillsyn/A 51669-2019 tillsynsbegäran.docx", "A 51669-2019")</f>
        <v/>
      </c>
      <c r="Y172">
        <f>HYPERLINK("https://klasma.github.io/Logging_2283/tillsynsmail/A 51669-2019 tillsynsbegäran mail.docx", "A 51669-2019")</f>
        <v/>
      </c>
    </row>
    <row r="173" ht="15" customHeight="1">
      <c r="A173" t="inlineStr">
        <is>
          <t>A 9178-2020</t>
        </is>
      </c>
      <c r="B173" s="1" t="n">
        <v>43879</v>
      </c>
      <c r="C173" s="1" t="n">
        <v>45260</v>
      </c>
      <c r="D173" t="inlineStr">
        <is>
          <t>VÄSTERNORRLANDS LÄN</t>
        </is>
      </c>
      <c r="E173" t="inlineStr">
        <is>
          <t>SOLLEFTEÅ</t>
        </is>
      </c>
      <c r="G173" t="n">
        <v>5.3</v>
      </c>
      <c r="H173" t="n">
        <v>1</v>
      </c>
      <c r="I173" t="n">
        <v>0</v>
      </c>
      <c r="J173" t="n">
        <v>0</v>
      </c>
      <c r="K173" t="n">
        <v>0</v>
      </c>
      <c r="L173" t="n">
        <v>0</v>
      </c>
      <c r="M173" t="n">
        <v>0</v>
      </c>
      <c r="N173" t="n">
        <v>0</v>
      </c>
      <c r="O173" t="n">
        <v>0</v>
      </c>
      <c r="P173" t="n">
        <v>0</v>
      </c>
      <c r="Q173" t="n">
        <v>1</v>
      </c>
      <c r="R173" s="2" t="inlineStr">
        <is>
          <t>Fläcknycklar</t>
        </is>
      </c>
      <c r="S173">
        <f>HYPERLINK("https://klasma.github.io/Logging_2283/artfynd/A 9178-2020 artfynd.xlsx", "A 9178-2020")</f>
        <v/>
      </c>
      <c r="T173">
        <f>HYPERLINK("https://klasma.github.io/Logging_2283/kartor/A 9178-2020 karta.png", "A 9178-2020")</f>
        <v/>
      </c>
      <c r="V173">
        <f>HYPERLINK("https://klasma.github.io/Logging_2283/klagomål/A 9178-2020 FSC-klagomål.docx", "A 9178-2020")</f>
        <v/>
      </c>
      <c r="W173">
        <f>HYPERLINK("https://klasma.github.io/Logging_2283/klagomålsmail/A 9178-2020 FSC-klagomål mail.docx", "A 9178-2020")</f>
        <v/>
      </c>
      <c r="X173">
        <f>HYPERLINK("https://klasma.github.io/Logging_2283/tillsyn/A 9178-2020 tillsynsbegäran.docx", "A 9178-2020")</f>
        <v/>
      </c>
      <c r="Y173">
        <f>HYPERLINK("https://klasma.github.io/Logging_2283/tillsynsmail/A 9178-2020 tillsynsbegäran mail.docx", "A 9178-2020")</f>
        <v/>
      </c>
    </row>
    <row r="174" ht="15" customHeight="1">
      <c r="A174" t="inlineStr">
        <is>
          <t>A 19166-2020</t>
        </is>
      </c>
      <c r="B174" s="1" t="n">
        <v>43936</v>
      </c>
      <c r="C174" s="1" t="n">
        <v>45260</v>
      </c>
      <c r="D174" t="inlineStr">
        <is>
          <t>VÄSTERNORRLANDS LÄN</t>
        </is>
      </c>
      <c r="E174" t="inlineStr">
        <is>
          <t>SOLLEFTEÅ</t>
        </is>
      </c>
      <c r="G174" t="n">
        <v>3</v>
      </c>
      <c r="H174" t="n">
        <v>0</v>
      </c>
      <c r="I174" t="n">
        <v>0</v>
      </c>
      <c r="J174" t="n">
        <v>1</v>
      </c>
      <c r="K174" t="n">
        <v>0</v>
      </c>
      <c r="L174" t="n">
        <v>0</v>
      </c>
      <c r="M174" t="n">
        <v>0</v>
      </c>
      <c r="N174" t="n">
        <v>0</v>
      </c>
      <c r="O174" t="n">
        <v>1</v>
      </c>
      <c r="P174" t="n">
        <v>0</v>
      </c>
      <c r="Q174" t="n">
        <v>1</v>
      </c>
      <c r="R174" s="2" t="inlineStr">
        <is>
          <t>Garnlav</t>
        </is>
      </c>
      <c r="S174">
        <f>HYPERLINK("https://klasma.github.io/Logging_2283/artfynd/A 19166-2020 artfynd.xlsx", "A 19166-2020")</f>
        <v/>
      </c>
      <c r="T174">
        <f>HYPERLINK("https://klasma.github.io/Logging_2283/kartor/A 19166-2020 karta.png", "A 19166-2020")</f>
        <v/>
      </c>
      <c r="V174">
        <f>HYPERLINK("https://klasma.github.io/Logging_2283/klagomål/A 19166-2020 FSC-klagomål.docx", "A 19166-2020")</f>
        <v/>
      </c>
      <c r="W174">
        <f>HYPERLINK("https://klasma.github.io/Logging_2283/klagomålsmail/A 19166-2020 FSC-klagomål mail.docx", "A 19166-2020")</f>
        <v/>
      </c>
      <c r="X174">
        <f>HYPERLINK("https://klasma.github.io/Logging_2283/tillsyn/A 19166-2020 tillsynsbegäran.docx", "A 19166-2020")</f>
        <v/>
      </c>
      <c r="Y174">
        <f>HYPERLINK("https://klasma.github.io/Logging_2283/tillsynsmail/A 19166-2020 tillsynsbegäran mail.docx", "A 19166-2020")</f>
        <v/>
      </c>
    </row>
    <row r="175" ht="15" customHeight="1">
      <c r="A175" t="inlineStr">
        <is>
          <t>A 24641-2020</t>
        </is>
      </c>
      <c r="B175" s="1" t="n">
        <v>43977</v>
      </c>
      <c r="C175" s="1" t="n">
        <v>45260</v>
      </c>
      <c r="D175" t="inlineStr">
        <is>
          <t>VÄSTERNORRLANDS LÄN</t>
        </is>
      </c>
      <c r="E175" t="inlineStr">
        <is>
          <t>SOLLEFTEÅ</t>
        </is>
      </c>
      <c r="F175" t="inlineStr">
        <is>
          <t>SCA</t>
        </is>
      </c>
      <c r="G175" t="n">
        <v>3.9</v>
      </c>
      <c r="H175" t="n">
        <v>1</v>
      </c>
      <c r="I175" t="n">
        <v>0</v>
      </c>
      <c r="J175" t="n">
        <v>0</v>
      </c>
      <c r="K175" t="n">
        <v>1</v>
      </c>
      <c r="L175" t="n">
        <v>0</v>
      </c>
      <c r="M175" t="n">
        <v>0</v>
      </c>
      <c r="N175" t="n">
        <v>0</v>
      </c>
      <c r="O175" t="n">
        <v>1</v>
      </c>
      <c r="P175" t="n">
        <v>1</v>
      </c>
      <c r="Q175" t="n">
        <v>1</v>
      </c>
      <c r="R175" s="2" t="inlineStr">
        <is>
          <t>Knärot</t>
        </is>
      </c>
      <c r="S175">
        <f>HYPERLINK("https://klasma.github.io/Logging_2283/artfynd/A 24641-2020 artfynd.xlsx", "A 24641-2020")</f>
        <v/>
      </c>
      <c r="T175">
        <f>HYPERLINK("https://klasma.github.io/Logging_2283/kartor/A 24641-2020 karta.png", "A 24641-2020")</f>
        <v/>
      </c>
      <c r="U175">
        <f>HYPERLINK("https://klasma.github.io/Logging_2283/knärot/A 24641-2020 karta knärot.png", "A 24641-2020")</f>
        <v/>
      </c>
      <c r="V175">
        <f>HYPERLINK("https://klasma.github.io/Logging_2283/klagomål/A 24641-2020 FSC-klagomål.docx", "A 24641-2020")</f>
        <v/>
      </c>
      <c r="W175">
        <f>HYPERLINK("https://klasma.github.io/Logging_2283/klagomålsmail/A 24641-2020 FSC-klagomål mail.docx", "A 24641-2020")</f>
        <v/>
      </c>
      <c r="X175">
        <f>HYPERLINK("https://klasma.github.io/Logging_2283/tillsyn/A 24641-2020 tillsynsbegäran.docx", "A 24641-2020")</f>
        <v/>
      </c>
      <c r="Y175">
        <f>HYPERLINK("https://klasma.github.io/Logging_2283/tillsynsmail/A 24641-2020 tillsynsbegäran mail.docx", "A 24641-2020")</f>
        <v/>
      </c>
    </row>
    <row r="176" ht="15" customHeight="1">
      <c r="A176" t="inlineStr">
        <is>
          <t>A 33612-2020</t>
        </is>
      </c>
      <c r="B176" s="1" t="n">
        <v>44025</v>
      </c>
      <c r="C176" s="1" t="n">
        <v>45260</v>
      </c>
      <c r="D176" t="inlineStr">
        <is>
          <t>VÄSTERNORRLANDS LÄN</t>
        </is>
      </c>
      <c r="E176" t="inlineStr">
        <is>
          <t>SOLLEFTEÅ</t>
        </is>
      </c>
      <c r="F176" t="inlineStr">
        <is>
          <t>SCA</t>
        </is>
      </c>
      <c r="G176" t="n">
        <v>2.3</v>
      </c>
      <c r="H176" t="n">
        <v>0</v>
      </c>
      <c r="I176" t="n">
        <v>0</v>
      </c>
      <c r="J176" t="n">
        <v>1</v>
      </c>
      <c r="K176" t="n">
        <v>0</v>
      </c>
      <c r="L176" t="n">
        <v>0</v>
      </c>
      <c r="M176" t="n">
        <v>0</v>
      </c>
      <c r="N176" t="n">
        <v>0</v>
      </c>
      <c r="O176" t="n">
        <v>1</v>
      </c>
      <c r="P176" t="n">
        <v>0</v>
      </c>
      <c r="Q176" t="n">
        <v>1</v>
      </c>
      <c r="R176" s="2" t="inlineStr">
        <is>
          <t>Dvärgbägarlav</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row>
    <row r="177" ht="15" customHeight="1">
      <c r="A177" t="inlineStr">
        <is>
          <t>A 47840-2020</t>
        </is>
      </c>
      <c r="B177" s="1" t="n">
        <v>44098</v>
      </c>
      <c r="C177" s="1" t="n">
        <v>45260</v>
      </c>
      <c r="D177" t="inlineStr">
        <is>
          <t>VÄSTERNORRLANDS LÄN</t>
        </is>
      </c>
      <c r="E177" t="inlineStr">
        <is>
          <t>SOLLEFTEÅ</t>
        </is>
      </c>
      <c r="F177" t="inlineStr">
        <is>
          <t>SCA</t>
        </is>
      </c>
      <c r="G177" t="n">
        <v>9.699999999999999</v>
      </c>
      <c r="H177" t="n">
        <v>1</v>
      </c>
      <c r="I177" t="n">
        <v>0</v>
      </c>
      <c r="J177" t="n">
        <v>0</v>
      </c>
      <c r="K177" t="n">
        <v>1</v>
      </c>
      <c r="L177" t="n">
        <v>0</v>
      </c>
      <c r="M177" t="n">
        <v>0</v>
      </c>
      <c r="N177" t="n">
        <v>0</v>
      </c>
      <c r="O177" t="n">
        <v>1</v>
      </c>
      <c r="P177" t="n">
        <v>1</v>
      </c>
      <c r="Q177" t="n">
        <v>1</v>
      </c>
      <c r="R177" s="2" t="inlineStr">
        <is>
          <t>Knärot</t>
        </is>
      </c>
      <c r="S177">
        <f>HYPERLINK("https://klasma.github.io/Logging_2283/artfynd/A 47840-2020 artfynd.xlsx", "A 47840-2020")</f>
        <v/>
      </c>
      <c r="T177">
        <f>HYPERLINK("https://klasma.github.io/Logging_2283/kartor/A 47840-2020 karta.png", "A 47840-2020")</f>
        <v/>
      </c>
      <c r="U177">
        <f>HYPERLINK("https://klasma.github.io/Logging_2283/knärot/A 47840-2020 karta knärot.png", "A 47840-2020")</f>
        <v/>
      </c>
      <c r="V177">
        <f>HYPERLINK("https://klasma.github.io/Logging_2283/klagomål/A 47840-2020 FSC-klagomål.docx", "A 47840-2020")</f>
        <v/>
      </c>
      <c r="W177">
        <f>HYPERLINK("https://klasma.github.io/Logging_2283/klagomålsmail/A 47840-2020 FSC-klagomål mail.docx", "A 47840-2020")</f>
        <v/>
      </c>
      <c r="X177">
        <f>HYPERLINK("https://klasma.github.io/Logging_2283/tillsyn/A 47840-2020 tillsynsbegäran.docx", "A 47840-2020")</f>
        <v/>
      </c>
      <c r="Y177">
        <f>HYPERLINK("https://klasma.github.io/Logging_2283/tillsynsmail/A 47840-2020 tillsynsbegäran mail.docx", "A 47840-2020")</f>
        <v/>
      </c>
    </row>
    <row r="178" ht="15" customHeight="1">
      <c r="A178" t="inlineStr">
        <is>
          <t>A 68651-2020</t>
        </is>
      </c>
      <c r="B178" s="1" t="n">
        <v>44186</v>
      </c>
      <c r="C178" s="1" t="n">
        <v>45260</v>
      </c>
      <c r="D178" t="inlineStr">
        <is>
          <t>VÄSTERNORRLANDS LÄN</t>
        </is>
      </c>
      <c r="E178" t="inlineStr">
        <is>
          <t>SOLLEFTEÅ</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HYPERLINK("https://klasma.github.io/Logging_2283/artfynd/A 68651-2020 artfynd.xlsx", "A 68651-2020")</f>
        <v/>
      </c>
      <c r="T178">
        <f>HYPERLINK("https://klasma.github.io/Logging_2283/kartor/A 68651-2020 karta.png", "A 68651-2020")</f>
        <v/>
      </c>
      <c r="V178">
        <f>HYPERLINK("https://klasma.github.io/Logging_2283/klagomål/A 68651-2020 FSC-klagomål.docx", "A 68651-2020")</f>
        <v/>
      </c>
      <c r="W178">
        <f>HYPERLINK("https://klasma.github.io/Logging_2283/klagomålsmail/A 68651-2020 FSC-klagomål mail.docx", "A 68651-2020")</f>
        <v/>
      </c>
      <c r="X178">
        <f>HYPERLINK("https://klasma.github.io/Logging_2283/tillsyn/A 68651-2020 tillsynsbegäran.docx", "A 68651-2020")</f>
        <v/>
      </c>
      <c r="Y178">
        <f>HYPERLINK("https://klasma.github.io/Logging_2283/tillsynsmail/A 68651-2020 tillsynsbegäran mail.docx", "A 68651-2020")</f>
        <v/>
      </c>
    </row>
    <row r="179" ht="15" customHeight="1">
      <c r="A179" t="inlineStr">
        <is>
          <t>A 68789-2020</t>
        </is>
      </c>
      <c r="B179" s="1" t="n">
        <v>44186</v>
      </c>
      <c r="C179" s="1" t="n">
        <v>45260</v>
      </c>
      <c r="D179" t="inlineStr">
        <is>
          <t>VÄSTERNORRLANDS LÄN</t>
        </is>
      </c>
      <c r="E179" t="inlineStr">
        <is>
          <t>SOLLEFTEÅ</t>
        </is>
      </c>
      <c r="G179" t="n">
        <v>2.1</v>
      </c>
      <c r="H179" t="n">
        <v>0</v>
      </c>
      <c r="I179" t="n">
        <v>1</v>
      </c>
      <c r="J179" t="n">
        <v>0</v>
      </c>
      <c r="K179" t="n">
        <v>0</v>
      </c>
      <c r="L179" t="n">
        <v>0</v>
      </c>
      <c r="M179" t="n">
        <v>0</v>
      </c>
      <c r="N179" t="n">
        <v>0</v>
      </c>
      <c r="O179" t="n">
        <v>0</v>
      </c>
      <c r="P179" t="n">
        <v>0</v>
      </c>
      <c r="Q179" t="n">
        <v>1</v>
      </c>
      <c r="R179" s="2" t="inlineStr">
        <is>
          <t>Svart trolldruva</t>
        </is>
      </c>
      <c r="S179">
        <f>HYPERLINK("https://klasma.github.io/Logging_2283/artfynd/A 68789-2020 artfynd.xlsx", "A 68789-2020")</f>
        <v/>
      </c>
      <c r="T179">
        <f>HYPERLINK("https://klasma.github.io/Logging_2283/kartor/A 68789-2020 karta.png", "A 68789-2020")</f>
        <v/>
      </c>
      <c r="U179">
        <f>HYPERLINK("https://klasma.github.io/Logging_2283/knärot/A 68789-2020 karta knärot.png", "A 68789-2020")</f>
        <v/>
      </c>
      <c r="V179">
        <f>HYPERLINK("https://klasma.github.io/Logging_2283/klagomål/A 68789-2020 FSC-klagomål.docx", "A 68789-2020")</f>
        <v/>
      </c>
      <c r="W179">
        <f>HYPERLINK("https://klasma.github.io/Logging_2283/klagomålsmail/A 68789-2020 FSC-klagomål mail.docx", "A 68789-2020")</f>
        <v/>
      </c>
      <c r="X179">
        <f>HYPERLINK("https://klasma.github.io/Logging_2283/tillsyn/A 68789-2020 tillsynsbegäran.docx", "A 68789-2020")</f>
        <v/>
      </c>
      <c r="Y179">
        <f>HYPERLINK("https://klasma.github.io/Logging_2283/tillsynsmail/A 68789-2020 tillsynsbegäran mail.docx", "A 68789-2020")</f>
        <v/>
      </c>
    </row>
    <row r="180" ht="15" customHeight="1">
      <c r="A180" t="inlineStr">
        <is>
          <t>A 17377-2021</t>
        </is>
      </c>
      <c r="B180" s="1" t="n">
        <v>44298</v>
      </c>
      <c r="C180" s="1" t="n">
        <v>45260</v>
      </c>
      <c r="D180" t="inlineStr">
        <is>
          <t>VÄSTERNORRLANDS LÄN</t>
        </is>
      </c>
      <c r="E180" t="inlineStr">
        <is>
          <t>SOLLEFTEÅ</t>
        </is>
      </c>
      <c r="G180" t="n">
        <v>5.1</v>
      </c>
      <c r="H180" t="n">
        <v>0</v>
      </c>
      <c r="I180" t="n">
        <v>0</v>
      </c>
      <c r="J180" t="n">
        <v>1</v>
      </c>
      <c r="K180" t="n">
        <v>0</v>
      </c>
      <c r="L180" t="n">
        <v>0</v>
      </c>
      <c r="M180" t="n">
        <v>0</v>
      </c>
      <c r="N180" t="n">
        <v>0</v>
      </c>
      <c r="O180" t="n">
        <v>1</v>
      </c>
      <c r="P180" t="n">
        <v>0</v>
      </c>
      <c r="Q180" t="n">
        <v>1</v>
      </c>
      <c r="R180" s="2" t="inlineStr">
        <is>
          <t>Ullticka</t>
        </is>
      </c>
      <c r="S180">
        <f>HYPERLINK("https://klasma.github.io/Logging_2283/artfynd/A 17377-2021 artfynd.xlsx", "A 17377-2021")</f>
        <v/>
      </c>
      <c r="T180">
        <f>HYPERLINK("https://klasma.github.io/Logging_2283/kartor/A 17377-2021 karta.png", "A 17377-2021")</f>
        <v/>
      </c>
      <c r="V180">
        <f>HYPERLINK("https://klasma.github.io/Logging_2283/klagomål/A 17377-2021 FSC-klagomål.docx", "A 17377-2021")</f>
        <v/>
      </c>
      <c r="W180">
        <f>HYPERLINK("https://klasma.github.io/Logging_2283/klagomålsmail/A 17377-2021 FSC-klagomål mail.docx", "A 17377-2021")</f>
        <v/>
      </c>
      <c r="X180">
        <f>HYPERLINK("https://klasma.github.io/Logging_2283/tillsyn/A 17377-2021 tillsynsbegäran.docx", "A 17377-2021")</f>
        <v/>
      </c>
      <c r="Y180">
        <f>HYPERLINK("https://klasma.github.io/Logging_2283/tillsynsmail/A 17377-2021 tillsynsbegäran mail.docx", "A 17377-2021")</f>
        <v/>
      </c>
    </row>
    <row r="181" ht="15" customHeight="1">
      <c r="A181" t="inlineStr">
        <is>
          <t>A 18461-2021</t>
        </is>
      </c>
      <c r="B181" s="1" t="n">
        <v>44305</v>
      </c>
      <c r="C181" s="1" t="n">
        <v>45260</v>
      </c>
      <c r="D181" t="inlineStr">
        <is>
          <t>VÄSTERNORRLANDS LÄN</t>
        </is>
      </c>
      <c r="E181" t="inlineStr">
        <is>
          <t>SOLLEFTEÅ</t>
        </is>
      </c>
      <c r="F181" t="inlineStr">
        <is>
          <t>SCA</t>
        </is>
      </c>
      <c r="G181" t="n">
        <v>1.7</v>
      </c>
      <c r="H181" t="n">
        <v>1</v>
      </c>
      <c r="I181" t="n">
        <v>0</v>
      </c>
      <c r="J181" t="n">
        <v>1</v>
      </c>
      <c r="K181" t="n">
        <v>0</v>
      </c>
      <c r="L181" t="n">
        <v>0</v>
      </c>
      <c r="M181" t="n">
        <v>0</v>
      </c>
      <c r="N181" t="n">
        <v>0</v>
      </c>
      <c r="O181" t="n">
        <v>1</v>
      </c>
      <c r="P181" t="n">
        <v>0</v>
      </c>
      <c r="Q181" t="n">
        <v>1</v>
      </c>
      <c r="R181" s="2" t="inlineStr">
        <is>
          <t>Nordfladdermus</t>
        </is>
      </c>
      <c r="S181">
        <f>HYPERLINK("https://klasma.github.io/Logging_2283/artfynd/A 18461-2021 artfynd.xlsx", "A 18461-2021")</f>
        <v/>
      </c>
      <c r="T181">
        <f>HYPERLINK("https://klasma.github.io/Logging_2283/kartor/A 18461-2021 karta.png", "A 18461-2021")</f>
        <v/>
      </c>
      <c r="V181">
        <f>HYPERLINK("https://klasma.github.io/Logging_2283/klagomål/A 18461-2021 FSC-klagomål.docx", "A 18461-2021")</f>
        <v/>
      </c>
      <c r="W181">
        <f>HYPERLINK("https://klasma.github.io/Logging_2283/klagomålsmail/A 18461-2021 FSC-klagomål mail.docx", "A 18461-2021")</f>
        <v/>
      </c>
      <c r="X181">
        <f>HYPERLINK("https://klasma.github.io/Logging_2283/tillsyn/A 18461-2021 tillsynsbegäran.docx", "A 18461-2021")</f>
        <v/>
      </c>
      <c r="Y181">
        <f>HYPERLINK("https://klasma.github.io/Logging_2283/tillsynsmail/A 18461-2021 tillsynsbegäran mail.docx", "A 18461-2021")</f>
        <v/>
      </c>
    </row>
    <row r="182" ht="15" customHeight="1">
      <c r="A182" t="inlineStr">
        <is>
          <t>A 42224-2021</t>
        </is>
      </c>
      <c r="B182" s="1" t="n">
        <v>44426</v>
      </c>
      <c r="C182" s="1" t="n">
        <v>45260</v>
      </c>
      <c r="D182" t="inlineStr">
        <is>
          <t>VÄSTERNORRLANDS LÄN</t>
        </is>
      </c>
      <c r="E182" t="inlineStr">
        <is>
          <t>SOLLEFTEÅ</t>
        </is>
      </c>
      <c r="G182" t="n">
        <v>0.6</v>
      </c>
      <c r="H182" t="n">
        <v>0</v>
      </c>
      <c r="I182" t="n">
        <v>1</v>
      </c>
      <c r="J182" t="n">
        <v>0</v>
      </c>
      <c r="K182" t="n">
        <v>0</v>
      </c>
      <c r="L182" t="n">
        <v>0</v>
      </c>
      <c r="M182" t="n">
        <v>0</v>
      </c>
      <c r="N182" t="n">
        <v>0</v>
      </c>
      <c r="O182" t="n">
        <v>0</v>
      </c>
      <c r="P182" t="n">
        <v>0</v>
      </c>
      <c r="Q182" t="n">
        <v>1</v>
      </c>
      <c r="R182" s="2" t="inlineStr">
        <is>
          <t>Svart trolldruva</t>
        </is>
      </c>
      <c r="S182">
        <f>HYPERLINK("https://klasma.github.io/Logging_2283/artfynd/A 42224-2021 artfynd.xlsx", "A 42224-2021")</f>
        <v/>
      </c>
      <c r="T182">
        <f>HYPERLINK("https://klasma.github.io/Logging_2283/kartor/A 42224-2021 karta.png", "A 42224-2021")</f>
        <v/>
      </c>
      <c r="V182">
        <f>HYPERLINK("https://klasma.github.io/Logging_2283/klagomål/A 42224-2021 FSC-klagomål.docx", "A 42224-2021")</f>
        <v/>
      </c>
      <c r="W182">
        <f>HYPERLINK("https://klasma.github.io/Logging_2283/klagomålsmail/A 42224-2021 FSC-klagomål mail.docx", "A 42224-2021")</f>
        <v/>
      </c>
      <c r="X182">
        <f>HYPERLINK("https://klasma.github.io/Logging_2283/tillsyn/A 42224-2021 tillsynsbegäran.docx", "A 42224-2021")</f>
        <v/>
      </c>
      <c r="Y182">
        <f>HYPERLINK("https://klasma.github.io/Logging_2283/tillsynsmail/A 42224-2021 tillsynsbegäran mail.docx", "A 42224-2021")</f>
        <v/>
      </c>
    </row>
    <row r="183" ht="15" customHeight="1">
      <c r="A183" t="inlineStr">
        <is>
          <t>A 51019-2021</t>
        </is>
      </c>
      <c r="B183" s="1" t="n">
        <v>44460</v>
      </c>
      <c r="C183" s="1" t="n">
        <v>45260</v>
      </c>
      <c r="D183" t="inlineStr">
        <is>
          <t>VÄSTERNORRLANDS LÄN</t>
        </is>
      </c>
      <c r="E183" t="inlineStr">
        <is>
          <t>SOLLEFTEÅ</t>
        </is>
      </c>
      <c r="F183" t="inlineStr">
        <is>
          <t>SCA</t>
        </is>
      </c>
      <c r="G183" t="n">
        <v>2.1</v>
      </c>
      <c r="H183" t="n">
        <v>1</v>
      </c>
      <c r="I183" t="n">
        <v>0</v>
      </c>
      <c r="J183" t="n">
        <v>0</v>
      </c>
      <c r="K183" t="n">
        <v>0</v>
      </c>
      <c r="L183" t="n">
        <v>0</v>
      </c>
      <c r="M183" t="n">
        <v>0</v>
      </c>
      <c r="N183" t="n">
        <v>0</v>
      </c>
      <c r="O183" t="n">
        <v>0</v>
      </c>
      <c r="P183" t="n">
        <v>0</v>
      </c>
      <c r="Q183" t="n">
        <v>1</v>
      </c>
      <c r="R183" s="2" t="inlineStr">
        <is>
          <t>Fläcknycklar</t>
        </is>
      </c>
      <c r="S183">
        <f>HYPERLINK("https://klasma.github.io/Logging_2283/artfynd/A 51019-2021 artfynd.xlsx", "A 51019-2021")</f>
        <v/>
      </c>
      <c r="T183">
        <f>HYPERLINK("https://klasma.github.io/Logging_2283/kartor/A 51019-2021 karta.png", "A 51019-2021")</f>
        <v/>
      </c>
      <c r="V183">
        <f>HYPERLINK("https://klasma.github.io/Logging_2283/klagomål/A 51019-2021 FSC-klagomål.docx", "A 51019-2021")</f>
        <v/>
      </c>
      <c r="W183">
        <f>HYPERLINK("https://klasma.github.io/Logging_2283/klagomålsmail/A 51019-2021 FSC-klagomål mail.docx", "A 51019-2021")</f>
        <v/>
      </c>
      <c r="X183">
        <f>HYPERLINK("https://klasma.github.io/Logging_2283/tillsyn/A 51019-2021 tillsynsbegäran.docx", "A 51019-2021")</f>
        <v/>
      </c>
      <c r="Y183">
        <f>HYPERLINK("https://klasma.github.io/Logging_2283/tillsynsmail/A 51019-2021 tillsynsbegäran mail.docx", "A 51019-2021")</f>
        <v/>
      </c>
    </row>
    <row r="184" ht="15" customHeight="1">
      <c r="A184" t="inlineStr">
        <is>
          <t>A 67402-2021</t>
        </is>
      </c>
      <c r="B184" s="1" t="n">
        <v>44523</v>
      </c>
      <c r="C184" s="1" t="n">
        <v>45260</v>
      </c>
      <c r="D184" t="inlineStr">
        <is>
          <t>VÄSTERNORRLANDS LÄN</t>
        </is>
      </c>
      <c r="E184" t="inlineStr">
        <is>
          <t>SOLLEFTEÅ</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HYPERLINK("https://klasma.github.io/Logging_2283/artfynd/A 67402-2021 artfynd.xlsx", "A 67402-2021")</f>
        <v/>
      </c>
      <c r="T184">
        <f>HYPERLINK("https://klasma.github.io/Logging_2283/kartor/A 67402-2021 karta.png", "A 67402-2021")</f>
        <v/>
      </c>
      <c r="U184">
        <f>HYPERLINK("https://klasma.github.io/Logging_2283/knärot/A 67402-2021 karta knärot.png", "A 67402-2021")</f>
        <v/>
      </c>
      <c r="V184">
        <f>HYPERLINK("https://klasma.github.io/Logging_2283/klagomål/A 67402-2021 FSC-klagomål.docx", "A 67402-2021")</f>
        <v/>
      </c>
      <c r="W184">
        <f>HYPERLINK("https://klasma.github.io/Logging_2283/klagomålsmail/A 67402-2021 FSC-klagomål mail.docx", "A 67402-2021")</f>
        <v/>
      </c>
      <c r="X184">
        <f>HYPERLINK("https://klasma.github.io/Logging_2283/tillsyn/A 67402-2021 tillsynsbegäran.docx", "A 67402-2021")</f>
        <v/>
      </c>
      <c r="Y184">
        <f>HYPERLINK("https://klasma.github.io/Logging_2283/tillsynsmail/A 67402-2021 tillsynsbegäran mail.docx", "A 67402-2021")</f>
        <v/>
      </c>
    </row>
    <row r="185" ht="15" customHeight="1">
      <c r="A185" t="inlineStr">
        <is>
          <t>A 68781-2021</t>
        </is>
      </c>
      <c r="B185" s="1" t="n">
        <v>44529</v>
      </c>
      <c r="C185" s="1" t="n">
        <v>45260</v>
      </c>
      <c r="D185" t="inlineStr">
        <is>
          <t>VÄSTERNORRLANDS LÄN</t>
        </is>
      </c>
      <c r="E185" t="inlineStr">
        <is>
          <t>SOLLEFTEÅ</t>
        </is>
      </c>
      <c r="F185" t="inlineStr">
        <is>
          <t>SCA</t>
        </is>
      </c>
      <c r="G185" t="n">
        <v>1.9</v>
      </c>
      <c r="H185" t="n">
        <v>1</v>
      </c>
      <c r="I185" t="n">
        <v>0</v>
      </c>
      <c r="J185" t="n">
        <v>0</v>
      </c>
      <c r="K185" t="n">
        <v>1</v>
      </c>
      <c r="L185" t="n">
        <v>0</v>
      </c>
      <c r="M185" t="n">
        <v>0</v>
      </c>
      <c r="N185" t="n">
        <v>0</v>
      </c>
      <c r="O185" t="n">
        <v>1</v>
      </c>
      <c r="P185" t="n">
        <v>1</v>
      </c>
      <c r="Q185" t="n">
        <v>1</v>
      </c>
      <c r="R185" s="2" t="inlineStr">
        <is>
          <t>Doftticka</t>
        </is>
      </c>
      <c r="S185">
        <f>HYPERLINK("https://klasma.github.io/Logging_2283/artfynd/A 68781-2021 artfynd.xlsx", "A 68781-2021")</f>
        <v/>
      </c>
      <c r="T185">
        <f>HYPERLINK("https://klasma.github.io/Logging_2283/kartor/A 68781-2021 karta.png", "A 68781-2021")</f>
        <v/>
      </c>
      <c r="V185">
        <f>HYPERLINK("https://klasma.github.io/Logging_2283/klagomål/A 68781-2021 FSC-klagomål.docx", "A 68781-2021")</f>
        <v/>
      </c>
      <c r="W185">
        <f>HYPERLINK("https://klasma.github.io/Logging_2283/klagomålsmail/A 68781-2021 FSC-klagomål mail.docx", "A 68781-2021")</f>
        <v/>
      </c>
      <c r="X185">
        <f>HYPERLINK("https://klasma.github.io/Logging_2283/tillsyn/A 68781-2021 tillsynsbegäran.docx", "A 68781-2021")</f>
        <v/>
      </c>
      <c r="Y185">
        <f>HYPERLINK("https://klasma.github.io/Logging_2283/tillsynsmail/A 68781-2021 tillsynsbegäran mail.docx", "A 68781-2021")</f>
        <v/>
      </c>
    </row>
    <row r="186" ht="15" customHeight="1">
      <c r="A186" t="inlineStr">
        <is>
          <t>A 71349-2021</t>
        </is>
      </c>
      <c r="B186" s="1" t="n">
        <v>44539</v>
      </c>
      <c r="C186" s="1" t="n">
        <v>45260</v>
      </c>
      <c r="D186" t="inlineStr">
        <is>
          <t>VÄSTERNORRLANDS LÄN</t>
        </is>
      </c>
      <c r="E186" t="inlineStr">
        <is>
          <t>SOLLEFTEÅ</t>
        </is>
      </c>
      <c r="G186" t="n">
        <v>0.5</v>
      </c>
      <c r="H186" t="n">
        <v>1</v>
      </c>
      <c r="I186" t="n">
        <v>0</v>
      </c>
      <c r="J186" t="n">
        <v>1</v>
      </c>
      <c r="K186" t="n">
        <v>0</v>
      </c>
      <c r="L186" t="n">
        <v>0</v>
      </c>
      <c r="M186" t="n">
        <v>0</v>
      </c>
      <c r="N186" t="n">
        <v>0</v>
      </c>
      <c r="O186" t="n">
        <v>1</v>
      </c>
      <c r="P186" t="n">
        <v>0</v>
      </c>
      <c r="Q186" t="n">
        <v>1</v>
      </c>
      <c r="R186" s="2" t="inlineStr">
        <is>
          <t>Björktrast</t>
        </is>
      </c>
      <c r="S186">
        <f>HYPERLINK("https://klasma.github.io/Logging_2283/artfynd/A 71349-2021 artfynd.xlsx", "A 71349-2021")</f>
        <v/>
      </c>
      <c r="T186">
        <f>HYPERLINK("https://klasma.github.io/Logging_2283/kartor/A 71349-2021 karta.png", "A 71349-2021")</f>
        <v/>
      </c>
      <c r="V186">
        <f>HYPERLINK("https://klasma.github.io/Logging_2283/klagomål/A 71349-2021 FSC-klagomål.docx", "A 71349-2021")</f>
        <v/>
      </c>
      <c r="W186">
        <f>HYPERLINK("https://klasma.github.io/Logging_2283/klagomålsmail/A 71349-2021 FSC-klagomål mail.docx", "A 71349-2021")</f>
        <v/>
      </c>
      <c r="X186">
        <f>HYPERLINK("https://klasma.github.io/Logging_2283/tillsyn/A 71349-2021 tillsynsbegäran.docx", "A 71349-2021")</f>
        <v/>
      </c>
      <c r="Y186">
        <f>HYPERLINK("https://klasma.github.io/Logging_2283/tillsynsmail/A 71349-2021 tillsynsbegäran mail.docx", "A 71349-2021")</f>
        <v/>
      </c>
    </row>
    <row r="187" ht="15" customHeight="1">
      <c r="A187" t="inlineStr">
        <is>
          <t>A 15669-2022</t>
        </is>
      </c>
      <c r="B187" s="1" t="n">
        <v>44662</v>
      </c>
      <c r="C187" s="1" t="n">
        <v>45260</v>
      </c>
      <c r="D187" t="inlineStr">
        <is>
          <t>VÄSTERNORRLANDS LÄN</t>
        </is>
      </c>
      <c r="E187" t="inlineStr">
        <is>
          <t>SOLLEFTEÅ</t>
        </is>
      </c>
      <c r="G187" t="n">
        <v>12.1</v>
      </c>
      <c r="H187" t="n">
        <v>0</v>
      </c>
      <c r="I187" t="n">
        <v>1</v>
      </c>
      <c r="J187" t="n">
        <v>0</v>
      </c>
      <c r="K187" t="n">
        <v>0</v>
      </c>
      <c r="L187" t="n">
        <v>0</v>
      </c>
      <c r="M187" t="n">
        <v>0</v>
      </c>
      <c r="N187" t="n">
        <v>0</v>
      </c>
      <c r="O187" t="n">
        <v>0</v>
      </c>
      <c r="P187" t="n">
        <v>0</v>
      </c>
      <c r="Q187" t="n">
        <v>1</v>
      </c>
      <c r="R187" s="2" t="inlineStr">
        <is>
          <t>Skinnlav</t>
        </is>
      </c>
      <c r="S187">
        <f>HYPERLINK("https://klasma.github.io/Logging_2283/artfynd/A 15669-2022 artfynd.xlsx", "A 15669-2022")</f>
        <v/>
      </c>
      <c r="T187">
        <f>HYPERLINK("https://klasma.github.io/Logging_2283/kartor/A 15669-2022 karta.png", "A 15669-2022")</f>
        <v/>
      </c>
      <c r="V187">
        <f>HYPERLINK("https://klasma.github.io/Logging_2283/klagomål/A 15669-2022 FSC-klagomål.docx", "A 15669-2022")</f>
        <v/>
      </c>
      <c r="W187">
        <f>HYPERLINK("https://klasma.github.io/Logging_2283/klagomålsmail/A 15669-2022 FSC-klagomål mail.docx", "A 15669-2022")</f>
        <v/>
      </c>
      <c r="X187">
        <f>HYPERLINK("https://klasma.github.io/Logging_2283/tillsyn/A 15669-2022 tillsynsbegäran.docx", "A 15669-2022")</f>
        <v/>
      </c>
      <c r="Y187">
        <f>HYPERLINK("https://klasma.github.io/Logging_2283/tillsynsmail/A 15669-2022 tillsynsbegäran mail.docx", "A 15669-2022")</f>
        <v/>
      </c>
    </row>
    <row r="188" ht="15" customHeight="1">
      <c r="A188" t="inlineStr">
        <is>
          <t>A 16269-2022</t>
        </is>
      </c>
      <c r="B188" s="1" t="n">
        <v>44670</v>
      </c>
      <c r="C188" s="1" t="n">
        <v>45260</v>
      </c>
      <c r="D188" t="inlineStr">
        <is>
          <t>VÄSTERNORRLANDS LÄN</t>
        </is>
      </c>
      <c r="E188" t="inlineStr">
        <is>
          <t>SOLLEFTEÅ</t>
        </is>
      </c>
      <c r="F188" t="inlineStr">
        <is>
          <t>Holmen skog AB</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HYPERLINK("https://klasma.github.io/Logging_2283/artfynd/A 16269-2022 artfynd.xlsx", "A 16269-2022")</f>
        <v/>
      </c>
      <c r="T188">
        <f>HYPERLINK("https://klasma.github.io/Logging_2283/kartor/A 16269-2022 karta.png", "A 16269-2022")</f>
        <v/>
      </c>
      <c r="V188">
        <f>HYPERLINK("https://klasma.github.io/Logging_2283/klagomål/A 16269-2022 FSC-klagomål.docx", "A 16269-2022")</f>
        <v/>
      </c>
      <c r="W188">
        <f>HYPERLINK("https://klasma.github.io/Logging_2283/klagomålsmail/A 16269-2022 FSC-klagomål mail.docx", "A 16269-2022")</f>
        <v/>
      </c>
      <c r="X188">
        <f>HYPERLINK("https://klasma.github.io/Logging_2283/tillsyn/A 16269-2022 tillsynsbegäran.docx", "A 16269-2022")</f>
        <v/>
      </c>
      <c r="Y188">
        <f>HYPERLINK("https://klasma.github.io/Logging_2283/tillsynsmail/A 16269-2022 tillsynsbegäran mail.docx", "A 16269-2022")</f>
        <v/>
      </c>
    </row>
    <row r="189" ht="15" customHeight="1">
      <c r="A189" t="inlineStr">
        <is>
          <t>A 21708-2022</t>
        </is>
      </c>
      <c r="B189" s="1" t="n">
        <v>44707</v>
      </c>
      <c r="C189" s="1" t="n">
        <v>45260</v>
      </c>
      <c r="D189" t="inlineStr">
        <is>
          <t>VÄSTERNORRLANDS LÄN</t>
        </is>
      </c>
      <c r="E189" t="inlineStr">
        <is>
          <t>SOLLEFTEÅ</t>
        </is>
      </c>
      <c r="F189" t="inlineStr">
        <is>
          <t>SCA</t>
        </is>
      </c>
      <c r="G189" t="n">
        <v>2.6</v>
      </c>
      <c r="H189" t="n">
        <v>0</v>
      </c>
      <c r="I189" t="n">
        <v>0</v>
      </c>
      <c r="J189" t="n">
        <v>1</v>
      </c>
      <c r="K189" t="n">
        <v>0</v>
      </c>
      <c r="L189" t="n">
        <v>0</v>
      </c>
      <c r="M189" t="n">
        <v>0</v>
      </c>
      <c r="N189" t="n">
        <v>0</v>
      </c>
      <c r="O189" t="n">
        <v>1</v>
      </c>
      <c r="P189" t="n">
        <v>0</v>
      </c>
      <c r="Q189" t="n">
        <v>1</v>
      </c>
      <c r="R189" s="2" t="inlineStr">
        <is>
          <t>Lunglav</t>
        </is>
      </c>
      <c r="S189">
        <f>HYPERLINK("https://klasma.github.io/Logging_2283/artfynd/A 21708-2022 artfynd.xlsx", "A 21708-2022")</f>
        <v/>
      </c>
      <c r="T189">
        <f>HYPERLINK("https://klasma.github.io/Logging_2283/kartor/A 21708-2022 karta.png", "A 21708-2022")</f>
        <v/>
      </c>
      <c r="V189">
        <f>HYPERLINK("https://klasma.github.io/Logging_2283/klagomål/A 21708-2022 FSC-klagomål.docx", "A 21708-2022")</f>
        <v/>
      </c>
      <c r="W189">
        <f>HYPERLINK("https://klasma.github.io/Logging_2283/klagomålsmail/A 21708-2022 FSC-klagomål mail.docx", "A 21708-2022")</f>
        <v/>
      </c>
      <c r="X189">
        <f>HYPERLINK("https://klasma.github.io/Logging_2283/tillsyn/A 21708-2022 tillsynsbegäran.docx", "A 21708-2022")</f>
        <v/>
      </c>
      <c r="Y189">
        <f>HYPERLINK("https://klasma.github.io/Logging_2283/tillsynsmail/A 21708-2022 tillsynsbegäran mail.docx", "A 21708-2022")</f>
        <v/>
      </c>
    </row>
    <row r="190" ht="15" customHeight="1">
      <c r="A190" t="inlineStr">
        <is>
          <t>A 26121-2022</t>
        </is>
      </c>
      <c r="B190" s="1" t="n">
        <v>44734</v>
      </c>
      <c r="C190" s="1" t="n">
        <v>45260</v>
      </c>
      <c r="D190" t="inlineStr">
        <is>
          <t>VÄSTERNORRLANDS LÄN</t>
        </is>
      </c>
      <c r="E190" t="inlineStr">
        <is>
          <t>SOLLEFTEÅ</t>
        </is>
      </c>
      <c r="F190" t="inlineStr">
        <is>
          <t>SCA</t>
        </is>
      </c>
      <c r="G190" t="n">
        <v>6.3</v>
      </c>
      <c r="H190" t="n">
        <v>0</v>
      </c>
      <c r="I190" t="n">
        <v>0</v>
      </c>
      <c r="J190" t="n">
        <v>1</v>
      </c>
      <c r="K190" t="n">
        <v>0</v>
      </c>
      <c r="L190" t="n">
        <v>0</v>
      </c>
      <c r="M190" t="n">
        <v>0</v>
      </c>
      <c r="N190" t="n">
        <v>0</v>
      </c>
      <c r="O190" t="n">
        <v>1</v>
      </c>
      <c r="P190" t="n">
        <v>0</v>
      </c>
      <c r="Q190" t="n">
        <v>1</v>
      </c>
      <c r="R190" s="2" t="inlineStr">
        <is>
          <t>Veckticka</t>
        </is>
      </c>
      <c r="S190">
        <f>HYPERLINK("https://klasma.github.io/Logging_2283/artfynd/A 26121-2022 artfynd.xlsx", "A 26121-2022")</f>
        <v/>
      </c>
      <c r="T190">
        <f>HYPERLINK("https://klasma.github.io/Logging_2283/kartor/A 26121-2022 karta.png", "A 26121-2022")</f>
        <v/>
      </c>
      <c r="V190">
        <f>HYPERLINK("https://klasma.github.io/Logging_2283/klagomål/A 26121-2022 FSC-klagomål.docx", "A 26121-2022")</f>
        <v/>
      </c>
      <c r="W190">
        <f>HYPERLINK("https://klasma.github.io/Logging_2283/klagomålsmail/A 26121-2022 FSC-klagomål mail.docx", "A 26121-2022")</f>
        <v/>
      </c>
      <c r="X190">
        <f>HYPERLINK("https://klasma.github.io/Logging_2283/tillsyn/A 26121-2022 tillsynsbegäran.docx", "A 26121-2022")</f>
        <v/>
      </c>
      <c r="Y190">
        <f>HYPERLINK("https://klasma.github.io/Logging_2283/tillsynsmail/A 26121-2022 tillsynsbegäran mail.docx", "A 26121-2022")</f>
        <v/>
      </c>
    </row>
    <row r="191" ht="15" customHeight="1">
      <c r="A191" t="inlineStr">
        <is>
          <t>A 27106-2022</t>
        </is>
      </c>
      <c r="B191" s="1" t="n">
        <v>44741</v>
      </c>
      <c r="C191" s="1" t="n">
        <v>45260</v>
      </c>
      <c r="D191" t="inlineStr">
        <is>
          <t>VÄSTERNORRLANDS LÄN</t>
        </is>
      </c>
      <c r="E191" t="inlineStr">
        <is>
          <t>SOLLEFTEÅ</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29037-2022</t>
        </is>
      </c>
      <c r="B192" s="1" t="n">
        <v>44749</v>
      </c>
      <c r="C192" s="1" t="n">
        <v>45260</v>
      </c>
      <c r="D192" t="inlineStr">
        <is>
          <t>VÄSTERNORRLANDS LÄN</t>
        </is>
      </c>
      <c r="E192" t="inlineStr">
        <is>
          <t>SOLLEFTEÅ</t>
        </is>
      </c>
      <c r="F192" t="inlineStr">
        <is>
          <t>SCA</t>
        </is>
      </c>
      <c r="G192" t="n">
        <v>1</v>
      </c>
      <c r="H192" t="n">
        <v>0</v>
      </c>
      <c r="I192" t="n">
        <v>1</v>
      </c>
      <c r="J192" t="n">
        <v>0</v>
      </c>
      <c r="K192" t="n">
        <v>0</v>
      </c>
      <c r="L192" t="n">
        <v>0</v>
      </c>
      <c r="M192" t="n">
        <v>0</v>
      </c>
      <c r="N192" t="n">
        <v>0</v>
      </c>
      <c r="O192" t="n">
        <v>0</v>
      </c>
      <c r="P192" t="n">
        <v>0</v>
      </c>
      <c r="Q192" t="n">
        <v>1</v>
      </c>
      <c r="R192" s="2" t="inlineStr">
        <is>
          <t>Vanlig flatbagge</t>
        </is>
      </c>
      <c r="S192">
        <f>HYPERLINK("https://klasma.github.io/Logging_2283/artfynd/A 29037-2022 artfynd.xlsx", "A 29037-2022")</f>
        <v/>
      </c>
      <c r="T192">
        <f>HYPERLINK("https://klasma.github.io/Logging_2283/kartor/A 29037-2022 karta.png", "A 29037-2022")</f>
        <v/>
      </c>
      <c r="V192">
        <f>HYPERLINK("https://klasma.github.io/Logging_2283/klagomål/A 29037-2022 FSC-klagomål.docx", "A 29037-2022")</f>
        <v/>
      </c>
      <c r="W192">
        <f>HYPERLINK("https://klasma.github.io/Logging_2283/klagomålsmail/A 29037-2022 FSC-klagomål mail.docx", "A 29037-2022")</f>
        <v/>
      </c>
      <c r="X192">
        <f>HYPERLINK("https://klasma.github.io/Logging_2283/tillsyn/A 29037-2022 tillsynsbegäran.docx", "A 29037-2022")</f>
        <v/>
      </c>
      <c r="Y192">
        <f>HYPERLINK("https://klasma.github.io/Logging_2283/tillsynsmail/A 29037-2022 tillsynsbegäran mail.docx", "A 29037-2022")</f>
        <v/>
      </c>
    </row>
    <row r="193" ht="15" customHeight="1">
      <c r="A193" t="inlineStr">
        <is>
          <t>A 33216-2022</t>
        </is>
      </c>
      <c r="B193" s="1" t="n">
        <v>44785</v>
      </c>
      <c r="C193" s="1" t="n">
        <v>45260</v>
      </c>
      <c r="D193" t="inlineStr">
        <is>
          <t>VÄSTERNORRLANDS LÄN</t>
        </is>
      </c>
      <c r="E193" t="inlineStr">
        <is>
          <t>SOLLEFTEÅ</t>
        </is>
      </c>
      <c r="F193" t="inlineStr">
        <is>
          <t>SCA</t>
        </is>
      </c>
      <c r="G193" t="n">
        <v>4.4</v>
      </c>
      <c r="H193" t="n">
        <v>0</v>
      </c>
      <c r="I193" t="n">
        <v>0</v>
      </c>
      <c r="J193" t="n">
        <v>0</v>
      </c>
      <c r="K193" t="n">
        <v>1</v>
      </c>
      <c r="L193" t="n">
        <v>0</v>
      </c>
      <c r="M193" t="n">
        <v>0</v>
      </c>
      <c r="N193" t="n">
        <v>0</v>
      </c>
      <c r="O193" t="n">
        <v>1</v>
      </c>
      <c r="P193" t="n">
        <v>1</v>
      </c>
      <c r="Q193" t="n">
        <v>1</v>
      </c>
      <c r="R193" s="2" t="inlineStr">
        <is>
          <t>Rynkskinn</t>
        </is>
      </c>
      <c r="S193">
        <f>HYPERLINK("https://klasma.github.io/Logging_2283/artfynd/A 33216-2022 artfynd.xlsx", "A 33216-2022")</f>
        <v/>
      </c>
      <c r="T193">
        <f>HYPERLINK("https://klasma.github.io/Logging_2283/kartor/A 33216-2022 karta.png", "A 33216-2022")</f>
        <v/>
      </c>
      <c r="V193">
        <f>HYPERLINK("https://klasma.github.io/Logging_2283/klagomål/A 33216-2022 FSC-klagomål.docx", "A 33216-2022")</f>
        <v/>
      </c>
      <c r="W193">
        <f>HYPERLINK("https://klasma.github.io/Logging_2283/klagomålsmail/A 33216-2022 FSC-klagomål mail.docx", "A 33216-2022")</f>
        <v/>
      </c>
      <c r="X193">
        <f>HYPERLINK("https://klasma.github.io/Logging_2283/tillsyn/A 33216-2022 tillsynsbegäran.docx", "A 33216-2022")</f>
        <v/>
      </c>
      <c r="Y193">
        <f>HYPERLINK("https://klasma.github.io/Logging_2283/tillsynsmail/A 33216-2022 tillsynsbegäran mail.docx", "A 33216-2022")</f>
        <v/>
      </c>
    </row>
    <row r="194" ht="15" customHeight="1">
      <c r="A194" t="inlineStr">
        <is>
          <t>A 33504-2022</t>
        </is>
      </c>
      <c r="B194" s="1" t="n">
        <v>44788</v>
      </c>
      <c r="C194" s="1" t="n">
        <v>45260</v>
      </c>
      <c r="D194" t="inlineStr">
        <is>
          <t>VÄSTERNORRLANDS LÄN</t>
        </is>
      </c>
      <c r="E194" t="inlineStr">
        <is>
          <t>SOLLEFTEÅ</t>
        </is>
      </c>
      <c r="F194" t="inlineStr">
        <is>
          <t>SCA</t>
        </is>
      </c>
      <c r="G194" t="n">
        <v>5.2</v>
      </c>
      <c r="H194" t="n">
        <v>1</v>
      </c>
      <c r="I194" t="n">
        <v>0</v>
      </c>
      <c r="J194" t="n">
        <v>0</v>
      </c>
      <c r="K194" t="n">
        <v>1</v>
      </c>
      <c r="L194" t="n">
        <v>0</v>
      </c>
      <c r="M194" t="n">
        <v>0</v>
      </c>
      <c r="N194" t="n">
        <v>0</v>
      </c>
      <c r="O194" t="n">
        <v>1</v>
      </c>
      <c r="P194" t="n">
        <v>1</v>
      </c>
      <c r="Q194" t="n">
        <v>1</v>
      </c>
      <c r="R194" s="2" t="inlineStr">
        <is>
          <t>Knärot</t>
        </is>
      </c>
      <c r="S194">
        <f>HYPERLINK("https://klasma.github.io/Logging_2283/artfynd/A 33504-2022 artfynd.xlsx", "A 33504-2022")</f>
        <v/>
      </c>
      <c r="T194">
        <f>HYPERLINK("https://klasma.github.io/Logging_2283/kartor/A 33504-2022 karta.png", "A 33504-2022")</f>
        <v/>
      </c>
      <c r="U194">
        <f>HYPERLINK("https://klasma.github.io/Logging_2283/knärot/A 33504-2022 karta knärot.png", "A 33504-2022")</f>
        <v/>
      </c>
      <c r="V194">
        <f>HYPERLINK("https://klasma.github.io/Logging_2283/klagomål/A 33504-2022 FSC-klagomål.docx", "A 33504-2022")</f>
        <v/>
      </c>
      <c r="W194">
        <f>HYPERLINK("https://klasma.github.io/Logging_2283/klagomålsmail/A 33504-2022 FSC-klagomål mail.docx", "A 33504-2022")</f>
        <v/>
      </c>
      <c r="X194">
        <f>HYPERLINK("https://klasma.github.io/Logging_2283/tillsyn/A 33504-2022 tillsynsbegäran.docx", "A 33504-2022")</f>
        <v/>
      </c>
      <c r="Y194">
        <f>HYPERLINK("https://klasma.github.io/Logging_2283/tillsynsmail/A 33504-2022 tillsynsbegäran mail.docx", "A 33504-2022")</f>
        <v/>
      </c>
    </row>
    <row r="195" ht="15" customHeight="1">
      <c r="A195" t="inlineStr">
        <is>
          <t>A 35013-2022</t>
        </is>
      </c>
      <c r="B195" s="1" t="n">
        <v>44796</v>
      </c>
      <c r="C195" s="1" t="n">
        <v>45260</v>
      </c>
      <c r="D195" t="inlineStr">
        <is>
          <t>VÄSTERNORRLANDS LÄN</t>
        </is>
      </c>
      <c r="E195" t="inlineStr">
        <is>
          <t>SOLLEFTEÅ</t>
        </is>
      </c>
      <c r="F195" t="inlineStr">
        <is>
          <t>SCA</t>
        </is>
      </c>
      <c r="G195" t="n">
        <v>2.1</v>
      </c>
      <c r="H195" t="n">
        <v>0</v>
      </c>
      <c r="I195" t="n">
        <v>0</v>
      </c>
      <c r="J195" t="n">
        <v>1</v>
      </c>
      <c r="K195" t="n">
        <v>0</v>
      </c>
      <c r="L195" t="n">
        <v>0</v>
      </c>
      <c r="M195" t="n">
        <v>0</v>
      </c>
      <c r="N195" t="n">
        <v>0</v>
      </c>
      <c r="O195" t="n">
        <v>1</v>
      </c>
      <c r="P195" t="n">
        <v>0</v>
      </c>
      <c r="Q195" t="n">
        <v>1</v>
      </c>
      <c r="R195" s="2" t="inlineStr">
        <is>
          <t>Rosenticka</t>
        </is>
      </c>
      <c r="S195">
        <f>HYPERLINK("https://klasma.github.io/Logging_2283/artfynd/A 35013-2022 artfynd.xlsx", "A 35013-2022")</f>
        <v/>
      </c>
      <c r="T195">
        <f>HYPERLINK("https://klasma.github.io/Logging_2283/kartor/A 35013-2022 karta.png", "A 35013-2022")</f>
        <v/>
      </c>
      <c r="V195">
        <f>HYPERLINK("https://klasma.github.io/Logging_2283/klagomål/A 35013-2022 FSC-klagomål.docx", "A 35013-2022")</f>
        <v/>
      </c>
      <c r="W195">
        <f>HYPERLINK("https://klasma.github.io/Logging_2283/klagomålsmail/A 35013-2022 FSC-klagomål mail.docx", "A 35013-2022")</f>
        <v/>
      </c>
      <c r="X195">
        <f>HYPERLINK("https://klasma.github.io/Logging_2283/tillsyn/A 35013-2022 tillsynsbegäran.docx", "A 35013-2022")</f>
        <v/>
      </c>
      <c r="Y195">
        <f>HYPERLINK("https://klasma.github.io/Logging_2283/tillsynsmail/A 35013-2022 tillsynsbegäran mail.docx", "A 35013-2022")</f>
        <v/>
      </c>
    </row>
    <row r="196" ht="15" customHeight="1">
      <c r="A196" t="inlineStr">
        <is>
          <t>A 38367-2022</t>
        </is>
      </c>
      <c r="B196" s="1" t="n">
        <v>44812</v>
      </c>
      <c r="C196" s="1" t="n">
        <v>45260</v>
      </c>
      <c r="D196" t="inlineStr">
        <is>
          <t>VÄSTERNORRLANDS LÄN</t>
        </is>
      </c>
      <c r="E196" t="inlineStr">
        <is>
          <t>SOLLEFTEÅ</t>
        </is>
      </c>
      <c r="F196" t="inlineStr">
        <is>
          <t>Kommuner</t>
        </is>
      </c>
      <c r="G196" t="n">
        <v>19.6</v>
      </c>
      <c r="H196" t="n">
        <v>0</v>
      </c>
      <c r="I196" t="n">
        <v>0</v>
      </c>
      <c r="J196" t="n">
        <v>1</v>
      </c>
      <c r="K196" t="n">
        <v>0</v>
      </c>
      <c r="L196" t="n">
        <v>0</v>
      </c>
      <c r="M196" t="n">
        <v>0</v>
      </c>
      <c r="N196" t="n">
        <v>0</v>
      </c>
      <c r="O196" t="n">
        <v>1</v>
      </c>
      <c r="P196" t="n">
        <v>0</v>
      </c>
      <c r="Q196" t="n">
        <v>1</v>
      </c>
      <c r="R196" s="2" t="inlineStr">
        <is>
          <t>Garnlav</t>
        </is>
      </c>
      <c r="S196">
        <f>HYPERLINK("https://klasma.github.io/Logging_2283/artfynd/A 38367-2022 artfynd.xlsx", "A 38367-2022")</f>
        <v/>
      </c>
      <c r="T196">
        <f>HYPERLINK("https://klasma.github.io/Logging_2283/kartor/A 38367-2022 karta.png", "A 38367-2022")</f>
        <v/>
      </c>
      <c r="V196">
        <f>HYPERLINK("https://klasma.github.io/Logging_2283/klagomål/A 38367-2022 FSC-klagomål.docx", "A 38367-2022")</f>
        <v/>
      </c>
      <c r="W196">
        <f>HYPERLINK("https://klasma.github.io/Logging_2283/klagomålsmail/A 38367-2022 FSC-klagomål mail.docx", "A 38367-2022")</f>
        <v/>
      </c>
      <c r="X196">
        <f>HYPERLINK("https://klasma.github.io/Logging_2283/tillsyn/A 38367-2022 tillsynsbegäran.docx", "A 38367-2022")</f>
        <v/>
      </c>
      <c r="Y196">
        <f>HYPERLINK("https://klasma.github.io/Logging_2283/tillsynsmail/A 38367-2022 tillsynsbegäran mail.docx", "A 38367-2022")</f>
        <v/>
      </c>
    </row>
    <row r="197" ht="15" customHeight="1">
      <c r="A197" t="inlineStr">
        <is>
          <t>A 38363-2022</t>
        </is>
      </c>
      <c r="B197" s="1" t="n">
        <v>44812</v>
      </c>
      <c r="C197" s="1" t="n">
        <v>45260</v>
      </c>
      <c r="D197" t="inlineStr">
        <is>
          <t>VÄSTERNORRLANDS LÄN</t>
        </is>
      </c>
      <c r="E197" t="inlineStr">
        <is>
          <t>SOLLEFTEÅ</t>
        </is>
      </c>
      <c r="F197" t="inlineStr">
        <is>
          <t>Kommuner</t>
        </is>
      </c>
      <c r="G197" t="n">
        <v>16</v>
      </c>
      <c r="H197" t="n">
        <v>0</v>
      </c>
      <c r="I197" t="n">
        <v>0</v>
      </c>
      <c r="J197" t="n">
        <v>1</v>
      </c>
      <c r="K197" t="n">
        <v>0</v>
      </c>
      <c r="L197" t="n">
        <v>0</v>
      </c>
      <c r="M197" t="n">
        <v>0</v>
      </c>
      <c r="N197" t="n">
        <v>0</v>
      </c>
      <c r="O197" t="n">
        <v>1</v>
      </c>
      <c r="P197" t="n">
        <v>0</v>
      </c>
      <c r="Q197" t="n">
        <v>1</v>
      </c>
      <c r="R197" s="2" t="inlineStr">
        <is>
          <t>Garnlav</t>
        </is>
      </c>
      <c r="S197">
        <f>HYPERLINK("https://klasma.github.io/Logging_2283/artfynd/A 38363-2022 artfynd.xlsx", "A 38363-2022")</f>
        <v/>
      </c>
      <c r="T197">
        <f>HYPERLINK("https://klasma.github.io/Logging_2283/kartor/A 38363-2022 karta.png", "A 38363-2022")</f>
        <v/>
      </c>
      <c r="V197">
        <f>HYPERLINK("https://klasma.github.io/Logging_2283/klagomål/A 38363-2022 FSC-klagomål.docx", "A 38363-2022")</f>
        <v/>
      </c>
      <c r="W197">
        <f>HYPERLINK("https://klasma.github.io/Logging_2283/klagomålsmail/A 38363-2022 FSC-klagomål mail.docx", "A 38363-2022")</f>
        <v/>
      </c>
      <c r="X197">
        <f>HYPERLINK("https://klasma.github.io/Logging_2283/tillsyn/A 38363-2022 tillsynsbegäran.docx", "A 38363-2022")</f>
        <v/>
      </c>
      <c r="Y197">
        <f>HYPERLINK("https://klasma.github.io/Logging_2283/tillsynsmail/A 38363-2022 tillsynsbegäran mail.docx", "A 38363-2022")</f>
        <v/>
      </c>
    </row>
    <row r="198" ht="15" customHeight="1">
      <c r="A198" t="inlineStr">
        <is>
          <t>A 40626-2022</t>
        </is>
      </c>
      <c r="B198" s="1" t="n">
        <v>44824</v>
      </c>
      <c r="C198" s="1" t="n">
        <v>45260</v>
      </c>
      <c r="D198" t="inlineStr">
        <is>
          <t>VÄSTERNORRLANDS LÄN</t>
        </is>
      </c>
      <c r="E198" t="inlineStr">
        <is>
          <t>SOLLEFTEÅ</t>
        </is>
      </c>
      <c r="F198" t="inlineStr">
        <is>
          <t>SCA</t>
        </is>
      </c>
      <c r="G198" t="n">
        <v>2.5</v>
      </c>
      <c r="H198" t="n">
        <v>1</v>
      </c>
      <c r="I198" t="n">
        <v>0</v>
      </c>
      <c r="J198" t="n">
        <v>1</v>
      </c>
      <c r="K198" t="n">
        <v>0</v>
      </c>
      <c r="L198" t="n">
        <v>0</v>
      </c>
      <c r="M198" t="n">
        <v>0</v>
      </c>
      <c r="N198" t="n">
        <v>0</v>
      </c>
      <c r="O198" t="n">
        <v>1</v>
      </c>
      <c r="P198" t="n">
        <v>0</v>
      </c>
      <c r="Q198" t="n">
        <v>1</v>
      </c>
      <c r="R198" s="2" t="inlineStr">
        <is>
          <t>Spillkråka</t>
        </is>
      </c>
      <c r="S198">
        <f>HYPERLINK("https://klasma.github.io/Logging_2283/artfynd/A 40626-2022 artfynd.xlsx", "A 40626-2022")</f>
        <v/>
      </c>
      <c r="T198">
        <f>HYPERLINK("https://klasma.github.io/Logging_2283/kartor/A 40626-2022 karta.png", "A 40626-2022")</f>
        <v/>
      </c>
      <c r="V198">
        <f>HYPERLINK("https://klasma.github.io/Logging_2283/klagomål/A 40626-2022 FSC-klagomål.docx", "A 40626-2022")</f>
        <v/>
      </c>
      <c r="W198">
        <f>HYPERLINK("https://klasma.github.io/Logging_2283/klagomålsmail/A 40626-2022 FSC-klagomål mail.docx", "A 40626-2022")</f>
        <v/>
      </c>
      <c r="X198">
        <f>HYPERLINK("https://klasma.github.io/Logging_2283/tillsyn/A 40626-2022 tillsynsbegäran.docx", "A 40626-2022")</f>
        <v/>
      </c>
      <c r="Y198">
        <f>HYPERLINK("https://klasma.github.io/Logging_2283/tillsynsmail/A 40626-2022 tillsynsbegäran mail.docx", "A 40626-2022")</f>
        <v/>
      </c>
    </row>
    <row r="199" ht="15" customHeight="1">
      <c r="A199" t="inlineStr">
        <is>
          <t>A 44763-2022</t>
        </is>
      </c>
      <c r="B199" s="1" t="n">
        <v>44840</v>
      </c>
      <c r="C199" s="1" t="n">
        <v>45260</v>
      </c>
      <c r="D199" t="inlineStr">
        <is>
          <t>VÄSTERNORRLANDS LÄN</t>
        </is>
      </c>
      <c r="E199" t="inlineStr">
        <is>
          <t>SOLLEFTEÅ</t>
        </is>
      </c>
      <c r="F199" t="inlineStr">
        <is>
          <t>SCA</t>
        </is>
      </c>
      <c r="G199" t="n">
        <v>1.2</v>
      </c>
      <c r="H199" t="n">
        <v>0</v>
      </c>
      <c r="I199" t="n">
        <v>0</v>
      </c>
      <c r="J199" t="n">
        <v>1</v>
      </c>
      <c r="K199" t="n">
        <v>0</v>
      </c>
      <c r="L199" t="n">
        <v>0</v>
      </c>
      <c r="M199" t="n">
        <v>0</v>
      </c>
      <c r="N199" t="n">
        <v>0</v>
      </c>
      <c r="O199" t="n">
        <v>1</v>
      </c>
      <c r="P199" t="n">
        <v>0</v>
      </c>
      <c r="Q199" t="n">
        <v>1</v>
      </c>
      <c r="R199" s="2" t="inlineStr">
        <is>
          <t>Rosenticka</t>
        </is>
      </c>
      <c r="S199">
        <f>HYPERLINK("https://klasma.github.io/Logging_2283/artfynd/A 44763-2022 artfynd.xlsx", "A 44763-2022")</f>
        <v/>
      </c>
      <c r="T199">
        <f>HYPERLINK("https://klasma.github.io/Logging_2283/kartor/A 44763-2022 karta.png", "A 44763-2022")</f>
        <v/>
      </c>
      <c r="V199">
        <f>HYPERLINK("https://klasma.github.io/Logging_2283/klagomål/A 44763-2022 FSC-klagomål.docx", "A 44763-2022")</f>
        <v/>
      </c>
      <c r="W199">
        <f>HYPERLINK("https://klasma.github.io/Logging_2283/klagomålsmail/A 44763-2022 FSC-klagomål mail.docx", "A 44763-2022")</f>
        <v/>
      </c>
      <c r="X199">
        <f>HYPERLINK("https://klasma.github.io/Logging_2283/tillsyn/A 44763-2022 tillsynsbegäran.docx", "A 44763-2022")</f>
        <v/>
      </c>
      <c r="Y199">
        <f>HYPERLINK("https://klasma.github.io/Logging_2283/tillsynsmail/A 44763-2022 tillsynsbegäran mail.docx", "A 44763-2022")</f>
        <v/>
      </c>
    </row>
    <row r="200" ht="15" customHeight="1">
      <c r="A200" t="inlineStr">
        <is>
          <t>A 46041-2022</t>
        </is>
      </c>
      <c r="B200" s="1" t="n">
        <v>44846</v>
      </c>
      <c r="C200" s="1" t="n">
        <v>45260</v>
      </c>
      <c r="D200" t="inlineStr">
        <is>
          <t>VÄSTERNORRLANDS LÄN</t>
        </is>
      </c>
      <c r="E200" t="inlineStr">
        <is>
          <t>SOLLEFTEÅ</t>
        </is>
      </c>
      <c r="F200" t="inlineStr">
        <is>
          <t>SCA</t>
        </is>
      </c>
      <c r="G200" t="n">
        <v>21.1</v>
      </c>
      <c r="H200" t="n">
        <v>0</v>
      </c>
      <c r="I200" t="n">
        <v>0</v>
      </c>
      <c r="J200" t="n">
        <v>1</v>
      </c>
      <c r="K200" t="n">
        <v>0</v>
      </c>
      <c r="L200" t="n">
        <v>0</v>
      </c>
      <c r="M200" t="n">
        <v>0</v>
      </c>
      <c r="N200" t="n">
        <v>0</v>
      </c>
      <c r="O200" t="n">
        <v>1</v>
      </c>
      <c r="P200" t="n">
        <v>0</v>
      </c>
      <c r="Q200" t="n">
        <v>1</v>
      </c>
      <c r="R200" s="2" t="inlineStr">
        <is>
          <t>Lunglav</t>
        </is>
      </c>
      <c r="S200">
        <f>HYPERLINK("https://klasma.github.io/Logging_2283/artfynd/A 46041-2022 artfynd.xlsx", "A 46041-2022")</f>
        <v/>
      </c>
      <c r="T200">
        <f>HYPERLINK("https://klasma.github.io/Logging_2283/kartor/A 46041-2022 karta.png", "A 46041-2022")</f>
        <v/>
      </c>
      <c r="V200">
        <f>HYPERLINK("https://klasma.github.io/Logging_2283/klagomål/A 46041-2022 FSC-klagomål.docx", "A 46041-2022")</f>
        <v/>
      </c>
      <c r="W200">
        <f>HYPERLINK("https://klasma.github.io/Logging_2283/klagomålsmail/A 46041-2022 FSC-klagomål mail.docx", "A 46041-2022")</f>
        <v/>
      </c>
      <c r="X200">
        <f>HYPERLINK("https://klasma.github.io/Logging_2283/tillsyn/A 46041-2022 tillsynsbegäran.docx", "A 46041-2022")</f>
        <v/>
      </c>
      <c r="Y200">
        <f>HYPERLINK("https://klasma.github.io/Logging_2283/tillsynsmail/A 46041-2022 tillsynsbegäran mail.docx", "A 46041-2022")</f>
        <v/>
      </c>
    </row>
    <row r="201" ht="15" customHeight="1">
      <c r="A201" t="inlineStr">
        <is>
          <t>A 46376-2022</t>
        </is>
      </c>
      <c r="B201" s="1" t="n">
        <v>44848</v>
      </c>
      <c r="C201" s="1" t="n">
        <v>45260</v>
      </c>
      <c r="D201" t="inlineStr">
        <is>
          <t>VÄSTERNORRLANDS LÄN</t>
        </is>
      </c>
      <c r="E201" t="inlineStr">
        <is>
          <t>SOLLEFTEÅ</t>
        </is>
      </c>
      <c r="F201" t="inlineStr">
        <is>
          <t>Holmen skog AB</t>
        </is>
      </c>
      <c r="G201" t="n">
        <v>23.9</v>
      </c>
      <c r="H201" t="n">
        <v>0</v>
      </c>
      <c r="I201" t="n">
        <v>1</v>
      </c>
      <c r="J201" t="n">
        <v>0</v>
      </c>
      <c r="K201" t="n">
        <v>0</v>
      </c>
      <c r="L201" t="n">
        <v>0</v>
      </c>
      <c r="M201" t="n">
        <v>0</v>
      </c>
      <c r="N201" t="n">
        <v>0</v>
      </c>
      <c r="O201" t="n">
        <v>0</v>
      </c>
      <c r="P201" t="n">
        <v>0</v>
      </c>
      <c r="Q201" t="n">
        <v>1</v>
      </c>
      <c r="R201" s="2" t="inlineStr">
        <is>
          <t>Skarp dropptaggsvamp</t>
        </is>
      </c>
      <c r="S201">
        <f>HYPERLINK("https://klasma.github.io/Logging_2283/artfynd/A 46376-2022 artfynd.xlsx", "A 46376-2022")</f>
        <v/>
      </c>
      <c r="T201">
        <f>HYPERLINK("https://klasma.github.io/Logging_2283/kartor/A 46376-2022 karta.png", "A 46376-2022")</f>
        <v/>
      </c>
      <c r="V201">
        <f>HYPERLINK("https://klasma.github.io/Logging_2283/klagomål/A 46376-2022 FSC-klagomål.docx", "A 46376-2022")</f>
        <v/>
      </c>
      <c r="W201">
        <f>HYPERLINK("https://klasma.github.io/Logging_2283/klagomålsmail/A 46376-2022 FSC-klagomål mail.docx", "A 46376-2022")</f>
        <v/>
      </c>
      <c r="X201">
        <f>HYPERLINK("https://klasma.github.io/Logging_2283/tillsyn/A 46376-2022 tillsynsbegäran.docx", "A 46376-2022")</f>
        <v/>
      </c>
      <c r="Y201">
        <f>HYPERLINK("https://klasma.github.io/Logging_2283/tillsynsmail/A 46376-2022 tillsynsbegäran mail.docx", "A 46376-2022")</f>
        <v/>
      </c>
    </row>
    <row r="202" ht="15" customHeight="1">
      <c r="A202" t="inlineStr">
        <is>
          <t>A 46629-2022</t>
        </is>
      </c>
      <c r="B202" s="1" t="n">
        <v>44848</v>
      </c>
      <c r="C202" s="1" t="n">
        <v>45260</v>
      </c>
      <c r="D202" t="inlineStr">
        <is>
          <t>VÄSTERNORRLANDS LÄN</t>
        </is>
      </c>
      <c r="E202" t="inlineStr">
        <is>
          <t>SOLLEFTEÅ</t>
        </is>
      </c>
      <c r="F202" t="inlineStr">
        <is>
          <t>SCA</t>
        </is>
      </c>
      <c r="G202" t="n">
        <v>4.5</v>
      </c>
      <c r="H202" t="n">
        <v>1</v>
      </c>
      <c r="I202" t="n">
        <v>0</v>
      </c>
      <c r="J202" t="n">
        <v>0</v>
      </c>
      <c r="K202" t="n">
        <v>1</v>
      </c>
      <c r="L202" t="n">
        <v>0</v>
      </c>
      <c r="M202" t="n">
        <v>0</v>
      </c>
      <c r="N202" t="n">
        <v>0</v>
      </c>
      <c r="O202" t="n">
        <v>1</v>
      </c>
      <c r="P202" t="n">
        <v>1</v>
      </c>
      <c r="Q202" t="n">
        <v>1</v>
      </c>
      <c r="R202" s="2" t="inlineStr">
        <is>
          <t>Knärot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row>
    <row r="203" ht="15" customHeight="1">
      <c r="A203" t="inlineStr">
        <is>
          <t>A 46630-2022</t>
        </is>
      </c>
      <c r="B203" s="1" t="n">
        <v>44848</v>
      </c>
      <c r="C203" s="1" t="n">
        <v>45260</v>
      </c>
      <c r="D203" t="inlineStr">
        <is>
          <t>VÄSTERNORRLANDS LÄN</t>
        </is>
      </c>
      <c r="E203" t="inlineStr">
        <is>
          <t>SOLLEFTEÅ</t>
        </is>
      </c>
      <c r="F203" t="inlineStr">
        <is>
          <t>SCA</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HYPERLINK("https://klasma.github.io/Logging_2283/artfynd/A 46630-2022 artfynd.xlsx", "A 46630-2022")</f>
        <v/>
      </c>
      <c r="T203">
        <f>HYPERLINK("https://klasma.github.io/Logging_2283/kartor/A 46630-2022 karta.png", "A 46630-2022")</f>
        <v/>
      </c>
      <c r="U203">
        <f>HYPERLINK("https://klasma.github.io/Logging_2283/knärot/A 46630-2022 karta knärot.png", "A 46630-2022")</f>
        <v/>
      </c>
      <c r="V203">
        <f>HYPERLINK("https://klasma.github.io/Logging_2283/klagomål/A 46630-2022 FSC-klagomål.docx", "A 46630-2022")</f>
        <v/>
      </c>
      <c r="W203">
        <f>HYPERLINK("https://klasma.github.io/Logging_2283/klagomålsmail/A 46630-2022 FSC-klagomål mail.docx", "A 46630-2022")</f>
        <v/>
      </c>
      <c r="X203">
        <f>HYPERLINK("https://klasma.github.io/Logging_2283/tillsyn/A 46630-2022 tillsynsbegäran.docx", "A 46630-2022")</f>
        <v/>
      </c>
      <c r="Y203">
        <f>HYPERLINK("https://klasma.github.io/Logging_2283/tillsynsmail/A 46630-2022 tillsynsbegäran mail.docx", "A 46630-2022")</f>
        <v/>
      </c>
    </row>
    <row r="204" ht="15" customHeight="1">
      <c r="A204" t="inlineStr">
        <is>
          <t>A 52736-2022</t>
        </is>
      </c>
      <c r="B204" s="1" t="n">
        <v>44874</v>
      </c>
      <c r="C204" s="1" t="n">
        <v>45260</v>
      </c>
      <c r="D204" t="inlineStr">
        <is>
          <t>VÄSTERNORRLANDS LÄN</t>
        </is>
      </c>
      <c r="E204" t="inlineStr">
        <is>
          <t>SOLLEFTEÅ</t>
        </is>
      </c>
      <c r="F204" t="inlineStr">
        <is>
          <t>SCA</t>
        </is>
      </c>
      <c r="G204" t="n">
        <v>15.1</v>
      </c>
      <c r="H204" t="n">
        <v>0</v>
      </c>
      <c r="I204" t="n">
        <v>0</v>
      </c>
      <c r="J204" t="n">
        <v>1</v>
      </c>
      <c r="K204" t="n">
        <v>0</v>
      </c>
      <c r="L204" t="n">
        <v>0</v>
      </c>
      <c r="M204" t="n">
        <v>0</v>
      </c>
      <c r="N204" t="n">
        <v>0</v>
      </c>
      <c r="O204" t="n">
        <v>1</v>
      </c>
      <c r="P204" t="n">
        <v>0</v>
      </c>
      <c r="Q204" t="n">
        <v>1</v>
      </c>
      <c r="R204" s="2" t="inlineStr">
        <is>
          <t>Orange taggsvamp</t>
        </is>
      </c>
      <c r="S204">
        <f>HYPERLINK("https://klasma.github.io/Logging_2283/artfynd/A 52736-2022 artfynd.xlsx", "A 52736-2022")</f>
        <v/>
      </c>
      <c r="T204">
        <f>HYPERLINK("https://klasma.github.io/Logging_2283/kartor/A 52736-2022 karta.png", "A 52736-2022")</f>
        <v/>
      </c>
      <c r="V204">
        <f>HYPERLINK("https://klasma.github.io/Logging_2283/klagomål/A 52736-2022 FSC-klagomål.docx", "A 52736-2022")</f>
        <v/>
      </c>
      <c r="W204">
        <f>HYPERLINK("https://klasma.github.io/Logging_2283/klagomålsmail/A 52736-2022 FSC-klagomål mail.docx", "A 52736-2022")</f>
        <v/>
      </c>
      <c r="X204">
        <f>HYPERLINK("https://klasma.github.io/Logging_2283/tillsyn/A 52736-2022 tillsynsbegäran.docx", "A 52736-2022")</f>
        <v/>
      </c>
      <c r="Y204">
        <f>HYPERLINK("https://klasma.github.io/Logging_2283/tillsynsmail/A 52736-2022 tillsynsbegäran mail.docx", "A 52736-2022")</f>
        <v/>
      </c>
    </row>
    <row r="205" ht="15" customHeight="1">
      <c r="A205" t="inlineStr">
        <is>
          <t>A 56932-2022</t>
        </is>
      </c>
      <c r="B205" s="1" t="n">
        <v>44894</v>
      </c>
      <c r="C205" s="1" t="n">
        <v>45260</v>
      </c>
      <c r="D205" t="inlineStr">
        <is>
          <t>VÄSTERNORRLANDS LÄN</t>
        </is>
      </c>
      <c r="E205" t="inlineStr">
        <is>
          <t>SOLLEFTEÅ</t>
        </is>
      </c>
      <c r="F205" t="inlineStr">
        <is>
          <t>Holmen skog AB</t>
        </is>
      </c>
      <c r="G205" t="n">
        <v>1.9</v>
      </c>
      <c r="H205" t="n">
        <v>0</v>
      </c>
      <c r="I205" t="n">
        <v>0</v>
      </c>
      <c r="J205" t="n">
        <v>1</v>
      </c>
      <c r="K205" t="n">
        <v>0</v>
      </c>
      <c r="L205" t="n">
        <v>0</v>
      </c>
      <c r="M205" t="n">
        <v>0</v>
      </c>
      <c r="N205" t="n">
        <v>0</v>
      </c>
      <c r="O205" t="n">
        <v>1</v>
      </c>
      <c r="P205" t="n">
        <v>0</v>
      </c>
      <c r="Q205" t="n">
        <v>1</v>
      </c>
      <c r="R205" s="2" t="inlineStr">
        <is>
          <t>Koralltaggsvamp</t>
        </is>
      </c>
      <c r="S205">
        <f>HYPERLINK("https://klasma.github.io/Logging_2283/artfynd/A 56932-2022 artfynd.xlsx", "A 56932-2022")</f>
        <v/>
      </c>
      <c r="T205">
        <f>HYPERLINK("https://klasma.github.io/Logging_2283/kartor/A 56932-2022 karta.png", "A 56932-2022")</f>
        <v/>
      </c>
      <c r="V205">
        <f>HYPERLINK("https://klasma.github.io/Logging_2283/klagomål/A 56932-2022 FSC-klagomål.docx", "A 56932-2022")</f>
        <v/>
      </c>
      <c r="W205">
        <f>HYPERLINK("https://klasma.github.io/Logging_2283/klagomålsmail/A 56932-2022 FSC-klagomål mail.docx", "A 56932-2022")</f>
        <v/>
      </c>
      <c r="X205">
        <f>HYPERLINK("https://klasma.github.io/Logging_2283/tillsyn/A 56932-2022 tillsynsbegäran.docx", "A 56932-2022")</f>
        <v/>
      </c>
      <c r="Y205">
        <f>HYPERLINK("https://klasma.github.io/Logging_2283/tillsynsmail/A 56932-2022 tillsynsbegäran mail.docx", "A 56932-2022")</f>
        <v/>
      </c>
    </row>
    <row r="206" ht="15" customHeight="1">
      <c r="A206" t="inlineStr">
        <is>
          <t>A 60833-2022</t>
        </is>
      </c>
      <c r="B206" s="1" t="n">
        <v>44907</v>
      </c>
      <c r="C206" s="1" t="n">
        <v>45260</v>
      </c>
      <c r="D206" t="inlineStr">
        <is>
          <t>VÄSTERNORRLANDS LÄN</t>
        </is>
      </c>
      <c r="E206" t="inlineStr">
        <is>
          <t>SOLLEFTEÅ</t>
        </is>
      </c>
      <c r="G206" t="n">
        <v>4.4</v>
      </c>
      <c r="H206" t="n">
        <v>0</v>
      </c>
      <c r="I206" t="n">
        <v>0</v>
      </c>
      <c r="J206" t="n">
        <v>1</v>
      </c>
      <c r="K206" t="n">
        <v>0</v>
      </c>
      <c r="L206" t="n">
        <v>0</v>
      </c>
      <c r="M206" t="n">
        <v>0</v>
      </c>
      <c r="N206" t="n">
        <v>0</v>
      </c>
      <c r="O206" t="n">
        <v>1</v>
      </c>
      <c r="P206" t="n">
        <v>0</v>
      </c>
      <c r="Q206" t="n">
        <v>1</v>
      </c>
      <c r="R206" s="2" t="inlineStr">
        <is>
          <t>Kolflarnlav</t>
        </is>
      </c>
      <c r="S206">
        <f>HYPERLINK("https://klasma.github.io/Logging_2283/artfynd/A 60833-2022 artfynd.xlsx", "A 60833-2022")</f>
        <v/>
      </c>
      <c r="T206">
        <f>HYPERLINK("https://klasma.github.io/Logging_2283/kartor/A 60833-2022 karta.png", "A 60833-2022")</f>
        <v/>
      </c>
      <c r="V206">
        <f>HYPERLINK("https://klasma.github.io/Logging_2283/klagomål/A 60833-2022 FSC-klagomål.docx", "A 60833-2022")</f>
        <v/>
      </c>
      <c r="W206">
        <f>HYPERLINK("https://klasma.github.io/Logging_2283/klagomålsmail/A 60833-2022 FSC-klagomål mail.docx", "A 60833-2022")</f>
        <v/>
      </c>
      <c r="X206">
        <f>HYPERLINK("https://klasma.github.io/Logging_2283/tillsyn/A 60833-2022 tillsynsbegäran.docx", "A 60833-2022")</f>
        <v/>
      </c>
      <c r="Y206">
        <f>HYPERLINK("https://klasma.github.io/Logging_2283/tillsynsmail/A 60833-2022 tillsynsbegäran mail.docx", "A 60833-2022")</f>
        <v/>
      </c>
    </row>
    <row r="207" ht="15" customHeight="1">
      <c r="A207" t="inlineStr">
        <is>
          <t>A 60939-2022</t>
        </is>
      </c>
      <c r="B207" s="1" t="n">
        <v>44908</v>
      </c>
      <c r="C207" s="1" t="n">
        <v>45260</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Garnlav</t>
        </is>
      </c>
      <c r="S207">
        <f>HYPERLINK("https://klasma.github.io/Logging_2283/artfynd/A 60939-2022 artfynd.xlsx", "A 60939-2022")</f>
        <v/>
      </c>
      <c r="T207">
        <f>HYPERLINK("https://klasma.github.io/Logging_2283/kartor/A 60939-2022 karta.png", "A 60939-2022")</f>
        <v/>
      </c>
      <c r="V207">
        <f>HYPERLINK("https://klasma.github.io/Logging_2283/klagomål/A 60939-2022 FSC-klagomål.docx", "A 60939-2022")</f>
        <v/>
      </c>
      <c r="W207">
        <f>HYPERLINK("https://klasma.github.io/Logging_2283/klagomålsmail/A 60939-2022 FSC-klagomål mail.docx", "A 60939-2022")</f>
        <v/>
      </c>
      <c r="X207">
        <f>HYPERLINK("https://klasma.github.io/Logging_2283/tillsyn/A 60939-2022 tillsynsbegäran.docx", "A 60939-2022")</f>
        <v/>
      </c>
      <c r="Y207">
        <f>HYPERLINK("https://klasma.github.io/Logging_2283/tillsynsmail/A 60939-2022 tillsynsbegäran mail.docx", "A 60939-2022")</f>
        <v/>
      </c>
    </row>
    <row r="208" ht="15" customHeight="1">
      <c r="A208" t="inlineStr">
        <is>
          <t>A 986-2023</t>
        </is>
      </c>
      <c r="B208" s="1" t="n">
        <v>44935</v>
      </c>
      <c r="C208" s="1" t="n">
        <v>45260</v>
      </c>
      <c r="D208" t="inlineStr">
        <is>
          <t>VÄSTERNORRLANDS LÄN</t>
        </is>
      </c>
      <c r="E208" t="inlineStr">
        <is>
          <t>SOLLEFTEÅ</t>
        </is>
      </c>
      <c r="G208" t="n">
        <v>2.6</v>
      </c>
      <c r="H208" t="n">
        <v>1</v>
      </c>
      <c r="I208" t="n">
        <v>0</v>
      </c>
      <c r="J208" t="n">
        <v>0</v>
      </c>
      <c r="K208" t="n">
        <v>0</v>
      </c>
      <c r="L208" t="n">
        <v>0</v>
      </c>
      <c r="M208" t="n">
        <v>0</v>
      </c>
      <c r="N208" t="n">
        <v>0</v>
      </c>
      <c r="O208" t="n">
        <v>0</v>
      </c>
      <c r="P208" t="n">
        <v>0</v>
      </c>
      <c r="Q208" t="n">
        <v>1</v>
      </c>
      <c r="R208" s="2" t="inlineStr">
        <is>
          <t>Revlummer</t>
        </is>
      </c>
      <c r="S208">
        <f>HYPERLINK("https://klasma.github.io/Logging_2283/artfynd/A 986-2023 artfynd.xlsx", "A 986-2023")</f>
        <v/>
      </c>
      <c r="T208">
        <f>HYPERLINK("https://klasma.github.io/Logging_2283/kartor/A 986-2023 karta.png", "A 986-2023")</f>
        <v/>
      </c>
      <c r="V208">
        <f>HYPERLINK("https://klasma.github.io/Logging_2283/klagomål/A 986-2023 FSC-klagomål.docx", "A 986-2023")</f>
        <v/>
      </c>
      <c r="W208">
        <f>HYPERLINK("https://klasma.github.io/Logging_2283/klagomålsmail/A 986-2023 FSC-klagomål mail.docx", "A 986-2023")</f>
        <v/>
      </c>
      <c r="X208">
        <f>HYPERLINK("https://klasma.github.io/Logging_2283/tillsyn/A 986-2023 tillsynsbegäran.docx", "A 986-2023")</f>
        <v/>
      </c>
      <c r="Y208">
        <f>HYPERLINK("https://klasma.github.io/Logging_2283/tillsynsmail/A 986-2023 tillsynsbegäran mail.docx", "A 986-2023")</f>
        <v/>
      </c>
    </row>
    <row r="209" ht="15" customHeight="1">
      <c r="A209" t="inlineStr">
        <is>
          <t>A 12862-2023</t>
        </is>
      </c>
      <c r="B209" s="1" t="n">
        <v>45001</v>
      </c>
      <c r="C209" s="1" t="n">
        <v>45260</v>
      </c>
      <c r="D209" t="inlineStr">
        <is>
          <t>VÄSTERNORRLANDS LÄN</t>
        </is>
      </c>
      <c r="E209" t="inlineStr">
        <is>
          <t>SOLLEFTEÅ</t>
        </is>
      </c>
      <c r="F209" t="inlineStr">
        <is>
          <t>Övriga Aktiebolag</t>
        </is>
      </c>
      <c r="G209" t="n">
        <v>10.4</v>
      </c>
      <c r="H209" t="n">
        <v>0</v>
      </c>
      <c r="I209" t="n">
        <v>1</v>
      </c>
      <c r="J209" t="n">
        <v>0</v>
      </c>
      <c r="K209" t="n">
        <v>0</v>
      </c>
      <c r="L209" t="n">
        <v>0</v>
      </c>
      <c r="M209" t="n">
        <v>0</v>
      </c>
      <c r="N209" t="n">
        <v>0</v>
      </c>
      <c r="O209" t="n">
        <v>0</v>
      </c>
      <c r="P209" t="n">
        <v>0</v>
      </c>
      <c r="Q209" t="n">
        <v>1</v>
      </c>
      <c r="R209" s="2" t="inlineStr">
        <is>
          <t>Korallblylav</t>
        </is>
      </c>
      <c r="S209">
        <f>HYPERLINK("https://klasma.github.io/Logging_2283/artfynd/A 12862-2023 artfynd.xlsx", "A 12862-2023")</f>
        <v/>
      </c>
      <c r="T209">
        <f>HYPERLINK("https://klasma.github.io/Logging_2283/kartor/A 12862-2023 karta.png", "A 12862-2023")</f>
        <v/>
      </c>
      <c r="V209">
        <f>HYPERLINK("https://klasma.github.io/Logging_2283/klagomål/A 12862-2023 FSC-klagomål.docx", "A 12862-2023")</f>
        <v/>
      </c>
      <c r="W209">
        <f>HYPERLINK("https://klasma.github.io/Logging_2283/klagomålsmail/A 12862-2023 FSC-klagomål mail.docx", "A 12862-2023")</f>
        <v/>
      </c>
      <c r="X209">
        <f>HYPERLINK("https://klasma.github.io/Logging_2283/tillsyn/A 12862-2023 tillsynsbegäran.docx", "A 12862-2023")</f>
        <v/>
      </c>
      <c r="Y209">
        <f>HYPERLINK("https://klasma.github.io/Logging_2283/tillsynsmail/A 12862-2023 tillsynsbegäran mail.docx", "A 12862-2023")</f>
        <v/>
      </c>
    </row>
    <row r="210" ht="15" customHeight="1">
      <c r="A210" t="inlineStr">
        <is>
          <t>A 29958-2023</t>
        </is>
      </c>
      <c r="B210" s="1" t="n">
        <v>45107</v>
      </c>
      <c r="C210" s="1" t="n">
        <v>45260</v>
      </c>
      <c r="D210" t="inlineStr">
        <is>
          <t>VÄSTERNORRLANDS LÄN</t>
        </is>
      </c>
      <c r="E210" t="inlineStr">
        <is>
          <t>SOLLEFTEÅ</t>
        </is>
      </c>
      <c r="F210" t="inlineStr">
        <is>
          <t>SCA</t>
        </is>
      </c>
      <c r="G210" t="n">
        <v>7.5</v>
      </c>
      <c r="H210" t="n">
        <v>1</v>
      </c>
      <c r="I210" t="n">
        <v>0</v>
      </c>
      <c r="J210" t="n">
        <v>1</v>
      </c>
      <c r="K210" t="n">
        <v>0</v>
      </c>
      <c r="L210" t="n">
        <v>0</v>
      </c>
      <c r="M210" t="n">
        <v>0</v>
      </c>
      <c r="N210" t="n">
        <v>0</v>
      </c>
      <c r="O210" t="n">
        <v>1</v>
      </c>
      <c r="P210" t="n">
        <v>0</v>
      </c>
      <c r="Q210" t="n">
        <v>1</v>
      </c>
      <c r="R210" s="2" t="inlineStr">
        <is>
          <t>Tretåig hackspett</t>
        </is>
      </c>
      <c r="S210">
        <f>HYPERLINK("https://klasma.github.io/Logging_2283/artfynd/A 29958-2023 artfynd.xlsx", "A 29958-2023")</f>
        <v/>
      </c>
      <c r="T210">
        <f>HYPERLINK("https://klasma.github.io/Logging_2283/kartor/A 29958-2023 karta.png", "A 29958-2023")</f>
        <v/>
      </c>
      <c r="V210">
        <f>HYPERLINK("https://klasma.github.io/Logging_2283/klagomål/A 29958-2023 FSC-klagomål.docx", "A 29958-2023")</f>
        <v/>
      </c>
      <c r="W210">
        <f>HYPERLINK("https://klasma.github.io/Logging_2283/klagomålsmail/A 29958-2023 FSC-klagomål mail.docx", "A 29958-2023")</f>
        <v/>
      </c>
      <c r="X210">
        <f>HYPERLINK("https://klasma.github.io/Logging_2283/tillsyn/A 29958-2023 tillsynsbegäran.docx", "A 29958-2023")</f>
        <v/>
      </c>
      <c r="Y210">
        <f>HYPERLINK("https://klasma.github.io/Logging_2283/tillsynsmail/A 29958-2023 tillsynsbegäran mail.docx", "A 29958-2023")</f>
        <v/>
      </c>
    </row>
    <row r="211" ht="15" customHeight="1">
      <c r="A211" t="inlineStr">
        <is>
          <t>A 31920-2023</t>
        </is>
      </c>
      <c r="B211" s="1" t="n">
        <v>45118</v>
      </c>
      <c r="C211" s="1" t="n">
        <v>45260</v>
      </c>
      <c r="D211" t="inlineStr">
        <is>
          <t>VÄSTERNORRLANDS LÄN</t>
        </is>
      </c>
      <c r="E211" t="inlineStr">
        <is>
          <t>SOLLEFTEÅ</t>
        </is>
      </c>
      <c r="F211" t="inlineStr">
        <is>
          <t>SCA</t>
        </is>
      </c>
      <c r="G211" t="n">
        <v>2</v>
      </c>
      <c r="H211" t="n">
        <v>0</v>
      </c>
      <c r="I211" t="n">
        <v>0</v>
      </c>
      <c r="J211" t="n">
        <v>1</v>
      </c>
      <c r="K211" t="n">
        <v>0</v>
      </c>
      <c r="L211" t="n">
        <v>0</v>
      </c>
      <c r="M211" t="n">
        <v>0</v>
      </c>
      <c r="N211" t="n">
        <v>0</v>
      </c>
      <c r="O211" t="n">
        <v>1</v>
      </c>
      <c r="P211" t="n">
        <v>0</v>
      </c>
      <c r="Q211" t="n">
        <v>1</v>
      </c>
      <c r="R211" s="2" t="inlineStr">
        <is>
          <t>Ullticka</t>
        </is>
      </c>
      <c r="S211">
        <f>HYPERLINK("https://klasma.github.io/Logging_2283/artfynd/A 31920-2023 artfynd.xlsx", "A 31920-2023")</f>
        <v/>
      </c>
      <c r="T211">
        <f>HYPERLINK("https://klasma.github.io/Logging_2283/kartor/A 31920-2023 karta.png", "A 31920-2023")</f>
        <v/>
      </c>
      <c r="V211">
        <f>HYPERLINK("https://klasma.github.io/Logging_2283/klagomål/A 31920-2023 FSC-klagomål.docx", "A 31920-2023")</f>
        <v/>
      </c>
      <c r="W211">
        <f>HYPERLINK("https://klasma.github.io/Logging_2283/klagomålsmail/A 31920-2023 FSC-klagomål mail.docx", "A 31920-2023")</f>
        <v/>
      </c>
      <c r="X211">
        <f>HYPERLINK("https://klasma.github.io/Logging_2283/tillsyn/A 31920-2023 tillsynsbegäran.docx", "A 31920-2023")</f>
        <v/>
      </c>
      <c r="Y211">
        <f>HYPERLINK("https://klasma.github.io/Logging_2283/tillsynsmail/A 31920-2023 tillsynsbegäran mail.docx", "A 31920-2023")</f>
        <v/>
      </c>
    </row>
    <row r="212" ht="15" customHeight="1">
      <c r="A212" t="inlineStr">
        <is>
          <t>A 32217-2023</t>
        </is>
      </c>
      <c r="B212" s="1" t="n">
        <v>45119</v>
      </c>
      <c r="C212" s="1" t="n">
        <v>45260</v>
      </c>
      <c r="D212" t="inlineStr">
        <is>
          <t>VÄSTERNORRLANDS LÄN</t>
        </is>
      </c>
      <c r="E212" t="inlineStr">
        <is>
          <t>SOLLEFTEÅ</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row>
    <row r="213" ht="15" customHeight="1">
      <c r="A213" t="inlineStr">
        <is>
          <t>A 32734-2023</t>
        </is>
      </c>
      <c r="B213" s="1" t="n">
        <v>45121</v>
      </c>
      <c r="C213" s="1" t="n">
        <v>45260</v>
      </c>
      <c r="D213" t="inlineStr">
        <is>
          <t>VÄSTERNORRLANDS LÄN</t>
        </is>
      </c>
      <c r="E213" t="inlineStr">
        <is>
          <t>SOLLEFTEÅ</t>
        </is>
      </c>
      <c r="G213" t="n">
        <v>1.8</v>
      </c>
      <c r="H213" t="n">
        <v>0</v>
      </c>
      <c r="I213" t="n">
        <v>0</v>
      </c>
      <c r="J213" t="n">
        <v>1</v>
      </c>
      <c r="K213" t="n">
        <v>0</v>
      </c>
      <c r="L213" t="n">
        <v>0</v>
      </c>
      <c r="M213" t="n">
        <v>0</v>
      </c>
      <c r="N213" t="n">
        <v>0</v>
      </c>
      <c r="O213" t="n">
        <v>1</v>
      </c>
      <c r="P213" t="n">
        <v>0</v>
      </c>
      <c r="Q213" t="n">
        <v>1</v>
      </c>
      <c r="R213" s="2" t="inlineStr">
        <is>
          <t>Garnlav</t>
        </is>
      </c>
      <c r="S213">
        <f>HYPERLINK("https://klasma.github.io/Logging_2283/artfynd/A 32734-2023 artfynd.xlsx", "A 32734-2023")</f>
        <v/>
      </c>
      <c r="T213">
        <f>HYPERLINK("https://klasma.github.io/Logging_2283/kartor/A 32734-2023 karta.png", "A 32734-2023")</f>
        <v/>
      </c>
      <c r="V213">
        <f>HYPERLINK("https://klasma.github.io/Logging_2283/klagomål/A 32734-2023 FSC-klagomål.docx", "A 32734-2023")</f>
        <v/>
      </c>
      <c r="W213">
        <f>HYPERLINK("https://klasma.github.io/Logging_2283/klagomålsmail/A 32734-2023 FSC-klagomål mail.docx", "A 32734-2023")</f>
        <v/>
      </c>
      <c r="X213">
        <f>HYPERLINK("https://klasma.github.io/Logging_2283/tillsyn/A 32734-2023 tillsynsbegäran.docx", "A 32734-2023")</f>
        <v/>
      </c>
      <c r="Y213">
        <f>HYPERLINK("https://klasma.github.io/Logging_2283/tillsynsmail/A 32734-2023 tillsynsbegäran mail.docx", "A 32734-2023")</f>
        <v/>
      </c>
    </row>
    <row r="214" ht="15" customHeight="1">
      <c r="A214" t="inlineStr">
        <is>
          <t>A 38089-2023</t>
        </is>
      </c>
      <c r="B214" s="1" t="n">
        <v>45160</v>
      </c>
      <c r="C214" s="1" t="n">
        <v>45260</v>
      </c>
      <c r="D214" t="inlineStr">
        <is>
          <t>VÄSTERNORRLANDS LÄN</t>
        </is>
      </c>
      <c r="E214" t="inlineStr">
        <is>
          <t>SOLLEFTEÅ</t>
        </is>
      </c>
      <c r="F214" t="inlineStr">
        <is>
          <t>SCA</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HYPERLINK("https://klasma.github.io/Logging_2283/artfynd/A 38089-2023 artfynd.xlsx", "A 38089-2023")</f>
        <v/>
      </c>
      <c r="T214">
        <f>HYPERLINK("https://klasma.github.io/Logging_2283/kartor/A 38089-2023 karta.png", "A 38089-2023")</f>
        <v/>
      </c>
      <c r="V214">
        <f>HYPERLINK("https://klasma.github.io/Logging_2283/klagomål/A 38089-2023 FSC-klagomål.docx", "A 38089-2023")</f>
        <v/>
      </c>
      <c r="W214">
        <f>HYPERLINK("https://klasma.github.io/Logging_2283/klagomålsmail/A 38089-2023 FSC-klagomål mail.docx", "A 38089-2023")</f>
        <v/>
      </c>
      <c r="X214">
        <f>HYPERLINK("https://klasma.github.io/Logging_2283/tillsyn/A 38089-2023 tillsynsbegäran.docx", "A 38089-2023")</f>
        <v/>
      </c>
      <c r="Y214">
        <f>HYPERLINK("https://klasma.github.io/Logging_2283/tillsynsmail/A 38089-2023 tillsynsbegäran mail.docx", "A 38089-2023")</f>
        <v/>
      </c>
    </row>
    <row r="215" ht="15" customHeight="1">
      <c r="A215" t="inlineStr">
        <is>
          <t>A 39565-2023</t>
        </is>
      </c>
      <c r="B215" s="1" t="n">
        <v>45167</v>
      </c>
      <c r="C215" s="1" t="n">
        <v>45260</v>
      </c>
      <c r="D215" t="inlineStr">
        <is>
          <t>VÄSTERNORRLANDS LÄN</t>
        </is>
      </c>
      <c r="E215" t="inlineStr">
        <is>
          <t>SOLLEFTEÅ</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HYPERLINK("https://klasma.github.io/Logging_2283/artfynd/A 39565-2023 artfynd.xlsx", "A 39565-2023")</f>
        <v/>
      </c>
      <c r="T215">
        <f>HYPERLINK("https://klasma.github.io/Logging_2283/kartor/A 39565-2023 karta.png", "A 39565-2023")</f>
        <v/>
      </c>
      <c r="V215">
        <f>HYPERLINK("https://klasma.github.io/Logging_2283/klagomål/A 39565-2023 FSC-klagomål.docx", "A 39565-2023")</f>
        <v/>
      </c>
      <c r="W215">
        <f>HYPERLINK("https://klasma.github.io/Logging_2283/klagomålsmail/A 39565-2023 FSC-klagomål mail.docx", "A 39565-2023")</f>
        <v/>
      </c>
      <c r="X215">
        <f>HYPERLINK("https://klasma.github.io/Logging_2283/tillsyn/A 39565-2023 tillsynsbegäran.docx", "A 39565-2023")</f>
        <v/>
      </c>
      <c r="Y215">
        <f>HYPERLINK("https://klasma.github.io/Logging_2283/tillsynsmail/A 39565-2023 tillsynsbegäran mail.docx", "A 39565-2023")</f>
        <v/>
      </c>
    </row>
    <row r="216" ht="15" customHeight="1">
      <c r="A216" t="inlineStr">
        <is>
          <t>A 46203-2023</t>
        </is>
      </c>
      <c r="B216" s="1" t="n">
        <v>45190</v>
      </c>
      <c r="C216" s="1" t="n">
        <v>45260</v>
      </c>
      <c r="D216" t="inlineStr">
        <is>
          <t>VÄSTERNORRLANDS LÄN</t>
        </is>
      </c>
      <c r="E216" t="inlineStr">
        <is>
          <t>SOLLEFTEÅ</t>
        </is>
      </c>
      <c r="G216" t="n">
        <v>13</v>
      </c>
      <c r="H216" t="n">
        <v>0</v>
      </c>
      <c r="I216" t="n">
        <v>0</v>
      </c>
      <c r="J216" t="n">
        <v>1</v>
      </c>
      <c r="K216" t="n">
        <v>0</v>
      </c>
      <c r="L216" t="n">
        <v>0</v>
      </c>
      <c r="M216" t="n">
        <v>0</v>
      </c>
      <c r="N216" t="n">
        <v>0</v>
      </c>
      <c r="O216" t="n">
        <v>1</v>
      </c>
      <c r="P216" t="n">
        <v>0</v>
      </c>
      <c r="Q216" t="n">
        <v>1</v>
      </c>
      <c r="R216" s="2" t="inlineStr">
        <is>
          <t>Garnlav</t>
        </is>
      </c>
      <c r="S216">
        <f>HYPERLINK("https://klasma.github.io/Logging_2283/artfynd/A 46203-2023 artfynd.xlsx", "A 46203-2023")</f>
        <v/>
      </c>
      <c r="T216">
        <f>HYPERLINK("https://klasma.github.io/Logging_2283/kartor/A 46203-2023 karta.png", "A 46203-2023")</f>
        <v/>
      </c>
      <c r="V216">
        <f>HYPERLINK("https://klasma.github.io/Logging_2283/klagomål/A 46203-2023 FSC-klagomål.docx", "A 46203-2023")</f>
        <v/>
      </c>
      <c r="W216">
        <f>HYPERLINK("https://klasma.github.io/Logging_2283/klagomålsmail/A 46203-2023 FSC-klagomål mail.docx", "A 46203-2023")</f>
        <v/>
      </c>
      <c r="X216">
        <f>HYPERLINK("https://klasma.github.io/Logging_2283/tillsyn/A 46203-2023 tillsynsbegäran.docx", "A 46203-2023")</f>
        <v/>
      </c>
      <c r="Y216">
        <f>HYPERLINK("https://klasma.github.io/Logging_2283/tillsynsmail/A 46203-2023 tillsynsbegäran mail.docx", "A 46203-2023")</f>
        <v/>
      </c>
    </row>
    <row r="217" ht="15" customHeight="1">
      <c r="A217" t="inlineStr">
        <is>
          <t>A 48087-2023</t>
        </is>
      </c>
      <c r="B217" s="1" t="n">
        <v>45204</v>
      </c>
      <c r="C217" s="1" t="n">
        <v>45260</v>
      </c>
      <c r="D217" t="inlineStr">
        <is>
          <t>VÄSTERNORRLANDS LÄN</t>
        </is>
      </c>
      <c r="E217" t="inlineStr">
        <is>
          <t>SOLLEFTEÅ</t>
        </is>
      </c>
      <c r="F217" t="inlineStr">
        <is>
          <t>SCA</t>
        </is>
      </c>
      <c r="G217" t="n">
        <v>0.6</v>
      </c>
      <c r="H217" t="n">
        <v>0</v>
      </c>
      <c r="I217" t="n">
        <v>0</v>
      </c>
      <c r="J217" t="n">
        <v>1</v>
      </c>
      <c r="K217" t="n">
        <v>0</v>
      </c>
      <c r="L217" t="n">
        <v>0</v>
      </c>
      <c r="M217" t="n">
        <v>0</v>
      </c>
      <c r="N217" t="n">
        <v>0</v>
      </c>
      <c r="O217" t="n">
        <v>1</v>
      </c>
      <c r="P217" t="n">
        <v>0</v>
      </c>
      <c r="Q217" t="n">
        <v>1</v>
      </c>
      <c r="R217" s="2" t="inlineStr">
        <is>
          <t>Doftskinn</t>
        </is>
      </c>
      <c r="S217">
        <f>HYPERLINK("https://klasma.github.io/Logging_2283/artfynd/A 48087-2023 artfynd.xlsx", "A 48087-2023")</f>
        <v/>
      </c>
      <c r="T217">
        <f>HYPERLINK("https://klasma.github.io/Logging_2283/kartor/A 48087-2023 karta.png", "A 48087-2023")</f>
        <v/>
      </c>
      <c r="V217">
        <f>HYPERLINK("https://klasma.github.io/Logging_2283/klagomål/A 48087-2023 FSC-klagomål.docx", "A 48087-2023")</f>
        <v/>
      </c>
      <c r="W217">
        <f>HYPERLINK("https://klasma.github.io/Logging_2283/klagomålsmail/A 48087-2023 FSC-klagomål mail.docx", "A 48087-2023")</f>
        <v/>
      </c>
      <c r="X217">
        <f>HYPERLINK("https://klasma.github.io/Logging_2283/tillsyn/A 48087-2023 tillsynsbegäran.docx", "A 48087-2023")</f>
        <v/>
      </c>
      <c r="Y217">
        <f>HYPERLINK("https://klasma.github.io/Logging_2283/tillsynsmail/A 48087-2023 tillsynsbegäran mail.docx", "A 48087-2023")</f>
        <v/>
      </c>
    </row>
    <row r="218" ht="15" customHeight="1">
      <c r="A218" t="inlineStr">
        <is>
          <t>A 53059-2023</t>
        </is>
      </c>
      <c r="B218" s="1" t="n">
        <v>45226</v>
      </c>
      <c r="C218" s="1" t="n">
        <v>45260</v>
      </c>
      <c r="D218" t="inlineStr">
        <is>
          <t>VÄSTERNORRLANDS LÄN</t>
        </is>
      </c>
      <c r="E218" t="inlineStr">
        <is>
          <t>SOLLEFTEÅ</t>
        </is>
      </c>
      <c r="F218" t="inlineStr">
        <is>
          <t>SCA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HYPERLINK("https://klasma.github.io/Logging_2283/artfynd/A 53059-2023 artfynd.xlsx", "A 53059-2023")</f>
        <v/>
      </c>
      <c r="T218">
        <f>HYPERLINK("https://klasma.github.io/Logging_2283/kartor/A 53059-2023 karta.png", "A 53059-2023")</f>
        <v/>
      </c>
      <c r="U218">
        <f>HYPERLINK("https://klasma.github.io/Logging_2283/knärot/A 53059-2023 karta knärot.png", "A 53059-2023")</f>
        <v/>
      </c>
      <c r="V218">
        <f>HYPERLINK("https://klasma.github.io/Logging_2283/klagomål/A 53059-2023 FSC-klagomål.docx", "A 53059-2023")</f>
        <v/>
      </c>
      <c r="W218">
        <f>HYPERLINK("https://klasma.github.io/Logging_2283/klagomålsmail/A 53059-2023 FSC-klagomål mail.docx", "A 53059-2023")</f>
        <v/>
      </c>
      <c r="X218">
        <f>HYPERLINK("https://klasma.github.io/Logging_2283/tillsyn/A 53059-2023 tillsynsbegäran.docx", "A 53059-2023")</f>
        <v/>
      </c>
      <c r="Y218">
        <f>HYPERLINK("https://klasma.github.io/Logging_2283/tillsynsmail/A 53059-2023 tillsynsbegäran mail.docx", "A 53059-2023")</f>
        <v/>
      </c>
    </row>
    <row r="219" ht="15" customHeight="1">
      <c r="A219" t="inlineStr">
        <is>
          <t>A 53039-2023</t>
        </is>
      </c>
      <c r="B219" s="1" t="n">
        <v>45226</v>
      </c>
      <c r="C219" s="1" t="n">
        <v>45260</v>
      </c>
      <c r="D219" t="inlineStr">
        <is>
          <t>VÄSTERNORRLANDS LÄN</t>
        </is>
      </c>
      <c r="E219" t="inlineStr">
        <is>
          <t>SOLLEFTEÅ</t>
        </is>
      </c>
      <c r="F219" t="inlineStr">
        <is>
          <t>SCA</t>
        </is>
      </c>
      <c r="G219" t="n">
        <v>1.8</v>
      </c>
      <c r="H219" t="n">
        <v>1</v>
      </c>
      <c r="I219" t="n">
        <v>0</v>
      </c>
      <c r="J219" t="n">
        <v>1</v>
      </c>
      <c r="K219" t="n">
        <v>0</v>
      </c>
      <c r="L219" t="n">
        <v>0</v>
      </c>
      <c r="M219" t="n">
        <v>0</v>
      </c>
      <c r="N219" t="n">
        <v>0</v>
      </c>
      <c r="O219" t="n">
        <v>1</v>
      </c>
      <c r="P219" t="n">
        <v>0</v>
      </c>
      <c r="Q219" t="n">
        <v>1</v>
      </c>
      <c r="R219" s="2" t="inlineStr">
        <is>
          <t>Nordfladdermus</t>
        </is>
      </c>
      <c r="S219">
        <f>HYPERLINK("https://klasma.github.io/Logging_2283/artfynd/A 53039-2023 artfynd.xlsx", "A 53039-2023")</f>
        <v/>
      </c>
      <c r="T219">
        <f>HYPERLINK("https://klasma.github.io/Logging_2283/kartor/A 53039-2023 karta.png", "A 53039-2023")</f>
        <v/>
      </c>
      <c r="V219">
        <f>HYPERLINK("https://klasma.github.io/Logging_2283/klagomål/A 53039-2023 FSC-klagomål.docx", "A 53039-2023")</f>
        <v/>
      </c>
      <c r="W219">
        <f>HYPERLINK("https://klasma.github.io/Logging_2283/klagomålsmail/A 53039-2023 FSC-klagomål mail.docx", "A 53039-2023")</f>
        <v/>
      </c>
      <c r="X219">
        <f>HYPERLINK("https://klasma.github.io/Logging_2283/tillsyn/A 53039-2023 tillsynsbegäran.docx", "A 53039-2023")</f>
        <v/>
      </c>
      <c r="Y219">
        <f>HYPERLINK("https://klasma.github.io/Logging_2283/tillsynsmail/A 53039-2023 tillsynsbegäran mail.docx", "A 53039-2023")</f>
        <v/>
      </c>
    </row>
    <row r="220" ht="15" customHeight="1">
      <c r="A220" t="inlineStr">
        <is>
          <t>A 53446-2023</t>
        </is>
      </c>
      <c r="B220" s="1" t="n">
        <v>45229</v>
      </c>
      <c r="C220" s="1" t="n">
        <v>45260</v>
      </c>
      <c r="D220" t="inlineStr">
        <is>
          <t>VÄSTERNORRLANDS LÄN</t>
        </is>
      </c>
      <c r="E220" t="inlineStr">
        <is>
          <t>SOLLEFTEÅ</t>
        </is>
      </c>
      <c r="F220" t="inlineStr">
        <is>
          <t>SCA</t>
        </is>
      </c>
      <c r="G220" t="n">
        <v>2.2</v>
      </c>
      <c r="H220" t="n">
        <v>0</v>
      </c>
      <c r="I220" t="n">
        <v>0</v>
      </c>
      <c r="J220" t="n">
        <v>1</v>
      </c>
      <c r="K220" t="n">
        <v>0</v>
      </c>
      <c r="L220" t="n">
        <v>0</v>
      </c>
      <c r="M220" t="n">
        <v>0</v>
      </c>
      <c r="N220" t="n">
        <v>0</v>
      </c>
      <c r="O220" t="n">
        <v>1</v>
      </c>
      <c r="P220" t="n">
        <v>0</v>
      </c>
      <c r="Q220" t="n">
        <v>1</v>
      </c>
      <c r="R220" s="2" t="inlineStr">
        <is>
          <t>Kolflarnlav</t>
        </is>
      </c>
      <c r="S220">
        <f>HYPERLINK("https://klasma.github.io/Logging_2283/artfynd/A 53446-2023 artfynd.xlsx", "A 53446-2023")</f>
        <v/>
      </c>
      <c r="T220">
        <f>HYPERLINK("https://klasma.github.io/Logging_2283/kartor/A 53446-2023 karta.png", "A 53446-2023")</f>
        <v/>
      </c>
      <c r="V220">
        <f>HYPERLINK("https://klasma.github.io/Logging_2283/klagomål/A 53446-2023 FSC-klagomål.docx", "A 53446-2023")</f>
        <v/>
      </c>
      <c r="W220">
        <f>HYPERLINK("https://klasma.github.io/Logging_2283/klagomålsmail/A 53446-2023 FSC-klagomål mail.docx", "A 53446-2023")</f>
        <v/>
      </c>
      <c r="X220">
        <f>HYPERLINK("https://klasma.github.io/Logging_2283/tillsyn/A 53446-2023 tillsynsbegäran.docx", "A 53446-2023")</f>
        <v/>
      </c>
      <c r="Y220">
        <f>HYPERLINK("https://klasma.github.io/Logging_2283/tillsynsmail/A 53446-2023 tillsynsbegäran mail.docx", "A 53446-2023")</f>
        <v/>
      </c>
    </row>
    <row r="221" ht="15" customHeight="1">
      <c r="A221" t="inlineStr">
        <is>
          <t>A 56257-2023</t>
        </is>
      </c>
      <c r="B221" s="1" t="n">
        <v>45240</v>
      </c>
      <c r="C221" s="1" t="n">
        <v>45260</v>
      </c>
      <c r="D221" t="inlineStr">
        <is>
          <t>VÄSTERNORRLANDS LÄN</t>
        </is>
      </c>
      <c r="E221" t="inlineStr">
        <is>
          <t>SOLLEFTEÅ</t>
        </is>
      </c>
      <c r="F221" t="inlineStr">
        <is>
          <t>SCA</t>
        </is>
      </c>
      <c r="G221" t="n">
        <v>2.9</v>
      </c>
      <c r="H221" t="n">
        <v>0</v>
      </c>
      <c r="I221" t="n">
        <v>1</v>
      </c>
      <c r="J221" t="n">
        <v>0</v>
      </c>
      <c r="K221" t="n">
        <v>0</v>
      </c>
      <c r="L221" t="n">
        <v>0</v>
      </c>
      <c r="M221" t="n">
        <v>0</v>
      </c>
      <c r="N221" t="n">
        <v>0</v>
      </c>
      <c r="O221" t="n">
        <v>0</v>
      </c>
      <c r="P221" t="n">
        <v>0</v>
      </c>
      <c r="Q221" t="n">
        <v>1</v>
      </c>
      <c r="R221" s="2" t="inlineStr">
        <is>
          <t>Tibast</t>
        </is>
      </c>
      <c r="S221">
        <f>HYPERLINK("https://klasma.github.io/Logging_2283/artfynd/A 56257-2023 artfynd.xlsx", "A 56257-2023")</f>
        <v/>
      </c>
      <c r="T221">
        <f>HYPERLINK("https://klasma.github.io/Logging_2283/kartor/A 56257-2023 karta.png", "A 56257-2023")</f>
        <v/>
      </c>
      <c r="V221">
        <f>HYPERLINK("https://klasma.github.io/Logging_2283/klagomål/A 56257-2023 FSC-klagomål.docx", "A 56257-2023")</f>
        <v/>
      </c>
      <c r="W221">
        <f>HYPERLINK("https://klasma.github.io/Logging_2283/klagomålsmail/A 56257-2023 FSC-klagomål mail.docx", "A 56257-2023")</f>
        <v/>
      </c>
      <c r="X221">
        <f>HYPERLINK("https://klasma.github.io/Logging_2283/tillsyn/A 56257-2023 tillsynsbegäran.docx", "A 56257-2023")</f>
        <v/>
      </c>
      <c r="Y221">
        <f>HYPERLINK("https://klasma.github.io/Logging_2283/tillsynsmail/A 56257-2023 tillsynsbegäran mail.docx", "A 56257-2023")</f>
        <v/>
      </c>
    </row>
    <row r="222" ht="15" customHeight="1">
      <c r="A222" t="inlineStr">
        <is>
          <t>A 59100-2023</t>
        </is>
      </c>
      <c r="B222" s="1" t="n">
        <v>45253</v>
      </c>
      <c r="C222" s="1" t="n">
        <v>45260</v>
      </c>
      <c r="D222" t="inlineStr">
        <is>
          <t>VÄSTERNORRLANDS LÄN</t>
        </is>
      </c>
      <c r="E222" t="inlineStr">
        <is>
          <t>SOLLEFTEÅ</t>
        </is>
      </c>
      <c r="F222" t="inlineStr">
        <is>
          <t>SCA</t>
        </is>
      </c>
      <c r="G222" t="n">
        <v>4.2</v>
      </c>
      <c r="H222" t="n">
        <v>0</v>
      </c>
      <c r="I222" t="n">
        <v>0</v>
      </c>
      <c r="J222" t="n">
        <v>1</v>
      </c>
      <c r="K222" t="n">
        <v>0</v>
      </c>
      <c r="L222" t="n">
        <v>0</v>
      </c>
      <c r="M222" t="n">
        <v>0</v>
      </c>
      <c r="N222" t="n">
        <v>0</v>
      </c>
      <c r="O222" t="n">
        <v>1</v>
      </c>
      <c r="P222" t="n">
        <v>0</v>
      </c>
      <c r="Q222" t="n">
        <v>1</v>
      </c>
      <c r="R222" s="2" t="inlineStr">
        <is>
          <t>Skrovlig taggsvamp</t>
        </is>
      </c>
      <c r="S222">
        <f>HYPERLINK("https://klasma.github.io/Logging_2283/artfynd/A 59100-2023 artfynd.xlsx", "A 59100-2023")</f>
        <v/>
      </c>
      <c r="T222">
        <f>HYPERLINK("https://klasma.github.io/Logging_2283/kartor/A 59100-2023 karta.png", "A 59100-2023")</f>
        <v/>
      </c>
      <c r="V222">
        <f>HYPERLINK("https://klasma.github.io/Logging_2283/klagomål/A 59100-2023 FSC-klagomål.docx", "A 59100-2023")</f>
        <v/>
      </c>
      <c r="W222">
        <f>HYPERLINK("https://klasma.github.io/Logging_2283/klagomålsmail/A 59100-2023 FSC-klagomål mail.docx", "A 59100-2023")</f>
        <v/>
      </c>
      <c r="X222">
        <f>HYPERLINK("https://klasma.github.io/Logging_2283/tillsyn/A 59100-2023 tillsynsbegäran.docx", "A 59100-2023")</f>
        <v/>
      </c>
      <c r="Y222">
        <f>HYPERLINK("https://klasma.github.io/Logging_2283/tillsynsmail/A 59100-2023 tillsynsbegäran mail.docx", "A 59100-2023")</f>
        <v/>
      </c>
    </row>
    <row r="223" ht="15" customHeight="1">
      <c r="A223" t="inlineStr">
        <is>
          <t>A 33896-2018</t>
        </is>
      </c>
      <c r="B223" s="1" t="n">
        <v>43314</v>
      </c>
      <c r="C223" s="1" t="n">
        <v>45260</v>
      </c>
      <c r="D223" t="inlineStr">
        <is>
          <t>VÄSTERNORRLANDS LÄN</t>
        </is>
      </c>
      <c r="E223" t="inlineStr">
        <is>
          <t>SOLLEFTEÅ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34267-2018</t>
        </is>
      </c>
      <c r="B224" s="1" t="n">
        <v>43318</v>
      </c>
      <c r="C224" s="1" t="n">
        <v>45260</v>
      </c>
      <c r="D224" t="inlineStr">
        <is>
          <t>VÄSTERNORRLANDS LÄN</t>
        </is>
      </c>
      <c r="E224" t="inlineStr">
        <is>
          <t>SOLLEFTEÅ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36973-2018</t>
        </is>
      </c>
      <c r="B225" s="1" t="n">
        <v>43332</v>
      </c>
      <c r="C225" s="1" t="n">
        <v>45260</v>
      </c>
      <c r="D225" t="inlineStr">
        <is>
          <t>VÄSTERNORRLANDS LÄN</t>
        </is>
      </c>
      <c r="E225" t="inlineStr">
        <is>
          <t>SOLLEFTEÅ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37589-2018</t>
        </is>
      </c>
      <c r="B226" s="1" t="n">
        <v>43334</v>
      </c>
      <c r="C226" s="1" t="n">
        <v>45260</v>
      </c>
      <c r="D226" t="inlineStr">
        <is>
          <t>VÄSTERNORRLANDS LÄN</t>
        </is>
      </c>
      <c r="E226" t="inlineStr">
        <is>
          <t>SOLLEFTEÅ</t>
        </is>
      </c>
      <c r="G226" t="n">
        <v>1.6</v>
      </c>
      <c r="H226" t="n">
        <v>0</v>
      </c>
      <c r="I226" t="n">
        <v>0</v>
      </c>
      <c r="J226" t="n">
        <v>0</v>
      </c>
      <c r="K226" t="n">
        <v>0</v>
      </c>
      <c r="L226" t="n">
        <v>0</v>
      </c>
      <c r="M226" t="n">
        <v>0</v>
      </c>
      <c r="N226" t="n">
        <v>0</v>
      </c>
      <c r="O226" t="n">
        <v>0</v>
      </c>
      <c r="P226" t="n">
        <v>0</v>
      </c>
      <c r="Q226" t="n">
        <v>0</v>
      </c>
      <c r="R226" s="2" t="inlineStr"/>
    </row>
    <row r="227" ht="15" customHeight="1">
      <c r="A227" t="inlineStr">
        <is>
          <t>A 37875-2018</t>
        </is>
      </c>
      <c r="B227" s="1" t="n">
        <v>43335</v>
      </c>
      <c r="C227" s="1" t="n">
        <v>45260</v>
      </c>
      <c r="D227" t="inlineStr">
        <is>
          <t>VÄSTERNORRLANDS LÄN</t>
        </is>
      </c>
      <c r="E227" t="inlineStr">
        <is>
          <t>SOLLEFTEÅ</t>
        </is>
      </c>
      <c r="G227" t="n">
        <v>4.9</v>
      </c>
      <c r="H227" t="n">
        <v>0</v>
      </c>
      <c r="I227" t="n">
        <v>0</v>
      </c>
      <c r="J227" t="n">
        <v>0</v>
      </c>
      <c r="K227" t="n">
        <v>0</v>
      </c>
      <c r="L227" t="n">
        <v>0</v>
      </c>
      <c r="M227" t="n">
        <v>0</v>
      </c>
      <c r="N227" t="n">
        <v>0</v>
      </c>
      <c r="O227" t="n">
        <v>0</v>
      </c>
      <c r="P227" t="n">
        <v>0</v>
      </c>
      <c r="Q227" t="n">
        <v>0</v>
      </c>
      <c r="R227" s="2" t="inlineStr"/>
    </row>
    <row r="228" ht="15" customHeight="1">
      <c r="A228" t="inlineStr">
        <is>
          <t>A 40310-2018</t>
        </is>
      </c>
      <c r="B228" s="1" t="n">
        <v>43343</v>
      </c>
      <c r="C228" s="1" t="n">
        <v>45260</v>
      </c>
      <c r="D228" t="inlineStr">
        <is>
          <t>VÄSTERNORRLANDS LÄN</t>
        </is>
      </c>
      <c r="E228" t="inlineStr">
        <is>
          <t>SOLLEFTEÅ</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40433-2018</t>
        </is>
      </c>
      <c r="B229" s="1" t="n">
        <v>43346</v>
      </c>
      <c r="C229" s="1" t="n">
        <v>45260</v>
      </c>
      <c r="D229" t="inlineStr">
        <is>
          <t>VÄSTERNORRLANDS LÄN</t>
        </is>
      </c>
      <c r="E229" t="inlineStr">
        <is>
          <t>SOLLEFTEÅ</t>
        </is>
      </c>
      <c r="G229" t="n">
        <v>4.1</v>
      </c>
      <c r="H229" t="n">
        <v>0</v>
      </c>
      <c r="I229" t="n">
        <v>0</v>
      </c>
      <c r="J229" t="n">
        <v>0</v>
      </c>
      <c r="K229" t="n">
        <v>0</v>
      </c>
      <c r="L229" t="n">
        <v>0</v>
      </c>
      <c r="M229" t="n">
        <v>0</v>
      </c>
      <c r="N229" t="n">
        <v>0</v>
      </c>
      <c r="O229" t="n">
        <v>0</v>
      </c>
      <c r="P229" t="n">
        <v>0</v>
      </c>
      <c r="Q229" t="n">
        <v>0</v>
      </c>
      <c r="R229" s="2" t="inlineStr"/>
    </row>
    <row r="230" ht="15" customHeight="1">
      <c r="A230" t="inlineStr">
        <is>
          <t>A 40683-2018</t>
        </is>
      </c>
      <c r="B230" s="1" t="n">
        <v>43346</v>
      </c>
      <c r="C230" s="1" t="n">
        <v>45260</v>
      </c>
      <c r="D230" t="inlineStr">
        <is>
          <t>VÄSTERNORRLANDS LÄN</t>
        </is>
      </c>
      <c r="E230" t="inlineStr">
        <is>
          <t>SOLLEFTEÅ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41185-2018</t>
        </is>
      </c>
      <c r="B231" s="1" t="n">
        <v>43346</v>
      </c>
      <c r="C231" s="1" t="n">
        <v>45260</v>
      </c>
      <c r="D231" t="inlineStr">
        <is>
          <t>VÄSTERNORRLANDS LÄN</t>
        </is>
      </c>
      <c r="E231" t="inlineStr">
        <is>
          <t>SOLLEFTEÅ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41661-2018</t>
        </is>
      </c>
      <c r="B232" s="1" t="n">
        <v>43349</v>
      </c>
      <c r="C232" s="1" t="n">
        <v>45260</v>
      </c>
      <c r="D232" t="inlineStr">
        <is>
          <t>VÄSTERNORRLANDS LÄN</t>
        </is>
      </c>
      <c r="E232" t="inlineStr">
        <is>
          <t>SOLLEFTEÅ</t>
        </is>
      </c>
      <c r="G232" t="n">
        <v>0.7</v>
      </c>
      <c r="H232" t="n">
        <v>0</v>
      </c>
      <c r="I232" t="n">
        <v>0</v>
      </c>
      <c r="J232" t="n">
        <v>0</v>
      </c>
      <c r="K232" t="n">
        <v>0</v>
      </c>
      <c r="L232" t="n">
        <v>0</v>
      </c>
      <c r="M232" t="n">
        <v>0</v>
      </c>
      <c r="N232" t="n">
        <v>0</v>
      </c>
      <c r="O232" t="n">
        <v>0</v>
      </c>
      <c r="P232" t="n">
        <v>0</v>
      </c>
      <c r="Q232" t="n">
        <v>0</v>
      </c>
      <c r="R232" s="2" t="inlineStr"/>
    </row>
    <row r="233" ht="15" customHeight="1">
      <c r="A233" t="inlineStr">
        <is>
          <t>A 43215-2018</t>
        </is>
      </c>
      <c r="B233" s="1" t="n">
        <v>43353</v>
      </c>
      <c r="C233" s="1" t="n">
        <v>45260</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45786-2018</t>
        </is>
      </c>
      <c r="B234" s="1" t="n">
        <v>43362</v>
      </c>
      <c r="C234" s="1" t="n">
        <v>45260</v>
      </c>
      <c r="D234" t="inlineStr">
        <is>
          <t>VÄSTERNORRLANDS LÄN</t>
        </is>
      </c>
      <c r="E234" t="inlineStr">
        <is>
          <t>SOLLEFTEÅ</t>
        </is>
      </c>
      <c r="G234" t="n">
        <v>6.1</v>
      </c>
      <c r="H234" t="n">
        <v>0</v>
      </c>
      <c r="I234" t="n">
        <v>0</v>
      </c>
      <c r="J234" t="n">
        <v>0</v>
      </c>
      <c r="K234" t="n">
        <v>0</v>
      </c>
      <c r="L234" t="n">
        <v>0</v>
      </c>
      <c r="M234" t="n">
        <v>0</v>
      </c>
      <c r="N234" t="n">
        <v>0</v>
      </c>
      <c r="O234" t="n">
        <v>0</v>
      </c>
      <c r="P234" t="n">
        <v>0</v>
      </c>
      <c r="Q234" t="n">
        <v>0</v>
      </c>
      <c r="R234" s="2" t="inlineStr"/>
    </row>
    <row r="235" ht="15" customHeight="1">
      <c r="A235" t="inlineStr">
        <is>
          <t>A 50423-2018</t>
        </is>
      </c>
      <c r="B235" s="1" t="n">
        <v>43378</v>
      </c>
      <c r="C235" s="1" t="n">
        <v>45260</v>
      </c>
      <c r="D235" t="inlineStr">
        <is>
          <t>VÄSTERNORRLANDS LÄN</t>
        </is>
      </c>
      <c r="E235" t="inlineStr">
        <is>
          <t>SOLLEFTEÅ</t>
        </is>
      </c>
      <c r="F235" t="inlineStr">
        <is>
          <t>SCA</t>
        </is>
      </c>
      <c r="G235" t="n">
        <v>6.4</v>
      </c>
      <c r="H235" t="n">
        <v>0</v>
      </c>
      <c r="I235" t="n">
        <v>0</v>
      </c>
      <c r="J235" t="n">
        <v>0</v>
      </c>
      <c r="K235" t="n">
        <v>0</v>
      </c>
      <c r="L235" t="n">
        <v>0</v>
      </c>
      <c r="M235" t="n">
        <v>0</v>
      </c>
      <c r="N235" t="n">
        <v>0</v>
      </c>
      <c r="O235" t="n">
        <v>0</v>
      </c>
      <c r="P235" t="n">
        <v>0</v>
      </c>
      <c r="Q235" t="n">
        <v>0</v>
      </c>
      <c r="R235" s="2" t="inlineStr"/>
    </row>
    <row r="236" ht="15" customHeight="1">
      <c r="A236" t="inlineStr">
        <is>
          <t>A 50996-2018</t>
        </is>
      </c>
      <c r="B236" s="1" t="n">
        <v>43378</v>
      </c>
      <c r="C236" s="1" t="n">
        <v>45260</v>
      </c>
      <c r="D236" t="inlineStr">
        <is>
          <t>VÄSTERNORRLANDS LÄN</t>
        </is>
      </c>
      <c r="E236" t="inlineStr">
        <is>
          <t>SOLLEFTEÅ</t>
        </is>
      </c>
      <c r="G236" t="n">
        <v>2.5</v>
      </c>
      <c r="H236" t="n">
        <v>0</v>
      </c>
      <c r="I236" t="n">
        <v>0</v>
      </c>
      <c r="J236" t="n">
        <v>0</v>
      </c>
      <c r="K236" t="n">
        <v>0</v>
      </c>
      <c r="L236" t="n">
        <v>0</v>
      </c>
      <c r="M236" t="n">
        <v>0</v>
      </c>
      <c r="N236" t="n">
        <v>0</v>
      </c>
      <c r="O236" t="n">
        <v>0</v>
      </c>
      <c r="P236" t="n">
        <v>0</v>
      </c>
      <c r="Q236" t="n">
        <v>0</v>
      </c>
      <c r="R236" s="2" t="inlineStr"/>
    </row>
    <row r="237" ht="15" customHeight="1">
      <c r="A237" t="inlineStr">
        <is>
          <t>A 52458-2018</t>
        </is>
      </c>
      <c r="B237" s="1" t="n">
        <v>43383</v>
      </c>
      <c r="C237" s="1" t="n">
        <v>45260</v>
      </c>
      <c r="D237" t="inlineStr">
        <is>
          <t>VÄSTERNORRLANDS LÄN</t>
        </is>
      </c>
      <c r="E237" t="inlineStr">
        <is>
          <t>SOLLEFTEÅ</t>
        </is>
      </c>
      <c r="G237" t="n">
        <v>7.6</v>
      </c>
      <c r="H237" t="n">
        <v>0</v>
      </c>
      <c r="I237" t="n">
        <v>0</v>
      </c>
      <c r="J237" t="n">
        <v>0</v>
      </c>
      <c r="K237" t="n">
        <v>0</v>
      </c>
      <c r="L237" t="n">
        <v>0</v>
      </c>
      <c r="M237" t="n">
        <v>0</v>
      </c>
      <c r="N237" t="n">
        <v>0</v>
      </c>
      <c r="O237" t="n">
        <v>0</v>
      </c>
      <c r="P237" t="n">
        <v>0</v>
      </c>
      <c r="Q237" t="n">
        <v>0</v>
      </c>
      <c r="R237" s="2" t="inlineStr"/>
    </row>
    <row r="238" ht="15" customHeight="1">
      <c r="A238" t="inlineStr">
        <is>
          <t>A 52745-2018</t>
        </is>
      </c>
      <c r="B238" s="1" t="n">
        <v>43384</v>
      </c>
      <c r="C238" s="1" t="n">
        <v>45260</v>
      </c>
      <c r="D238" t="inlineStr">
        <is>
          <t>VÄSTERNORRLANDS LÄN</t>
        </is>
      </c>
      <c r="E238" t="inlineStr">
        <is>
          <t>SOLLEFTEÅ</t>
        </is>
      </c>
      <c r="G238" t="n">
        <v>4.7</v>
      </c>
      <c r="H238" t="n">
        <v>0</v>
      </c>
      <c r="I238" t="n">
        <v>0</v>
      </c>
      <c r="J238" t="n">
        <v>0</v>
      </c>
      <c r="K238" t="n">
        <v>0</v>
      </c>
      <c r="L238" t="n">
        <v>0</v>
      </c>
      <c r="M238" t="n">
        <v>0</v>
      </c>
      <c r="N238" t="n">
        <v>0</v>
      </c>
      <c r="O238" t="n">
        <v>0</v>
      </c>
      <c r="P238" t="n">
        <v>0</v>
      </c>
      <c r="Q238" t="n">
        <v>0</v>
      </c>
      <c r="R238" s="2" t="inlineStr"/>
    </row>
    <row r="239" ht="15" customHeight="1">
      <c r="A239" t="inlineStr">
        <is>
          <t>A 53595-2018</t>
        </is>
      </c>
      <c r="B239" s="1" t="n">
        <v>43388</v>
      </c>
      <c r="C239" s="1" t="n">
        <v>45260</v>
      </c>
      <c r="D239" t="inlineStr">
        <is>
          <t>VÄSTERNORRLANDS LÄN</t>
        </is>
      </c>
      <c r="E239" t="inlineStr">
        <is>
          <t>SOLLEFTEÅ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54076-2018</t>
        </is>
      </c>
      <c r="B240" s="1" t="n">
        <v>43388</v>
      </c>
      <c r="C240" s="1" t="n">
        <v>45260</v>
      </c>
      <c r="D240" t="inlineStr">
        <is>
          <t>VÄSTERNORRLANDS LÄN</t>
        </is>
      </c>
      <c r="E240" t="inlineStr">
        <is>
          <t>SOLLEFTEÅ</t>
        </is>
      </c>
      <c r="G240" t="n">
        <v>1.1</v>
      </c>
      <c r="H240" t="n">
        <v>0</v>
      </c>
      <c r="I240" t="n">
        <v>0</v>
      </c>
      <c r="J240" t="n">
        <v>0</v>
      </c>
      <c r="K240" t="n">
        <v>0</v>
      </c>
      <c r="L240" t="n">
        <v>0</v>
      </c>
      <c r="M240" t="n">
        <v>0</v>
      </c>
      <c r="N240" t="n">
        <v>0</v>
      </c>
      <c r="O240" t="n">
        <v>0</v>
      </c>
      <c r="P240" t="n">
        <v>0</v>
      </c>
      <c r="Q240" t="n">
        <v>0</v>
      </c>
      <c r="R240" s="2" t="inlineStr"/>
    </row>
    <row r="241" ht="15" customHeight="1">
      <c r="A241" t="inlineStr">
        <is>
          <t>A 56189-2018</t>
        </is>
      </c>
      <c r="B241" s="1" t="n">
        <v>43389</v>
      </c>
      <c r="C241" s="1" t="n">
        <v>45260</v>
      </c>
      <c r="D241" t="inlineStr">
        <is>
          <t>VÄSTERNORRLANDS LÄN</t>
        </is>
      </c>
      <c r="E241" t="inlineStr">
        <is>
          <t>SOLLEFTEÅ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54667-2018</t>
        </is>
      </c>
      <c r="B242" s="1" t="n">
        <v>43389</v>
      </c>
      <c r="C242" s="1" t="n">
        <v>45260</v>
      </c>
      <c r="D242" t="inlineStr">
        <is>
          <t>VÄSTERNORRLANDS LÄN</t>
        </is>
      </c>
      <c r="E242" t="inlineStr">
        <is>
          <t>SOLLEFTEÅ</t>
        </is>
      </c>
      <c r="G242" t="n">
        <v>1.8</v>
      </c>
      <c r="H242" t="n">
        <v>0</v>
      </c>
      <c r="I242" t="n">
        <v>0</v>
      </c>
      <c r="J242" t="n">
        <v>0</v>
      </c>
      <c r="K242" t="n">
        <v>0</v>
      </c>
      <c r="L242" t="n">
        <v>0</v>
      </c>
      <c r="M242" t="n">
        <v>0</v>
      </c>
      <c r="N242" t="n">
        <v>0</v>
      </c>
      <c r="O242" t="n">
        <v>0</v>
      </c>
      <c r="P242" t="n">
        <v>0</v>
      </c>
      <c r="Q242" t="n">
        <v>0</v>
      </c>
      <c r="R242" s="2" t="inlineStr"/>
    </row>
    <row r="243" ht="15" customHeight="1">
      <c r="A243" t="inlineStr">
        <is>
          <t>A 53746-2018</t>
        </is>
      </c>
      <c r="B243" s="1" t="n">
        <v>43391</v>
      </c>
      <c r="C243" s="1" t="n">
        <v>45260</v>
      </c>
      <c r="D243" t="inlineStr">
        <is>
          <t>VÄSTERNORRLANDS LÄN</t>
        </is>
      </c>
      <c r="E243" t="inlineStr">
        <is>
          <t>SOLLEFTEÅ</t>
        </is>
      </c>
      <c r="G243" t="n">
        <v>1</v>
      </c>
      <c r="H243" t="n">
        <v>0</v>
      </c>
      <c r="I243" t="n">
        <v>0</v>
      </c>
      <c r="J243" t="n">
        <v>0</v>
      </c>
      <c r="K243" t="n">
        <v>0</v>
      </c>
      <c r="L243" t="n">
        <v>0</v>
      </c>
      <c r="M243" t="n">
        <v>0</v>
      </c>
      <c r="N243" t="n">
        <v>0</v>
      </c>
      <c r="O243" t="n">
        <v>0</v>
      </c>
      <c r="P243" t="n">
        <v>0</v>
      </c>
      <c r="Q243" t="n">
        <v>0</v>
      </c>
      <c r="R243" s="2" t="inlineStr"/>
    </row>
    <row r="244" ht="15" customHeight="1">
      <c r="A244" t="inlineStr">
        <is>
          <t>A 54226-2018</t>
        </is>
      </c>
      <c r="B244" s="1" t="n">
        <v>43392</v>
      </c>
      <c r="C244" s="1" t="n">
        <v>45260</v>
      </c>
      <c r="D244" t="inlineStr">
        <is>
          <t>VÄSTERNORRLANDS LÄN</t>
        </is>
      </c>
      <c r="E244" t="inlineStr">
        <is>
          <t>SOLLEFTEÅ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55996-2018</t>
        </is>
      </c>
      <c r="B245" s="1" t="n">
        <v>43392</v>
      </c>
      <c r="C245" s="1" t="n">
        <v>45260</v>
      </c>
      <c r="D245" t="inlineStr">
        <is>
          <t>VÄSTERNORRLANDS LÄN</t>
        </is>
      </c>
      <c r="E245" t="inlineStr">
        <is>
          <t>SOLLEFTEÅ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56610-2018</t>
        </is>
      </c>
      <c r="B246" s="1" t="n">
        <v>43395</v>
      </c>
      <c r="C246" s="1" t="n">
        <v>45260</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56666-2018</t>
        </is>
      </c>
      <c r="B247" s="1" t="n">
        <v>43395</v>
      </c>
      <c r="C247" s="1" t="n">
        <v>45260</v>
      </c>
      <c r="D247" t="inlineStr">
        <is>
          <t>VÄSTERNORRLANDS LÄN</t>
        </is>
      </c>
      <c r="E247" t="inlineStr">
        <is>
          <t>SOLLEFTEÅ</t>
        </is>
      </c>
      <c r="G247" t="n">
        <v>6</v>
      </c>
      <c r="H247" t="n">
        <v>0</v>
      </c>
      <c r="I247" t="n">
        <v>0</v>
      </c>
      <c r="J247" t="n">
        <v>0</v>
      </c>
      <c r="K247" t="n">
        <v>0</v>
      </c>
      <c r="L247" t="n">
        <v>0</v>
      </c>
      <c r="M247" t="n">
        <v>0</v>
      </c>
      <c r="N247" t="n">
        <v>0</v>
      </c>
      <c r="O247" t="n">
        <v>0</v>
      </c>
      <c r="P247" t="n">
        <v>0</v>
      </c>
      <c r="Q247" t="n">
        <v>0</v>
      </c>
      <c r="R247" s="2" t="inlineStr"/>
    </row>
    <row r="248" ht="15" customHeight="1">
      <c r="A248" t="inlineStr">
        <is>
          <t>A 56629-2018</t>
        </is>
      </c>
      <c r="B248" s="1" t="n">
        <v>43395</v>
      </c>
      <c r="C248" s="1" t="n">
        <v>45260</v>
      </c>
      <c r="D248" t="inlineStr">
        <is>
          <t>VÄSTERNORRLANDS LÄN</t>
        </is>
      </c>
      <c r="E248" t="inlineStr">
        <is>
          <t>SOLLEFTEÅ</t>
        </is>
      </c>
      <c r="G248" t="n">
        <v>10.6</v>
      </c>
      <c r="H248" t="n">
        <v>0</v>
      </c>
      <c r="I248" t="n">
        <v>0</v>
      </c>
      <c r="J248" t="n">
        <v>0</v>
      </c>
      <c r="K248" t="n">
        <v>0</v>
      </c>
      <c r="L248" t="n">
        <v>0</v>
      </c>
      <c r="M248" t="n">
        <v>0</v>
      </c>
      <c r="N248" t="n">
        <v>0</v>
      </c>
      <c r="O248" t="n">
        <v>0</v>
      </c>
      <c r="P248" t="n">
        <v>0</v>
      </c>
      <c r="Q248" t="n">
        <v>0</v>
      </c>
      <c r="R248" s="2" t="inlineStr"/>
    </row>
    <row r="249" ht="15" customHeight="1">
      <c r="A249" t="inlineStr">
        <is>
          <t>A 56139-2018</t>
        </is>
      </c>
      <c r="B249" s="1" t="n">
        <v>43398</v>
      </c>
      <c r="C249" s="1" t="n">
        <v>45260</v>
      </c>
      <c r="D249" t="inlineStr">
        <is>
          <t>VÄSTERNORRLANDS LÄN</t>
        </is>
      </c>
      <c r="E249" t="inlineStr">
        <is>
          <t>SOLLEFTEÅ</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58020-2018</t>
        </is>
      </c>
      <c r="B250" s="1" t="n">
        <v>43398</v>
      </c>
      <c r="C250" s="1" t="n">
        <v>45260</v>
      </c>
      <c r="D250" t="inlineStr">
        <is>
          <t>VÄSTERNORRLANDS LÄN</t>
        </is>
      </c>
      <c r="E250" t="inlineStr">
        <is>
          <t>SOLLEFTEÅ</t>
        </is>
      </c>
      <c r="G250" t="n">
        <v>6.5</v>
      </c>
      <c r="H250" t="n">
        <v>0</v>
      </c>
      <c r="I250" t="n">
        <v>0</v>
      </c>
      <c r="J250" t="n">
        <v>0</v>
      </c>
      <c r="K250" t="n">
        <v>0</v>
      </c>
      <c r="L250" t="n">
        <v>0</v>
      </c>
      <c r="M250" t="n">
        <v>0</v>
      </c>
      <c r="N250" t="n">
        <v>0</v>
      </c>
      <c r="O250" t="n">
        <v>0</v>
      </c>
      <c r="P250" t="n">
        <v>0</v>
      </c>
      <c r="Q250" t="n">
        <v>0</v>
      </c>
      <c r="R250" s="2" t="inlineStr"/>
    </row>
    <row r="251" ht="15" customHeight="1">
      <c r="A251" t="inlineStr">
        <is>
          <t>A 58397-2018</t>
        </is>
      </c>
      <c r="B251" s="1" t="n">
        <v>43399</v>
      </c>
      <c r="C251" s="1" t="n">
        <v>45260</v>
      </c>
      <c r="D251" t="inlineStr">
        <is>
          <t>VÄSTERNORRLANDS LÄN</t>
        </is>
      </c>
      <c r="E251" t="inlineStr">
        <is>
          <t>SOLLEFTEÅ</t>
        </is>
      </c>
      <c r="G251" t="n">
        <v>1</v>
      </c>
      <c r="H251" t="n">
        <v>0</v>
      </c>
      <c r="I251" t="n">
        <v>0</v>
      </c>
      <c r="J251" t="n">
        <v>0</v>
      </c>
      <c r="K251" t="n">
        <v>0</v>
      </c>
      <c r="L251" t="n">
        <v>0</v>
      </c>
      <c r="M251" t="n">
        <v>0</v>
      </c>
      <c r="N251" t="n">
        <v>0</v>
      </c>
      <c r="O251" t="n">
        <v>0</v>
      </c>
      <c r="P251" t="n">
        <v>0</v>
      </c>
      <c r="Q251" t="n">
        <v>0</v>
      </c>
      <c r="R251" s="2" t="inlineStr"/>
    </row>
    <row r="252" ht="15" customHeight="1">
      <c r="A252" t="inlineStr">
        <is>
          <t>A 56500-2018</t>
        </is>
      </c>
      <c r="B252" s="1" t="n">
        <v>43399</v>
      </c>
      <c r="C252" s="1" t="n">
        <v>45260</v>
      </c>
      <c r="D252" t="inlineStr">
        <is>
          <t>VÄSTERNORRLANDS LÄN</t>
        </is>
      </c>
      <c r="E252" t="inlineStr">
        <is>
          <t>SOLLEFTEÅ</t>
        </is>
      </c>
      <c r="F252" t="inlineStr">
        <is>
          <t>SCA</t>
        </is>
      </c>
      <c r="G252" t="n">
        <v>6.7</v>
      </c>
      <c r="H252" t="n">
        <v>0</v>
      </c>
      <c r="I252" t="n">
        <v>0</v>
      </c>
      <c r="J252" t="n">
        <v>0</v>
      </c>
      <c r="K252" t="n">
        <v>0</v>
      </c>
      <c r="L252" t="n">
        <v>0</v>
      </c>
      <c r="M252" t="n">
        <v>0</v>
      </c>
      <c r="N252" t="n">
        <v>0</v>
      </c>
      <c r="O252" t="n">
        <v>0</v>
      </c>
      <c r="P252" t="n">
        <v>0</v>
      </c>
      <c r="Q252" t="n">
        <v>0</v>
      </c>
      <c r="R252" s="2" t="inlineStr"/>
    </row>
    <row r="253" ht="15" customHeight="1">
      <c r="A253" t="inlineStr">
        <is>
          <t>A 59371-2018</t>
        </is>
      </c>
      <c r="B253" s="1" t="n">
        <v>43404</v>
      </c>
      <c r="C253" s="1" t="n">
        <v>45260</v>
      </c>
      <c r="D253" t="inlineStr">
        <is>
          <t>VÄSTERNORRLANDS LÄN</t>
        </is>
      </c>
      <c r="E253" t="inlineStr">
        <is>
          <t>SOLLEFTEÅ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57954-2018</t>
        </is>
      </c>
      <c r="B254" s="1" t="n">
        <v>43405</v>
      </c>
      <c r="C254" s="1" t="n">
        <v>45260</v>
      </c>
      <c r="D254" t="inlineStr">
        <is>
          <t>VÄSTERNORRLANDS LÄN</t>
        </is>
      </c>
      <c r="E254" t="inlineStr">
        <is>
          <t>SOLLEFTEÅ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57747-2018</t>
        </is>
      </c>
      <c r="B255" s="1" t="n">
        <v>43405</v>
      </c>
      <c r="C255" s="1" t="n">
        <v>45260</v>
      </c>
      <c r="D255" t="inlineStr">
        <is>
          <t>VÄSTERNORRLANDS LÄN</t>
        </is>
      </c>
      <c r="E255" t="inlineStr">
        <is>
          <t>SOLLEFTEÅ</t>
        </is>
      </c>
      <c r="G255" t="n">
        <v>2.4</v>
      </c>
      <c r="H255" t="n">
        <v>0</v>
      </c>
      <c r="I255" t="n">
        <v>0</v>
      </c>
      <c r="J255" t="n">
        <v>0</v>
      </c>
      <c r="K255" t="n">
        <v>0</v>
      </c>
      <c r="L255" t="n">
        <v>0</v>
      </c>
      <c r="M255" t="n">
        <v>0</v>
      </c>
      <c r="N255" t="n">
        <v>0</v>
      </c>
      <c r="O255" t="n">
        <v>0</v>
      </c>
      <c r="P255" t="n">
        <v>0</v>
      </c>
      <c r="Q255" t="n">
        <v>0</v>
      </c>
      <c r="R255" s="2" t="inlineStr"/>
    </row>
    <row r="256" ht="15" customHeight="1">
      <c r="A256" t="inlineStr">
        <is>
          <t>A 57956-2018</t>
        </is>
      </c>
      <c r="B256" s="1" t="n">
        <v>43405</v>
      </c>
      <c r="C256" s="1" t="n">
        <v>45260</v>
      </c>
      <c r="D256" t="inlineStr">
        <is>
          <t>VÄSTERNORRLANDS LÄN</t>
        </is>
      </c>
      <c r="E256" t="inlineStr">
        <is>
          <t>SOLLEFTEÅ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60057-2018</t>
        </is>
      </c>
      <c r="B257" s="1" t="n">
        <v>43412</v>
      </c>
      <c r="C257" s="1" t="n">
        <v>45260</v>
      </c>
      <c r="D257" t="inlineStr">
        <is>
          <t>VÄSTERNORRLANDS LÄN</t>
        </is>
      </c>
      <c r="E257" t="inlineStr">
        <is>
          <t>SOLLEFTEÅ</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60206-2018</t>
        </is>
      </c>
      <c r="B258" s="1" t="n">
        <v>43412</v>
      </c>
      <c r="C258" s="1" t="n">
        <v>45260</v>
      </c>
      <c r="D258" t="inlineStr">
        <is>
          <t>VÄSTERNORRLANDS LÄN</t>
        </is>
      </c>
      <c r="E258" t="inlineStr">
        <is>
          <t>SOLLEFTEÅ</t>
        </is>
      </c>
      <c r="G258" t="n">
        <v>0.6</v>
      </c>
      <c r="H258" t="n">
        <v>0</v>
      </c>
      <c r="I258" t="n">
        <v>0</v>
      </c>
      <c r="J258" t="n">
        <v>0</v>
      </c>
      <c r="K258" t="n">
        <v>0</v>
      </c>
      <c r="L258" t="n">
        <v>0</v>
      </c>
      <c r="M258" t="n">
        <v>0</v>
      </c>
      <c r="N258" t="n">
        <v>0</v>
      </c>
      <c r="O258" t="n">
        <v>0</v>
      </c>
      <c r="P258" t="n">
        <v>0</v>
      </c>
      <c r="Q258" t="n">
        <v>0</v>
      </c>
      <c r="R258" s="2" t="inlineStr"/>
    </row>
    <row r="259" ht="15" customHeight="1">
      <c r="A259" t="inlineStr">
        <is>
          <t>A 62604-2018</t>
        </is>
      </c>
      <c r="B259" s="1" t="n">
        <v>43416</v>
      </c>
      <c r="C259" s="1" t="n">
        <v>45260</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62571-2018</t>
        </is>
      </c>
      <c r="B260" s="1" t="n">
        <v>43416</v>
      </c>
      <c r="C260" s="1" t="n">
        <v>45260</v>
      </c>
      <c r="D260" t="inlineStr">
        <is>
          <t>VÄSTERNORRLANDS LÄN</t>
        </is>
      </c>
      <c r="E260" t="inlineStr">
        <is>
          <t>SOLLEFTEÅ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59894-2018</t>
        </is>
      </c>
      <c r="B261" s="1" t="n">
        <v>43419</v>
      </c>
      <c r="C261" s="1" t="n">
        <v>45260</v>
      </c>
      <c r="D261" t="inlineStr">
        <is>
          <t>VÄSTERNORRLANDS LÄN</t>
        </is>
      </c>
      <c r="E261" t="inlineStr">
        <is>
          <t>SOLLEFTEÅ</t>
        </is>
      </c>
      <c r="F261" t="inlineStr">
        <is>
          <t>SCA</t>
        </is>
      </c>
      <c r="G261" t="n">
        <v>0.3</v>
      </c>
      <c r="H261" t="n">
        <v>0</v>
      </c>
      <c r="I261" t="n">
        <v>0</v>
      </c>
      <c r="J261" t="n">
        <v>0</v>
      </c>
      <c r="K261" t="n">
        <v>0</v>
      </c>
      <c r="L261" t="n">
        <v>0</v>
      </c>
      <c r="M261" t="n">
        <v>0</v>
      </c>
      <c r="N261" t="n">
        <v>0</v>
      </c>
      <c r="O261" t="n">
        <v>0</v>
      </c>
      <c r="P261" t="n">
        <v>0</v>
      </c>
      <c r="Q261" t="n">
        <v>0</v>
      </c>
      <c r="R261" s="2" t="inlineStr"/>
    </row>
    <row r="262" ht="15" customHeight="1">
      <c r="A262" t="inlineStr">
        <is>
          <t>A 59621-2018</t>
        </is>
      </c>
      <c r="B262" s="1" t="n">
        <v>43419</v>
      </c>
      <c r="C262" s="1" t="n">
        <v>45260</v>
      </c>
      <c r="D262" t="inlineStr">
        <is>
          <t>VÄSTERNORRLANDS LÄN</t>
        </is>
      </c>
      <c r="E262" t="inlineStr">
        <is>
          <t>SOLLEFTEÅ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59615-2018</t>
        </is>
      </c>
      <c r="B263" s="1" t="n">
        <v>43419</v>
      </c>
      <c r="C263" s="1" t="n">
        <v>45260</v>
      </c>
      <c r="D263" t="inlineStr">
        <is>
          <t>VÄSTERNORRLANDS LÄN</t>
        </is>
      </c>
      <c r="E263" t="inlineStr">
        <is>
          <t>SOLLEFTEÅ</t>
        </is>
      </c>
      <c r="G263" t="n">
        <v>2</v>
      </c>
      <c r="H263" t="n">
        <v>0</v>
      </c>
      <c r="I263" t="n">
        <v>0</v>
      </c>
      <c r="J263" t="n">
        <v>0</v>
      </c>
      <c r="K263" t="n">
        <v>0</v>
      </c>
      <c r="L263" t="n">
        <v>0</v>
      </c>
      <c r="M263" t="n">
        <v>0</v>
      </c>
      <c r="N263" t="n">
        <v>0</v>
      </c>
      <c r="O263" t="n">
        <v>0</v>
      </c>
      <c r="P263" t="n">
        <v>0</v>
      </c>
      <c r="Q263" t="n">
        <v>0</v>
      </c>
      <c r="R263" s="2" t="inlineStr"/>
    </row>
    <row r="264" ht="15" customHeight="1">
      <c r="A264" t="inlineStr">
        <is>
          <t>A 60505-2018</t>
        </is>
      </c>
      <c r="B264" s="1" t="n">
        <v>43420</v>
      </c>
      <c r="C264" s="1" t="n">
        <v>45260</v>
      </c>
      <c r="D264" t="inlineStr">
        <is>
          <t>VÄSTERNORRLANDS LÄN</t>
        </is>
      </c>
      <c r="E264" t="inlineStr">
        <is>
          <t>SOLLEFTEÅ</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60507-2018</t>
        </is>
      </c>
      <c r="B265" s="1" t="n">
        <v>43420</v>
      </c>
      <c r="C265" s="1" t="n">
        <v>45260</v>
      </c>
      <c r="D265" t="inlineStr">
        <is>
          <t>VÄSTERNORRLANDS LÄN</t>
        </is>
      </c>
      <c r="E265" t="inlineStr">
        <is>
          <t>SOLLEFTEÅ</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65627-2018</t>
        </is>
      </c>
      <c r="B266" s="1" t="n">
        <v>43425</v>
      </c>
      <c r="C266" s="1" t="n">
        <v>45260</v>
      </c>
      <c r="D266" t="inlineStr">
        <is>
          <t>VÄSTERNORRLANDS LÄN</t>
        </is>
      </c>
      <c r="E266" t="inlineStr">
        <is>
          <t>SOLLEFTEÅ</t>
        </is>
      </c>
      <c r="G266" t="n">
        <v>8.5</v>
      </c>
      <c r="H266" t="n">
        <v>0</v>
      </c>
      <c r="I266" t="n">
        <v>0</v>
      </c>
      <c r="J266" t="n">
        <v>0</v>
      </c>
      <c r="K266" t="n">
        <v>0</v>
      </c>
      <c r="L266" t="n">
        <v>0</v>
      </c>
      <c r="M266" t="n">
        <v>0</v>
      </c>
      <c r="N266" t="n">
        <v>0</v>
      </c>
      <c r="O266" t="n">
        <v>0</v>
      </c>
      <c r="P266" t="n">
        <v>0</v>
      </c>
      <c r="Q266" t="n">
        <v>0</v>
      </c>
      <c r="R266" s="2" t="inlineStr"/>
    </row>
    <row r="267" ht="15" customHeight="1">
      <c r="A267" t="inlineStr">
        <is>
          <t>A 66224-2018</t>
        </is>
      </c>
      <c r="B267" s="1" t="n">
        <v>43426</v>
      </c>
      <c r="C267" s="1" t="n">
        <v>45260</v>
      </c>
      <c r="D267" t="inlineStr">
        <is>
          <t>VÄSTERNORRLANDS LÄN</t>
        </is>
      </c>
      <c r="E267" t="inlineStr">
        <is>
          <t>SOLLEFTEÅ</t>
        </is>
      </c>
      <c r="G267" t="n">
        <v>1.5</v>
      </c>
      <c r="H267" t="n">
        <v>0</v>
      </c>
      <c r="I267" t="n">
        <v>0</v>
      </c>
      <c r="J267" t="n">
        <v>0</v>
      </c>
      <c r="K267" t="n">
        <v>0</v>
      </c>
      <c r="L267" t="n">
        <v>0</v>
      </c>
      <c r="M267" t="n">
        <v>0</v>
      </c>
      <c r="N267" t="n">
        <v>0</v>
      </c>
      <c r="O267" t="n">
        <v>0</v>
      </c>
      <c r="P267" t="n">
        <v>0</v>
      </c>
      <c r="Q267" t="n">
        <v>0</v>
      </c>
      <c r="R267" s="2" t="inlineStr"/>
    </row>
    <row r="268" ht="15" customHeight="1">
      <c r="A268" t="inlineStr">
        <is>
          <t>A 63618-2018</t>
        </is>
      </c>
      <c r="B268" s="1" t="n">
        <v>43427</v>
      </c>
      <c r="C268" s="1" t="n">
        <v>45260</v>
      </c>
      <c r="D268" t="inlineStr">
        <is>
          <t>VÄSTERNORRLANDS LÄN</t>
        </is>
      </c>
      <c r="E268" t="inlineStr">
        <is>
          <t>SOLLEFTEÅ</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63664-2018</t>
        </is>
      </c>
      <c r="B269" s="1" t="n">
        <v>43427</v>
      </c>
      <c r="C269" s="1" t="n">
        <v>45260</v>
      </c>
      <c r="D269" t="inlineStr">
        <is>
          <t>VÄSTERNORRLANDS LÄN</t>
        </is>
      </c>
      <c r="E269" t="inlineStr">
        <is>
          <t>SOLLEFTEÅ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63391-2018</t>
        </is>
      </c>
      <c r="B270" s="1" t="n">
        <v>43427</v>
      </c>
      <c r="C270" s="1" t="n">
        <v>45260</v>
      </c>
      <c r="D270" t="inlineStr">
        <is>
          <t>VÄSTERNORRLANDS LÄN</t>
        </is>
      </c>
      <c r="E270" t="inlineStr">
        <is>
          <t>SOLLEFTEÅ</t>
        </is>
      </c>
      <c r="G270" t="n">
        <v>9</v>
      </c>
      <c r="H270" t="n">
        <v>0</v>
      </c>
      <c r="I270" t="n">
        <v>0</v>
      </c>
      <c r="J270" t="n">
        <v>0</v>
      </c>
      <c r="K270" t="n">
        <v>0</v>
      </c>
      <c r="L270" t="n">
        <v>0</v>
      </c>
      <c r="M270" t="n">
        <v>0</v>
      </c>
      <c r="N270" t="n">
        <v>0</v>
      </c>
      <c r="O270" t="n">
        <v>0</v>
      </c>
      <c r="P270" t="n">
        <v>0</v>
      </c>
      <c r="Q270" t="n">
        <v>0</v>
      </c>
      <c r="R270" s="2" t="inlineStr"/>
    </row>
    <row r="271" ht="15" customHeight="1">
      <c r="A271" t="inlineStr">
        <is>
          <t>A 64084-2018</t>
        </is>
      </c>
      <c r="B271" s="1" t="n">
        <v>43430</v>
      </c>
      <c r="C271" s="1" t="n">
        <v>45260</v>
      </c>
      <c r="D271" t="inlineStr">
        <is>
          <t>VÄSTERNORRLANDS LÄN</t>
        </is>
      </c>
      <c r="E271" t="inlineStr">
        <is>
          <t>SOLLEFTEÅ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67309-2018</t>
        </is>
      </c>
      <c r="B272" s="1" t="n">
        <v>43432</v>
      </c>
      <c r="C272" s="1" t="n">
        <v>45260</v>
      </c>
      <c r="D272" t="inlineStr">
        <is>
          <t>VÄSTERNORRLANDS LÄN</t>
        </is>
      </c>
      <c r="E272" t="inlineStr">
        <is>
          <t>SOLLEFTEÅ</t>
        </is>
      </c>
      <c r="G272" t="n">
        <v>4.1</v>
      </c>
      <c r="H272" t="n">
        <v>0</v>
      </c>
      <c r="I272" t="n">
        <v>0</v>
      </c>
      <c r="J272" t="n">
        <v>0</v>
      </c>
      <c r="K272" t="n">
        <v>0</v>
      </c>
      <c r="L272" t="n">
        <v>0</v>
      </c>
      <c r="M272" t="n">
        <v>0</v>
      </c>
      <c r="N272" t="n">
        <v>0</v>
      </c>
      <c r="O272" t="n">
        <v>0</v>
      </c>
      <c r="P272" t="n">
        <v>0</v>
      </c>
      <c r="Q272" t="n">
        <v>0</v>
      </c>
      <c r="R272" s="2" t="inlineStr"/>
    </row>
    <row r="273" ht="15" customHeight="1">
      <c r="A273" t="inlineStr">
        <is>
          <t>A 67325-2018</t>
        </is>
      </c>
      <c r="B273" s="1" t="n">
        <v>43432</v>
      </c>
      <c r="C273" s="1" t="n">
        <v>45260</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66193-2018</t>
        </is>
      </c>
      <c r="B274" s="1" t="n">
        <v>43434</v>
      </c>
      <c r="C274" s="1" t="n">
        <v>45260</v>
      </c>
      <c r="D274" t="inlineStr">
        <is>
          <t>VÄSTERNORRLANDS LÄN</t>
        </is>
      </c>
      <c r="E274" t="inlineStr">
        <is>
          <t>SOLLEFTEÅ</t>
        </is>
      </c>
      <c r="F274" t="inlineStr">
        <is>
          <t>SCA</t>
        </is>
      </c>
      <c r="G274" t="n">
        <v>9.5</v>
      </c>
      <c r="H274" t="n">
        <v>0</v>
      </c>
      <c r="I274" t="n">
        <v>0</v>
      </c>
      <c r="J274" t="n">
        <v>0</v>
      </c>
      <c r="K274" t="n">
        <v>0</v>
      </c>
      <c r="L274" t="n">
        <v>0</v>
      </c>
      <c r="M274" t="n">
        <v>0</v>
      </c>
      <c r="N274" t="n">
        <v>0</v>
      </c>
      <c r="O274" t="n">
        <v>0</v>
      </c>
      <c r="P274" t="n">
        <v>0</v>
      </c>
      <c r="Q274" t="n">
        <v>0</v>
      </c>
      <c r="R274" s="2" t="inlineStr"/>
    </row>
    <row r="275" ht="15" customHeight="1">
      <c r="A275" t="inlineStr">
        <is>
          <t>A 66449-2018</t>
        </is>
      </c>
      <c r="B275" s="1" t="n">
        <v>43437</v>
      </c>
      <c r="C275" s="1" t="n">
        <v>45260</v>
      </c>
      <c r="D275" t="inlineStr">
        <is>
          <t>VÄSTERNORRLANDS LÄN</t>
        </is>
      </c>
      <c r="E275" t="inlineStr">
        <is>
          <t>SOLLEFTEÅ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68205-2018</t>
        </is>
      </c>
      <c r="B276" s="1" t="n">
        <v>43437</v>
      </c>
      <c r="C276" s="1" t="n">
        <v>45260</v>
      </c>
      <c r="D276" t="inlineStr">
        <is>
          <t>VÄSTERNORRLANDS LÄN</t>
        </is>
      </c>
      <c r="E276" t="inlineStr">
        <is>
          <t>SOLLEFTEÅ</t>
        </is>
      </c>
      <c r="G276" t="n">
        <v>7</v>
      </c>
      <c r="H276" t="n">
        <v>0</v>
      </c>
      <c r="I276" t="n">
        <v>0</v>
      </c>
      <c r="J276" t="n">
        <v>0</v>
      </c>
      <c r="K276" t="n">
        <v>0</v>
      </c>
      <c r="L276" t="n">
        <v>0</v>
      </c>
      <c r="M276" t="n">
        <v>0</v>
      </c>
      <c r="N276" t="n">
        <v>0</v>
      </c>
      <c r="O276" t="n">
        <v>0</v>
      </c>
      <c r="P276" t="n">
        <v>0</v>
      </c>
      <c r="Q276" t="n">
        <v>0</v>
      </c>
      <c r="R276" s="2" t="inlineStr"/>
    </row>
    <row r="277" ht="15" customHeight="1">
      <c r="A277" t="inlineStr">
        <is>
          <t>A 68153-2018</t>
        </is>
      </c>
      <c r="B277" s="1" t="n">
        <v>43437</v>
      </c>
      <c r="C277" s="1" t="n">
        <v>45260</v>
      </c>
      <c r="D277" t="inlineStr">
        <is>
          <t>VÄSTERNORRLANDS LÄN</t>
        </is>
      </c>
      <c r="E277" t="inlineStr">
        <is>
          <t>SOLLEFTEÅ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66761-2018</t>
        </is>
      </c>
      <c r="B278" s="1" t="n">
        <v>43437</v>
      </c>
      <c r="C278" s="1" t="n">
        <v>45260</v>
      </c>
      <c r="D278" t="inlineStr">
        <is>
          <t>VÄSTERNORRLANDS LÄN</t>
        </is>
      </c>
      <c r="E278" t="inlineStr">
        <is>
          <t>SOLLEFTEÅ</t>
        </is>
      </c>
      <c r="F278" t="inlineStr">
        <is>
          <t>Holmen skog AB</t>
        </is>
      </c>
      <c r="G278" t="n">
        <v>10.3</v>
      </c>
      <c r="H278" t="n">
        <v>0</v>
      </c>
      <c r="I278" t="n">
        <v>0</v>
      </c>
      <c r="J278" t="n">
        <v>0</v>
      </c>
      <c r="K278" t="n">
        <v>0</v>
      </c>
      <c r="L278" t="n">
        <v>0</v>
      </c>
      <c r="M278" t="n">
        <v>0</v>
      </c>
      <c r="N278" t="n">
        <v>0</v>
      </c>
      <c r="O278" t="n">
        <v>0</v>
      </c>
      <c r="P278" t="n">
        <v>0</v>
      </c>
      <c r="Q278" t="n">
        <v>0</v>
      </c>
      <c r="R278" s="2" t="inlineStr"/>
    </row>
    <row r="279" ht="15" customHeight="1">
      <c r="A279" t="inlineStr">
        <is>
          <t>A 68195-2018</t>
        </is>
      </c>
      <c r="B279" s="1" t="n">
        <v>43437</v>
      </c>
      <c r="C279" s="1" t="n">
        <v>45260</v>
      </c>
      <c r="D279" t="inlineStr">
        <is>
          <t>VÄSTERNORRLANDS LÄN</t>
        </is>
      </c>
      <c r="E279" t="inlineStr">
        <is>
          <t>SOLLEFTEÅ</t>
        </is>
      </c>
      <c r="G279" t="n">
        <v>6.5</v>
      </c>
      <c r="H279" t="n">
        <v>0</v>
      </c>
      <c r="I279" t="n">
        <v>0</v>
      </c>
      <c r="J279" t="n">
        <v>0</v>
      </c>
      <c r="K279" t="n">
        <v>0</v>
      </c>
      <c r="L279" t="n">
        <v>0</v>
      </c>
      <c r="M279" t="n">
        <v>0</v>
      </c>
      <c r="N279" t="n">
        <v>0</v>
      </c>
      <c r="O279" t="n">
        <v>0</v>
      </c>
      <c r="P279" t="n">
        <v>0</v>
      </c>
      <c r="Q279" t="n">
        <v>0</v>
      </c>
      <c r="R279" s="2" t="inlineStr"/>
    </row>
    <row r="280" ht="15" customHeight="1">
      <c r="A280" t="inlineStr">
        <is>
          <t>A 67572-2018</t>
        </is>
      </c>
      <c r="B280" s="1" t="n">
        <v>43439</v>
      </c>
      <c r="C280" s="1" t="n">
        <v>45260</v>
      </c>
      <c r="D280" t="inlineStr">
        <is>
          <t>VÄSTERNORRLANDS LÄN</t>
        </is>
      </c>
      <c r="E280" t="inlineStr">
        <is>
          <t>SOLLEFTEÅ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68665-2018</t>
        </is>
      </c>
      <c r="B281" s="1" t="n">
        <v>43444</v>
      </c>
      <c r="C281" s="1" t="n">
        <v>45260</v>
      </c>
      <c r="D281" t="inlineStr">
        <is>
          <t>VÄSTERNORRLANDS LÄN</t>
        </is>
      </c>
      <c r="E281" t="inlineStr">
        <is>
          <t>SOLLEFTEÅ</t>
        </is>
      </c>
      <c r="G281" t="n">
        <v>3.3</v>
      </c>
      <c r="H281" t="n">
        <v>0</v>
      </c>
      <c r="I281" t="n">
        <v>0</v>
      </c>
      <c r="J281" t="n">
        <v>0</v>
      </c>
      <c r="K281" t="n">
        <v>0</v>
      </c>
      <c r="L281" t="n">
        <v>0</v>
      </c>
      <c r="M281" t="n">
        <v>0</v>
      </c>
      <c r="N281" t="n">
        <v>0</v>
      </c>
      <c r="O281" t="n">
        <v>0</v>
      </c>
      <c r="P281" t="n">
        <v>0</v>
      </c>
      <c r="Q281" t="n">
        <v>0</v>
      </c>
      <c r="R281" s="2" t="inlineStr"/>
    </row>
    <row r="282" ht="15" customHeight="1">
      <c r="A282" t="inlineStr">
        <is>
          <t>A 70365-2018</t>
        </is>
      </c>
      <c r="B282" s="1" t="n">
        <v>43446</v>
      </c>
      <c r="C282" s="1" t="n">
        <v>45260</v>
      </c>
      <c r="D282" t="inlineStr">
        <is>
          <t>VÄSTERNORRLANDS LÄN</t>
        </is>
      </c>
      <c r="E282" t="inlineStr">
        <is>
          <t>SOLLEFTEÅ</t>
        </is>
      </c>
      <c r="G282" t="n">
        <v>9</v>
      </c>
      <c r="H282" t="n">
        <v>0</v>
      </c>
      <c r="I282" t="n">
        <v>0</v>
      </c>
      <c r="J282" t="n">
        <v>0</v>
      </c>
      <c r="K282" t="n">
        <v>0</v>
      </c>
      <c r="L282" t="n">
        <v>0</v>
      </c>
      <c r="M282" t="n">
        <v>0</v>
      </c>
      <c r="N282" t="n">
        <v>0</v>
      </c>
      <c r="O282" t="n">
        <v>0</v>
      </c>
      <c r="P282" t="n">
        <v>0</v>
      </c>
      <c r="Q282" t="n">
        <v>0</v>
      </c>
      <c r="R282" s="2" t="inlineStr"/>
    </row>
    <row r="283" ht="15" customHeight="1">
      <c r="A283" t="inlineStr">
        <is>
          <t>A 70368-2018</t>
        </is>
      </c>
      <c r="B283" s="1" t="n">
        <v>43446</v>
      </c>
      <c r="C283" s="1" t="n">
        <v>45260</v>
      </c>
      <c r="D283" t="inlineStr">
        <is>
          <t>VÄSTERNORRLANDS LÄN</t>
        </is>
      </c>
      <c r="E283" t="inlineStr">
        <is>
          <t>SOLLEFTEÅ</t>
        </is>
      </c>
      <c r="G283" t="n">
        <v>1.7</v>
      </c>
      <c r="H283" t="n">
        <v>0</v>
      </c>
      <c r="I283" t="n">
        <v>0</v>
      </c>
      <c r="J283" t="n">
        <v>0</v>
      </c>
      <c r="K283" t="n">
        <v>0</v>
      </c>
      <c r="L283" t="n">
        <v>0</v>
      </c>
      <c r="M283" t="n">
        <v>0</v>
      </c>
      <c r="N283" t="n">
        <v>0</v>
      </c>
      <c r="O283" t="n">
        <v>0</v>
      </c>
      <c r="P283" t="n">
        <v>0</v>
      </c>
      <c r="Q283" t="n">
        <v>0</v>
      </c>
      <c r="R283" s="2" t="inlineStr"/>
    </row>
    <row r="284" ht="15" customHeight="1">
      <c r="A284" t="inlineStr">
        <is>
          <t>A 70581-2018</t>
        </is>
      </c>
      <c r="B284" s="1" t="n">
        <v>43447</v>
      </c>
      <c r="C284" s="1" t="n">
        <v>45260</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69970-2018</t>
        </is>
      </c>
      <c r="B285" s="1" t="n">
        <v>43447</v>
      </c>
      <c r="C285" s="1" t="n">
        <v>45260</v>
      </c>
      <c r="D285" t="inlineStr">
        <is>
          <t>VÄSTERNORRLANDS LÄN</t>
        </is>
      </c>
      <c r="E285" t="inlineStr">
        <is>
          <t>SOLLEFTEÅ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70429-2018</t>
        </is>
      </c>
      <c r="B286" s="1" t="n">
        <v>43451</v>
      </c>
      <c r="C286" s="1" t="n">
        <v>45260</v>
      </c>
      <c r="D286" t="inlineStr">
        <is>
          <t>VÄSTERNORRLANDS LÄN</t>
        </is>
      </c>
      <c r="E286" t="inlineStr">
        <is>
          <t>SOLLEFTEÅ</t>
        </is>
      </c>
      <c r="G286" t="n">
        <v>4</v>
      </c>
      <c r="H286" t="n">
        <v>0</v>
      </c>
      <c r="I286" t="n">
        <v>0</v>
      </c>
      <c r="J286" t="n">
        <v>0</v>
      </c>
      <c r="K286" t="n">
        <v>0</v>
      </c>
      <c r="L286" t="n">
        <v>0</v>
      </c>
      <c r="M286" t="n">
        <v>0</v>
      </c>
      <c r="N286" t="n">
        <v>0</v>
      </c>
      <c r="O286" t="n">
        <v>0</v>
      </c>
      <c r="P286" t="n">
        <v>0</v>
      </c>
      <c r="Q286" t="n">
        <v>0</v>
      </c>
      <c r="R286" s="2" t="inlineStr"/>
    </row>
    <row r="287" ht="15" customHeight="1">
      <c r="A287" t="inlineStr">
        <is>
          <t>A 71366-2018</t>
        </is>
      </c>
      <c r="B287" s="1" t="n">
        <v>43453</v>
      </c>
      <c r="C287" s="1" t="n">
        <v>45260</v>
      </c>
      <c r="D287" t="inlineStr">
        <is>
          <t>VÄSTERNORRLANDS LÄN</t>
        </is>
      </c>
      <c r="E287" t="inlineStr">
        <is>
          <t>SOLLEFTEÅ</t>
        </is>
      </c>
      <c r="G287" t="n">
        <v>11.7</v>
      </c>
      <c r="H287" t="n">
        <v>0</v>
      </c>
      <c r="I287" t="n">
        <v>0</v>
      </c>
      <c r="J287" t="n">
        <v>0</v>
      </c>
      <c r="K287" t="n">
        <v>0</v>
      </c>
      <c r="L287" t="n">
        <v>0</v>
      </c>
      <c r="M287" t="n">
        <v>0</v>
      </c>
      <c r="N287" t="n">
        <v>0</v>
      </c>
      <c r="O287" t="n">
        <v>0</v>
      </c>
      <c r="P287" t="n">
        <v>0</v>
      </c>
      <c r="Q287" t="n">
        <v>0</v>
      </c>
      <c r="R287" s="2" t="inlineStr"/>
    </row>
    <row r="288" ht="15" customHeight="1">
      <c r="A288" t="inlineStr">
        <is>
          <t>A 71359-2018</t>
        </is>
      </c>
      <c r="B288" s="1" t="n">
        <v>43453</v>
      </c>
      <c r="C288" s="1" t="n">
        <v>45260</v>
      </c>
      <c r="D288" t="inlineStr">
        <is>
          <t>VÄSTERNORRLANDS LÄN</t>
        </is>
      </c>
      <c r="E288" t="inlineStr">
        <is>
          <t>SOLLEFTEÅ</t>
        </is>
      </c>
      <c r="G288" t="n">
        <v>13.6</v>
      </c>
      <c r="H288" t="n">
        <v>0</v>
      </c>
      <c r="I288" t="n">
        <v>0</v>
      </c>
      <c r="J288" t="n">
        <v>0</v>
      </c>
      <c r="K288" t="n">
        <v>0</v>
      </c>
      <c r="L288" t="n">
        <v>0</v>
      </c>
      <c r="M288" t="n">
        <v>0</v>
      </c>
      <c r="N288" t="n">
        <v>0</v>
      </c>
      <c r="O288" t="n">
        <v>0</v>
      </c>
      <c r="P288" t="n">
        <v>0</v>
      </c>
      <c r="Q288" t="n">
        <v>0</v>
      </c>
      <c r="R288" s="2" t="inlineStr"/>
    </row>
    <row r="289" ht="15" customHeight="1">
      <c r="A289" t="inlineStr">
        <is>
          <t>A 71384-2018</t>
        </is>
      </c>
      <c r="B289" s="1" t="n">
        <v>43453</v>
      </c>
      <c r="C289" s="1" t="n">
        <v>45260</v>
      </c>
      <c r="D289" t="inlineStr">
        <is>
          <t>VÄSTERNORRLANDS LÄN</t>
        </is>
      </c>
      <c r="E289" t="inlineStr">
        <is>
          <t>SOLLEFTEÅ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71419-2018</t>
        </is>
      </c>
      <c r="B290" s="1" t="n">
        <v>43453</v>
      </c>
      <c r="C290" s="1" t="n">
        <v>45260</v>
      </c>
      <c r="D290" t="inlineStr">
        <is>
          <t>VÄSTERNORRLANDS LÄN</t>
        </is>
      </c>
      <c r="E290" t="inlineStr">
        <is>
          <t>SOLLEFTEÅ</t>
        </is>
      </c>
      <c r="G290" t="n">
        <v>1.1</v>
      </c>
      <c r="H290" t="n">
        <v>0</v>
      </c>
      <c r="I290" t="n">
        <v>0</v>
      </c>
      <c r="J290" t="n">
        <v>0</v>
      </c>
      <c r="K290" t="n">
        <v>0</v>
      </c>
      <c r="L290" t="n">
        <v>0</v>
      </c>
      <c r="M290" t="n">
        <v>0</v>
      </c>
      <c r="N290" t="n">
        <v>0</v>
      </c>
      <c r="O290" t="n">
        <v>0</v>
      </c>
      <c r="P290" t="n">
        <v>0</v>
      </c>
      <c r="Q290" t="n">
        <v>0</v>
      </c>
      <c r="R290" s="2" t="inlineStr"/>
    </row>
    <row r="291" ht="15" customHeight="1">
      <c r="A291" t="inlineStr">
        <is>
          <t>A 71868-2018</t>
        </is>
      </c>
      <c r="B291" s="1" t="n">
        <v>43454</v>
      </c>
      <c r="C291" s="1" t="n">
        <v>45260</v>
      </c>
      <c r="D291" t="inlineStr">
        <is>
          <t>VÄSTERNORRLANDS LÄN</t>
        </is>
      </c>
      <c r="E291" t="inlineStr">
        <is>
          <t>SOLLEFTEÅ</t>
        </is>
      </c>
      <c r="G291" t="n">
        <v>2</v>
      </c>
      <c r="H291" t="n">
        <v>0</v>
      </c>
      <c r="I291" t="n">
        <v>0</v>
      </c>
      <c r="J291" t="n">
        <v>0</v>
      </c>
      <c r="K291" t="n">
        <v>0</v>
      </c>
      <c r="L291" t="n">
        <v>0</v>
      </c>
      <c r="M291" t="n">
        <v>0</v>
      </c>
      <c r="N291" t="n">
        <v>0</v>
      </c>
      <c r="O291" t="n">
        <v>0</v>
      </c>
      <c r="P291" t="n">
        <v>0</v>
      </c>
      <c r="Q291" t="n">
        <v>0</v>
      </c>
      <c r="R291" s="2" t="inlineStr"/>
    </row>
    <row r="292" ht="15" customHeight="1">
      <c r="A292" t="inlineStr">
        <is>
          <t>A 71866-2018</t>
        </is>
      </c>
      <c r="B292" s="1" t="n">
        <v>43454</v>
      </c>
      <c r="C292" s="1" t="n">
        <v>45260</v>
      </c>
      <c r="D292" t="inlineStr">
        <is>
          <t>VÄSTERNORRLANDS LÄN</t>
        </is>
      </c>
      <c r="E292" t="inlineStr">
        <is>
          <t>SOLLEFTEÅ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72286-2018</t>
        </is>
      </c>
      <c r="B293" s="1" t="n">
        <v>43455</v>
      </c>
      <c r="C293" s="1" t="n">
        <v>45260</v>
      </c>
      <c r="D293" t="inlineStr">
        <is>
          <t>VÄSTERNORRLANDS LÄN</t>
        </is>
      </c>
      <c r="E293" t="inlineStr">
        <is>
          <t>SOLLEFTEÅ</t>
        </is>
      </c>
      <c r="G293" t="n">
        <v>2.6</v>
      </c>
      <c r="H293" t="n">
        <v>0</v>
      </c>
      <c r="I293" t="n">
        <v>0</v>
      </c>
      <c r="J293" t="n">
        <v>0</v>
      </c>
      <c r="K293" t="n">
        <v>0</v>
      </c>
      <c r="L293" t="n">
        <v>0</v>
      </c>
      <c r="M293" t="n">
        <v>0</v>
      </c>
      <c r="N293" t="n">
        <v>0</v>
      </c>
      <c r="O293" t="n">
        <v>0</v>
      </c>
      <c r="P293" t="n">
        <v>0</v>
      </c>
      <c r="Q293" t="n">
        <v>0</v>
      </c>
      <c r="R293" s="2" t="inlineStr"/>
    </row>
    <row r="294" ht="15" customHeight="1">
      <c r="A294" t="inlineStr">
        <is>
          <t>A 72483-2018</t>
        </is>
      </c>
      <c r="B294" s="1" t="n">
        <v>43461</v>
      </c>
      <c r="C294" s="1" t="n">
        <v>45260</v>
      </c>
      <c r="D294" t="inlineStr">
        <is>
          <t>VÄSTERNORRLANDS LÄN</t>
        </is>
      </c>
      <c r="E294" t="inlineStr">
        <is>
          <t>SOLLEFTEÅ</t>
        </is>
      </c>
      <c r="F294" t="inlineStr">
        <is>
          <t>SCA</t>
        </is>
      </c>
      <c r="G294" t="n">
        <v>9</v>
      </c>
      <c r="H294" t="n">
        <v>0</v>
      </c>
      <c r="I294" t="n">
        <v>0</v>
      </c>
      <c r="J294" t="n">
        <v>0</v>
      </c>
      <c r="K294" t="n">
        <v>0</v>
      </c>
      <c r="L294" t="n">
        <v>0</v>
      </c>
      <c r="M294" t="n">
        <v>0</v>
      </c>
      <c r="N294" t="n">
        <v>0</v>
      </c>
      <c r="O294" t="n">
        <v>0</v>
      </c>
      <c r="P294" t="n">
        <v>0</v>
      </c>
      <c r="Q294" t="n">
        <v>0</v>
      </c>
      <c r="R294" s="2" t="inlineStr"/>
    </row>
    <row r="295" ht="15" customHeight="1">
      <c r="A295" t="inlineStr">
        <is>
          <t>A 2421-2019</t>
        </is>
      </c>
      <c r="B295" s="1" t="n">
        <v>43468</v>
      </c>
      <c r="C295" s="1" t="n">
        <v>45260</v>
      </c>
      <c r="D295" t="inlineStr">
        <is>
          <t>VÄSTERNORRLANDS LÄN</t>
        </is>
      </c>
      <c r="E295" t="inlineStr">
        <is>
          <t>SOLLEFTEÅ</t>
        </is>
      </c>
      <c r="G295" t="n">
        <v>6.7</v>
      </c>
      <c r="H295" t="n">
        <v>0</v>
      </c>
      <c r="I295" t="n">
        <v>0</v>
      </c>
      <c r="J295" t="n">
        <v>0</v>
      </c>
      <c r="K295" t="n">
        <v>0</v>
      </c>
      <c r="L295" t="n">
        <v>0</v>
      </c>
      <c r="M295" t="n">
        <v>0</v>
      </c>
      <c r="N295" t="n">
        <v>0</v>
      </c>
      <c r="O295" t="n">
        <v>0</v>
      </c>
      <c r="P295" t="n">
        <v>0</v>
      </c>
      <c r="Q295" t="n">
        <v>0</v>
      </c>
      <c r="R295" s="2" t="inlineStr"/>
    </row>
    <row r="296" ht="15" customHeight="1">
      <c r="A296" t="inlineStr">
        <is>
          <t>A 543-2019</t>
        </is>
      </c>
      <c r="B296" s="1" t="n">
        <v>43469</v>
      </c>
      <c r="C296" s="1" t="n">
        <v>45260</v>
      </c>
      <c r="D296" t="inlineStr">
        <is>
          <t>VÄSTERNORRLANDS LÄN</t>
        </is>
      </c>
      <c r="E296" t="inlineStr">
        <is>
          <t>SOLLEFTEÅ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552-2019</t>
        </is>
      </c>
      <c r="B297" s="1" t="n">
        <v>43469</v>
      </c>
      <c r="C297" s="1" t="n">
        <v>45260</v>
      </c>
      <c r="D297" t="inlineStr">
        <is>
          <t>VÄSTERNORRLANDS LÄN</t>
        </is>
      </c>
      <c r="E297" t="inlineStr">
        <is>
          <t>SOLLEFTEÅ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565-2019</t>
        </is>
      </c>
      <c r="B298" s="1" t="n">
        <v>43469</v>
      </c>
      <c r="C298" s="1" t="n">
        <v>45260</v>
      </c>
      <c r="D298" t="inlineStr">
        <is>
          <t>VÄSTERNORRLANDS LÄN</t>
        </is>
      </c>
      <c r="E298" t="inlineStr">
        <is>
          <t>SOLLEFTEÅ</t>
        </is>
      </c>
      <c r="G298" t="n">
        <v>7</v>
      </c>
      <c r="H298" t="n">
        <v>0</v>
      </c>
      <c r="I298" t="n">
        <v>0</v>
      </c>
      <c r="J298" t="n">
        <v>0</v>
      </c>
      <c r="K298" t="n">
        <v>0</v>
      </c>
      <c r="L298" t="n">
        <v>0</v>
      </c>
      <c r="M298" t="n">
        <v>0</v>
      </c>
      <c r="N298" t="n">
        <v>0</v>
      </c>
      <c r="O298" t="n">
        <v>0</v>
      </c>
      <c r="P298" t="n">
        <v>0</v>
      </c>
      <c r="Q298" t="n">
        <v>0</v>
      </c>
      <c r="R298" s="2" t="inlineStr"/>
    </row>
    <row r="299" ht="15" customHeight="1">
      <c r="A299" t="inlineStr">
        <is>
          <t>A 3110-2019</t>
        </is>
      </c>
      <c r="B299" s="1" t="n">
        <v>43479</v>
      </c>
      <c r="C299" s="1" t="n">
        <v>45260</v>
      </c>
      <c r="D299" t="inlineStr">
        <is>
          <t>VÄSTERNORRLANDS LÄN</t>
        </is>
      </c>
      <c r="E299" t="inlineStr">
        <is>
          <t>SOLLEFTEÅ</t>
        </is>
      </c>
      <c r="G299" t="n">
        <v>3.5</v>
      </c>
      <c r="H299" t="n">
        <v>0</v>
      </c>
      <c r="I299" t="n">
        <v>0</v>
      </c>
      <c r="J299" t="n">
        <v>0</v>
      </c>
      <c r="K299" t="n">
        <v>0</v>
      </c>
      <c r="L299" t="n">
        <v>0</v>
      </c>
      <c r="M299" t="n">
        <v>0</v>
      </c>
      <c r="N299" t="n">
        <v>0</v>
      </c>
      <c r="O299" t="n">
        <v>0</v>
      </c>
      <c r="P299" t="n">
        <v>0</v>
      </c>
      <c r="Q299" t="n">
        <v>0</v>
      </c>
      <c r="R299" s="2" t="inlineStr"/>
    </row>
    <row r="300" ht="15" customHeight="1">
      <c r="A300" t="inlineStr">
        <is>
          <t>A 4336-2019</t>
        </is>
      </c>
      <c r="B300" s="1" t="n">
        <v>43479</v>
      </c>
      <c r="C300" s="1" t="n">
        <v>45260</v>
      </c>
      <c r="D300" t="inlineStr">
        <is>
          <t>VÄSTERNORRLANDS LÄN</t>
        </is>
      </c>
      <c r="E300" t="inlineStr">
        <is>
          <t>SOLLEFTEÅ</t>
        </is>
      </c>
      <c r="G300" t="n">
        <v>1.3</v>
      </c>
      <c r="H300" t="n">
        <v>0</v>
      </c>
      <c r="I300" t="n">
        <v>0</v>
      </c>
      <c r="J300" t="n">
        <v>0</v>
      </c>
      <c r="K300" t="n">
        <v>0</v>
      </c>
      <c r="L300" t="n">
        <v>0</v>
      </c>
      <c r="M300" t="n">
        <v>0</v>
      </c>
      <c r="N300" t="n">
        <v>0</v>
      </c>
      <c r="O300" t="n">
        <v>0</v>
      </c>
      <c r="P300" t="n">
        <v>0</v>
      </c>
      <c r="Q300" t="n">
        <v>0</v>
      </c>
      <c r="R300" s="2" t="inlineStr"/>
    </row>
    <row r="301" ht="15" customHeight="1">
      <c r="A301" t="inlineStr">
        <is>
          <t>A 3162-2019</t>
        </is>
      </c>
      <c r="B301" s="1" t="n">
        <v>43480</v>
      </c>
      <c r="C301" s="1" t="n">
        <v>45260</v>
      </c>
      <c r="D301" t="inlineStr">
        <is>
          <t>VÄSTERNORRLANDS LÄN</t>
        </is>
      </c>
      <c r="E301" t="inlineStr">
        <is>
          <t>SOLLEFTEÅ</t>
        </is>
      </c>
      <c r="G301" t="n">
        <v>3.9</v>
      </c>
      <c r="H301" t="n">
        <v>0</v>
      </c>
      <c r="I301" t="n">
        <v>0</v>
      </c>
      <c r="J301" t="n">
        <v>0</v>
      </c>
      <c r="K301" t="n">
        <v>0</v>
      </c>
      <c r="L301" t="n">
        <v>0</v>
      </c>
      <c r="M301" t="n">
        <v>0</v>
      </c>
      <c r="N301" t="n">
        <v>0</v>
      </c>
      <c r="O301" t="n">
        <v>0</v>
      </c>
      <c r="P301" t="n">
        <v>0</v>
      </c>
      <c r="Q301" t="n">
        <v>0</v>
      </c>
      <c r="R301" s="2" t="inlineStr"/>
    </row>
    <row r="302" ht="15" customHeight="1">
      <c r="A302" t="inlineStr">
        <is>
          <t>A 3157-2019</t>
        </is>
      </c>
      <c r="B302" s="1" t="n">
        <v>43480</v>
      </c>
      <c r="C302" s="1" t="n">
        <v>45260</v>
      </c>
      <c r="D302" t="inlineStr">
        <is>
          <t>VÄSTERNORRLANDS LÄN</t>
        </is>
      </c>
      <c r="E302" t="inlineStr">
        <is>
          <t>SOLLEFTEÅ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5065-2019</t>
        </is>
      </c>
      <c r="B303" s="1" t="n">
        <v>43480</v>
      </c>
      <c r="C303" s="1" t="n">
        <v>45260</v>
      </c>
      <c r="D303" t="inlineStr">
        <is>
          <t>VÄSTERNORRLANDS LÄN</t>
        </is>
      </c>
      <c r="E303" t="inlineStr">
        <is>
          <t>SOLLEFTEÅ</t>
        </is>
      </c>
      <c r="G303" t="n">
        <v>3</v>
      </c>
      <c r="H303" t="n">
        <v>0</v>
      </c>
      <c r="I303" t="n">
        <v>0</v>
      </c>
      <c r="J303" t="n">
        <v>0</v>
      </c>
      <c r="K303" t="n">
        <v>0</v>
      </c>
      <c r="L303" t="n">
        <v>0</v>
      </c>
      <c r="M303" t="n">
        <v>0</v>
      </c>
      <c r="N303" t="n">
        <v>0</v>
      </c>
      <c r="O303" t="n">
        <v>0</v>
      </c>
      <c r="P303" t="n">
        <v>0</v>
      </c>
      <c r="Q303" t="n">
        <v>0</v>
      </c>
      <c r="R303" s="2" t="inlineStr"/>
    </row>
    <row r="304" ht="15" customHeight="1">
      <c r="A304" t="inlineStr">
        <is>
          <t>A 3781-2019</t>
        </is>
      </c>
      <c r="B304" s="1" t="n">
        <v>43481</v>
      </c>
      <c r="C304" s="1" t="n">
        <v>45260</v>
      </c>
      <c r="D304" t="inlineStr">
        <is>
          <t>VÄSTERNORRLANDS LÄN</t>
        </is>
      </c>
      <c r="E304" t="inlineStr">
        <is>
          <t>SOLLEFTEÅ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5193-2019</t>
        </is>
      </c>
      <c r="B305" s="1" t="n">
        <v>43481</v>
      </c>
      <c r="C305" s="1" t="n">
        <v>45260</v>
      </c>
      <c r="D305" t="inlineStr">
        <is>
          <t>VÄSTERNORRLANDS LÄN</t>
        </is>
      </c>
      <c r="E305" t="inlineStr">
        <is>
          <t>SOLLEFTEÅ</t>
        </is>
      </c>
      <c r="G305" t="n">
        <v>11.3</v>
      </c>
      <c r="H305" t="n">
        <v>0</v>
      </c>
      <c r="I305" t="n">
        <v>0</v>
      </c>
      <c r="J305" t="n">
        <v>0</v>
      </c>
      <c r="K305" t="n">
        <v>0</v>
      </c>
      <c r="L305" t="n">
        <v>0</v>
      </c>
      <c r="M305" t="n">
        <v>0</v>
      </c>
      <c r="N305" t="n">
        <v>0</v>
      </c>
      <c r="O305" t="n">
        <v>0</v>
      </c>
      <c r="P305" t="n">
        <v>0</v>
      </c>
      <c r="Q305" t="n">
        <v>0</v>
      </c>
      <c r="R305" s="2" t="inlineStr"/>
    </row>
    <row r="306" ht="15" customHeight="1">
      <c r="A306" t="inlineStr">
        <is>
          <t>A 3780-2019</t>
        </is>
      </c>
      <c r="B306" s="1" t="n">
        <v>43481</v>
      </c>
      <c r="C306" s="1" t="n">
        <v>45260</v>
      </c>
      <c r="D306" t="inlineStr">
        <is>
          <t>VÄSTERNORRLANDS LÄN</t>
        </is>
      </c>
      <c r="E306" t="inlineStr">
        <is>
          <t>SOLLEFTEÅ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3952-2019</t>
        </is>
      </c>
      <c r="B307" s="1" t="n">
        <v>43482</v>
      </c>
      <c r="C307" s="1" t="n">
        <v>45260</v>
      </c>
      <c r="D307" t="inlineStr">
        <is>
          <t>VÄSTERNORRLANDS LÄN</t>
        </is>
      </c>
      <c r="E307" t="inlineStr">
        <is>
          <t>SOLLEFTEÅ</t>
        </is>
      </c>
      <c r="G307" t="n">
        <v>4</v>
      </c>
      <c r="H307" t="n">
        <v>0</v>
      </c>
      <c r="I307" t="n">
        <v>0</v>
      </c>
      <c r="J307" t="n">
        <v>0</v>
      </c>
      <c r="K307" t="n">
        <v>0</v>
      </c>
      <c r="L307" t="n">
        <v>0</v>
      </c>
      <c r="M307" t="n">
        <v>0</v>
      </c>
      <c r="N307" t="n">
        <v>0</v>
      </c>
      <c r="O307" t="n">
        <v>0</v>
      </c>
      <c r="P307" t="n">
        <v>0</v>
      </c>
      <c r="Q307" t="n">
        <v>0</v>
      </c>
      <c r="R307" s="2" t="inlineStr"/>
    </row>
    <row r="308" ht="15" customHeight="1">
      <c r="A308" t="inlineStr">
        <is>
          <t>A 5050-2019</t>
        </is>
      </c>
      <c r="B308" s="1" t="n">
        <v>43487</v>
      </c>
      <c r="C308" s="1" t="n">
        <v>45260</v>
      </c>
      <c r="D308" t="inlineStr">
        <is>
          <t>VÄSTERNORRLANDS LÄN</t>
        </is>
      </c>
      <c r="E308" t="inlineStr">
        <is>
          <t>SOLLEFTEÅ</t>
        </is>
      </c>
      <c r="F308" t="inlineStr">
        <is>
          <t>Kyrkan</t>
        </is>
      </c>
      <c r="G308" t="n">
        <v>17.3</v>
      </c>
      <c r="H308" t="n">
        <v>0</v>
      </c>
      <c r="I308" t="n">
        <v>0</v>
      </c>
      <c r="J308" t="n">
        <v>0</v>
      </c>
      <c r="K308" t="n">
        <v>0</v>
      </c>
      <c r="L308" t="n">
        <v>0</v>
      </c>
      <c r="M308" t="n">
        <v>0</v>
      </c>
      <c r="N308" t="n">
        <v>0</v>
      </c>
      <c r="O308" t="n">
        <v>0</v>
      </c>
      <c r="P308" t="n">
        <v>0</v>
      </c>
      <c r="Q308" t="n">
        <v>0</v>
      </c>
      <c r="R308" s="2" t="inlineStr"/>
    </row>
    <row r="309" ht="15" customHeight="1">
      <c r="A309" t="inlineStr">
        <is>
          <t>A 7159-2019</t>
        </is>
      </c>
      <c r="B309" s="1" t="n">
        <v>43489</v>
      </c>
      <c r="C309" s="1" t="n">
        <v>45260</v>
      </c>
      <c r="D309" t="inlineStr">
        <is>
          <t>VÄSTERNORRLANDS LÄN</t>
        </is>
      </c>
      <c r="E309" t="inlineStr">
        <is>
          <t>SOLLEFTEÅ</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5923-2019</t>
        </is>
      </c>
      <c r="B310" s="1" t="n">
        <v>43490</v>
      </c>
      <c r="C310" s="1" t="n">
        <v>45260</v>
      </c>
      <c r="D310" t="inlineStr">
        <is>
          <t>VÄSTERNORRLANDS LÄN</t>
        </is>
      </c>
      <c r="E310" t="inlineStr">
        <is>
          <t>SOLLEFTEÅ</t>
        </is>
      </c>
      <c r="G310" t="n">
        <v>6.8</v>
      </c>
      <c r="H310" t="n">
        <v>0</v>
      </c>
      <c r="I310" t="n">
        <v>0</v>
      </c>
      <c r="J310" t="n">
        <v>0</v>
      </c>
      <c r="K310" t="n">
        <v>0</v>
      </c>
      <c r="L310" t="n">
        <v>0</v>
      </c>
      <c r="M310" t="n">
        <v>0</v>
      </c>
      <c r="N310" t="n">
        <v>0</v>
      </c>
      <c r="O310" t="n">
        <v>0</v>
      </c>
      <c r="P310" t="n">
        <v>0</v>
      </c>
      <c r="Q310" t="n">
        <v>0</v>
      </c>
      <c r="R310" s="2" t="inlineStr"/>
    </row>
    <row r="311" ht="15" customHeight="1">
      <c r="A311" t="inlineStr">
        <is>
          <t>A 7792-2019</t>
        </is>
      </c>
      <c r="B311" s="1" t="n">
        <v>43494</v>
      </c>
      <c r="C311" s="1" t="n">
        <v>45260</v>
      </c>
      <c r="D311" t="inlineStr">
        <is>
          <t>VÄSTERNORRLANDS LÄN</t>
        </is>
      </c>
      <c r="E311" t="inlineStr">
        <is>
          <t>SOLLEFTEÅ</t>
        </is>
      </c>
      <c r="G311" t="n">
        <v>2.5</v>
      </c>
      <c r="H311" t="n">
        <v>0</v>
      </c>
      <c r="I311" t="n">
        <v>0</v>
      </c>
      <c r="J311" t="n">
        <v>0</v>
      </c>
      <c r="K311" t="n">
        <v>0</v>
      </c>
      <c r="L311" t="n">
        <v>0</v>
      </c>
      <c r="M311" t="n">
        <v>0</v>
      </c>
      <c r="N311" t="n">
        <v>0</v>
      </c>
      <c r="O311" t="n">
        <v>0</v>
      </c>
      <c r="P311" t="n">
        <v>0</v>
      </c>
      <c r="Q311" t="n">
        <v>0</v>
      </c>
      <c r="R311" s="2" t="inlineStr"/>
    </row>
    <row r="312" ht="15" customHeight="1">
      <c r="A312" t="inlineStr">
        <is>
          <t>A 7878-2019</t>
        </is>
      </c>
      <c r="B312" s="1" t="n">
        <v>43500</v>
      </c>
      <c r="C312" s="1" t="n">
        <v>45260</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8020-2019</t>
        </is>
      </c>
      <c r="B313" s="1" t="n">
        <v>43501</v>
      </c>
      <c r="C313" s="1" t="n">
        <v>45260</v>
      </c>
      <c r="D313" t="inlineStr">
        <is>
          <t>VÄSTERNORRLANDS LÄN</t>
        </is>
      </c>
      <c r="E313" t="inlineStr">
        <is>
          <t>SOLLEFTEÅ</t>
        </is>
      </c>
      <c r="G313" t="n">
        <v>9</v>
      </c>
      <c r="H313" t="n">
        <v>0</v>
      </c>
      <c r="I313" t="n">
        <v>0</v>
      </c>
      <c r="J313" t="n">
        <v>0</v>
      </c>
      <c r="K313" t="n">
        <v>0</v>
      </c>
      <c r="L313" t="n">
        <v>0</v>
      </c>
      <c r="M313" t="n">
        <v>0</v>
      </c>
      <c r="N313" t="n">
        <v>0</v>
      </c>
      <c r="O313" t="n">
        <v>0</v>
      </c>
      <c r="P313" t="n">
        <v>0</v>
      </c>
      <c r="Q313" t="n">
        <v>0</v>
      </c>
      <c r="R313" s="2" t="inlineStr"/>
    </row>
    <row r="314" ht="15" customHeight="1">
      <c r="A314" t="inlineStr">
        <is>
          <t>A 7970-2019</t>
        </is>
      </c>
      <c r="B314" s="1" t="n">
        <v>43501</v>
      </c>
      <c r="C314" s="1" t="n">
        <v>45260</v>
      </c>
      <c r="D314" t="inlineStr">
        <is>
          <t>VÄSTERNORRLANDS LÄN</t>
        </is>
      </c>
      <c r="E314" t="inlineStr">
        <is>
          <t>SOLLEFTEÅ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9051-2019</t>
        </is>
      </c>
      <c r="B315" s="1" t="n">
        <v>43504</v>
      </c>
      <c r="C315" s="1" t="n">
        <v>45260</v>
      </c>
      <c r="D315" t="inlineStr">
        <is>
          <t>VÄSTERNORRLANDS LÄN</t>
        </is>
      </c>
      <c r="E315" t="inlineStr">
        <is>
          <t>SOLLEFTEÅ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9521-2019</t>
        </is>
      </c>
      <c r="B316" s="1" t="n">
        <v>43507</v>
      </c>
      <c r="C316" s="1" t="n">
        <v>45260</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9519-2019</t>
        </is>
      </c>
      <c r="B317" s="1" t="n">
        <v>43507</v>
      </c>
      <c r="C317" s="1" t="n">
        <v>45260</v>
      </c>
      <c r="D317" t="inlineStr">
        <is>
          <t>VÄSTERNORRLANDS LÄN</t>
        </is>
      </c>
      <c r="E317" t="inlineStr">
        <is>
          <t>SOLLEFTEÅ</t>
        </is>
      </c>
      <c r="G317" t="n">
        <v>0.8</v>
      </c>
      <c r="H317" t="n">
        <v>0</v>
      </c>
      <c r="I317" t="n">
        <v>0</v>
      </c>
      <c r="J317" t="n">
        <v>0</v>
      </c>
      <c r="K317" t="n">
        <v>0</v>
      </c>
      <c r="L317" t="n">
        <v>0</v>
      </c>
      <c r="M317" t="n">
        <v>0</v>
      </c>
      <c r="N317" t="n">
        <v>0</v>
      </c>
      <c r="O317" t="n">
        <v>0</v>
      </c>
      <c r="P317" t="n">
        <v>0</v>
      </c>
      <c r="Q317" t="n">
        <v>0</v>
      </c>
      <c r="R317" s="2" t="inlineStr"/>
    </row>
    <row r="318" ht="15" customHeight="1">
      <c r="A318" t="inlineStr">
        <is>
          <t>A 9367-2019</t>
        </is>
      </c>
      <c r="B318" s="1" t="n">
        <v>43507</v>
      </c>
      <c r="C318" s="1" t="n">
        <v>45260</v>
      </c>
      <c r="D318" t="inlineStr">
        <is>
          <t>VÄSTERNORRLANDS LÄN</t>
        </is>
      </c>
      <c r="E318" t="inlineStr">
        <is>
          <t>SOLLEFTEÅ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9610-2019</t>
        </is>
      </c>
      <c r="B319" s="1" t="n">
        <v>43508</v>
      </c>
      <c r="C319" s="1" t="n">
        <v>45260</v>
      </c>
      <c r="D319" t="inlineStr">
        <is>
          <t>VÄSTERNORRLANDS LÄN</t>
        </is>
      </c>
      <c r="E319" t="inlineStr">
        <is>
          <t>SOLLEFTEÅ</t>
        </is>
      </c>
      <c r="G319" t="n">
        <v>7.7</v>
      </c>
      <c r="H319" t="n">
        <v>0</v>
      </c>
      <c r="I319" t="n">
        <v>0</v>
      </c>
      <c r="J319" t="n">
        <v>0</v>
      </c>
      <c r="K319" t="n">
        <v>0</v>
      </c>
      <c r="L319" t="n">
        <v>0</v>
      </c>
      <c r="M319" t="n">
        <v>0</v>
      </c>
      <c r="N319" t="n">
        <v>0</v>
      </c>
      <c r="O319" t="n">
        <v>0</v>
      </c>
      <c r="P319" t="n">
        <v>0</v>
      </c>
      <c r="Q319" t="n">
        <v>0</v>
      </c>
      <c r="R319" s="2" t="inlineStr"/>
    </row>
    <row r="320" ht="15" customHeight="1">
      <c r="A320" t="inlineStr">
        <is>
          <t>A 9727-2019</t>
        </is>
      </c>
      <c r="B320" s="1" t="n">
        <v>43508</v>
      </c>
      <c r="C320" s="1" t="n">
        <v>45260</v>
      </c>
      <c r="D320" t="inlineStr">
        <is>
          <t>VÄSTERNORRLANDS LÄN</t>
        </is>
      </c>
      <c r="E320" t="inlineStr">
        <is>
          <t>SOLLEFTEÅ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11285-2019</t>
        </is>
      </c>
      <c r="B321" s="1" t="n">
        <v>43516</v>
      </c>
      <c r="C321" s="1" t="n">
        <v>45260</v>
      </c>
      <c r="D321" t="inlineStr">
        <is>
          <t>VÄSTERNORRLANDS LÄN</t>
        </is>
      </c>
      <c r="E321" t="inlineStr">
        <is>
          <t>SOLLEFTEÅ</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11283-2019</t>
        </is>
      </c>
      <c r="B322" s="1" t="n">
        <v>43516</v>
      </c>
      <c r="C322" s="1" t="n">
        <v>45260</v>
      </c>
      <c r="D322" t="inlineStr">
        <is>
          <t>VÄSTERNORRLANDS LÄN</t>
        </is>
      </c>
      <c r="E322" t="inlineStr">
        <is>
          <t>SOLLEFTEÅ</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11177-2019</t>
        </is>
      </c>
      <c r="B323" s="1" t="n">
        <v>43516</v>
      </c>
      <c r="C323" s="1" t="n">
        <v>45260</v>
      </c>
      <c r="D323" t="inlineStr">
        <is>
          <t>VÄSTERNORRLANDS LÄN</t>
        </is>
      </c>
      <c r="E323" t="inlineStr">
        <is>
          <t>SOLLEFTEÅ</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11341-2019</t>
        </is>
      </c>
      <c r="B324" s="1" t="n">
        <v>43517</v>
      </c>
      <c r="C324" s="1" t="n">
        <v>45260</v>
      </c>
      <c r="D324" t="inlineStr">
        <is>
          <t>VÄSTERNORRLANDS LÄN</t>
        </is>
      </c>
      <c r="E324" t="inlineStr">
        <is>
          <t>SOLLEFTEÅ</t>
        </is>
      </c>
      <c r="G324" t="n">
        <v>7.2</v>
      </c>
      <c r="H324" t="n">
        <v>0</v>
      </c>
      <c r="I324" t="n">
        <v>0</v>
      </c>
      <c r="J324" t="n">
        <v>0</v>
      </c>
      <c r="K324" t="n">
        <v>0</v>
      </c>
      <c r="L324" t="n">
        <v>0</v>
      </c>
      <c r="M324" t="n">
        <v>0</v>
      </c>
      <c r="N324" t="n">
        <v>0</v>
      </c>
      <c r="O324" t="n">
        <v>0</v>
      </c>
      <c r="P324" t="n">
        <v>0</v>
      </c>
      <c r="Q324" t="n">
        <v>0</v>
      </c>
      <c r="R324" s="2" t="inlineStr"/>
    </row>
    <row r="325" ht="15" customHeight="1">
      <c r="A325" t="inlineStr">
        <is>
          <t>A 11766-2019</t>
        </is>
      </c>
      <c r="B325" s="1" t="n">
        <v>43520</v>
      </c>
      <c r="C325" s="1" t="n">
        <v>45260</v>
      </c>
      <c r="D325" t="inlineStr">
        <is>
          <t>VÄSTERNORRLANDS LÄN</t>
        </is>
      </c>
      <c r="E325" t="inlineStr">
        <is>
          <t>SOLLEFTEÅ</t>
        </is>
      </c>
      <c r="G325" t="n">
        <v>7.1</v>
      </c>
      <c r="H325" t="n">
        <v>0</v>
      </c>
      <c r="I325" t="n">
        <v>0</v>
      </c>
      <c r="J325" t="n">
        <v>0</v>
      </c>
      <c r="K325" t="n">
        <v>0</v>
      </c>
      <c r="L325" t="n">
        <v>0</v>
      </c>
      <c r="M325" t="n">
        <v>0</v>
      </c>
      <c r="N325" t="n">
        <v>0</v>
      </c>
      <c r="O325" t="n">
        <v>0</v>
      </c>
      <c r="P325" t="n">
        <v>0</v>
      </c>
      <c r="Q325" t="n">
        <v>0</v>
      </c>
      <c r="R325" s="2" t="inlineStr"/>
    </row>
    <row r="326" ht="15" customHeight="1">
      <c r="A326" t="inlineStr">
        <is>
          <t>A 11759-2019</t>
        </is>
      </c>
      <c r="B326" s="1" t="n">
        <v>43520</v>
      </c>
      <c r="C326" s="1" t="n">
        <v>45260</v>
      </c>
      <c r="D326" t="inlineStr">
        <is>
          <t>VÄSTERNORRLANDS LÄN</t>
        </is>
      </c>
      <c r="E326" t="inlineStr">
        <is>
          <t>SOLLEFTEÅ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12510-2019</t>
        </is>
      </c>
      <c r="B327" s="1" t="n">
        <v>43523</v>
      </c>
      <c r="C327" s="1" t="n">
        <v>45260</v>
      </c>
      <c r="D327" t="inlineStr">
        <is>
          <t>VÄSTERNORRLANDS LÄN</t>
        </is>
      </c>
      <c r="E327" t="inlineStr">
        <is>
          <t>SOLLEFTEÅ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12812-2019</t>
        </is>
      </c>
      <c r="B328" s="1" t="n">
        <v>43524</v>
      </c>
      <c r="C328" s="1" t="n">
        <v>45260</v>
      </c>
      <c r="D328" t="inlineStr">
        <is>
          <t>VÄSTERNORRLANDS LÄN</t>
        </is>
      </c>
      <c r="E328" t="inlineStr">
        <is>
          <t>SOLLEFTEÅ</t>
        </is>
      </c>
      <c r="G328" t="n">
        <v>6.4</v>
      </c>
      <c r="H328" t="n">
        <v>0</v>
      </c>
      <c r="I328" t="n">
        <v>0</v>
      </c>
      <c r="J328" t="n">
        <v>0</v>
      </c>
      <c r="K328" t="n">
        <v>0</v>
      </c>
      <c r="L328" t="n">
        <v>0</v>
      </c>
      <c r="M328" t="n">
        <v>0</v>
      </c>
      <c r="N328" t="n">
        <v>0</v>
      </c>
      <c r="O328" t="n">
        <v>0</v>
      </c>
      <c r="P328" t="n">
        <v>0</v>
      </c>
      <c r="Q328" t="n">
        <v>0</v>
      </c>
      <c r="R328" s="2" t="inlineStr"/>
    </row>
    <row r="329" ht="15" customHeight="1">
      <c r="A329" t="inlineStr">
        <is>
          <t>A 12987-2019</t>
        </is>
      </c>
      <c r="B329" s="1" t="n">
        <v>43525</v>
      </c>
      <c r="C329" s="1" t="n">
        <v>45260</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13653-2019</t>
        </is>
      </c>
      <c r="B330" s="1" t="n">
        <v>43530</v>
      </c>
      <c r="C330" s="1" t="n">
        <v>45260</v>
      </c>
      <c r="D330" t="inlineStr">
        <is>
          <t>VÄSTERNORRLANDS LÄN</t>
        </is>
      </c>
      <c r="E330" t="inlineStr">
        <is>
          <t>SOLLEFTEÅ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13711-2019</t>
        </is>
      </c>
      <c r="B331" s="1" t="n">
        <v>43530</v>
      </c>
      <c r="C331" s="1" t="n">
        <v>45260</v>
      </c>
      <c r="D331" t="inlineStr">
        <is>
          <t>VÄSTERNORRLANDS LÄN</t>
        </is>
      </c>
      <c r="E331" t="inlineStr">
        <is>
          <t>SOLLEFTEÅ</t>
        </is>
      </c>
      <c r="G331" t="n">
        <v>5.6</v>
      </c>
      <c r="H331" t="n">
        <v>0</v>
      </c>
      <c r="I331" t="n">
        <v>0</v>
      </c>
      <c r="J331" t="n">
        <v>0</v>
      </c>
      <c r="K331" t="n">
        <v>0</v>
      </c>
      <c r="L331" t="n">
        <v>0</v>
      </c>
      <c r="M331" t="n">
        <v>0</v>
      </c>
      <c r="N331" t="n">
        <v>0</v>
      </c>
      <c r="O331" t="n">
        <v>0</v>
      </c>
      <c r="P331" t="n">
        <v>0</v>
      </c>
      <c r="Q331" t="n">
        <v>0</v>
      </c>
      <c r="R331" s="2" t="inlineStr"/>
    </row>
    <row r="332" ht="15" customHeight="1">
      <c r="A332" t="inlineStr">
        <is>
          <t>A 13801-2019</t>
        </is>
      </c>
      <c r="B332" s="1" t="n">
        <v>43530</v>
      </c>
      <c r="C332" s="1" t="n">
        <v>45260</v>
      </c>
      <c r="D332" t="inlineStr">
        <is>
          <t>VÄSTERNORRLANDS LÄN</t>
        </is>
      </c>
      <c r="E332" t="inlineStr">
        <is>
          <t>SOLLEFTEÅ</t>
        </is>
      </c>
      <c r="G332" t="n">
        <v>1.8</v>
      </c>
      <c r="H332" t="n">
        <v>0</v>
      </c>
      <c r="I332" t="n">
        <v>0</v>
      </c>
      <c r="J332" t="n">
        <v>0</v>
      </c>
      <c r="K332" t="n">
        <v>0</v>
      </c>
      <c r="L332" t="n">
        <v>0</v>
      </c>
      <c r="M332" t="n">
        <v>0</v>
      </c>
      <c r="N332" t="n">
        <v>0</v>
      </c>
      <c r="O332" t="n">
        <v>0</v>
      </c>
      <c r="P332" t="n">
        <v>0</v>
      </c>
      <c r="Q332" t="n">
        <v>0</v>
      </c>
      <c r="R332" s="2" t="inlineStr"/>
    </row>
    <row r="333" ht="15" customHeight="1">
      <c r="A333" t="inlineStr">
        <is>
          <t>A 13648-2019</t>
        </is>
      </c>
      <c r="B333" s="1" t="n">
        <v>43530</v>
      </c>
      <c r="C333" s="1" t="n">
        <v>45260</v>
      </c>
      <c r="D333" t="inlineStr">
        <is>
          <t>VÄSTERNORRLANDS LÄN</t>
        </is>
      </c>
      <c r="E333" t="inlineStr">
        <is>
          <t>SOLLEFTEÅ</t>
        </is>
      </c>
      <c r="G333" t="n">
        <v>4.1</v>
      </c>
      <c r="H333" t="n">
        <v>0</v>
      </c>
      <c r="I333" t="n">
        <v>0</v>
      </c>
      <c r="J333" t="n">
        <v>0</v>
      </c>
      <c r="K333" t="n">
        <v>0</v>
      </c>
      <c r="L333" t="n">
        <v>0</v>
      </c>
      <c r="M333" t="n">
        <v>0</v>
      </c>
      <c r="N333" t="n">
        <v>0</v>
      </c>
      <c r="O333" t="n">
        <v>0</v>
      </c>
      <c r="P333" t="n">
        <v>0</v>
      </c>
      <c r="Q333" t="n">
        <v>0</v>
      </c>
      <c r="R333" s="2" t="inlineStr"/>
    </row>
    <row r="334" ht="15" customHeight="1">
      <c r="A334" t="inlineStr">
        <is>
          <t>A 13800-2019</t>
        </is>
      </c>
      <c r="B334" s="1" t="n">
        <v>43530</v>
      </c>
      <c r="C334" s="1" t="n">
        <v>45260</v>
      </c>
      <c r="D334" t="inlineStr">
        <is>
          <t>VÄSTERNORRLANDS LÄN</t>
        </is>
      </c>
      <c r="E334" t="inlineStr">
        <is>
          <t>SOLLEFTEÅ</t>
        </is>
      </c>
      <c r="G334" t="n">
        <v>7.3</v>
      </c>
      <c r="H334" t="n">
        <v>0</v>
      </c>
      <c r="I334" t="n">
        <v>0</v>
      </c>
      <c r="J334" t="n">
        <v>0</v>
      </c>
      <c r="K334" t="n">
        <v>0</v>
      </c>
      <c r="L334" t="n">
        <v>0</v>
      </c>
      <c r="M334" t="n">
        <v>0</v>
      </c>
      <c r="N334" t="n">
        <v>0</v>
      </c>
      <c r="O334" t="n">
        <v>0</v>
      </c>
      <c r="P334" t="n">
        <v>0</v>
      </c>
      <c r="Q334" t="n">
        <v>0</v>
      </c>
      <c r="R334" s="2" t="inlineStr"/>
    </row>
    <row r="335" ht="15" customHeight="1">
      <c r="A335" t="inlineStr">
        <is>
          <t>A 13914-2019</t>
        </is>
      </c>
      <c r="B335" s="1" t="n">
        <v>43531</v>
      </c>
      <c r="C335" s="1" t="n">
        <v>45260</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13912-2019</t>
        </is>
      </c>
      <c r="B336" s="1" t="n">
        <v>43531</v>
      </c>
      <c r="C336" s="1" t="n">
        <v>45260</v>
      </c>
      <c r="D336" t="inlineStr">
        <is>
          <t>VÄSTERNORRLANDS LÄN</t>
        </is>
      </c>
      <c r="E336" t="inlineStr">
        <is>
          <t>SOLLEFTEÅ</t>
        </is>
      </c>
      <c r="G336" t="n">
        <v>6.1</v>
      </c>
      <c r="H336" t="n">
        <v>0</v>
      </c>
      <c r="I336" t="n">
        <v>0</v>
      </c>
      <c r="J336" t="n">
        <v>0</v>
      </c>
      <c r="K336" t="n">
        <v>0</v>
      </c>
      <c r="L336" t="n">
        <v>0</v>
      </c>
      <c r="M336" t="n">
        <v>0</v>
      </c>
      <c r="N336" t="n">
        <v>0</v>
      </c>
      <c r="O336" t="n">
        <v>0</v>
      </c>
      <c r="P336" t="n">
        <v>0</v>
      </c>
      <c r="Q336" t="n">
        <v>0</v>
      </c>
      <c r="R336" s="2" t="inlineStr"/>
    </row>
    <row r="337" ht="15" customHeight="1">
      <c r="A337" t="inlineStr">
        <is>
          <t>A 15272-2019</t>
        </is>
      </c>
      <c r="B337" s="1" t="n">
        <v>43539</v>
      </c>
      <c r="C337" s="1" t="n">
        <v>45260</v>
      </c>
      <c r="D337" t="inlineStr">
        <is>
          <t>VÄSTERNORRLANDS LÄN</t>
        </is>
      </c>
      <c r="E337" t="inlineStr">
        <is>
          <t>SOLLEFTEÅ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15737-2019</t>
        </is>
      </c>
      <c r="B338" s="1" t="n">
        <v>43542</v>
      </c>
      <c r="C338" s="1" t="n">
        <v>45260</v>
      </c>
      <c r="D338" t="inlineStr">
        <is>
          <t>VÄSTERNORRLANDS LÄN</t>
        </is>
      </c>
      <c r="E338" t="inlineStr">
        <is>
          <t>SOLLEFTEÅ</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15897-2019</t>
        </is>
      </c>
      <c r="B339" s="1" t="n">
        <v>43543</v>
      </c>
      <c r="C339" s="1" t="n">
        <v>45260</v>
      </c>
      <c r="D339" t="inlineStr">
        <is>
          <t>VÄSTERNORRLANDS LÄN</t>
        </is>
      </c>
      <c r="E339" t="inlineStr">
        <is>
          <t>SOLLEFTEÅ</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16033-2019</t>
        </is>
      </c>
      <c r="B340" s="1" t="n">
        <v>43543</v>
      </c>
      <c r="C340" s="1" t="n">
        <v>45260</v>
      </c>
      <c r="D340" t="inlineStr">
        <is>
          <t>VÄSTERNORRLANDS LÄN</t>
        </is>
      </c>
      <c r="E340" t="inlineStr">
        <is>
          <t>SOLLEFTEÅ</t>
        </is>
      </c>
      <c r="G340" t="n">
        <v>6.3</v>
      </c>
      <c r="H340" t="n">
        <v>0</v>
      </c>
      <c r="I340" t="n">
        <v>0</v>
      </c>
      <c r="J340" t="n">
        <v>0</v>
      </c>
      <c r="K340" t="n">
        <v>0</v>
      </c>
      <c r="L340" t="n">
        <v>0</v>
      </c>
      <c r="M340" t="n">
        <v>0</v>
      </c>
      <c r="N340" t="n">
        <v>0</v>
      </c>
      <c r="O340" t="n">
        <v>0</v>
      </c>
      <c r="P340" t="n">
        <v>0</v>
      </c>
      <c r="Q340" t="n">
        <v>0</v>
      </c>
      <c r="R340" s="2" t="inlineStr"/>
    </row>
    <row r="341" ht="15" customHeight="1">
      <c r="A341" t="inlineStr">
        <is>
          <t>A 16565-2019</t>
        </is>
      </c>
      <c r="B341" s="1" t="n">
        <v>43546</v>
      </c>
      <c r="C341" s="1" t="n">
        <v>45260</v>
      </c>
      <c r="D341" t="inlineStr">
        <is>
          <t>VÄSTERNORRLANDS LÄN</t>
        </is>
      </c>
      <c r="E341" t="inlineStr">
        <is>
          <t>SOLLEFTEÅ</t>
        </is>
      </c>
      <c r="F341" t="inlineStr">
        <is>
          <t>SCA</t>
        </is>
      </c>
      <c r="G341" t="n">
        <v>13.6</v>
      </c>
      <c r="H341" t="n">
        <v>0</v>
      </c>
      <c r="I341" t="n">
        <v>0</v>
      </c>
      <c r="J341" t="n">
        <v>0</v>
      </c>
      <c r="K341" t="n">
        <v>0</v>
      </c>
      <c r="L341" t="n">
        <v>0</v>
      </c>
      <c r="M341" t="n">
        <v>0</v>
      </c>
      <c r="N341" t="n">
        <v>0</v>
      </c>
      <c r="O341" t="n">
        <v>0</v>
      </c>
      <c r="P341" t="n">
        <v>0</v>
      </c>
      <c r="Q341" t="n">
        <v>0</v>
      </c>
      <c r="R341" s="2" t="inlineStr"/>
    </row>
    <row r="342" ht="15" customHeight="1">
      <c r="A342" t="inlineStr">
        <is>
          <t>A 16552-2019</t>
        </is>
      </c>
      <c r="B342" s="1" t="n">
        <v>43546</v>
      </c>
      <c r="C342" s="1" t="n">
        <v>45260</v>
      </c>
      <c r="D342" t="inlineStr">
        <is>
          <t>VÄSTERNORRLANDS LÄN</t>
        </is>
      </c>
      <c r="E342" t="inlineStr">
        <is>
          <t>SOLLEFTEÅ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16840-2019</t>
        </is>
      </c>
      <c r="B343" s="1" t="n">
        <v>43549</v>
      </c>
      <c r="C343" s="1" t="n">
        <v>45260</v>
      </c>
      <c r="D343" t="inlineStr">
        <is>
          <t>VÄSTERNORRLANDS LÄN</t>
        </is>
      </c>
      <c r="E343" t="inlineStr">
        <is>
          <t>SOLLEFTEÅ</t>
        </is>
      </c>
      <c r="F343" t="inlineStr">
        <is>
          <t>SCA</t>
        </is>
      </c>
      <c r="G343" t="n">
        <v>31.7</v>
      </c>
      <c r="H343" t="n">
        <v>0</v>
      </c>
      <c r="I343" t="n">
        <v>0</v>
      </c>
      <c r="J343" t="n">
        <v>0</v>
      </c>
      <c r="K343" t="n">
        <v>0</v>
      </c>
      <c r="L343" t="n">
        <v>0</v>
      </c>
      <c r="M343" t="n">
        <v>0</v>
      </c>
      <c r="N343" t="n">
        <v>0</v>
      </c>
      <c r="O343" t="n">
        <v>0</v>
      </c>
      <c r="P343" t="n">
        <v>0</v>
      </c>
      <c r="Q343" t="n">
        <v>0</v>
      </c>
      <c r="R343" s="2" t="inlineStr"/>
    </row>
    <row r="344" ht="15" customHeight="1">
      <c r="A344" t="inlineStr">
        <is>
          <t>A 16833-2019</t>
        </is>
      </c>
      <c r="B344" s="1" t="n">
        <v>43549</v>
      </c>
      <c r="C344" s="1" t="n">
        <v>45260</v>
      </c>
      <c r="D344" t="inlineStr">
        <is>
          <t>VÄSTERNORRLANDS LÄN</t>
        </is>
      </c>
      <c r="E344" t="inlineStr">
        <is>
          <t>SOLLEFTEÅ</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16832-2019</t>
        </is>
      </c>
      <c r="B345" s="1" t="n">
        <v>43549</v>
      </c>
      <c r="C345" s="1" t="n">
        <v>45260</v>
      </c>
      <c r="D345" t="inlineStr">
        <is>
          <t>VÄSTERNORRLANDS LÄN</t>
        </is>
      </c>
      <c r="E345" t="inlineStr">
        <is>
          <t>SOLLEFTEÅ</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17670-2019</t>
        </is>
      </c>
      <c r="B346" s="1" t="n">
        <v>43552</v>
      </c>
      <c r="C346" s="1" t="n">
        <v>45260</v>
      </c>
      <c r="D346" t="inlineStr">
        <is>
          <t>VÄSTERNORRLANDS LÄN</t>
        </is>
      </c>
      <c r="E346" t="inlineStr">
        <is>
          <t>SOLLEFTEÅ</t>
        </is>
      </c>
      <c r="G346" t="n">
        <v>6.6</v>
      </c>
      <c r="H346" t="n">
        <v>0</v>
      </c>
      <c r="I346" t="n">
        <v>0</v>
      </c>
      <c r="J346" t="n">
        <v>0</v>
      </c>
      <c r="K346" t="n">
        <v>0</v>
      </c>
      <c r="L346" t="n">
        <v>0</v>
      </c>
      <c r="M346" t="n">
        <v>0</v>
      </c>
      <c r="N346" t="n">
        <v>0</v>
      </c>
      <c r="O346" t="n">
        <v>0</v>
      </c>
      <c r="P346" t="n">
        <v>0</v>
      </c>
      <c r="Q346" t="n">
        <v>0</v>
      </c>
      <c r="R346" s="2" t="inlineStr"/>
    </row>
    <row r="347" ht="15" customHeight="1">
      <c r="A347" t="inlineStr">
        <is>
          <t>A 18277-2019</t>
        </is>
      </c>
      <c r="B347" s="1" t="n">
        <v>43557</v>
      </c>
      <c r="C347" s="1" t="n">
        <v>45260</v>
      </c>
      <c r="D347" t="inlineStr">
        <is>
          <t>VÄSTERNORRLANDS LÄN</t>
        </is>
      </c>
      <c r="E347" t="inlineStr">
        <is>
          <t>SOLLEFTEÅ</t>
        </is>
      </c>
      <c r="G347" t="n">
        <v>6.2</v>
      </c>
      <c r="H347" t="n">
        <v>0</v>
      </c>
      <c r="I347" t="n">
        <v>0</v>
      </c>
      <c r="J347" t="n">
        <v>0</v>
      </c>
      <c r="K347" t="n">
        <v>0</v>
      </c>
      <c r="L347" t="n">
        <v>0</v>
      </c>
      <c r="M347" t="n">
        <v>0</v>
      </c>
      <c r="N347" t="n">
        <v>0</v>
      </c>
      <c r="O347" t="n">
        <v>0</v>
      </c>
      <c r="P347" t="n">
        <v>0</v>
      </c>
      <c r="Q347" t="n">
        <v>0</v>
      </c>
      <c r="R347" s="2" t="inlineStr"/>
    </row>
    <row r="348" ht="15" customHeight="1">
      <c r="A348" t="inlineStr">
        <is>
          <t>A 18578-2019</t>
        </is>
      </c>
      <c r="B348" s="1" t="n">
        <v>43558</v>
      </c>
      <c r="C348" s="1" t="n">
        <v>45260</v>
      </c>
      <c r="D348" t="inlineStr">
        <is>
          <t>VÄSTERNORRLANDS LÄN</t>
        </is>
      </c>
      <c r="E348" t="inlineStr">
        <is>
          <t>SOLLEFTEÅ</t>
        </is>
      </c>
      <c r="G348" t="n">
        <v>1.7</v>
      </c>
      <c r="H348" t="n">
        <v>0</v>
      </c>
      <c r="I348" t="n">
        <v>0</v>
      </c>
      <c r="J348" t="n">
        <v>0</v>
      </c>
      <c r="K348" t="n">
        <v>0</v>
      </c>
      <c r="L348" t="n">
        <v>0</v>
      </c>
      <c r="M348" t="n">
        <v>0</v>
      </c>
      <c r="N348" t="n">
        <v>0</v>
      </c>
      <c r="O348" t="n">
        <v>0</v>
      </c>
      <c r="P348" t="n">
        <v>0</v>
      </c>
      <c r="Q348" t="n">
        <v>0</v>
      </c>
      <c r="R348" s="2" t="inlineStr"/>
    </row>
    <row r="349" ht="15" customHeight="1">
      <c r="A349" t="inlineStr">
        <is>
          <t>A 18452-2019</t>
        </is>
      </c>
      <c r="B349" s="1" t="n">
        <v>43559</v>
      </c>
      <c r="C349" s="1" t="n">
        <v>45260</v>
      </c>
      <c r="D349" t="inlineStr">
        <is>
          <t>VÄSTERNORRLANDS LÄN</t>
        </is>
      </c>
      <c r="E349" t="inlineStr">
        <is>
          <t>SOLLEFTEÅ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18925-2019</t>
        </is>
      </c>
      <c r="B350" s="1" t="n">
        <v>43563</v>
      </c>
      <c r="C350" s="1" t="n">
        <v>45260</v>
      </c>
      <c r="D350" t="inlineStr">
        <is>
          <t>VÄSTERNORRLANDS LÄN</t>
        </is>
      </c>
      <c r="E350" t="inlineStr">
        <is>
          <t>SOLLEFTEÅ</t>
        </is>
      </c>
      <c r="G350" t="n">
        <v>1.9</v>
      </c>
      <c r="H350" t="n">
        <v>0</v>
      </c>
      <c r="I350" t="n">
        <v>0</v>
      </c>
      <c r="J350" t="n">
        <v>0</v>
      </c>
      <c r="K350" t="n">
        <v>0</v>
      </c>
      <c r="L350" t="n">
        <v>0</v>
      </c>
      <c r="M350" t="n">
        <v>0</v>
      </c>
      <c r="N350" t="n">
        <v>0</v>
      </c>
      <c r="O350" t="n">
        <v>0</v>
      </c>
      <c r="P350" t="n">
        <v>0</v>
      </c>
      <c r="Q350" t="n">
        <v>0</v>
      </c>
      <c r="R350" s="2" t="inlineStr"/>
    </row>
    <row r="351" ht="15" customHeight="1">
      <c r="A351" t="inlineStr">
        <is>
          <t>A 19123-2019</t>
        </is>
      </c>
      <c r="B351" s="1" t="n">
        <v>43564</v>
      </c>
      <c r="C351" s="1" t="n">
        <v>45260</v>
      </c>
      <c r="D351" t="inlineStr">
        <is>
          <t>VÄSTERNORRLANDS LÄN</t>
        </is>
      </c>
      <c r="E351" t="inlineStr">
        <is>
          <t>SOLLEFTEÅ</t>
        </is>
      </c>
      <c r="G351" t="n">
        <v>9.4</v>
      </c>
      <c r="H351" t="n">
        <v>0</v>
      </c>
      <c r="I351" t="n">
        <v>0</v>
      </c>
      <c r="J351" t="n">
        <v>0</v>
      </c>
      <c r="K351" t="n">
        <v>0</v>
      </c>
      <c r="L351" t="n">
        <v>0</v>
      </c>
      <c r="M351" t="n">
        <v>0</v>
      </c>
      <c r="N351" t="n">
        <v>0</v>
      </c>
      <c r="O351" t="n">
        <v>0</v>
      </c>
      <c r="P351" t="n">
        <v>0</v>
      </c>
      <c r="Q351" t="n">
        <v>0</v>
      </c>
      <c r="R351" s="2" t="inlineStr"/>
    </row>
    <row r="352" ht="15" customHeight="1">
      <c r="A352" t="inlineStr">
        <is>
          <t>A 19219-2019</t>
        </is>
      </c>
      <c r="B352" s="1" t="n">
        <v>43564</v>
      </c>
      <c r="C352" s="1" t="n">
        <v>45260</v>
      </c>
      <c r="D352" t="inlineStr">
        <is>
          <t>VÄSTERNORRLANDS LÄN</t>
        </is>
      </c>
      <c r="E352" t="inlineStr">
        <is>
          <t>SOLLEFTEÅ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19553-2019</t>
        </is>
      </c>
      <c r="B353" s="1" t="n">
        <v>43565</v>
      </c>
      <c r="C353" s="1" t="n">
        <v>45260</v>
      </c>
      <c r="D353" t="inlineStr">
        <is>
          <t>VÄSTERNORRLANDS LÄN</t>
        </is>
      </c>
      <c r="E353" t="inlineStr">
        <is>
          <t>SOLLEFTEÅ</t>
        </is>
      </c>
      <c r="G353" t="n">
        <v>28.1</v>
      </c>
      <c r="H353" t="n">
        <v>0</v>
      </c>
      <c r="I353" t="n">
        <v>0</v>
      </c>
      <c r="J353" t="n">
        <v>0</v>
      </c>
      <c r="K353" t="n">
        <v>0</v>
      </c>
      <c r="L353" t="n">
        <v>0</v>
      </c>
      <c r="M353" t="n">
        <v>0</v>
      </c>
      <c r="N353" t="n">
        <v>0</v>
      </c>
      <c r="O353" t="n">
        <v>0</v>
      </c>
      <c r="P353" t="n">
        <v>0</v>
      </c>
      <c r="Q353" t="n">
        <v>0</v>
      </c>
      <c r="R353" s="2" t="inlineStr"/>
    </row>
    <row r="354" ht="15" customHeight="1">
      <c r="A354" t="inlineStr">
        <is>
          <t>A 19730-2019</t>
        </is>
      </c>
      <c r="B354" s="1" t="n">
        <v>43566</v>
      </c>
      <c r="C354" s="1" t="n">
        <v>45260</v>
      </c>
      <c r="D354" t="inlineStr">
        <is>
          <t>VÄSTERNORRLANDS LÄN</t>
        </is>
      </c>
      <c r="E354" t="inlineStr">
        <is>
          <t>SOLLEFTEÅ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19595-2019</t>
        </is>
      </c>
      <c r="B355" s="1" t="n">
        <v>43566</v>
      </c>
      <c r="C355" s="1" t="n">
        <v>45260</v>
      </c>
      <c r="D355" t="inlineStr">
        <is>
          <t>VÄSTERNORRLANDS LÄN</t>
        </is>
      </c>
      <c r="E355" t="inlineStr">
        <is>
          <t>SOLLEFTEÅ</t>
        </is>
      </c>
      <c r="F355" t="inlineStr">
        <is>
          <t>Kyrkan</t>
        </is>
      </c>
      <c r="G355" t="n">
        <v>2.5</v>
      </c>
      <c r="H355" t="n">
        <v>0</v>
      </c>
      <c r="I355" t="n">
        <v>0</v>
      </c>
      <c r="J355" t="n">
        <v>0</v>
      </c>
      <c r="K355" t="n">
        <v>0</v>
      </c>
      <c r="L355" t="n">
        <v>0</v>
      </c>
      <c r="M355" t="n">
        <v>0</v>
      </c>
      <c r="N355" t="n">
        <v>0</v>
      </c>
      <c r="O355" t="n">
        <v>0</v>
      </c>
      <c r="P355" t="n">
        <v>0</v>
      </c>
      <c r="Q355" t="n">
        <v>0</v>
      </c>
      <c r="R355" s="2" t="inlineStr"/>
    </row>
    <row r="356" ht="15" customHeight="1">
      <c r="A356" t="inlineStr">
        <is>
          <t>A 19732-2019</t>
        </is>
      </c>
      <c r="B356" s="1" t="n">
        <v>43566</v>
      </c>
      <c r="C356" s="1" t="n">
        <v>45260</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19731-2019</t>
        </is>
      </c>
      <c r="B357" s="1" t="n">
        <v>43566</v>
      </c>
      <c r="C357" s="1" t="n">
        <v>45260</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20201-2019</t>
        </is>
      </c>
      <c r="B358" s="1" t="n">
        <v>43570</v>
      </c>
      <c r="C358" s="1" t="n">
        <v>45260</v>
      </c>
      <c r="D358" t="inlineStr">
        <is>
          <t>VÄSTERNORRLANDS LÄN</t>
        </is>
      </c>
      <c r="E358" t="inlineStr">
        <is>
          <t>SOLLEFTEÅ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20198-2019</t>
        </is>
      </c>
      <c r="B359" s="1" t="n">
        <v>43570</v>
      </c>
      <c r="C359" s="1" t="n">
        <v>45260</v>
      </c>
      <c r="D359" t="inlineStr">
        <is>
          <t>VÄSTERNORRLANDS LÄN</t>
        </is>
      </c>
      <c r="E359" t="inlineStr">
        <is>
          <t>SOLLEFTEÅ</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20200-2019</t>
        </is>
      </c>
      <c r="B360" s="1" t="n">
        <v>43570</v>
      </c>
      <c r="C360" s="1" t="n">
        <v>45260</v>
      </c>
      <c r="D360" t="inlineStr">
        <is>
          <t>VÄSTERNORRLANDS LÄN</t>
        </is>
      </c>
      <c r="E360" t="inlineStr">
        <is>
          <t>SOLLEFTEÅ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20444-2019</t>
        </is>
      </c>
      <c r="B361" s="1" t="n">
        <v>43571</v>
      </c>
      <c r="C361" s="1" t="n">
        <v>45260</v>
      </c>
      <c r="D361" t="inlineStr">
        <is>
          <t>VÄSTERNORRLANDS LÄN</t>
        </is>
      </c>
      <c r="E361" t="inlineStr">
        <is>
          <t>SOLLEFTEÅ</t>
        </is>
      </c>
      <c r="G361" t="n">
        <v>2.9</v>
      </c>
      <c r="H361" t="n">
        <v>0</v>
      </c>
      <c r="I361" t="n">
        <v>0</v>
      </c>
      <c r="J361" t="n">
        <v>0</v>
      </c>
      <c r="K361" t="n">
        <v>0</v>
      </c>
      <c r="L361" t="n">
        <v>0</v>
      </c>
      <c r="M361" t="n">
        <v>0</v>
      </c>
      <c r="N361" t="n">
        <v>0</v>
      </c>
      <c r="O361" t="n">
        <v>0</v>
      </c>
      <c r="P361" t="n">
        <v>0</v>
      </c>
      <c r="Q361" t="n">
        <v>0</v>
      </c>
      <c r="R361" s="2" t="inlineStr"/>
    </row>
    <row r="362" ht="15" customHeight="1">
      <c r="A362" t="inlineStr">
        <is>
          <t>A 20649-2019</t>
        </is>
      </c>
      <c r="B362" s="1" t="n">
        <v>43572</v>
      </c>
      <c r="C362" s="1" t="n">
        <v>45260</v>
      </c>
      <c r="D362" t="inlineStr">
        <is>
          <t>VÄSTERNORRLANDS LÄN</t>
        </is>
      </c>
      <c r="E362" t="inlineStr">
        <is>
          <t>SOLLEFTEÅ</t>
        </is>
      </c>
      <c r="G362" t="n">
        <v>1.9</v>
      </c>
      <c r="H362" t="n">
        <v>0</v>
      </c>
      <c r="I362" t="n">
        <v>0</v>
      </c>
      <c r="J362" t="n">
        <v>0</v>
      </c>
      <c r="K362" t="n">
        <v>0</v>
      </c>
      <c r="L362" t="n">
        <v>0</v>
      </c>
      <c r="M362" t="n">
        <v>0</v>
      </c>
      <c r="N362" t="n">
        <v>0</v>
      </c>
      <c r="O362" t="n">
        <v>0</v>
      </c>
      <c r="P362" t="n">
        <v>0</v>
      </c>
      <c r="Q362" t="n">
        <v>0</v>
      </c>
      <c r="R362" s="2" t="inlineStr"/>
    </row>
    <row r="363" ht="15" customHeight="1">
      <c r="A363" t="inlineStr">
        <is>
          <t>A 20648-2019</t>
        </is>
      </c>
      <c r="B363" s="1" t="n">
        <v>43572</v>
      </c>
      <c r="C363" s="1" t="n">
        <v>45260</v>
      </c>
      <c r="D363" t="inlineStr">
        <is>
          <t>VÄSTERNORRLANDS LÄN</t>
        </is>
      </c>
      <c r="E363" t="inlineStr">
        <is>
          <t>SOLLEFTEÅ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21119-2019</t>
        </is>
      </c>
      <c r="B364" s="1" t="n">
        <v>43578</v>
      </c>
      <c r="C364" s="1" t="n">
        <v>45260</v>
      </c>
      <c r="D364" t="inlineStr">
        <is>
          <t>VÄSTERNORRLANDS LÄN</t>
        </is>
      </c>
      <c r="E364" t="inlineStr">
        <is>
          <t>SOLLEFTEÅ</t>
        </is>
      </c>
      <c r="F364" t="inlineStr">
        <is>
          <t>SCA</t>
        </is>
      </c>
      <c r="G364" t="n">
        <v>57.7</v>
      </c>
      <c r="H364" t="n">
        <v>0</v>
      </c>
      <c r="I364" t="n">
        <v>0</v>
      </c>
      <c r="J364" t="n">
        <v>0</v>
      </c>
      <c r="K364" t="n">
        <v>0</v>
      </c>
      <c r="L364" t="n">
        <v>0</v>
      </c>
      <c r="M364" t="n">
        <v>0</v>
      </c>
      <c r="N364" t="n">
        <v>0</v>
      </c>
      <c r="O364" t="n">
        <v>0</v>
      </c>
      <c r="P364" t="n">
        <v>0</v>
      </c>
      <c r="Q364" t="n">
        <v>0</v>
      </c>
      <c r="R364" s="2" t="inlineStr"/>
    </row>
    <row r="365" ht="15" customHeight="1">
      <c r="A365" t="inlineStr">
        <is>
          <t>A 21526-2019</t>
        </is>
      </c>
      <c r="B365" s="1" t="n">
        <v>43580</v>
      </c>
      <c r="C365" s="1" t="n">
        <v>45260</v>
      </c>
      <c r="D365" t="inlineStr">
        <is>
          <t>VÄSTERNORRLANDS LÄN</t>
        </is>
      </c>
      <c r="E365" t="inlineStr">
        <is>
          <t>SOLLEFTEÅ</t>
        </is>
      </c>
      <c r="G365" t="n">
        <v>3.1</v>
      </c>
      <c r="H365" t="n">
        <v>0</v>
      </c>
      <c r="I365" t="n">
        <v>0</v>
      </c>
      <c r="J365" t="n">
        <v>0</v>
      </c>
      <c r="K365" t="n">
        <v>0</v>
      </c>
      <c r="L365" t="n">
        <v>0</v>
      </c>
      <c r="M365" t="n">
        <v>0</v>
      </c>
      <c r="N365" t="n">
        <v>0</v>
      </c>
      <c r="O365" t="n">
        <v>0</v>
      </c>
      <c r="P365" t="n">
        <v>0</v>
      </c>
      <c r="Q365" t="n">
        <v>0</v>
      </c>
      <c r="R365" s="2" t="inlineStr"/>
    </row>
    <row r="366" ht="15" customHeight="1">
      <c r="A366" t="inlineStr">
        <is>
          <t>A 21799-2019</t>
        </is>
      </c>
      <c r="B366" s="1" t="n">
        <v>43581</v>
      </c>
      <c r="C366" s="1" t="n">
        <v>45260</v>
      </c>
      <c r="D366" t="inlineStr">
        <is>
          <t>VÄSTERNORRLANDS LÄN</t>
        </is>
      </c>
      <c r="E366" t="inlineStr">
        <is>
          <t>SOLLEFTEÅ</t>
        </is>
      </c>
      <c r="F366" t="inlineStr">
        <is>
          <t>SCA</t>
        </is>
      </c>
      <c r="G366" t="n">
        <v>14.1</v>
      </c>
      <c r="H366" t="n">
        <v>0</v>
      </c>
      <c r="I366" t="n">
        <v>0</v>
      </c>
      <c r="J366" t="n">
        <v>0</v>
      </c>
      <c r="K366" t="n">
        <v>0</v>
      </c>
      <c r="L366" t="n">
        <v>0</v>
      </c>
      <c r="M366" t="n">
        <v>0</v>
      </c>
      <c r="N366" t="n">
        <v>0</v>
      </c>
      <c r="O366" t="n">
        <v>0</v>
      </c>
      <c r="P366" t="n">
        <v>0</v>
      </c>
      <c r="Q366" t="n">
        <v>0</v>
      </c>
      <c r="R366" s="2" t="inlineStr"/>
    </row>
    <row r="367" ht="15" customHeight="1">
      <c r="A367" t="inlineStr">
        <is>
          <t>A 21788-2019</t>
        </is>
      </c>
      <c r="B367" s="1" t="n">
        <v>43581</v>
      </c>
      <c r="C367" s="1" t="n">
        <v>45260</v>
      </c>
      <c r="D367" t="inlineStr">
        <is>
          <t>VÄSTERNORRLANDS LÄN</t>
        </is>
      </c>
      <c r="E367" t="inlineStr">
        <is>
          <t>SOLLEFTEÅ</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22088-2019</t>
        </is>
      </c>
      <c r="B368" s="1" t="n">
        <v>43584</v>
      </c>
      <c r="C368" s="1" t="n">
        <v>45260</v>
      </c>
      <c r="D368" t="inlineStr">
        <is>
          <t>VÄSTERNORRLANDS LÄN</t>
        </is>
      </c>
      <c r="E368" t="inlineStr">
        <is>
          <t>SOLLEFTEÅ</t>
        </is>
      </c>
      <c r="F368" t="inlineStr">
        <is>
          <t>SCA</t>
        </is>
      </c>
      <c r="G368" t="n">
        <v>37.9</v>
      </c>
      <c r="H368" t="n">
        <v>0</v>
      </c>
      <c r="I368" t="n">
        <v>0</v>
      </c>
      <c r="J368" t="n">
        <v>0</v>
      </c>
      <c r="K368" t="n">
        <v>0</v>
      </c>
      <c r="L368" t="n">
        <v>0</v>
      </c>
      <c r="M368" t="n">
        <v>0</v>
      </c>
      <c r="N368" t="n">
        <v>0</v>
      </c>
      <c r="O368" t="n">
        <v>0</v>
      </c>
      <c r="P368" t="n">
        <v>0</v>
      </c>
      <c r="Q368" t="n">
        <v>0</v>
      </c>
      <c r="R368" s="2" t="inlineStr"/>
    </row>
    <row r="369" ht="15" customHeight="1">
      <c r="A369" t="inlineStr">
        <is>
          <t>A 22283-2019</t>
        </is>
      </c>
      <c r="B369" s="1" t="n">
        <v>43585</v>
      </c>
      <c r="C369" s="1" t="n">
        <v>45260</v>
      </c>
      <c r="D369" t="inlineStr">
        <is>
          <t>VÄSTERNORRLANDS LÄN</t>
        </is>
      </c>
      <c r="E369" t="inlineStr">
        <is>
          <t>SOLLEFTEÅ</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22587-2019</t>
        </is>
      </c>
      <c r="B370" s="1" t="n">
        <v>43587</v>
      </c>
      <c r="C370" s="1" t="n">
        <v>45260</v>
      </c>
      <c r="D370" t="inlineStr">
        <is>
          <t>VÄSTERNORRLANDS LÄN</t>
        </is>
      </c>
      <c r="E370" t="inlineStr">
        <is>
          <t>SOLLEFTEÅ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23241-2019</t>
        </is>
      </c>
      <c r="B371" s="1" t="n">
        <v>43591</v>
      </c>
      <c r="C371" s="1" t="n">
        <v>45260</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23314-2019</t>
        </is>
      </c>
      <c r="B372" s="1" t="n">
        <v>43591</v>
      </c>
      <c r="C372" s="1" t="n">
        <v>45260</v>
      </c>
      <c r="D372" t="inlineStr">
        <is>
          <t>VÄSTERNORRLANDS LÄN</t>
        </is>
      </c>
      <c r="E372" t="inlineStr">
        <is>
          <t>SOLLEFTEÅ</t>
        </is>
      </c>
      <c r="G372" t="n">
        <v>2.5</v>
      </c>
      <c r="H372" t="n">
        <v>0</v>
      </c>
      <c r="I372" t="n">
        <v>0</v>
      </c>
      <c r="J372" t="n">
        <v>0</v>
      </c>
      <c r="K372" t="n">
        <v>0</v>
      </c>
      <c r="L372" t="n">
        <v>0</v>
      </c>
      <c r="M372" t="n">
        <v>0</v>
      </c>
      <c r="N372" t="n">
        <v>0</v>
      </c>
      <c r="O372" t="n">
        <v>0</v>
      </c>
      <c r="P372" t="n">
        <v>0</v>
      </c>
      <c r="Q372" t="n">
        <v>0</v>
      </c>
      <c r="R372" s="2" t="inlineStr"/>
    </row>
    <row r="373" ht="15" customHeight="1">
      <c r="A373" t="inlineStr">
        <is>
          <t>A 23323-2019</t>
        </is>
      </c>
      <c r="B373" s="1" t="n">
        <v>43591</v>
      </c>
      <c r="C373" s="1" t="n">
        <v>45260</v>
      </c>
      <c r="D373" t="inlineStr">
        <is>
          <t>VÄSTERNORRLANDS LÄN</t>
        </is>
      </c>
      <c r="E373" t="inlineStr">
        <is>
          <t>SOLLEFTEÅ</t>
        </is>
      </c>
      <c r="G373" t="n">
        <v>2.4</v>
      </c>
      <c r="H373" t="n">
        <v>0</v>
      </c>
      <c r="I373" t="n">
        <v>0</v>
      </c>
      <c r="J373" t="n">
        <v>0</v>
      </c>
      <c r="K373" t="n">
        <v>0</v>
      </c>
      <c r="L373" t="n">
        <v>0</v>
      </c>
      <c r="M373" t="n">
        <v>0</v>
      </c>
      <c r="N373" t="n">
        <v>0</v>
      </c>
      <c r="O373" t="n">
        <v>0</v>
      </c>
      <c r="P373" t="n">
        <v>0</v>
      </c>
      <c r="Q373" t="n">
        <v>0</v>
      </c>
      <c r="R373" s="2" t="inlineStr"/>
    </row>
    <row r="374" ht="15" customHeight="1">
      <c r="A374" t="inlineStr">
        <is>
          <t>A 23246-2019</t>
        </is>
      </c>
      <c r="B374" s="1" t="n">
        <v>43591</v>
      </c>
      <c r="C374" s="1" t="n">
        <v>45260</v>
      </c>
      <c r="D374" t="inlineStr">
        <is>
          <t>VÄSTERNORRLANDS LÄN</t>
        </is>
      </c>
      <c r="E374" t="inlineStr">
        <is>
          <t>SOLLEFTEÅ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24157-2019</t>
        </is>
      </c>
      <c r="B375" s="1" t="n">
        <v>43598</v>
      </c>
      <c r="C375" s="1" t="n">
        <v>45260</v>
      </c>
      <c r="D375" t="inlineStr">
        <is>
          <t>VÄSTERNORRLANDS LÄN</t>
        </is>
      </c>
      <c r="E375" t="inlineStr">
        <is>
          <t>SOLLEFTEÅ</t>
        </is>
      </c>
      <c r="F375" t="inlineStr">
        <is>
          <t>SCA</t>
        </is>
      </c>
      <c r="G375" t="n">
        <v>0.1</v>
      </c>
      <c r="H375" t="n">
        <v>0</v>
      </c>
      <c r="I375" t="n">
        <v>0</v>
      </c>
      <c r="J375" t="n">
        <v>0</v>
      </c>
      <c r="K375" t="n">
        <v>0</v>
      </c>
      <c r="L375" t="n">
        <v>0</v>
      </c>
      <c r="M375" t="n">
        <v>0</v>
      </c>
      <c r="N375" t="n">
        <v>0</v>
      </c>
      <c r="O375" t="n">
        <v>0</v>
      </c>
      <c r="P375" t="n">
        <v>0</v>
      </c>
      <c r="Q375" t="n">
        <v>0</v>
      </c>
      <c r="R375" s="2" t="inlineStr"/>
    </row>
    <row r="376" ht="15" customHeight="1">
      <c r="A376" t="inlineStr">
        <is>
          <t>A 24168-2019</t>
        </is>
      </c>
      <c r="B376" s="1" t="n">
        <v>43598</v>
      </c>
      <c r="C376" s="1" t="n">
        <v>45260</v>
      </c>
      <c r="D376" t="inlineStr">
        <is>
          <t>VÄSTERNORRLANDS LÄN</t>
        </is>
      </c>
      <c r="E376" t="inlineStr">
        <is>
          <t>SOLLEFTEÅ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25334-2019</t>
        </is>
      </c>
      <c r="B377" s="1" t="n">
        <v>43601</v>
      </c>
      <c r="C377" s="1" t="n">
        <v>45260</v>
      </c>
      <c r="D377" t="inlineStr">
        <is>
          <t>VÄSTERNORRLANDS LÄN</t>
        </is>
      </c>
      <c r="E377" t="inlineStr">
        <is>
          <t>SOLLEFTEÅ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25331-2019</t>
        </is>
      </c>
      <c r="B378" s="1" t="n">
        <v>43601</v>
      </c>
      <c r="C378" s="1" t="n">
        <v>45260</v>
      </c>
      <c r="D378" t="inlineStr">
        <is>
          <t>VÄSTERNORRLANDS LÄN</t>
        </is>
      </c>
      <c r="E378" t="inlineStr">
        <is>
          <t>SOLLEFTEÅ</t>
        </is>
      </c>
      <c r="G378" t="n">
        <v>7.2</v>
      </c>
      <c r="H378" t="n">
        <v>0</v>
      </c>
      <c r="I378" t="n">
        <v>0</v>
      </c>
      <c r="J378" t="n">
        <v>0</v>
      </c>
      <c r="K378" t="n">
        <v>0</v>
      </c>
      <c r="L378" t="n">
        <v>0</v>
      </c>
      <c r="M378" t="n">
        <v>0</v>
      </c>
      <c r="N378" t="n">
        <v>0</v>
      </c>
      <c r="O378" t="n">
        <v>0</v>
      </c>
      <c r="P378" t="n">
        <v>0</v>
      </c>
      <c r="Q378" t="n">
        <v>0</v>
      </c>
      <c r="R378" s="2" t="inlineStr"/>
    </row>
    <row r="379" ht="15" customHeight="1">
      <c r="A379" t="inlineStr">
        <is>
          <t>A 25260-2019</t>
        </is>
      </c>
      <c r="B379" s="1" t="n">
        <v>43601</v>
      </c>
      <c r="C379" s="1" t="n">
        <v>45260</v>
      </c>
      <c r="D379" t="inlineStr">
        <is>
          <t>VÄSTERNORRLANDS LÄN</t>
        </is>
      </c>
      <c r="E379" t="inlineStr">
        <is>
          <t>SOLLEFTEÅ</t>
        </is>
      </c>
      <c r="G379" t="n">
        <v>3.4</v>
      </c>
      <c r="H379" t="n">
        <v>0</v>
      </c>
      <c r="I379" t="n">
        <v>0</v>
      </c>
      <c r="J379" t="n">
        <v>0</v>
      </c>
      <c r="K379" t="n">
        <v>0</v>
      </c>
      <c r="L379" t="n">
        <v>0</v>
      </c>
      <c r="M379" t="n">
        <v>0</v>
      </c>
      <c r="N379" t="n">
        <v>0</v>
      </c>
      <c r="O379" t="n">
        <v>0</v>
      </c>
      <c r="P379" t="n">
        <v>0</v>
      </c>
      <c r="Q379" t="n">
        <v>0</v>
      </c>
      <c r="R379" s="2" t="inlineStr"/>
    </row>
    <row r="380" ht="15" customHeight="1">
      <c r="A380" t="inlineStr">
        <is>
          <t>A 25328-2019</t>
        </is>
      </c>
      <c r="B380" s="1" t="n">
        <v>43601</v>
      </c>
      <c r="C380" s="1" t="n">
        <v>45260</v>
      </c>
      <c r="D380" t="inlineStr">
        <is>
          <t>VÄSTERNORRLANDS LÄN</t>
        </is>
      </c>
      <c r="E380" t="inlineStr">
        <is>
          <t>SOLLEFTEÅ</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25014-2019</t>
        </is>
      </c>
      <c r="B381" s="1" t="n">
        <v>43602</v>
      </c>
      <c r="C381" s="1" t="n">
        <v>45260</v>
      </c>
      <c r="D381" t="inlineStr">
        <is>
          <t>VÄSTERNORRLANDS LÄN</t>
        </is>
      </c>
      <c r="E381" t="inlineStr">
        <is>
          <t>SOLLEFTEÅ</t>
        </is>
      </c>
      <c r="F381" t="inlineStr">
        <is>
          <t>SCA</t>
        </is>
      </c>
      <c r="G381" t="n">
        <v>11.1</v>
      </c>
      <c r="H381" t="n">
        <v>0</v>
      </c>
      <c r="I381" t="n">
        <v>0</v>
      </c>
      <c r="J381" t="n">
        <v>0</v>
      </c>
      <c r="K381" t="n">
        <v>0</v>
      </c>
      <c r="L381" t="n">
        <v>0</v>
      </c>
      <c r="M381" t="n">
        <v>0</v>
      </c>
      <c r="N381" t="n">
        <v>0</v>
      </c>
      <c r="O381" t="n">
        <v>0</v>
      </c>
      <c r="P381" t="n">
        <v>0</v>
      </c>
      <c r="Q381" t="n">
        <v>0</v>
      </c>
      <c r="R381" s="2" t="inlineStr"/>
    </row>
    <row r="382" ht="15" customHeight="1">
      <c r="A382" t="inlineStr">
        <is>
          <t>A 26111-2019</t>
        </is>
      </c>
      <c r="B382" s="1" t="n">
        <v>43605</v>
      </c>
      <c r="C382" s="1" t="n">
        <v>45260</v>
      </c>
      <c r="D382" t="inlineStr">
        <is>
          <t>VÄSTERNORRLANDS LÄN</t>
        </is>
      </c>
      <c r="E382" t="inlineStr">
        <is>
          <t>SOLLEFTEÅ</t>
        </is>
      </c>
      <c r="G382" t="n">
        <v>3.5</v>
      </c>
      <c r="H382" t="n">
        <v>0</v>
      </c>
      <c r="I382" t="n">
        <v>0</v>
      </c>
      <c r="J382" t="n">
        <v>0</v>
      </c>
      <c r="K382" t="n">
        <v>0</v>
      </c>
      <c r="L382" t="n">
        <v>0</v>
      </c>
      <c r="M382" t="n">
        <v>0</v>
      </c>
      <c r="N382" t="n">
        <v>0</v>
      </c>
      <c r="O382" t="n">
        <v>0</v>
      </c>
      <c r="P382" t="n">
        <v>0</v>
      </c>
      <c r="Q382" t="n">
        <v>0</v>
      </c>
      <c r="R382" s="2" t="inlineStr"/>
    </row>
    <row r="383" ht="15" customHeight="1">
      <c r="A383" t="inlineStr">
        <is>
          <t>A 25714-2019</t>
        </is>
      </c>
      <c r="B383" s="1" t="n">
        <v>43607</v>
      </c>
      <c r="C383" s="1" t="n">
        <v>45260</v>
      </c>
      <c r="D383" t="inlineStr">
        <is>
          <t>VÄSTERNORRLANDS LÄN</t>
        </is>
      </c>
      <c r="E383" t="inlineStr">
        <is>
          <t>SOLLEFTEÅ</t>
        </is>
      </c>
      <c r="F383" t="inlineStr">
        <is>
          <t>SCA</t>
        </is>
      </c>
      <c r="G383" t="n">
        <v>28.3</v>
      </c>
      <c r="H383" t="n">
        <v>0</v>
      </c>
      <c r="I383" t="n">
        <v>0</v>
      </c>
      <c r="J383" t="n">
        <v>0</v>
      </c>
      <c r="K383" t="n">
        <v>0</v>
      </c>
      <c r="L383" t="n">
        <v>0</v>
      </c>
      <c r="M383" t="n">
        <v>0</v>
      </c>
      <c r="N383" t="n">
        <v>0</v>
      </c>
      <c r="O383" t="n">
        <v>0</v>
      </c>
      <c r="P383" t="n">
        <v>0</v>
      </c>
      <c r="Q383" t="n">
        <v>0</v>
      </c>
      <c r="R383" s="2" t="inlineStr"/>
    </row>
    <row r="384" ht="15" customHeight="1">
      <c r="A384" t="inlineStr">
        <is>
          <t>A 25979-2019</t>
        </is>
      </c>
      <c r="B384" s="1" t="n">
        <v>43608</v>
      </c>
      <c r="C384" s="1" t="n">
        <v>45260</v>
      </c>
      <c r="D384" t="inlineStr">
        <is>
          <t>VÄSTERNORRLANDS LÄN</t>
        </is>
      </c>
      <c r="E384" t="inlineStr">
        <is>
          <t>SOLLEFTEÅ</t>
        </is>
      </c>
      <c r="F384" t="inlineStr">
        <is>
          <t>SCA</t>
        </is>
      </c>
      <c r="G384" t="n">
        <v>26.1</v>
      </c>
      <c r="H384" t="n">
        <v>0</v>
      </c>
      <c r="I384" t="n">
        <v>0</v>
      </c>
      <c r="J384" t="n">
        <v>0</v>
      </c>
      <c r="K384" t="n">
        <v>0</v>
      </c>
      <c r="L384" t="n">
        <v>0</v>
      </c>
      <c r="M384" t="n">
        <v>0</v>
      </c>
      <c r="N384" t="n">
        <v>0</v>
      </c>
      <c r="O384" t="n">
        <v>0</v>
      </c>
      <c r="P384" t="n">
        <v>0</v>
      </c>
      <c r="Q384" t="n">
        <v>0</v>
      </c>
      <c r="R384" s="2" t="inlineStr"/>
    </row>
    <row r="385" ht="15" customHeight="1">
      <c r="A385" t="inlineStr">
        <is>
          <t>A 25982-2019</t>
        </is>
      </c>
      <c r="B385" s="1" t="n">
        <v>43608</v>
      </c>
      <c r="C385" s="1" t="n">
        <v>45260</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25997-2019</t>
        </is>
      </c>
      <c r="B386" s="1" t="n">
        <v>43608</v>
      </c>
      <c r="C386" s="1" t="n">
        <v>45260</v>
      </c>
      <c r="D386" t="inlineStr">
        <is>
          <t>VÄSTERNORRLANDS LÄN</t>
        </is>
      </c>
      <c r="E386" t="inlineStr">
        <is>
          <t>SOLLEFTEÅ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25959-2019</t>
        </is>
      </c>
      <c r="B387" s="1" t="n">
        <v>43608</v>
      </c>
      <c r="C387" s="1" t="n">
        <v>45260</v>
      </c>
      <c r="D387" t="inlineStr">
        <is>
          <t>VÄSTERNORRLANDS LÄN</t>
        </is>
      </c>
      <c r="E387" t="inlineStr">
        <is>
          <t>SOLLEFTEÅ</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26254-2019</t>
        </is>
      </c>
      <c r="B388" s="1" t="n">
        <v>43609</v>
      </c>
      <c r="C388" s="1" t="n">
        <v>45260</v>
      </c>
      <c r="D388" t="inlineStr">
        <is>
          <t>VÄSTERNORRLANDS LÄN</t>
        </is>
      </c>
      <c r="E388" t="inlineStr">
        <is>
          <t>SOLLEFTEÅ</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26253-2019</t>
        </is>
      </c>
      <c r="B389" s="1" t="n">
        <v>43609</v>
      </c>
      <c r="C389" s="1" t="n">
        <v>45260</v>
      </c>
      <c r="D389" t="inlineStr">
        <is>
          <t>VÄSTERNORRLANDS LÄN</t>
        </is>
      </c>
      <c r="E389" t="inlineStr">
        <is>
          <t>SOLLEFTEÅ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26640-2019</t>
        </is>
      </c>
      <c r="B390" s="1" t="n">
        <v>43612</v>
      </c>
      <c r="C390" s="1" t="n">
        <v>45260</v>
      </c>
      <c r="D390" t="inlineStr">
        <is>
          <t>VÄSTERNORRLANDS LÄN</t>
        </is>
      </c>
      <c r="E390" t="inlineStr">
        <is>
          <t>SOLLEFTEÅ</t>
        </is>
      </c>
      <c r="F390" t="inlineStr">
        <is>
          <t>SCA</t>
        </is>
      </c>
      <c r="G390" t="n">
        <v>10.4</v>
      </c>
      <c r="H390" t="n">
        <v>0</v>
      </c>
      <c r="I390" t="n">
        <v>0</v>
      </c>
      <c r="J390" t="n">
        <v>0</v>
      </c>
      <c r="K390" t="n">
        <v>0</v>
      </c>
      <c r="L390" t="n">
        <v>0</v>
      </c>
      <c r="M390" t="n">
        <v>0</v>
      </c>
      <c r="N390" t="n">
        <v>0</v>
      </c>
      <c r="O390" t="n">
        <v>0</v>
      </c>
      <c r="P390" t="n">
        <v>0</v>
      </c>
      <c r="Q390" t="n">
        <v>0</v>
      </c>
      <c r="R390" s="2" t="inlineStr"/>
    </row>
    <row r="391" ht="15" customHeight="1">
      <c r="A391" t="inlineStr">
        <is>
          <t>A 27597-2019</t>
        </is>
      </c>
      <c r="B391" s="1" t="n">
        <v>43612</v>
      </c>
      <c r="C391" s="1" t="n">
        <v>45260</v>
      </c>
      <c r="D391" t="inlineStr">
        <is>
          <t>VÄSTERNORRLANDS LÄN</t>
        </is>
      </c>
      <c r="E391" t="inlineStr">
        <is>
          <t>SOLLEFTEÅ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26945-2019</t>
        </is>
      </c>
      <c r="B392" s="1" t="n">
        <v>43613</v>
      </c>
      <c r="C392" s="1" t="n">
        <v>45260</v>
      </c>
      <c r="D392" t="inlineStr">
        <is>
          <t>VÄSTERNORRLANDS LÄN</t>
        </is>
      </c>
      <c r="E392" t="inlineStr">
        <is>
          <t>SOLLEFTEÅ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26957-2019</t>
        </is>
      </c>
      <c r="B393" s="1" t="n">
        <v>43613</v>
      </c>
      <c r="C393" s="1" t="n">
        <v>45260</v>
      </c>
      <c r="D393" t="inlineStr">
        <is>
          <t>VÄSTERNORRLANDS LÄN</t>
        </is>
      </c>
      <c r="E393" t="inlineStr">
        <is>
          <t>SOLLEFTEÅ</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27226-2019</t>
        </is>
      </c>
      <c r="B394" s="1" t="n">
        <v>43614</v>
      </c>
      <c r="C394" s="1" t="n">
        <v>45260</v>
      </c>
      <c r="D394" t="inlineStr">
        <is>
          <t>VÄSTERNORRLANDS LÄN</t>
        </is>
      </c>
      <c r="E394" t="inlineStr">
        <is>
          <t>SOLLEFTEÅ</t>
        </is>
      </c>
      <c r="F394" t="inlineStr">
        <is>
          <t>SCA</t>
        </is>
      </c>
      <c r="G394" t="n">
        <v>6.8</v>
      </c>
      <c r="H394" t="n">
        <v>0</v>
      </c>
      <c r="I394" t="n">
        <v>0</v>
      </c>
      <c r="J394" t="n">
        <v>0</v>
      </c>
      <c r="K394" t="n">
        <v>0</v>
      </c>
      <c r="L394" t="n">
        <v>0</v>
      </c>
      <c r="M394" t="n">
        <v>0</v>
      </c>
      <c r="N394" t="n">
        <v>0</v>
      </c>
      <c r="O394" t="n">
        <v>0</v>
      </c>
      <c r="P394" t="n">
        <v>0</v>
      </c>
      <c r="Q394" t="n">
        <v>0</v>
      </c>
      <c r="R394" s="2" t="inlineStr"/>
    </row>
    <row r="395" ht="15" customHeight="1">
      <c r="A395" t="inlineStr">
        <is>
          <t>A 27979-2019</t>
        </is>
      </c>
      <c r="B395" s="1" t="n">
        <v>43620</v>
      </c>
      <c r="C395" s="1" t="n">
        <v>45260</v>
      </c>
      <c r="D395" t="inlineStr">
        <is>
          <t>VÄSTERNORRLANDS LÄN</t>
        </is>
      </c>
      <c r="E395" t="inlineStr">
        <is>
          <t>SOLLEFTEÅ</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28212-2019</t>
        </is>
      </c>
      <c r="B396" s="1" t="n">
        <v>43621</v>
      </c>
      <c r="C396" s="1" t="n">
        <v>45260</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28236-2019</t>
        </is>
      </c>
      <c r="B397" s="1" t="n">
        <v>43621</v>
      </c>
      <c r="C397" s="1" t="n">
        <v>45260</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30383-2019</t>
        </is>
      </c>
      <c r="B398" s="1" t="n">
        <v>43634</v>
      </c>
      <c r="C398" s="1" t="n">
        <v>45260</v>
      </c>
      <c r="D398" t="inlineStr">
        <is>
          <t>VÄSTERNORRLANDS LÄN</t>
        </is>
      </c>
      <c r="E398" t="inlineStr">
        <is>
          <t>SOLLEFTEÅ</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30628-2019</t>
        </is>
      </c>
      <c r="B399" s="1" t="n">
        <v>43635</v>
      </c>
      <c r="C399" s="1" t="n">
        <v>45260</v>
      </c>
      <c r="D399" t="inlineStr">
        <is>
          <t>VÄSTERNORRLANDS LÄN</t>
        </is>
      </c>
      <c r="E399" t="inlineStr">
        <is>
          <t>SOLLEFTEÅ</t>
        </is>
      </c>
      <c r="F399" t="inlineStr">
        <is>
          <t>SCA</t>
        </is>
      </c>
      <c r="G399" t="n">
        <v>7.2</v>
      </c>
      <c r="H399" t="n">
        <v>0</v>
      </c>
      <c r="I399" t="n">
        <v>0</v>
      </c>
      <c r="J399" t="n">
        <v>0</v>
      </c>
      <c r="K399" t="n">
        <v>0</v>
      </c>
      <c r="L399" t="n">
        <v>0</v>
      </c>
      <c r="M399" t="n">
        <v>0</v>
      </c>
      <c r="N399" t="n">
        <v>0</v>
      </c>
      <c r="O399" t="n">
        <v>0</v>
      </c>
      <c r="P399" t="n">
        <v>0</v>
      </c>
      <c r="Q399" t="n">
        <v>0</v>
      </c>
      <c r="R399" s="2" t="inlineStr"/>
    </row>
    <row r="400" ht="15" customHeight="1">
      <c r="A400" t="inlineStr">
        <is>
          <t>A 32202-2019</t>
        </is>
      </c>
      <c r="B400" s="1" t="n">
        <v>43643</v>
      </c>
      <c r="C400" s="1" t="n">
        <v>45260</v>
      </c>
      <c r="D400" t="inlineStr">
        <is>
          <t>VÄSTERNORRLANDS LÄN</t>
        </is>
      </c>
      <c r="E400" t="inlineStr">
        <is>
          <t>SOLLEFTEÅ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32203-2019</t>
        </is>
      </c>
      <c r="B401" s="1" t="n">
        <v>43643</v>
      </c>
      <c r="C401" s="1" t="n">
        <v>45260</v>
      </c>
      <c r="D401" t="inlineStr">
        <is>
          <t>VÄSTERNORRLANDS LÄN</t>
        </is>
      </c>
      <c r="E401" t="inlineStr">
        <is>
          <t>SOLLEFTEÅ</t>
        </is>
      </c>
      <c r="G401" t="n">
        <v>1.7</v>
      </c>
      <c r="H401" t="n">
        <v>0</v>
      </c>
      <c r="I401" t="n">
        <v>0</v>
      </c>
      <c r="J401" t="n">
        <v>0</v>
      </c>
      <c r="K401" t="n">
        <v>0</v>
      </c>
      <c r="L401" t="n">
        <v>0</v>
      </c>
      <c r="M401" t="n">
        <v>0</v>
      </c>
      <c r="N401" t="n">
        <v>0</v>
      </c>
      <c r="O401" t="n">
        <v>0</v>
      </c>
      <c r="P401" t="n">
        <v>0</v>
      </c>
      <c r="Q401" t="n">
        <v>0</v>
      </c>
      <c r="R401" s="2" t="inlineStr"/>
    </row>
    <row r="402" ht="15" customHeight="1">
      <c r="A402" t="inlineStr">
        <is>
          <t>A 32744-2019</t>
        </is>
      </c>
      <c r="B402" s="1" t="n">
        <v>43647</v>
      </c>
      <c r="C402" s="1" t="n">
        <v>45260</v>
      </c>
      <c r="D402" t="inlineStr">
        <is>
          <t>VÄSTERNORRLANDS LÄN</t>
        </is>
      </c>
      <c r="E402" t="inlineStr">
        <is>
          <t>SOLLEFTEÅ</t>
        </is>
      </c>
      <c r="F402" t="inlineStr">
        <is>
          <t>SCA</t>
        </is>
      </c>
      <c r="G402" t="n">
        <v>33.3</v>
      </c>
      <c r="H402" t="n">
        <v>0</v>
      </c>
      <c r="I402" t="n">
        <v>0</v>
      </c>
      <c r="J402" t="n">
        <v>0</v>
      </c>
      <c r="K402" t="n">
        <v>0</v>
      </c>
      <c r="L402" t="n">
        <v>0</v>
      </c>
      <c r="M402" t="n">
        <v>0</v>
      </c>
      <c r="N402" t="n">
        <v>0</v>
      </c>
      <c r="O402" t="n">
        <v>0</v>
      </c>
      <c r="P402" t="n">
        <v>0</v>
      </c>
      <c r="Q402" t="n">
        <v>0</v>
      </c>
      <c r="R402" s="2" t="inlineStr"/>
    </row>
    <row r="403" ht="15" customHeight="1">
      <c r="A403" t="inlineStr">
        <is>
          <t>A 33217-2019</t>
        </is>
      </c>
      <c r="B403" s="1" t="n">
        <v>43649</v>
      </c>
      <c r="C403" s="1" t="n">
        <v>45260</v>
      </c>
      <c r="D403" t="inlineStr">
        <is>
          <t>VÄSTERNORRLANDS LÄN</t>
        </is>
      </c>
      <c r="E403" t="inlineStr">
        <is>
          <t>SOLLEFTEÅ</t>
        </is>
      </c>
      <c r="G403" t="n">
        <v>29.3</v>
      </c>
      <c r="H403" t="n">
        <v>0</v>
      </c>
      <c r="I403" t="n">
        <v>0</v>
      </c>
      <c r="J403" t="n">
        <v>0</v>
      </c>
      <c r="K403" t="n">
        <v>0</v>
      </c>
      <c r="L403" t="n">
        <v>0</v>
      </c>
      <c r="M403" t="n">
        <v>0</v>
      </c>
      <c r="N403" t="n">
        <v>0</v>
      </c>
      <c r="O403" t="n">
        <v>0</v>
      </c>
      <c r="P403" t="n">
        <v>0</v>
      </c>
      <c r="Q403" t="n">
        <v>0</v>
      </c>
      <c r="R403" s="2" t="inlineStr"/>
    </row>
    <row r="404" ht="15" customHeight="1">
      <c r="A404" t="inlineStr">
        <is>
          <t>A 34886-2019</t>
        </is>
      </c>
      <c r="B404" s="1" t="n">
        <v>43650</v>
      </c>
      <c r="C404" s="1" t="n">
        <v>45260</v>
      </c>
      <c r="D404" t="inlineStr">
        <is>
          <t>VÄSTERNORRLANDS LÄN</t>
        </is>
      </c>
      <c r="E404" t="inlineStr">
        <is>
          <t>SOLLEFTEÅ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33833-2019</t>
        </is>
      </c>
      <c r="B405" s="1" t="n">
        <v>43651</v>
      </c>
      <c r="C405" s="1" t="n">
        <v>45260</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33826-2019</t>
        </is>
      </c>
      <c r="B406" s="1" t="n">
        <v>43651</v>
      </c>
      <c r="C406" s="1" t="n">
        <v>45260</v>
      </c>
      <c r="D406" t="inlineStr">
        <is>
          <t>VÄSTERNORRLANDS LÄN</t>
        </is>
      </c>
      <c r="E406" t="inlineStr">
        <is>
          <t>SOLLEFTEÅ</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33852-2019</t>
        </is>
      </c>
      <c r="B407" s="1" t="n">
        <v>43651</v>
      </c>
      <c r="C407" s="1" t="n">
        <v>45260</v>
      </c>
      <c r="D407" t="inlineStr">
        <is>
          <t>VÄSTERNORRLANDS LÄN</t>
        </is>
      </c>
      <c r="E407" t="inlineStr">
        <is>
          <t>SOLLEFTEÅ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33914-2019</t>
        </is>
      </c>
      <c r="B408" s="1" t="n">
        <v>43654</v>
      </c>
      <c r="C408" s="1" t="n">
        <v>45260</v>
      </c>
      <c r="D408" t="inlineStr">
        <is>
          <t>VÄSTERNORRLANDS LÄN</t>
        </is>
      </c>
      <c r="E408" t="inlineStr">
        <is>
          <t>SOLLEFTEÅ</t>
        </is>
      </c>
      <c r="G408" t="n">
        <v>2.9</v>
      </c>
      <c r="H408" t="n">
        <v>0</v>
      </c>
      <c r="I408" t="n">
        <v>0</v>
      </c>
      <c r="J408" t="n">
        <v>0</v>
      </c>
      <c r="K408" t="n">
        <v>0</v>
      </c>
      <c r="L408" t="n">
        <v>0</v>
      </c>
      <c r="M408" t="n">
        <v>0</v>
      </c>
      <c r="N408" t="n">
        <v>0</v>
      </c>
      <c r="O408" t="n">
        <v>0</v>
      </c>
      <c r="P408" t="n">
        <v>0</v>
      </c>
      <c r="Q408" t="n">
        <v>0</v>
      </c>
      <c r="R408" s="2" t="inlineStr"/>
    </row>
    <row r="409" ht="15" customHeight="1">
      <c r="A409" t="inlineStr">
        <is>
          <t>A 34113-2019</t>
        </is>
      </c>
      <c r="B409" s="1" t="n">
        <v>43654</v>
      </c>
      <c r="C409" s="1" t="n">
        <v>45260</v>
      </c>
      <c r="D409" t="inlineStr">
        <is>
          <t>VÄSTERNORRLANDS LÄN</t>
        </is>
      </c>
      <c r="E409" t="inlineStr">
        <is>
          <t>SOLLEFTEÅ</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34311-2019</t>
        </is>
      </c>
      <c r="B410" s="1" t="n">
        <v>43655</v>
      </c>
      <c r="C410" s="1" t="n">
        <v>45260</v>
      </c>
      <c r="D410" t="inlineStr">
        <is>
          <t>VÄSTERNORRLANDS LÄN</t>
        </is>
      </c>
      <c r="E410" t="inlineStr">
        <is>
          <t>SOLLEFTEÅ</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34229-2019</t>
        </is>
      </c>
      <c r="B411" s="1" t="n">
        <v>43655</v>
      </c>
      <c r="C411" s="1" t="n">
        <v>45260</v>
      </c>
      <c r="D411" t="inlineStr">
        <is>
          <t>VÄSTERNORRLANDS LÄN</t>
        </is>
      </c>
      <c r="E411" t="inlineStr">
        <is>
          <t>SOLLEFTEÅ</t>
        </is>
      </c>
      <c r="G411" t="n">
        <v>7.9</v>
      </c>
      <c r="H411" t="n">
        <v>0</v>
      </c>
      <c r="I411" t="n">
        <v>0</v>
      </c>
      <c r="J411" t="n">
        <v>0</v>
      </c>
      <c r="K411" t="n">
        <v>0</v>
      </c>
      <c r="L411" t="n">
        <v>0</v>
      </c>
      <c r="M411" t="n">
        <v>0</v>
      </c>
      <c r="N411" t="n">
        <v>0</v>
      </c>
      <c r="O411" t="n">
        <v>0</v>
      </c>
      <c r="P411" t="n">
        <v>0</v>
      </c>
      <c r="Q411" t="n">
        <v>0</v>
      </c>
      <c r="R411" s="2" t="inlineStr"/>
    </row>
    <row r="412" ht="15" customHeight="1">
      <c r="A412" t="inlineStr">
        <is>
          <t>A 34302-2019</t>
        </is>
      </c>
      <c r="B412" s="1" t="n">
        <v>43655</v>
      </c>
      <c r="C412" s="1" t="n">
        <v>45260</v>
      </c>
      <c r="D412" t="inlineStr">
        <is>
          <t>VÄSTERNORRLANDS LÄN</t>
        </is>
      </c>
      <c r="E412" t="inlineStr">
        <is>
          <t>SOLLEFTEÅ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34738-2019</t>
        </is>
      </c>
      <c r="B413" s="1" t="n">
        <v>43657</v>
      </c>
      <c r="C413" s="1" t="n">
        <v>45260</v>
      </c>
      <c r="D413" t="inlineStr">
        <is>
          <t>VÄSTERNORRLANDS LÄN</t>
        </is>
      </c>
      <c r="E413" t="inlineStr">
        <is>
          <t>SOLLEFTEÅ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34916-2019</t>
        </is>
      </c>
      <c r="B414" s="1" t="n">
        <v>43658</v>
      </c>
      <c r="C414" s="1" t="n">
        <v>45260</v>
      </c>
      <c r="D414" t="inlineStr">
        <is>
          <t>VÄSTERNORRLANDS LÄN</t>
        </is>
      </c>
      <c r="E414" t="inlineStr">
        <is>
          <t>SOLLEFTEÅ</t>
        </is>
      </c>
      <c r="G414" t="n">
        <v>2.6</v>
      </c>
      <c r="H414" t="n">
        <v>0</v>
      </c>
      <c r="I414" t="n">
        <v>0</v>
      </c>
      <c r="J414" t="n">
        <v>0</v>
      </c>
      <c r="K414" t="n">
        <v>0</v>
      </c>
      <c r="L414" t="n">
        <v>0</v>
      </c>
      <c r="M414" t="n">
        <v>0</v>
      </c>
      <c r="N414" t="n">
        <v>0</v>
      </c>
      <c r="O414" t="n">
        <v>0</v>
      </c>
      <c r="P414" t="n">
        <v>0</v>
      </c>
      <c r="Q414" t="n">
        <v>0</v>
      </c>
      <c r="R414" s="2" t="inlineStr"/>
    </row>
    <row r="415" ht="15" customHeight="1">
      <c r="A415" t="inlineStr">
        <is>
          <t>A 35320-2019</t>
        </is>
      </c>
      <c r="B415" s="1" t="n">
        <v>43662</v>
      </c>
      <c r="C415" s="1" t="n">
        <v>45260</v>
      </c>
      <c r="D415" t="inlineStr">
        <is>
          <t>VÄSTERNORRLANDS LÄN</t>
        </is>
      </c>
      <c r="E415" t="inlineStr">
        <is>
          <t>SOLLEFTEÅ</t>
        </is>
      </c>
      <c r="F415" t="inlineStr">
        <is>
          <t>SCA</t>
        </is>
      </c>
      <c r="G415" t="n">
        <v>8</v>
      </c>
      <c r="H415" t="n">
        <v>0</v>
      </c>
      <c r="I415" t="n">
        <v>0</v>
      </c>
      <c r="J415" t="n">
        <v>0</v>
      </c>
      <c r="K415" t="n">
        <v>0</v>
      </c>
      <c r="L415" t="n">
        <v>0</v>
      </c>
      <c r="M415" t="n">
        <v>0</v>
      </c>
      <c r="N415" t="n">
        <v>0</v>
      </c>
      <c r="O415" t="n">
        <v>0</v>
      </c>
      <c r="P415" t="n">
        <v>0</v>
      </c>
      <c r="Q415" t="n">
        <v>0</v>
      </c>
      <c r="R415" s="2" t="inlineStr"/>
    </row>
    <row r="416" ht="15" customHeight="1">
      <c r="A416" t="inlineStr">
        <is>
          <t>A 35970-2019</t>
        </is>
      </c>
      <c r="B416" s="1" t="n">
        <v>43665</v>
      </c>
      <c r="C416" s="1" t="n">
        <v>45260</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35969-2019</t>
        </is>
      </c>
      <c r="B417" s="1" t="n">
        <v>43665</v>
      </c>
      <c r="C417" s="1" t="n">
        <v>45260</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36137-2019</t>
        </is>
      </c>
      <c r="B418" s="1" t="n">
        <v>43668</v>
      </c>
      <c r="C418" s="1" t="n">
        <v>45260</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36486-2019</t>
        </is>
      </c>
      <c r="B419" s="1" t="n">
        <v>43668</v>
      </c>
      <c r="C419" s="1" t="n">
        <v>45260</v>
      </c>
      <c r="D419" t="inlineStr">
        <is>
          <t>VÄSTERNORRLANDS LÄN</t>
        </is>
      </c>
      <c r="E419" t="inlineStr">
        <is>
          <t>SOLLEFTEÅ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36293-2019</t>
        </is>
      </c>
      <c r="B420" s="1" t="n">
        <v>43669</v>
      </c>
      <c r="C420" s="1" t="n">
        <v>45260</v>
      </c>
      <c r="D420" t="inlineStr">
        <is>
          <t>VÄSTERNORRLANDS LÄN</t>
        </is>
      </c>
      <c r="E420" t="inlineStr">
        <is>
          <t>SOLLEFTEÅ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36711-2019</t>
        </is>
      </c>
      <c r="B421" s="1" t="n">
        <v>43671</v>
      </c>
      <c r="C421" s="1" t="n">
        <v>45260</v>
      </c>
      <c r="D421" t="inlineStr">
        <is>
          <t>VÄSTERNORRLANDS LÄN</t>
        </is>
      </c>
      <c r="E421" t="inlineStr">
        <is>
          <t>SOLLEFTEÅ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37292-2019</t>
        </is>
      </c>
      <c r="B422" s="1" t="n">
        <v>43677</v>
      </c>
      <c r="C422" s="1" t="n">
        <v>45260</v>
      </c>
      <c r="D422" t="inlineStr">
        <is>
          <t>VÄSTERNORRLANDS LÄN</t>
        </is>
      </c>
      <c r="E422" t="inlineStr">
        <is>
          <t>SOLLEFTEÅ</t>
        </is>
      </c>
      <c r="G422" t="n">
        <v>7.8</v>
      </c>
      <c r="H422" t="n">
        <v>0</v>
      </c>
      <c r="I422" t="n">
        <v>0</v>
      </c>
      <c r="J422" t="n">
        <v>0</v>
      </c>
      <c r="K422" t="n">
        <v>0</v>
      </c>
      <c r="L422" t="n">
        <v>0</v>
      </c>
      <c r="M422" t="n">
        <v>0</v>
      </c>
      <c r="N422" t="n">
        <v>0</v>
      </c>
      <c r="O422" t="n">
        <v>0</v>
      </c>
      <c r="P422" t="n">
        <v>0</v>
      </c>
      <c r="Q422" t="n">
        <v>0</v>
      </c>
      <c r="R422" s="2" t="inlineStr"/>
    </row>
    <row r="423" ht="15" customHeight="1">
      <c r="A423" t="inlineStr">
        <is>
          <t>A 37291-2019</t>
        </is>
      </c>
      <c r="B423" s="1" t="n">
        <v>43677</v>
      </c>
      <c r="C423" s="1" t="n">
        <v>45260</v>
      </c>
      <c r="D423" t="inlineStr">
        <is>
          <t>VÄSTERNORRLANDS LÄN</t>
        </is>
      </c>
      <c r="E423" t="inlineStr">
        <is>
          <t>SOLLEFTEÅ</t>
        </is>
      </c>
      <c r="G423" t="n">
        <v>7.4</v>
      </c>
      <c r="H423" t="n">
        <v>0</v>
      </c>
      <c r="I423" t="n">
        <v>0</v>
      </c>
      <c r="J423" t="n">
        <v>0</v>
      </c>
      <c r="K423" t="n">
        <v>0</v>
      </c>
      <c r="L423" t="n">
        <v>0</v>
      </c>
      <c r="M423" t="n">
        <v>0</v>
      </c>
      <c r="N423" t="n">
        <v>0</v>
      </c>
      <c r="O423" t="n">
        <v>0</v>
      </c>
      <c r="P423" t="n">
        <v>0</v>
      </c>
      <c r="Q423" t="n">
        <v>0</v>
      </c>
      <c r="R423" s="2" t="inlineStr"/>
    </row>
    <row r="424" ht="15" customHeight="1">
      <c r="A424" t="inlineStr">
        <is>
          <t>A 37434-2019</t>
        </is>
      </c>
      <c r="B424" s="1" t="n">
        <v>43678</v>
      </c>
      <c r="C424" s="1" t="n">
        <v>45260</v>
      </c>
      <c r="D424" t="inlineStr">
        <is>
          <t>VÄSTERNORRLANDS LÄN</t>
        </is>
      </c>
      <c r="E424" t="inlineStr">
        <is>
          <t>SOLLEFTEÅ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37652-2019</t>
        </is>
      </c>
      <c r="B425" s="1" t="n">
        <v>43679</v>
      </c>
      <c r="C425" s="1" t="n">
        <v>45260</v>
      </c>
      <c r="D425" t="inlineStr">
        <is>
          <t>VÄSTERNORRLANDS LÄN</t>
        </is>
      </c>
      <c r="E425" t="inlineStr">
        <is>
          <t>SOLLEFTEÅ</t>
        </is>
      </c>
      <c r="G425" t="n">
        <v>3.6</v>
      </c>
      <c r="H425" t="n">
        <v>0</v>
      </c>
      <c r="I425" t="n">
        <v>0</v>
      </c>
      <c r="J425" t="n">
        <v>0</v>
      </c>
      <c r="K425" t="n">
        <v>0</v>
      </c>
      <c r="L425" t="n">
        <v>0</v>
      </c>
      <c r="M425" t="n">
        <v>0</v>
      </c>
      <c r="N425" t="n">
        <v>0</v>
      </c>
      <c r="O425" t="n">
        <v>0</v>
      </c>
      <c r="P425" t="n">
        <v>0</v>
      </c>
      <c r="Q425" t="n">
        <v>0</v>
      </c>
      <c r="R425" s="2" t="inlineStr"/>
    </row>
    <row r="426" ht="15" customHeight="1">
      <c r="A426" t="inlineStr">
        <is>
          <t>A 37670-2019</t>
        </is>
      </c>
      <c r="B426" s="1" t="n">
        <v>43679</v>
      </c>
      <c r="C426" s="1" t="n">
        <v>45260</v>
      </c>
      <c r="D426" t="inlineStr">
        <is>
          <t>VÄSTERNORRLANDS LÄN</t>
        </is>
      </c>
      <c r="E426" t="inlineStr">
        <is>
          <t>SOLLEFTEÅ</t>
        </is>
      </c>
      <c r="G426" t="n">
        <v>3.2</v>
      </c>
      <c r="H426" t="n">
        <v>0</v>
      </c>
      <c r="I426" t="n">
        <v>0</v>
      </c>
      <c r="J426" t="n">
        <v>0</v>
      </c>
      <c r="K426" t="n">
        <v>0</v>
      </c>
      <c r="L426" t="n">
        <v>0</v>
      </c>
      <c r="M426" t="n">
        <v>0</v>
      </c>
      <c r="N426" t="n">
        <v>0</v>
      </c>
      <c r="O426" t="n">
        <v>0</v>
      </c>
      <c r="P426" t="n">
        <v>0</v>
      </c>
      <c r="Q426" t="n">
        <v>0</v>
      </c>
      <c r="R426" s="2" t="inlineStr"/>
    </row>
    <row r="427" ht="15" customHeight="1">
      <c r="A427" t="inlineStr">
        <is>
          <t>A 38081-2019</t>
        </is>
      </c>
      <c r="B427" s="1" t="n">
        <v>43682</v>
      </c>
      <c r="C427" s="1" t="n">
        <v>45260</v>
      </c>
      <c r="D427" t="inlineStr">
        <is>
          <t>VÄSTERNORRLANDS LÄN</t>
        </is>
      </c>
      <c r="E427" t="inlineStr">
        <is>
          <t>SOLLEFTEÅ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38074-2019</t>
        </is>
      </c>
      <c r="B428" s="1" t="n">
        <v>43682</v>
      </c>
      <c r="C428" s="1" t="n">
        <v>45260</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38080-2019</t>
        </is>
      </c>
      <c r="B429" s="1" t="n">
        <v>43682</v>
      </c>
      <c r="C429" s="1" t="n">
        <v>45260</v>
      </c>
      <c r="D429" t="inlineStr">
        <is>
          <t>VÄSTERNORRLANDS LÄN</t>
        </is>
      </c>
      <c r="E429" t="inlineStr">
        <is>
          <t>SOLLEFTEÅ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38083-2019</t>
        </is>
      </c>
      <c r="B430" s="1" t="n">
        <v>43682</v>
      </c>
      <c r="C430" s="1" t="n">
        <v>45260</v>
      </c>
      <c r="D430" t="inlineStr">
        <is>
          <t>VÄSTERNORRLANDS LÄN</t>
        </is>
      </c>
      <c r="E430" t="inlineStr">
        <is>
          <t>SOLLEFTEÅ</t>
        </is>
      </c>
      <c r="G430" t="n">
        <v>9.6</v>
      </c>
      <c r="H430" t="n">
        <v>0</v>
      </c>
      <c r="I430" t="n">
        <v>0</v>
      </c>
      <c r="J430" t="n">
        <v>0</v>
      </c>
      <c r="K430" t="n">
        <v>0</v>
      </c>
      <c r="L430" t="n">
        <v>0</v>
      </c>
      <c r="M430" t="n">
        <v>0</v>
      </c>
      <c r="N430" t="n">
        <v>0</v>
      </c>
      <c r="O430" t="n">
        <v>0</v>
      </c>
      <c r="P430" t="n">
        <v>0</v>
      </c>
      <c r="Q430" t="n">
        <v>0</v>
      </c>
      <c r="R430" s="2" t="inlineStr"/>
    </row>
    <row r="431" ht="15" customHeight="1">
      <c r="A431" t="inlineStr">
        <is>
          <t>A 38544-2019</t>
        </is>
      </c>
      <c r="B431" s="1" t="n">
        <v>43684</v>
      </c>
      <c r="C431" s="1" t="n">
        <v>45260</v>
      </c>
      <c r="D431" t="inlineStr">
        <is>
          <t>VÄSTERNORRLANDS LÄN</t>
        </is>
      </c>
      <c r="E431" t="inlineStr">
        <is>
          <t>SOLLEFTEÅ</t>
        </is>
      </c>
      <c r="G431" t="n">
        <v>6.6</v>
      </c>
      <c r="H431" t="n">
        <v>0</v>
      </c>
      <c r="I431" t="n">
        <v>0</v>
      </c>
      <c r="J431" t="n">
        <v>0</v>
      </c>
      <c r="K431" t="n">
        <v>0</v>
      </c>
      <c r="L431" t="n">
        <v>0</v>
      </c>
      <c r="M431" t="n">
        <v>0</v>
      </c>
      <c r="N431" t="n">
        <v>0</v>
      </c>
      <c r="O431" t="n">
        <v>0</v>
      </c>
      <c r="P431" t="n">
        <v>0</v>
      </c>
      <c r="Q431" t="n">
        <v>0</v>
      </c>
      <c r="R431" s="2" t="inlineStr"/>
    </row>
    <row r="432" ht="15" customHeight="1">
      <c r="A432" t="inlineStr">
        <is>
          <t>A 38252-2019</t>
        </is>
      </c>
      <c r="B432" s="1" t="n">
        <v>43684</v>
      </c>
      <c r="C432" s="1" t="n">
        <v>45260</v>
      </c>
      <c r="D432" t="inlineStr">
        <is>
          <t>VÄSTERNORRLANDS LÄN</t>
        </is>
      </c>
      <c r="E432" t="inlineStr">
        <is>
          <t>SOLLEFTEÅ</t>
        </is>
      </c>
      <c r="G432" t="n">
        <v>2.4</v>
      </c>
      <c r="H432" t="n">
        <v>0</v>
      </c>
      <c r="I432" t="n">
        <v>0</v>
      </c>
      <c r="J432" t="n">
        <v>0</v>
      </c>
      <c r="K432" t="n">
        <v>0</v>
      </c>
      <c r="L432" t="n">
        <v>0</v>
      </c>
      <c r="M432" t="n">
        <v>0</v>
      </c>
      <c r="N432" t="n">
        <v>0</v>
      </c>
      <c r="O432" t="n">
        <v>0</v>
      </c>
      <c r="P432" t="n">
        <v>0</v>
      </c>
      <c r="Q432" t="n">
        <v>0</v>
      </c>
      <c r="R432" s="2" t="inlineStr"/>
    </row>
    <row r="433" ht="15" customHeight="1">
      <c r="A433" t="inlineStr">
        <is>
          <t>A 38566-2019</t>
        </is>
      </c>
      <c r="B433" s="1" t="n">
        <v>43685</v>
      </c>
      <c r="C433" s="1" t="n">
        <v>45260</v>
      </c>
      <c r="D433" t="inlineStr">
        <is>
          <t>VÄSTERNORRLANDS LÄN</t>
        </is>
      </c>
      <c r="E433" t="inlineStr">
        <is>
          <t>SOLLEFTEÅ</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38762-2019</t>
        </is>
      </c>
      <c r="B434" s="1" t="n">
        <v>43686</v>
      </c>
      <c r="C434" s="1" t="n">
        <v>45260</v>
      </c>
      <c r="D434" t="inlineStr">
        <is>
          <t>VÄSTERNORRLANDS LÄN</t>
        </is>
      </c>
      <c r="E434" t="inlineStr">
        <is>
          <t>SOLLEFTEÅ</t>
        </is>
      </c>
      <c r="G434" t="n">
        <v>7.7</v>
      </c>
      <c r="H434" t="n">
        <v>0</v>
      </c>
      <c r="I434" t="n">
        <v>0</v>
      </c>
      <c r="J434" t="n">
        <v>0</v>
      </c>
      <c r="K434" t="n">
        <v>0</v>
      </c>
      <c r="L434" t="n">
        <v>0</v>
      </c>
      <c r="M434" t="n">
        <v>0</v>
      </c>
      <c r="N434" t="n">
        <v>0</v>
      </c>
      <c r="O434" t="n">
        <v>0</v>
      </c>
      <c r="P434" t="n">
        <v>0</v>
      </c>
      <c r="Q434" t="n">
        <v>0</v>
      </c>
      <c r="R434" s="2" t="inlineStr"/>
    </row>
    <row r="435" ht="15" customHeight="1">
      <c r="A435" t="inlineStr">
        <is>
          <t>A 38763-2019</t>
        </is>
      </c>
      <c r="B435" s="1" t="n">
        <v>43686</v>
      </c>
      <c r="C435" s="1" t="n">
        <v>45260</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39123-2019</t>
        </is>
      </c>
      <c r="B436" s="1" t="n">
        <v>43689</v>
      </c>
      <c r="C436" s="1" t="n">
        <v>45260</v>
      </c>
      <c r="D436" t="inlineStr">
        <is>
          <t>VÄSTERNORRLANDS LÄN</t>
        </is>
      </c>
      <c r="E436" t="inlineStr">
        <is>
          <t>SOLLEFTEÅ</t>
        </is>
      </c>
      <c r="G436" t="n">
        <v>10.9</v>
      </c>
      <c r="H436" t="n">
        <v>0</v>
      </c>
      <c r="I436" t="n">
        <v>0</v>
      </c>
      <c r="J436" t="n">
        <v>0</v>
      </c>
      <c r="K436" t="n">
        <v>0</v>
      </c>
      <c r="L436" t="n">
        <v>0</v>
      </c>
      <c r="M436" t="n">
        <v>0</v>
      </c>
      <c r="N436" t="n">
        <v>0</v>
      </c>
      <c r="O436" t="n">
        <v>0</v>
      </c>
      <c r="P436" t="n">
        <v>0</v>
      </c>
      <c r="Q436" t="n">
        <v>0</v>
      </c>
      <c r="R436" s="2" t="inlineStr"/>
    </row>
    <row r="437" ht="15" customHeight="1">
      <c r="A437" t="inlineStr">
        <is>
          <t>A 39768-2019</t>
        </is>
      </c>
      <c r="B437" s="1" t="n">
        <v>43689</v>
      </c>
      <c r="C437" s="1" t="n">
        <v>45260</v>
      </c>
      <c r="D437" t="inlineStr">
        <is>
          <t>VÄSTERNORRLANDS LÄN</t>
        </is>
      </c>
      <c r="E437" t="inlineStr">
        <is>
          <t>SOLLEFTEÅ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40764-2019</t>
        </is>
      </c>
      <c r="B438" s="1" t="n">
        <v>43692</v>
      </c>
      <c r="C438" s="1" t="n">
        <v>45260</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40769-2019</t>
        </is>
      </c>
      <c r="B439" s="1" t="n">
        <v>43692</v>
      </c>
      <c r="C439" s="1" t="n">
        <v>45260</v>
      </c>
      <c r="D439" t="inlineStr">
        <is>
          <t>VÄSTERNORRLANDS LÄN</t>
        </is>
      </c>
      <c r="E439" t="inlineStr">
        <is>
          <t>SOLLEFTEÅ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41069-2019</t>
        </is>
      </c>
      <c r="B440" s="1" t="n">
        <v>43693</v>
      </c>
      <c r="C440" s="1" t="n">
        <v>45260</v>
      </c>
      <c r="D440" t="inlineStr">
        <is>
          <t>VÄSTERNORRLANDS LÄN</t>
        </is>
      </c>
      <c r="E440" t="inlineStr">
        <is>
          <t>SOLLEFTEÅ</t>
        </is>
      </c>
      <c r="G440" t="n">
        <v>2.2</v>
      </c>
      <c r="H440" t="n">
        <v>0</v>
      </c>
      <c r="I440" t="n">
        <v>0</v>
      </c>
      <c r="J440" t="n">
        <v>0</v>
      </c>
      <c r="K440" t="n">
        <v>0</v>
      </c>
      <c r="L440" t="n">
        <v>0</v>
      </c>
      <c r="M440" t="n">
        <v>0</v>
      </c>
      <c r="N440" t="n">
        <v>0</v>
      </c>
      <c r="O440" t="n">
        <v>0</v>
      </c>
      <c r="P440" t="n">
        <v>0</v>
      </c>
      <c r="Q440" t="n">
        <v>0</v>
      </c>
      <c r="R440" s="2" t="inlineStr"/>
    </row>
    <row r="441" ht="15" customHeight="1">
      <c r="A441" t="inlineStr">
        <is>
          <t>A 40512-2019</t>
        </is>
      </c>
      <c r="B441" s="1" t="n">
        <v>43696</v>
      </c>
      <c r="C441" s="1" t="n">
        <v>45260</v>
      </c>
      <c r="D441" t="inlineStr">
        <is>
          <t>VÄSTERNORRLANDS LÄN</t>
        </is>
      </c>
      <c r="E441" t="inlineStr">
        <is>
          <t>SOLLEFTEÅ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40685-2019</t>
        </is>
      </c>
      <c r="B442" s="1" t="n">
        <v>43696</v>
      </c>
      <c r="C442" s="1" t="n">
        <v>45260</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40682-2019</t>
        </is>
      </c>
      <c r="B443" s="1" t="n">
        <v>43696</v>
      </c>
      <c r="C443" s="1" t="n">
        <v>45260</v>
      </c>
      <c r="D443" t="inlineStr">
        <is>
          <t>VÄSTERNORRLANDS LÄN</t>
        </is>
      </c>
      <c r="E443" t="inlineStr">
        <is>
          <t>SOLLEFTEÅ</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40514-2019</t>
        </is>
      </c>
      <c r="B444" s="1" t="n">
        <v>43696</v>
      </c>
      <c r="C444" s="1" t="n">
        <v>45260</v>
      </c>
      <c r="D444" t="inlineStr">
        <is>
          <t>VÄSTERNORRLANDS LÄN</t>
        </is>
      </c>
      <c r="E444" t="inlineStr">
        <is>
          <t>SOLLEFTEÅ</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40679-2019</t>
        </is>
      </c>
      <c r="B445" s="1" t="n">
        <v>43696</v>
      </c>
      <c r="C445" s="1" t="n">
        <v>45260</v>
      </c>
      <c r="D445" t="inlineStr">
        <is>
          <t>VÄSTERNORRLANDS LÄN</t>
        </is>
      </c>
      <c r="E445" t="inlineStr">
        <is>
          <t>SOLLEFTEÅ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41786-2019</t>
        </is>
      </c>
      <c r="B446" s="1" t="n">
        <v>43699</v>
      </c>
      <c r="C446" s="1" t="n">
        <v>45260</v>
      </c>
      <c r="D446" t="inlineStr">
        <is>
          <t>VÄSTERNORRLANDS LÄN</t>
        </is>
      </c>
      <c r="E446" t="inlineStr">
        <is>
          <t>SOLLEFTEÅ</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42417-2019</t>
        </is>
      </c>
      <c r="B447" s="1" t="n">
        <v>43703</v>
      </c>
      <c r="C447" s="1" t="n">
        <v>45260</v>
      </c>
      <c r="D447" t="inlineStr">
        <is>
          <t>VÄSTERNORRLANDS LÄN</t>
        </is>
      </c>
      <c r="E447" t="inlineStr">
        <is>
          <t>SOLLEFTEÅ</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42791-2019</t>
        </is>
      </c>
      <c r="B448" s="1" t="n">
        <v>43704</v>
      </c>
      <c r="C448" s="1" t="n">
        <v>45260</v>
      </c>
      <c r="D448" t="inlineStr">
        <is>
          <t>VÄSTERNORRLANDS LÄN</t>
        </is>
      </c>
      <c r="E448" t="inlineStr">
        <is>
          <t>SOLLEFTEÅ</t>
        </is>
      </c>
      <c r="G448" t="n">
        <v>4.1</v>
      </c>
      <c r="H448" t="n">
        <v>0</v>
      </c>
      <c r="I448" t="n">
        <v>0</v>
      </c>
      <c r="J448" t="n">
        <v>0</v>
      </c>
      <c r="K448" t="n">
        <v>0</v>
      </c>
      <c r="L448" t="n">
        <v>0</v>
      </c>
      <c r="M448" t="n">
        <v>0</v>
      </c>
      <c r="N448" t="n">
        <v>0</v>
      </c>
      <c r="O448" t="n">
        <v>0</v>
      </c>
      <c r="P448" t="n">
        <v>0</v>
      </c>
      <c r="Q448" t="n">
        <v>0</v>
      </c>
      <c r="R448" s="2" t="inlineStr"/>
    </row>
    <row r="449" ht="15" customHeight="1">
      <c r="A449" t="inlineStr">
        <is>
          <t>A 42792-2019</t>
        </is>
      </c>
      <c r="B449" s="1" t="n">
        <v>43704</v>
      </c>
      <c r="C449" s="1" t="n">
        <v>45260</v>
      </c>
      <c r="D449" t="inlineStr">
        <is>
          <t>VÄSTERNORRLANDS LÄN</t>
        </is>
      </c>
      <c r="E449" t="inlineStr">
        <is>
          <t>SOLLEFTEÅ</t>
        </is>
      </c>
      <c r="G449" t="n">
        <v>5.7</v>
      </c>
      <c r="H449" t="n">
        <v>0</v>
      </c>
      <c r="I449" t="n">
        <v>0</v>
      </c>
      <c r="J449" t="n">
        <v>0</v>
      </c>
      <c r="K449" t="n">
        <v>0</v>
      </c>
      <c r="L449" t="n">
        <v>0</v>
      </c>
      <c r="M449" t="n">
        <v>0</v>
      </c>
      <c r="N449" t="n">
        <v>0</v>
      </c>
      <c r="O449" t="n">
        <v>0</v>
      </c>
      <c r="P449" t="n">
        <v>0</v>
      </c>
      <c r="Q449" t="n">
        <v>0</v>
      </c>
      <c r="R449" s="2" t="inlineStr"/>
    </row>
    <row r="450" ht="15" customHeight="1">
      <c r="A450" t="inlineStr">
        <is>
          <t>A 43499-2019</t>
        </is>
      </c>
      <c r="B450" s="1" t="n">
        <v>43706</v>
      </c>
      <c r="C450" s="1" t="n">
        <v>45260</v>
      </c>
      <c r="D450" t="inlineStr">
        <is>
          <t>VÄSTERNORRLANDS LÄN</t>
        </is>
      </c>
      <c r="E450" t="inlineStr">
        <is>
          <t>SOLLEFTEÅ</t>
        </is>
      </c>
      <c r="G450" t="n">
        <v>19.3</v>
      </c>
      <c r="H450" t="n">
        <v>0</v>
      </c>
      <c r="I450" t="n">
        <v>0</v>
      </c>
      <c r="J450" t="n">
        <v>0</v>
      </c>
      <c r="K450" t="n">
        <v>0</v>
      </c>
      <c r="L450" t="n">
        <v>0</v>
      </c>
      <c r="M450" t="n">
        <v>0</v>
      </c>
      <c r="N450" t="n">
        <v>0</v>
      </c>
      <c r="O450" t="n">
        <v>0</v>
      </c>
      <c r="P450" t="n">
        <v>0</v>
      </c>
      <c r="Q450" t="n">
        <v>0</v>
      </c>
      <c r="R450" s="2" t="inlineStr"/>
    </row>
    <row r="451" ht="15" customHeight="1">
      <c r="A451" t="inlineStr">
        <is>
          <t>A 45032-2019</t>
        </is>
      </c>
      <c r="B451" s="1" t="n">
        <v>43707</v>
      </c>
      <c r="C451" s="1" t="n">
        <v>45260</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44815-2019</t>
        </is>
      </c>
      <c r="B452" s="1" t="n">
        <v>43712</v>
      </c>
      <c r="C452" s="1" t="n">
        <v>45260</v>
      </c>
      <c r="D452" t="inlineStr">
        <is>
          <t>VÄSTERNORRLANDS LÄN</t>
        </is>
      </c>
      <c r="E452" t="inlineStr">
        <is>
          <t>SOLLEFTEÅ</t>
        </is>
      </c>
      <c r="G452" t="n">
        <v>3</v>
      </c>
      <c r="H452" t="n">
        <v>0</v>
      </c>
      <c r="I452" t="n">
        <v>0</v>
      </c>
      <c r="J452" t="n">
        <v>0</v>
      </c>
      <c r="K452" t="n">
        <v>0</v>
      </c>
      <c r="L452" t="n">
        <v>0</v>
      </c>
      <c r="M452" t="n">
        <v>0</v>
      </c>
      <c r="N452" t="n">
        <v>0</v>
      </c>
      <c r="O452" t="n">
        <v>0</v>
      </c>
      <c r="P452" t="n">
        <v>0</v>
      </c>
      <c r="Q452" t="n">
        <v>0</v>
      </c>
      <c r="R452" s="2" t="inlineStr"/>
    </row>
    <row r="453" ht="15" customHeight="1">
      <c r="A453" t="inlineStr">
        <is>
          <t>A 45941-2019</t>
        </is>
      </c>
      <c r="B453" s="1" t="n">
        <v>43712</v>
      </c>
      <c r="C453" s="1" t="n">
        <v>45260</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44888-2019</t>
        </is>
      </c>
      <c r="B454" s="1" t="n">
        <v>43712</v>
      </c>
      <c r="C454" s="1" t="n">
        <v>45260</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44960-2019</t>
        </is>
      </c>
      <c r="B455" s="1" t="n">
        <v>43713</v>
      </c>
      <c r="C455" s="1" t="n">
        <v>45260</v>
      </c>
      <c r="D455" t="inlineStr">
        <is>
          <t>VÄSTERNORRLANDS LÄN</t>
        </is>
      </c>
      <c r="E455" t="inlineStr">
        <is>
          <t>SOLLEFTEÅ</t>
        </is>
      </c>
      <c r="G455" t="n">
        <v>14.9</v>
      </c>
      <c r="H455" t="n">
        <v>0</v>
      </c>
      <c r="I455" t="n">
        <v>0</v>
      </c>
      <c r="J455" t="n">
        <v>0</v>
      </c>
      <c r="K455" t="n">
        <v>0</v>
      </c>
      <c r="L455" t="n">
        <v>0</v>
      </c>
      <c r="M455" t="n">
        <v>0</v>
      </c>
      <c r="N455" t="n">
        <v>0</v>
      </c>
      <c r="O455" t="n">
        <v>0</v>
      </c>
      <c r="P455" t="n">
        <v>0</v>
      </c>
      <c r="Q455" t="n">
        <v>0</v>
      </c>
      <c r="R455" s="2" t="inlineStr"/>
    </row>
    <row r="456" ht="15" customHeight="1">
      <c r="A456" t="inlineStr">
        <is>
          <t>A 45537-2019</t>
        </is>
      </c>
      <c r="B456" s="1" t="n">
        <v>43714</v>
      </c>
      <c r="C456" s="1" t="n">
        <v>45260</v>
      </c>
      <c r="D456" t="inlineStr">
        <is>
          <t>VÄSTERNORRLANDS LÄN</t>
        </is>
      </c>
      <c r="E456" t="inlineStr">
        <is>
          <t>SOLLEFTEÅ</t>
        </is>
      </c>
      <c r="F456" t="inlineStr">
        <is>
          <t>SCA</t>
        </is>
      </c>
      <c r="G456" t="n">
        <v>35.1</v>
      </c>
      <c r="H456" t="n">
        <v>0</v>
      </c>
      <c r="I456" t="n">
        <v>0</v>
      </c>
      <c r="J456" t="n">
        <v>0</v>
      </c>
      <c r="K456" t="n">
        <v>0</v>
      </c>
      <c r="L456" t="n">
        <v>0</v>
      </c>
      <c r="M456" t="n">
        <v>0</v>
      </c>
      <c r="N456" t="n">
        <v>0</v>
      </c>
      <c r="O456" t="n">
        <v>0</v>
      </c>
      <c r="P456" t="n">
        <v>0</v>
      </c>
      <c r="Q456" t="n">
        <v>0</v>
      </c>
      <c r="R456" s="2" t="inlineStr"/>
    </row>
    <row r="457" ht="15" customHeight="1">
      <c r="A457" t="inlineStr">
        <is>
          <t>A 46345-2019</t>
        </is>
      </c>
      <c r="B457" s="1" t="n">
        <v>43718</v>
      </c>
      <c r="C457" s="1" t="n">
        <v>45260</v>
      </c>
      <c r="D457" t="inlineStr">
        <is>
          <t>VÄSTERNORRLANDS LÄN</t>
        </is>
      </c>
      <c r="E457" t="inlineStr">
        <is>
          <t>SOLLEFTEÅ</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46956-2019</t>
        </is>
      </c>
      <c r="B458" s="1" t="n">
        <v>43719</v>
      </c>
      <c r="C458" s="1" t="n">
        <v>45260</v>
      </c>
      <c r="D458" t="inlineStr">
        <is>
          <t>VÄSTERNORRLANDS LÄN</t>
        </is>
      </c>
      <c r="E458" t="inlineStr">
        <is>
          <t>SOLLEFTEÅ</t>
        </is>
      </c>
      <c r="G458" t="n">
        <v>18.1</v>
      </c>
      <c r="H458" t="n">
        <v>0</v>
      </c>
      <c r="I458" t="n">
        <v>0</v>
      </c>
      <c r="J458" t="n">
        <v>0</v>
      </c>
      <c r="K458" t="n">
        <v>0</v>
      </c>
      <c r="L458" t="n">
        <v>0</v>
      </c>
      <c r="M458" t="n">
        <v>0</v>
      </c>
      <c r="N458" t="n">
        <v>0</v>
      </c>
      <c r="O458" t="n">
        <v>0</v>
      </c>
      <c r="P458" t="n">
        <v>0</v>
      </c>
      <c r="Q458" t="n">
        <v>0</v>
      </c>
      <c r="R458" s="2" t="inlineStr"/>
    </row>
    <row r="459" ht="15" customHeight="1">
      <c r="A459" t="inlineStr">
        <is>
          <t>A 47366-2019</t>
        </is>
      </c>
      <c r="B459" s="1" t="n">
        <v>43721</v>
      </c>
      <c r="C459" s="1" t="n">
        <v>45260</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47764-2019</t>
        </is>
      </c>
      <c r="B460" s="1" t="n">
        <v>43724</v>
      </c>
      <c r="C460" s="1" t="n">
        <v>45260</v>
      </c>
      <c r="D460" t="inlineStr">
        <is>
          <t>VÄSTERNORRLANDS LÄN</t>
        </is>
      </c>
      <c r="E460" t="inlineStr">
        <is>
          <t>SOLLEFTEÅ</t>
        </is>
      </c>
      <c r="F460" t="inlineStr">
        <is>
          <t>Kyrkan</t>
        </is>
      </c>
      <c r="G460" t="n">
        <v>4.1</v>
      </c>
      <c r="H460" t="n">
        <v>0</v>
      </c>
      <c r="I460" t="n">
        <v>0</v>
      </c>
      <c r="J460" t="n">
        <v>0</v>
      </c>
      <c r="K460" t="n">
        <v>0</v>
      </c>
      <c r="L460" t="n">
        <v>0</v>
      </c>
      <c r="M460" t="n">
        <v>0</v>
      </c>
      <c r="N460" t="n">
        <v>0</v>
      </c>
      <c r="O460" t="n">
        <v>0</v>
      </c>
      <c r="P460" t="n">
        <v>0</v>
      </c>
      <c r="Q460" t="n">
        <v>0</v>
      </c>
      <c r="R460" s="2" t="inlineStr"/>
    </row>
    <row r="461" ht="15" customHeight="1">
      <c r="A461" t="inlineStr">
        <is>
          <t>A 47768-2019</t>
        </is>
      </c>
      <c r="B461" s="1" t="n">
        <v>43724</v>
      </c>
      <c r="C461" s="1" t="n">
        <v>45260</v>
      </c>
      <c r="D461" t="inlineStr">
        <is>
          <t>VÄSTERNORRLANDS LÄN</t>
        </is>
      </c>
      <c r="E461" t="inlineStr">
        <is>
          <t>SOLLEFTEÅ</t>
        </is>
      </c>
      <c r="F461" t="inlineStr">
        <is>
          <t>Kyrkan</t>
        </is>
      </c>
      <c r="G461" t="n">
        <v>12.1</v>
      </c>
      <c r="H461" t="n">
        <v>0</v>
      </c>
      <c r="I461" t="n">
        <v>0</v>
      </c>
      <c r="J461" t="n">
        <v>0</v>
      </c>
      <c r="K461" t="n">
        <v>0</v>
      </c>
      <c r="L461" t="n">
        <v>0</v>
      </c>
      <c r="M461" t="n">
        <v>0</v>
      </c>
      <c r="N461" t="n">
        <v>0</v>
      </c>
      <c r="O461" t="n">
        <v>0</v>
      </c>
      <c r="P461" t="n">
        <v>0</v>
      </c>
      <c r="Q461" t="n">
        <v>0</v>
      </c>
      <c r="R461" s="2" t="inlineStr"/>
    </row>
    <row r="462" ht="15" customHeight="1">
      <c r="A462" t="inlineStr">
        <is>
          <t>A 49381-2019</t>
        </is>
      </c>
      <c r="B462" s="1" t="n">
        <v>43731</v>
      </c>
      <c r="C462" s="1" t="n">
        <v>45260</v>
      </c>
      <c r="D462" t="inlineStr">
        <is>
          <t>VÄSTERNORRLANDS LÄN</t>
        </is>
      </c>
      <c r="E462" t="inlineStr">
        <is>
          <t>SOLLEFTEÅ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49380-2019</t>
        </is>
      </c>
      <c r="B463" s="1" t="n">
        <v>43731</v>
      </c>
      <c r="C463" s="1" t="n">
        <v>45260</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49674-2019</t>
        </is>
      </c>
      <c r="B464" s="1" t="n">
        <v>43732</v>
      </c>
      <c r="C464" s="1" t="n">
        <v>45260</v>
      </c>
      <c r="D464" t="inlineStr">
        <is>
          <t>VÄSTERNORRLANDS LÄN</t>
        </is>
      </c>
      <c r="E464" t="inlineStr">
        <is>
          <t>SOLLEFTEÅ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50283-2019</t>
        </is>
      </c>
      <c r="B465" s="1" t="n">
        <v>43734</v>
      </c>
      <c r="C465" s="1" t="n">
        <v>45260</v>
      </c>
      <c r="D465" t="inlineStr">
        <is>
          <t>VÄSTERNORRLANDS LÄN</t>
        </is>
      </c>
      <c r="E465" t="inlineStr">
        <is>
          <t>SOLLEFTEÅ</t>
        </is>
      </c>
      <c r="F465" t="inlineStr">
        <is>
          <t>SCA</t>
        </is>
      </c>
      <c r="G465" t="n">
        <v>10.6</v>
      </c>
      <c r="H465" t="n">
        <v>0</v>
      </c>
      <c r="I465" t="n">
        <v>0</v>
      </c>
      <c r="J465" t="n">
        <v>0</v>
      </c>
      <c r="K465" t="n">
        <v>0</v>
      </c>
      <c r="L465" t="n">
        <v>0</v>
      </c>
      <c r="M465" t="n">
        <v>0</v>
      </c>
      <c r="N465" t="n">
        <v>0</v>
      </c>
      <c r="O465" t="n">
        <v>0</v>
      </c>
      <c r="P465" t="n">
        <v>0</v>
      </c>
      <c r="Q465" t="n">
        <v>0</v>
      </c>
      <c r="R465" s="2" t="inlineStr"/>
    </row>
    <row r="466" ht="15" customHeight="1">
      <c r="A466" t="inlineStr">
        <is>
          <t>A 50513-2019</t>
        </is>
      </c>
      <c r="B466" s="1" t="n">
        <v>43735</v>
      </c>
      <c r="C466" s="1" t="n">
        <v>45260</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50668-2019</t>
        </is>
      </c>
      <c r="B467" s="1" t="n">
        <v>43737</v>
      </c>
      <c r="C467" s="1" t="n">
        <v>45260</v>
      </c>
      <c r="D467" t="inlineStr">
        <is>
          <t>VÄSTERNORRLANDS LÄN</t>
        </is>
      </c>
      <c r="E467" t="inlineStr">
        <is>
          <t>SOLLEFTEÅ</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51002-2019</t>
        </is>
      </c>
      <c r="B468" s="1" t="n">
        <v>43738</v>
      </c>
      <c r="C468" s="1" t="n">
        <v>45260</v>
      </c>
      <c r="D468" t="inlineStr">
        <is>
          <t>VÄSTERNORRLANDS LÄN</t>
        </is>
      </c>
      <c r="E468" t="inlineStr">
        <is>
          <t>SOLLEFTEÅ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50999-2019</t>
        </is>
      </c>
      <c r="B469" s="1" t="n">
        <v>43738</v>
      </c>
      <c r="C469" s="1" t="n">
        <v>45260</v>
      </c>
      <c r="D469" t="inlineStr">
        <is>
          <t>VÄSTERNORRLANDS LÄN</t>
        </is>
      </c>
      <c r="E469" t="inlineStr">
        <is>
          <t>SOLLEFTEÅ</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51675-2019</t>
        </is>
      </c>
      <c r="B470" s="1" t="n">
        <v>43740</v>
      </c>
      <c r="C470" s="1" t="n">
        <v>45260</v>
      </c>
      <c r="D470" t="inlineStr">
        <is>
          <t>VÄSTERNORRLANDS LÄN</t>
        </is>
      </c>
      <c r="E470" t="inlineStr">
        <is>
          <t>SOLLEFTEÅ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51671-2019</t>
        </is>
      </c>
      <c r="B471" s="1" t="n">
        <v>43740</v>
      </c>
      <c r="C471" s="1" t="n">
        <v>45260</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51682-2019</t>
        </is>
      </c>
      <c r="B472" s="1" t="n">
        <v>43740</v>
      </c>
      <c r="C472" s="1" t="n">
        <v>45260</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53079-2019</t>
        </is>
      </c>
      <c r="B473" s="1" t="n">
        <v>43740</v>
      </c>
      <c r="C473" s="1" t="n">
        <v>45260</v>
      </c>
      <c r="D473" t="inlineStr">
        <is>
          <t>VÄSTERNORRLANDS LÄN</t>
        </is>
      </c>
      <c r="E473" t="inlineStr">
        <is>
          <t>SOLLEFTEÅ</t>
        </is>
      </c>
      <c r="G473" t="n">
        <v>7.9</v>
      </c>
      <c r="H473" t="n">
        <v>0</v>
      </c>
      <c r="I473" t="n">
        <v>0</v>
      </c>
      <c r="J473" t="n">
        <v>0</v>
      </c>
      <c r="K473" t="n">
        <v>0</v>
      </c>
      <c r="L473" t="n">
        <v>0</v>
      </c>
      <c r="M473" t="n">
        <v>0</v>
      </c>
      <c r="N473" t="n">
        <v>0</v>
      </c>
      <c r="O473" t="n">
        <v>0</v>
      </c>
      <c r="P473" t="n">
        <v>0</v>
      </c>
      <c r="Q473" t="n">
        <v>0</v>
      </c>
      <c r="R473" s="2" t="inlineStr"/>
    </row>
    <row r="474" ht="15" customHeight="1">
      <c r="A474" t="inlineStr">
        <is>
          <t>A 51673-2019</t>
        </is>
      </c>
      <c r="B474" s="1" t="n">
        <v>43740</v>
      </c>
      <c r="C474" s="1" t="n">
        <v>45260</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53076-2019</t>
        </is>
      </c>
      <c r="B475" s="1" t="n">
        <v>43740</v>
      </c>
      <c r="C475" s="1" t="n">
        <v>45260</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53088-2019</t>
        </is>
      </c>
      <c r="B476" s="1" t="n">
        <v>43740</v>
      </c>
      <c r="C476" s="1" t="n">
        <v>45260</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51665-2019</t>
        </is>
      </c>
      <c r="B477" s="1" t="n">
        <v>43740</v>
      </c>
      <c r="C477" s="1" t="n">
        <v>45260</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51953-2019</t>
        </is>
      </c>
      <c r="B478" s="1" t="n">
        <v>43741</v>
      </c>
      <c r="C478" s="1" t="n">
        <v>45260</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53677-2019</t>
        </is>
      </c>
      <c r="B479" s="1" t="n">
        <v>43741</v>
      </c>
      <c r="C479" s="1" t="n">
        <v>45260</v>
      </c>
      <c r="D479" t="inlineStr">
        <is>
          <t>VÄSTERNORRLANDS LÄN</t>
        </is>
      </c>
      <c r="E479" t="inlineStr">
        <is>
          <t>SOLLEFTEÅ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51952-2019</t>
        </is>
      </c>
      <c r="B480" s="1" t="n">
        <v>43741</v>
      </c>
      <c r="C480" s="1" t="n">
        <v>45260</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52568-2019</t>
        </is>
      </c>
      <c r="B481" s="1" t="n">
        <v>43745</v>
      </c>
      <c r="C481" s="1" t="n">
        <v>45260</v>
      </c>
      <c r="D481" t="inlineStr">
        <is>
          <t>VÄSTERNORRLANDS LÄN</t>
        </is>
      </c>
      <c r="E481" t="inlineStr">
        <is>
          <t>SOLLEFTEÅ</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52569-2019</t>
        </is>
      </c>
      <c r="B482" s="1" t="n">
        <v>43745</v>
      </c>
      <c r="C482" s="1" t="n">
        <v>45260</v>
      </c>
      <c r="D482" t="inlineStr">
        <is>
          <t>VÄSTERNORRLANDS LÄN</t>
        </is>
      </c>
      <c r="E482" t="inlineStr">
        <is>
          <t>SOLLEFTEÅ</t>
        </is>
      </c>
      <c r="G482" t="n">
        <v>7.1</v>
      </c>
      <c r="H482" t="n">
        <v>0</v>
      </c>
      <c r="I482" t="n">
        <v>0</v>
      </c>
      <c r="J482" t="n">
        <v>0</v>
      </c>
      <c r="K482" t="n">
        <v>0</v>
      </c>
      <c r="L482" t="n">
        <v>0</v>
      </c>
      <c r="M482" t="n">
        <v>0</v>
      </c>
      <c r="N482" t="n">
        <v>0</v>
      </c>
      <c r="O482" t="n">
        <v>0</v>
      </c>
      <c r="P482" t="n">
        <v>0</v>
      </c>
      <c r="Q482" t="n">
        <v>0</v>
      </c>
      <c r="R482" s="2" t="inlineStr"/>
    </row>
    <row r="483" ht="15" customHeight="1">
      <c r="A483" t="inlineStr">
        <is>
          <t>A 52922-2019</t>
        </is>
      </c>
      <c r="B483" s="1" t="n">
        <v>43746</v>
      </c>
      <c r="C483" s="1" t="n">
        <v>45260</v>
      </c>
      <c r="D483" t="inlineStr">
        <is>
          <t>VÄSTERNORRLANDS LÄN</t>
        </is>
      </c>
      <c r="E483" t="inlineStr">
        <is>
          <t>SOLLEFTEÅ</t>
        </is>
      </c>
      <c r="G483" t="n">
        <v>6.5</v>
      </c>
      <c r="H483" t="n">
        <v>0</v>
      </c>
      <c r="I483" t="n">
        <v>0</v>
      </c>
      <c r="J483" t="n">
        <v>0</v>
      </c>
      <c r="K483" t="n">
        <v>0</v>
      </c>
      <c r="L483" t="n">
        <v>0</v>
      </c>
      <c r="M483" t="n">
        <v>0</v>
      </c>
      <c r="N483" t="n">
        <v>0</v>
      </c>
      <c r="O483" t="n">
        <v>0</v>
      </c>
      <c r="P483" t="n">
        <v>0</v>
      </c>
      <c r="Q483" t="n">
        <v>0</v>
      </c>
      <c r="R483" s="2" t="inlineStr"/>
    </row>
    <row r="484" ht="15" customHeight="1">
      <c r="A484" t="inlineStr">
        <is>
          <t>A 53161-2019</t>
        </is>
      </c>
      <c r="B484" s="1" t="n">
        <v>43747</v>
      </c>
      <c r="C484" s="1" t="n">
        <v>45260</v>
      </c>
      <c r="D484" t="inlineStr">
        <is>
          <t>VÄSTERNORRLANDS LÄN</t>
        </is>
      </c>
      <c r="E484" t="inlineStr">
        <is>
          <t>SOLLEFTEÅ</t>
        </is>
      </c>
      <c r="F484" t="inlineStr">
        <is>
          <t>Kommuner</t>
        </is>
      </c>
      <c r="G484" t="n">
        <v>0.4</v>
      </c>
      <c r="H484" t="n">
        <v>0</v>
      </c>
      <c r="I484" t="n">
        <v>0</v>
      </c>
      <c r="J484" t="n">
        <v>0</v>
      </c>
      <c r="K484" t="n">
        <v>0</v>
      </c>
      <c r="L484" t="n">
        <v>0</v>
      </c>
      <c r="M484" t="n">
        <v>0</v>
      </c>
      <c r="N484" t="n">
        <v>0</v>
      </c>
      <c r="O484" t="n">
        <v>0</v>
      </c>
      <c r="P484" t="n">
        <v>0</v>
      </c>
      <c r="Q484" t="n">
        <v>0</v>
      </c>
      <c r="R484" s="2" t="inlineStr"/>
    </row>
    <row r="485" ht="15" customHeight="1">
      <c r="A485" t="inlineStr">
        <is>
          <t>A 55623-2019</t>
        </is>
      </c>
      <c r="B485" s="1" t="n">
        <v>43755</v>
      </c>
      <c r="C485" s="1" t="n">
        <v>45260</v>
      </c>
      <c r="D485" t="inlineStr">
        <is>
          <t>VÄSTERNORRLANDS LÄN</t>
        </is>
      </c>
      <c r="E485" t="inlineStr">
        <is>
          <t>SOLLEFTEÅ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55925-2019</t>
        </is>
      </c>
      <c r="B486" s="1" t="n">
        <v>43755</v>
      </c>
      <c r="C486" s="1" t="n">
        <v>45260</v>
      </c>
      <c r="D486" t="inlineStr">
        <is>
          <t>VÄSTERNORRLANDS LÄN</t>
        </is>
      </c>
      <c r="E486" t="inlineStr">
        <is>
          <t>SOLLEFTEÅ</t>
        </is>
      </c>
      <c r="G486" t="n">
        <v>6.4</v>
      </c>
      <c r="H486" t="n">
        <v>0</v>
      </c>
      <c r="I486" t="n">
        <v>0</v>
      </c>
      <c r="J486" t="n">
        <v>0</v>
      </c>
      <c r="K486" t="n">
        <v>0</v>
      </c>
      <c r="L486" t="n">
        <v>0</v>
      </c>
      <c r="M486" t="n">
        <v>0</v>
      </c>
      <c r="N486" t="n">
        <v>0</v>
      </c>
      <c r="O486" t="n">
        <v>0</v>
      </c>
      <c r="P486" t="n">
        <v>0</v>
      </c>
      <c r="Q486" t="n">
        <v>0</v>
      </c>
      <c r="R486" s="2" t="inlineStr"/>
    </row>
    <row r="487" ht="15" customHeight="1">
      <c r="A487" t="inlineStr">
        <is>
          <t>A 55628-2019</t>
        </is>
      </c>
      <c r="B487" s="1" t="n">
        <v>43755</v>
      </c>
      <c r="C487" s="1" t="n">
        <v>45260</v>
      </c>
      <c r="D487" t="inlineStr">
        <is>
          <t>VÄSTERNORRLANDS LÄN</t>
        </is>
      </c>
      <c r="E487" t="inlineStr">
        <is>
          <t>SOLLEFTEÅ</t>
        </is>
      </c>
      <c r="G487" t="n">
        <v>2.6</v>
      </c>
      <c r="H487" t="n">
        <v>0</v>
      </c>
      <c r="I487" t="n">
        <v>0</v>
      </c>
      <c r="J487" t="n">
        <v>0</v>
      </c>
      <c r="K487" t="n">
        <v>0</v>
      </c>
      <c r="L487" t="n">
        <v>0</v>
      </c>
      <c r="M487" t="n">
        <v>0</v>
      </c>
      <c r="N487" t="n">
        <v>0</v>
      </c>
      <c r="O487" t="n">
        <v>0</v>
      </c>
      <c r="P487" t="n">
        <v>0</v>
      </c>
      <c r="Q487" t="n">
        <v>0</v>
      </c>
      <c r="R487" s="2" t="inlineStr"/>
    </row>
    <row r="488" ht="15" customHeight="1">
      <c r="A488" t="inlineStr">
        <is>
          <t>A 55625-2019</t>
        </is>
      </c>
      <c r="B488" s="1" t="n">
        <v>43755</v>
      </c>
      <c r="C488" s="1" t="n">
        <v>45260</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57365-2019</t>
        </is>
      </c>
      <c r="B489" s="1" t="n">
        <v>43760</v>
      </c>
      <c r="C489" s="1" t="n">
        <v>45260</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57575-2019</t>
        </is>
      </c>
      <c r="B490" s="1" t="n">
        <v>43761</v>
      </c>
      <c r="C490" s="1" t="n">
        <v>45260</v>
      </c>
      <c r="D490" t="inlineStr">
        <is>
          <t>VÄSTERNORRLANDS LÄN</t>
        </is>
      </c>
      <c r="E490" t="inlineStr">
        <is>
          <t>SOLLEFTEÅ</t>
        </is>
      </c>
      <c r="G490" t="n">
        <v>14.4</v>
      </c>
      <c r="H490" t="n">
        <v>0</v>
      </c>
      <c r="I490" t="n">
        <v>0</v>
      </c>
      <c r="J490" t="n">
        <v>0</v>
      </c>
      <c r="K490" t="n">
        <v>0</v>
      </c>
      <c r="L490" t="n">
        <v>0</v>
      </c>
      <c r="M490" t="n">
        <v>0</v>
      </c>
      <c r="N490" t="n">
        <v>0</v>
      </c>
      <c r="O490" t="n">
        <v>0</v>
      </c>
      <c r="P490" t="n">
        <v>0</v>
      </c>
      <c r="Q490" t="n">
        <v>0</v>
      </c>
      <c r="R490" s="2" t="inlineStr"/>
    </row>
    <row r="491" ht="15" customHeight="1">
      <c r="A491" t="inlineStr">
        <is>
          <t>A 56252-2019</t>
        </is>
      </c>
      <c r="B491" s="1" t="n">
        <v>43762</v>
      </c>
      <c r="C491" s="1" t="n">
        <v>45260</v>
      </c>
      <c r="D491" t="inlineStr">
        <is>
          <t>VÄSTERNORRLANDS LÄN</t>
        </is>
      </c>
      <c r="E491" t="inlineStr">
        <is>
          <t>SOLLEFTEÅ</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56493-2019</t>
        </is>
      </c>
      <c r="B492" s="1" t="n">
        <v>43762</v>
      </c>
      <c r="C492" s="1" t="n">
        <v>45260</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56492-2019</t>
        </is>
      </c>
      <c r="B493" s="1" t="n">
        <v>43762</v>
      </c>
      <c r="C493" s="1" t="n">
        <v>45260</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56803-2019</t>
        </is>
      </c>
      <c r="B494" s="1" t="n">
        <v>43763</v>
      </c>
      <c r="C494" s="1" t="n">
        <v>45260</v>
      </c>
      <c r="D494" t="inlineStr">
        <is>
          <t>VÄSTERNORRLANDS LÄN</t>
        </is>
      </c>
      <c r="E494" t="inlineStr">
        <is>
          <t>SOLLEFTEÅ</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56874-2019</t>
        </is>
      </c>
      <c r="B495" s="1" t="n">
        <v>43766</v>
      </c>
      <c r="C495" s="1" t="n">
        <v>45260</v>
      </c>
      <c r="D495" t="inlineStr">
        <is>
          <t>VÄSTERNORRLANDS LÄN</t>
        </is>
      </c>
      <c r="E495" t="inlineStr">
        <is>
          <t>SOLLEFTEÅ</t>
        </is>
      </c>
      <c r="G495" t="n">
        <v>6.1</v>
      </c>
      <c r="H495" t="n">
        <v>0</v>
      </c>
      <c r="I495" t="n">
        <v>0</v>
      </c>
      <c r="J495" t="n">
        <v>0</v>
      </c>
      <c r="K495" t="n">
        <v>0</v>
      </c>
      <c r="L495" t="n">
        <v>0</v>
      </c>
      <c r="M495" t="n">
        <v>0</v>
      </c>
      <c r="N495" t="n">
        <v>0</v>
      </c>
      <c r="O495" t="n">
        <v>0</v>
      </c>
      <c r="P495" t="n">
        <v>0</v>
      </c>
      <c r="Q495" t="n">
        <v>0</v>
      </c>
      <c r="R495" s="2" t="inlineStr"/>
    </row>
    <row r="496" ht="15" customHeight="1">
      <c r="A496" t="inlineStr">
        <is>
          <t>A 56985-2019</t>
        </is>
      </c>
      <c r="B496" s="1" t="n">
        <v>43766</v>
      </c>
      <c r="C496" s="1" t="n">
        <v>45260</v>
      </c>
      <c r="D496" t="inlineStr">
        <is>
          <t>VÄSTERNORRLANDS LÄN</t>
        </is>
      </c>
      <c r="E496" t="inlineStr">
        <is>
          <t>SOLLEFTEÅ</t>
        </is>
      </c>
      <c r="G496" t="n">
        <v>4.9</v>
      </c>
      <c r="H496" t="n">
        <v>0</v>
      </c>
      <c r="I496" t="n">
        <v>0</v>
      </c>
      <c r="J496" t="n">
        <v>0</v>
      </c>
      <c r="K496" t="n">
        <v>0</v>
      </c>
      <c r="L496" t="n">
        <v>0</v>
      </c>
      <c r="M496" t="n">
        <v>0</v>
      </c>
      <c r="N496" t="n">
        <v>0</v>
      </c>
      <c r="O496" t="n">
        <v>0</v>
      </c>
      <c r="P496" t="n">
        <v>0</v>
      </c>
      <c r="Q496" t="n">
        <v>0</v>
      </c>
      <c r="R496" s="2" t="inlineStr"/>
    </row>
    <row r="497" ht="15" customHeight="1">
      <c r="A497" t="inlineStr">
        <is>
          <t>A 57041-2019</t>
        </is>
      </c>
      <c r="B497" s="1" t="n">
        <v>43766</v>
      </c>
      <c r="C497" s="1" t="n">
        <v>45260</v>
      </c>
      <c r="D497" t="inlineStr">
        <is>
          <t>VÄSTERNORRLANDS LÄN</t>
        </is>
      </c>
      <c r="E497" t="inlineStr">
        <is>
          <t>SOLLEFTEÅ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57188-2019</t>
        </is>
      </c>
      <c r="B498" s="1" t="n">
        <v>43766</v>
      </c>
      <c r="C498" s="1" t="n">
        <v>45260</v>
      </c>
      <c r="D498" t="inlineStr">
        <is>
          <t>VÄSTERNORRLANDS LÄN</t>
        </is>
      </c>
      <c r="E498" t="inlineStr">
        <is>
          <t>SOLLEFTEÅ</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57882-2019</t>
        </is>
      </c>
      <c r="B499" s="1" t="n">
        <v>43768</v>
      </c>
      <c r="C499" s="1" t="n">
        <v>45260</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57884-2019</t>
        </is>
      </c>
      <c r="B500" s="1" t="n">
        <v>43768</v>
      </c>
      <c r="C500" s="1" t="n">
        <v>45260</v>
      </c>
      <c r="D500" t="inlineStr">
        <is>
          <t>VÄSTERNORRLANDS LÄN</t>
        </is>
      </c>
      <c r="E500" t="inlineStr">
        <is>
          <t>SOLLEFTEÅ</t>
        </is>
      </c>
      <c r="F500" t="inlineStr">
        <is>
          <t>SCA</t>
        </is>
      </c>
      <c r="G500" t="n">
        <v>14.7</v>
      </c>
      <c r="H500" t="n">
        <v>0</v>
      </c>
      <c r="I500" t="n">
        <v>0</v>
      </c>
      <c r="J500" t="n">
        <v>0</v>
      </c>
      <c r="K500" t="n">
        <v>0</v>
      </c>
      <c r="L500" t="n">
        <v>0</v>
      </c>
      <c r="M500" t="n">
        <v>0</v>
      </c>
      <c r="N500" t="n">
        <v>0</v>
      </c>
      <c r="O500" t="n">
        <v>0</v>
      </c>
      <c r="P500" t="n">
        <v>0</v>
      </c>
      <c r="Q500" t="n">
        <v>0</v>
      </c>
      <c r="R500" s="2" t="inlineStr"/>
    </row>
    <row r="501" ht="15" customHeight="1">
      <c r="A501" t="inlineStr">
        <is>
          <t>A 57883-2019</t>
        </is>
      </c>
      <c r="B501" s="1" t="n">
        <v>43768</v>
      </c>
      <c r="C501" s="1" t="n">
        <v>45260</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58170-2019</t>
        </is>
      </c>
      <c r="B502" s="1" t="n">
        <v>43769</v>
      </c>
      <c r="C502" s="1" t="n">
        <v>45260</v>
      </c>
      <c r="D502" t="inlineStr">
        <is>
          <t>VÄSTERNORRLANDS LÄN</t>
        </is>
      </c>
      <c r="E502" t="inlineStr">
        <is>
          <t>SOLLEFTEÅ</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58267-2019</t>
        </is>
      </c>
      <c r="B503" s="1" t="n">
        <v>43770</v>
      </c>
      <c r="C503" s="1" t="n">
        <v>45260</v>
      </c>
      <c r="D503" t="inlineStr">
        <is>
          <t>VÄSTERNORRLANDS LÄN</t>
        </is>
      </c>
      <c r="E503" t="inlineStr">
        <is>
          <t>SOLLEFTEÅ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59511-2019</t>
        </is>
      </c>
      <c r="B504" s="1" t="n">
        <v>43773</v>
      </c>
      <c r="C504" s="1" t="n">
        <v>45260</v>
      </c>
      <c r="D504" t="inlineStr">
        <is>
          <t>VÄSTERNORRLANDS LÄN</t>
        </is>
      </c>
      <c r="E504" t="inlineStr">
        <is>
          <t>SOLLEFTEÅ</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59460-2019</t>
        </is>
      </c>
      <c r="B505" s="1" t="n">
        <v>43776</v>
      </c>
      <c r="C505" s="1" t="n">
        <v>45260</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60491-2019</t>
        </is>
      </c>
      <c r="B506" s="1" t="n">
        <v>43780</v>
      </c>
      <c r="C506" s="1" t="n">
        <v>45260</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61428-2019</t>
        </is>
      </c>
      <c r="B507" s="1" t="n">
        <v>43780</v>
      </c>
      <c r="C507" s="1" t="n">
        <v>45260</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60531-2019</t>
        </is>
      </c>
      <c r="B508" s="1" t="n">
        <v>43781</v>
      </c>
      <c r="C508" s="1" t="n">
        <v>45260</v>
      </c>
      <c r="D508" t="inlineStr">
        <is>
          <t>VÄSTERNORRLANDS LÄN</t>
        </is>
      </c>
      <c r="E508" t="inlineStr">
        <is>
          <t>SOLLEFTEÅ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60538-2019</t>
        </is>
      </c>
      <c r="B509" s="1" t="n">
        <v>43781</v>
      </c>
      <c r="C509" s="1" t="n">
        <v>45260</v>
      </c>
      <c r="D509" t="inlineStr">
        <is>
          <t>VÄSTERNORRLANDS LÄN</t>
        </is>
      </c>
      <c r="E509" t="inlineStr">
        <is>
          <t>SOLLEFTEÅ</t>
        </is>
      </c>
      <c r="G509" t="n">
        <v>4.6</v>
      </c>
      <c r="H509" t="n">
        <v>0</v>
      </c>
      <c r="I509" t="n">
        <v>0</v>
      </c>
      <c r="J509" t="n">
        <v>0</v>
      </c>
      <c r="K509" t="n">
        <v>0</v>
      </c>
      <c r="L509" t="n">
        <v>0</v>
      </c>
      <c r="M509" t="n">
        <v>0</v>
      </c>
      <c r="N509" t="n">
        <v>0</v>
      </c>
      <c r="O509" t="n">
        <v>0</v>
      </c>
      <c r="P509" t="n">
        <v>0</v>
      </c>
      <c r="Q509" t="n">
        <v>0</v>
      </c>
      <c r="R509" s="2" t="inlineStr"/>
    </row>
    <row r="510" ht="15" customHeight="1">
      <c r="A510" t="inlineStr">
        <is>
          <t>A 60905-2019</t>
        </is>
      </c>
      <c r="B510" s="1" t="n">
        <v>43781</v>
      </c>
      <c r="C510" s="1" t="n">
        <v>45260</v>
      </c>
      <c r="D510" t="inlineStr">
        <is>
          <t>VÄSTERNORRLANDS LÄN</t>
        </is>
      </c>
      <c r="E510" t="inlineStr">
        <is>
          <t>SOLLEFTEÅ</t>
        </is>
      </c>
      <c r="G510" t="n">
        <v>0.4</v>
      </c>
      <c r="H510" t="n">
        <v>0</v>
      </c>
      <c r="I510" t="n">
        <v>0</v>
      </c>
      <c r="J510" t="n">
        <v>0</v>
      </c>
      <c r="K510" t="n">
        <v>0</v>
      </c>
      <c r="L510" t="n">
        <v>0</v>
      </c>
      <c r="M510" t="n">
        <v>0</v>
      </c>
      <c r="N510" t="n">
        <v>0</v>
      </c>
      <c r="O510" t="n">
        <v>0</v>
      </c>
      <c r="P510" t="n">
        <v>0</v>
      </c>
      <c r="Q510" t="n">
        <v>0</v>
      </c>
      <c r="R510" s="2" t="inlineStr"/>
    </row>
    <row r="511" ht="15" customHeight="1">
      <c r="A511" t="inlineStr">
        <is>
          <t>A 61978-2019</t>
        </is>
      </c>
      <c r="B511" s="1" t="n">
        <v>43781</v>
      </c>
      <c r="C511" s="1" t="n">
        <v>45260</v>
      </c>
      <c r="D511" t="inlineStr">
        <is>
          <t>VÄSTERNORRLANDS LÄN</t>
        </is>
      </c>
      <c r="E511" t="inlineStr">
        <is>
          <t>SOLLEFTEÅ</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63450-2019</t>
        </is>
      </c>
      <c r="B512" s="1" t="n">
        <v>43788</v>
      </c>
      <c r="C512" s="1" t="n">
        <v>45260</v>
      </c>
      <c r="D512" t="inlineStr">
        <is>
          <t>VÄSTERNORRLANDS LÄN</t>
        </is>
      </c>
      <c r="E512" t="inlineStr">
        <is>
          <t>SOLLEFTEÅ</t>
        </is>
      </c>
      <c r="G512" t="n">
        <v>8.6</v>
      </c>
      <c r="H512" t="n">
        <v>0</v>
      </c>
      <c r="I512" t="n">
        <v>0</v>
      </c>
      <c r="J512" t="n">
        <v>0</v>
      </c>
      <c r="K512" t="n">
        <v>0</v>
      </c>
      <c r="L512" t="n">
        <v>0</v>
      </c>
      <c r="M512" t="n">
        <v>0</v>
      </c>
      <c r="N512" t="n">
        <v>0</v>
      </c>
      <c r="O512" t="n">
        <v>0</v>
      </c>
      <c r="P512" t="n">
        <v>0</v>
      </c>
      <c r="Q512" t="n">
        <v>0</v>
      </c>
      <c r="R512" s="2" t="inlineStr"/>
    </row>
    <row r="513" ht="15" customHeight="1">
      <c r="A513" t="inlineStr">
        <is>
          <t>A 62500-2019</t>
        </is>
      </c>
      <c r="B513" s="1" t="n">
        <v>43788</v>
      </c>
      <c r="C513" s="1" t="n">
        <v>45260</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64197-2019</t>
        </is>
      </c>
      <c r="B514" s="1" t="n">
        <v>43791</v>
      </c>
      <c r="C514" s="1" t="n">
        <v>45260</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63552-2019</t>
        </is>
      </c>
      <c r="B515" s="1" t="n">
        <v>43794</v>
      </c>
      <c r="C515" s="1" t="n">
        <v>45260</v>
      </c>
      <c r="D515" t="inlineStr">
        <is>
          <t>VÄSTERNORRLANDS LÄN</t>
        </is>
      </c>
      <c r="E515" t="inlineStr">
        <is>
          <t>SOLLEFTEÅ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63752-2019</t>
        </is>
      </c>
      <c r="B516" s="1" t="n">
        <v>43795</v>
      </c>
      <c r="C516" s="1" t="n">
        <v>45260</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65218-2019</t>
        </is>
      </c>
      <c r="B517" s="1" t="n">
        <v>43797</v>
      </c>
      <c r="C517" s="1" t="n">
        <v>45260</v>
      </c>
      <c r="D517" t="inlineStr">
        <is>
          <t>VÄSTERNORRLANDS LÄN</t>
        </is>
      </c>
      <c r="E517" t="inlineStr">
        <is>
          <t>SOLLEFTEÅ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65029-2019</t>
        </is>
      </c>
      <c r="B518" s="1" t="n">
        <v>43801</v>
      </c>
      <c r="C518" s="1" t="n">
        <v>45260</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65332-2019</t>
        </is>
      </c>
      <c r="B519" s="1" t="n">
        <v>43802</v>
      </c>
      <c r="C519" s="1" t="n">
        <v>45260</v>
      </c>
      <c r="D519" t="inlineStr">
        <is>
          <t>VÄSTERNORRLANDS LÄN</t>
        </is>
      </c>
      <c r="E519" t="inlineStr">
        <is>
          <t>SOLLEFTEÅ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66321-2019</t>
        </is>
      </c>
      <c r="B520" s="1" t="n">
        <v>43802</v>
      </c>
      <c r="C520" s="1" t="n">
        <v>45260</v>
      </c>
      <c r="D520" t="inlineStr">
        <is>
          <t>VÄSTERNORRLANDS LÄN</t>
        </is>
      </c>
      <c r="E520" t="inlineStr">
        <is>
          <t>SOLLEFTEÅ</t>
        </is>
      </c>
      <c r="G520" t="n">
        <v>6.4</v>
      </c>
      <c r="H520" t="n">
        <v>0</v>
      </c>
      <c r="I520" t="n">
        <v>0</v>
      </c>
      <c r="J520" t="n">
        <v>0</v>
      </c>
      <c r="K520" t="n">
        <v>0</v>
      </c>
      <c r="L520" t="n">
        <v>0</v>
      </c>
      <c r="M520" t="n">
        <v>0</v>
      </c>
      <c r="N520" t="n">
        <v>0</v>
      </c>
      <c r="O520" t="n">
        <v>0</v>
      </c>
      <c r="P520" t="n">
        <v>0</v>
      </c>
      <c r="Q520" t="n">
        <v>0</v>
      </c>
      <c r="R520" s="2" t="inlineStr"/>
    </row>
    <row r="521" ht="15" customHeight="1">
      <c r="A521" t="inlineStr">
        <is>
          <t>A 65319-2019</t>
        </is>
      </c>
      <c r="B521" s="1" t="n">
        <v>43802</v>
      </c>
      <c r="C521" s="1" t="n">
        <v>45260</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65327-2019</t>
        </is>
      </c>
      <c r="B522" s="1" t="n">
        <v>43802</v>
      </c>
      <c r="C522" s="1" t="n">
        <v>45260</v>
      </c>
      <c r="D522" t="inlineStr">
        <is>
          <t>VÄSTERNORRLANDS LÄN</t>
        </is>
      </c>
      <c r="E522" t="inlineStr">
        <is>
          <t>SOLLEFTEÅ</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66391-2019</t>
        </is>
      </c>
      <c r="B523" s="1" t="n">
        <v>43808</v>
      </c>
      <c r="C523" s="1" t="n">
        <v>45260</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67805-2019</t>
        </is>
      </c>
      <c r="B524" s="1" t="n">
        <v>43815</v>
      </c>
      <c r="C524" s="1" t="n">
        <v>45260</v>
      </c>
      <c r="D524" t="inlineStr">
        <is>
          <t>VÄSTERNORRLANDS LÄN</t>
        </is>
      </c>
      <c r="E524" t="inlineStr">
        <is>
          <t>SOLLEFTEÅ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67815-2019</t>
        </is>
      </c>
      <c r="B525" s="1" t="n">
        <v>43815</v>
      </c>
      <c r="C525" s="1" t="n">
        <v>45260</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1627-2020</t>
        </is>
      </c>
      <c r="B526" s="1" t="n">
        <v>43829</v>
      </c>
      <c r="C526" s="1" t="n">
        <v>45260</v>
      </c>
      <c r="D526" t="inlineStr">
        <is>
          <t>VÄSTERNORRLANDS LÄN</t>
        </is>
      </c>
      <c r="E526" t="inlineStr">
        <is>
          <t>SOLLEFTEÅ</t>
        </is>
      </c>
      <c r="G526" t="n">
        <v>9</v>
      </c>
      <c r="H526" t="n">
        <v>0</v>
      </c>
      <c r="I526" t="n">
        <v>0</v>
      </c>
      <c r="J526" t="n">
        <v>0</v>
      </c>
      <c r="K526" t="n">
        <v>0</v>
      </c>
      <c r="L526" t="n">
        <v>0</v>
      </c>
      <c r="M526" t="n">
        <v>0</v>
      </c>
      <c r="N526" t="n">
        <v>0</v>
      </c>
      <c r="O526" t="n">
        <v>0</v>
      </c>
      <c r="P526" t="n">
        <v>0</v>
      </c>
      <c r="Q526" t="n">
        <v>0</v>
      </c>
      <c r="R526" s="2" t="inlineStr"/>
    </row>
    <row r="527" ht="15" customHeight="1">
      <c r="A527" t="inlineStr">
        <is>
          <t>A 127-2020</t>
        </is>
      </c>
      <c r="B527" s="1" t="n">
        <v>43832</v>
      </c>
      <c r="C527" s="1" t="n">
        <v>45260</v>
      </c>
      <c r="D527" t="inlineStr">
        <is>
          <t>VÄSTERNORRLANDS LÄN</t>
        </is>
      </c>
      <c r="E527" t="inlineStr">
        <is>
          <t>SOLLEFTEÅ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125-2020</t>
        </is>
      </c>
      <c r="B528" s="1" t="n">
        <v>43832</v>
      </c>
      <c r="C528" s="1" t="n">
        <v>45260</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126-2020</t>
        </is>
      </c>
      <c r="B529" s="1" t="n">
        <v>43832</v>
      </c>
      <c r="C529" s="1" t="n">
        <v>45260</v>
      </c>
      <c r="D529" t="inlineStr">
        <is>
          <t>VÄSTERNORRLANDS LÄN</t>
        </is>
      </c>
      <c r="E529" t="inlineStr">
        <is>
          <t>SOLLEFTEÅ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538-2020</t>
        </is>
      </c>
      <c r="B530" s="1" t="n">
        <v>43837</v>
      </c>
      <c r="C530" s="1" t="n">
        <v>45260</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1263-2020</t>
        </is>
      </c>
      <c r="B531" s="1" t="n">
        <v>43840</v>
      </c>
      <c r="C531" s="1" t="n">
        <v>45260</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1262-2020</t>
        </is>
      </c>
      <c r="B532" s="1" t="n">
        <v>43840</v>
      </c>
      <c r="C532" s="1" t="n">
        <v>45260</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1213-2020</t>
        </is>
      </c>
      <c r="B533" s="1" t="n">
        <v>43840</v>
      </c>
      <c r="C533" s="1" t="n">
        <v>45260</v>
      </c>
      <c r="D533" t="inlineStr">
        <is>
          <t>VÄSTERNORRLANDS LÄN</t>
        </is>
      </c>
      <c r="E533" t="inlineStr">
        <is>
          <t>SOLLEFTEÅ</t>
        </is>
      </c>
      <c r="F533" t="inlineStr">
        <is>
          <t>Kyrkan</t>
        </is>
      </c>
      <c r="G533" t="n">
        <v>13.9</v>
      </c>
      <c r="H533" t="n">
        <v>0</v>
      </c>
      <c r="I533" t="n">
        <v>0</v>
      </c>
      <c r="J533" t="n">
        <v>0</v>
      </c>
      <c r="K533" t="n">
        <v>0</v>
      </c>
      <c r="L533" t="n">
        <v>0</v>
      </c>
      <c r="M533" t="n">
        <v>0</v>
      </c>
      <c r="N533" t="n">
        <v>0</v>
      </c>
      <c r="O533" t="n">
        <v>0</v>
      </c>
      <c r="P533" t="n">
        <v>0</v>
      </c>
      <c r="Q533" t="n">
        <v>0</v>
      </c>
      <c r="R533" s="2" t="inlineStr"/>
    </row>
    <row r="534" ht="15" customHeight="1">
      <c r="A534" t="inlineStr">
        <is>
          <t>A 1568-2020</t>
        </is>
      </c>
      <c r="B534" s="1" t="n">
        <v>43844</v>
      </c>
      <c r="C534" s="1" t="n">
        <v>45260</v>
      </c>
      <c r="D534" t="inlineStr">
        <is>
          <t>VÄSTERNORRLANDS LÄN</t>
        </is>
      </c>
      <c r="E534" t="inlineStr">
        <is>
          <t>SOLLEFTEÅ</t>
        </is>
      </c>
      <c r="G534" t="n">
        <v>3.4</v>
      </c>
      <c r="H534" t="n">
        <v>0</v>
      </c>
      <c r="I534" t="n">
        <v>0</v>
      </c>
      <c r="J534" t="n">
        <v>0</v>
      </c>
      <c r="K534" t="n">
        <v>0</v>
      </c>
      <c r="L534" t="n">
        <v>0</v>
      </c>
      <c r="M534" t="n">
        <v>0</v>
      </c>
      <c r="N534" t="n">
        <v>0</v>
      </c>
      <c r="O534" t="n">
        <v>0</v>
      </c>
      <c r="P534" t="n">
        <v>0</v>
      </c>
      <c r="Q534" t="n">
        <v>0</v>
      </c>
      <c r="R534" s="2" t="inlineStr"/>
    </row>
    <row r="535" ht="15" customHeight="1">
      <c r="A535" t="inlineStr">
        <is>
          <t>A 2897-2020</t>
        </is>
      </c>
      <c r="B535" s="1" t="n">
        <v>43850</v>
      </c>
      <c r="C535" s="1" t="n">
        <v>45260</v>
      </c>
      <c r="D535" t="inlineStr">
        <is>
          <t>VÄSTERNORRLANDS LÄN</t>
        </is>
      </c>
      <c r="E535" t="inlineStr">
        <is>
          <t>SOLLEFTEÅ</t>
        </is>
      </c>
      <c r="G535" t="n">
        <v>7.6</v>
      </c>
      <c r="H535" t="n">
        <v>0</v>
      </c>
      <c r="I535" t="n">
        <v>0</v>
      </c>
      <c r="J535" t="n">
        <v>0</v>
      </c>
      <c r="K535" t="n">
        <v>0</v>
      </c>
      <c r="L535" t="n">
        <v>0</v>
      </c>
      <c r="M535" t="n">
        <v>0</v>
      </c>
      <c r="N535" t="n">
        <v>0</v>
      </c>
      <c r="O535" t="n">
        <v>0</v>
      </c>
      <c r="P535" t="n">
        <v>0</v>
      </c>
      <c r="Q535" t="n">
        <v>0</v>
      </c>
      <c r="R535" s="2" t="inlineStr"/>
    </row>
    <row r="536" ht="15" customHeight="1">
      <c r="A536" t="inlineStr">
        <is>
          <t>A 3230-2020</t>
        </is>
      </c>
      <c r="B536" s="1" t="n">
        <v>43851</v>
      </c>
      <c r="C536" s="1" t="n">
        <v>45260</v>
      </c>
      <c r="D536" t="inlineStr">
        <is>
          <t>VÄSTERNORRLANDS LÄN</t>
        </is>
      </c>
      <c r="E536" t="inlineStr">
        <is>
          <t>SOLLEFTEÅ</t>
        </is>
      </c>
      <c r="F536" t="inlineStr">
        <is>
          <t>Övriga statliga verk och myndigheter</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4363-2020</t>
        </is>
      </c>
      <c r="B537" s="1" t="n">
        <v>43857</v>
      </c>
      <c r="C537" s="1" t="n">
        <v>45260</v>
      </c>
      <c r="D537" t="inlineStr">
        <is>
          <t>VÄSTERNORRLANDS LÄN</t>
        </is>
      </c>
      <c r="E537" t="inlineStr">
        <is>
          <t>SOLLEFTEÅ</t>
        </is>
      </c>
      <c r="G537" t="n">
        <v>6.4</v>
      </c>
      <c r="H537" t="n">
        <v>0</v>
      </c>
      <c r="I537" t="n">
        <v>0</v>
      </c>
      <c r="J537" t="n">
        <v>0</v>
      </c>
      <c r="K537" t="n">
        <v>0</v>
      </c>
      <c r="L537" t="n">
        <v>0</v>
      </c>
      <c r="M537" t="n">
        <v>0</v>
      </c>
      <c r="N537" t="n">
        <v>0</v>
      </c>
      <c r="O537" t="n">
        <v>0</v>
      </c>
      <c r="P537" t="n">
        <v>0</v>
      </c>
      <c r="Q537" t="n">
        <v>0</v>
      </c>
      <c r="R537" s="2" t="inlineStr"/>
    </row>
    <row r="538" ht="15" customHeight="1">
      <c r="A538" t="inlineStr">
        <is>
          <t>A 5248-2020</t>
        </is>
      </c>
      <c r="B538" s="1" t="n">
        <v>43857</v>
      </c>
      <c r="C538" s="1" t="n">
        <v>45260</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5635-2020</t>
        </is>
      </c>
      <c r="B539" s="1" t="n">
        <v>43860</v>
      </c>
      <c r="C539" s="1" t="n">
        <v>45260</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5662-2020</t>
        </is>
      </c>
      <c r="B540" s="1" t="n">
        <v>43861</v>
      </c>
      <c r="C540" s="1" t="n">
        <v>45260</v>
      </c>
      <c r="D540" t="inlineStr">
        <is>
          <t>VÄSTERNORRLANDS LÄN</t>
        </is>
      </c>
      <c r="E540" t="inlineStr">
        <is>
          <t>SOLLEFTEÅ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5714-2020</t>
        </is>
      </c>
      <c r="B541" s="1" t="n">
        <v>43861</v>
      </c>
      <c r="C541" s="1" t="n">
        <v>45260</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5908-2020</t>
        </is>
      </c>
      <c r="B542" s="1" t="n">
        <v>43861</v>
      </c>
      <c r="C542" s="1" t="n">
        <v>45260</v>
      </c>
      <c r="D542" t="inlineStr">
        <is>
          <t>VÄSTERNORRLANDS LÄN</t>
        </is>
      </c>
      <c r="E542" t="inlineStr">
        <is>
          <t>SOLLEFTEÅ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8363-2020</t>
        </is>
      </c>
      <c r="B543" s="1" t="n">
        <v>43875</v>
      </c>
      <c r="C543" s="1" t="n">
        <v>45260</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8935-2020</t>
        </is>
      </c>
      <c r="B544" s="1" t="n">
        <v>43878</v>
      </c>
      <c r="C544" s="1" t="n">
        <v>45260</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10631-2020</t>
        </is>
      </c>
      <c r="B545" s="1" t="n">
        <v>43887</v>
      </c>
      <c r="C545" s="1" t="n">
        <v>45260</v>
      </c>
      <c r="D545" t="inlineStr">
        <is>
          <t>VÄSTERNORRLANDS LÄN</t>
        </is>
      </c>
      <c r="E545" t="inlineStr">
        <is>
          <t>SOLLEFTEÅ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10846-2020</t>
        </is>
      </c>
      <c r="B546" s="1" t="n">
        <v>43888</v>
      </c>
      <c r="C546" s="1" t="n">
        <v>45260</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11685-2020</t>
        </is>
      </c>
      <c r="B547" s="1" t="n">
        <v>43893</v>
      </c>
      <c r="C547" s="1" t="n">
        <v>45260</v>
      </c>
      <c r="D547" t="inlineStr">
        <is>
          <t>VÄSTERNORRLANDS LÄN</t>
        </is>
      </c>
      <c r="E547" t="inlineStr">
        <is>
          <t>SOLLEFTEÅ</t>
        </is>
      </c>
      <c r="F547" t="inlineStr">
        <is>
          <t>SCA</t>
        </is>
      </c>
      <c r="G547" t="n">
        <v>10.3</v>
      </c>
      <c r="H547" t="n">
        <v>0</v>
      </c>
      <c r="I547" t="n">
        <v>0</v>
      </c>
      <c r="J547" t="n">
        <v>0</v>
      </c>
      <c r="K547" t="n">
        <v>0</v>
      </c>
      <c r="L547" t="n">
        <v>0</v>
      </c>
      <c r="M547" t="n">
        <v>0</v>
      </c>
      <c r="N547" t="n">
        <v>0</v>
      </c>
      <c r="O547" t="n">
        <v>0</v>
      </c>
      <c r="P547" t="n">
        <v>0</v>
      </c>
      <c r="Q547" t="n">
        <v>0</v>
      </c>
      <c r="R547" s="2" t="inlineStr"/>
    </row>
    <row r="548" ht="15" customHeight="1">
      <c r="A548" t="inlineStr">
        <is>
          <t>A 12819-2020</t>
        </is>
      </c>
      <c r="B548" s="1" t="n">
        <v>43893</v>
      </c>
      <c r="C548" s="1" t="n">
        <v>45260</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12526-2020</t>
        </is>
      </c>
      <c r="B549" s="1" t="n">
        <v>43896</v>
      </c>
      <c r="C549" s="1" t="n">
        <v>45260</v>
      </c>
      <c r="D549" t="inlineStr">
        <is>
          <t>VÄSTERNORRLANDS LÄN</t>
        </is>
      </c>
      <c r="E549" t="inlineStr">
        <is>
          <t>SOLLEFTEÅ</t>
        </is>
      </c>
      <c r="F549" t="inlineStr">
        <is>
          <t>SCA</t>
        </is>
      </c>
      <c r="G549" t="n">
        <v>14.7</v>
      </c>
      <c r="H549" t="n">
        <v>0</v>
      </c>
      <c r="I549" t="n">
        <v>0</v>
      </c>
      <c r="J549" t="n">
        <v>0</v>
      </c>
      <c r="K549" t="n">
        <v>0</v>
      </c>
      <c r="L549" t="n">
        <v>0</v>
      </c>
      <c r="M549" t="n">
        <v>0</v>
      </c>
      <c r="N549" t="n">
        <v>0</v>
      </c>
      <c r="O549" t="n">
        <v>0</v>
      </c>
      <c r="P549" t="n">
        <v>0</v>
      </c>
      <c r="Q549" t="n">
        <v>0</v>
      </c>
      <c r="R549" s="2" t="inlineStr"/>
    </row>
    <row r="550" ht="15" customHeight="1">
      <c r="A550" t="inlineStr">
        <is>
          <t>A 12525-2020</t>
        </is>
      </c>
      <c r="B550" s="1" t="n">
        <v>43896</v>
      </c>
      <c r="C550" s="1" t="n">
        <v>45260</v>
      </c>
      <c r="D550" t="inlineStr">
        <is>
          <t>VÄSTERNORRLANDS LÄN</t>
        </is>
      </c>
      <c r="E550" t="inlineStr">
        <is>
          <t>SOLLEFTEÅ</t>
        </is>
      </c>
      <c r="F550" t="inlineStr">
        <is>
          <t>SCA</t>
        </is>
      </c>
      <c r="G550" t="n">
        <v>28.7</v>
      </c>
      <c r="H550" t="n">
        <v>0</v>
      </c>
      <c r="I550" t="n">
        <v>0</v>
      </c>
      <c r="J550" t="n">
        <v>0</v>
      </c>
      <c r="K550" t="n">
        <v>0</v>
      </c>
      <c r="L550" t="n">
        <v>0</v>
      </c>
      <c r="M550" t="n">
        <v>0</v>
      </c>
      <c r="N550" t="n">
        <v>0</v>
      </c>
      <c r="O550" t="n">
        <v>0</v>
      </c>
      <c r="P550" t="n">
        <v>0</v>
      </c>
      <c r="Q550" t="n">
        <v>0</v>
      </c>
      <c r="R550" s="2" t="inlineStr"/>
    </row>
    <row r="551" ht="15" customHeight="1">
      <c r="A551" t="inlineStr">
        <is>
          <t>A 13023-2020</t>
        </is>
      </c>
      <c r="B551" s="1" t="n">
        <v>43900</v>
      </c>
      <c r="C551" s="1" t="n">
        <v>45260</v>
      </c>
      <c r="D551" t="inlineStr">
        <is>
          <t>VÄSTERNORRLANDS LÄN</t>
        </is>
      </c>
      <c r="E551" t="inlineStr">
        <is>
          <t>SOLLEFTEÅ</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13567-2020</t>
        </is>
      </c>
      <c r="B552" s="1" t="n">
        <v>43902</v>
      </c>
      <c r="C552" s="1" t="n">
        <v>45260</v>
      </c>
      <c r="D552" t="inlineStr">
        <is>
          <t>VÄSTERNORRLANDS LÄN</t>
        </is>
      </c>
      <c r="E552" t="inlineStr">
        <is>
          <t>SOLLEFTEÅ</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13577-2020</t>
        </is>
      </c>
      <c r="B553" s="1" t="n">
        <v>43902</v>
      </c>
      <c r="C553" s="1" t="n">
        <v>45260</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13565-2020</t>
        </is>
      </c>
      <c r="B554" s="1" t="n">
        <v>43902</v>
      </c>
      <c r="C554" s="1" t="n">
        <v>45260</v>
      </c>
      <c r="D554" t="inlineStr">
        <is>
          <t>VÄSTERNORRLANDS LÄN</t>
        </is>
      </c>
      <c r="E554" t="inlineStr">
        <is>
          <t>SOLLEFTEÅ</t>
        </is>
      </c>
      <c r="F554" t="inlineStr">
        <is>
          <t>SCA</t>
        </is>
      </c>
      <c r="G554" t="n">
        <v>12.6</v>
      </c>
      <c r="H554" t="n">
        <v>0</v>
      </c>
      <c r="I554" t="n">
        <v>0</v>
      </c>
      <c r="J554" t="n">
        <v>0</v>
      </c>
      <c r="K554" t="n">
        <v>0</v>
      </c>
      <c r="L554" t="n">
        <v>0</v>
      </c>
      <c r="M554" t="n">
        <v>0</v>
      </c>
      <c r="N554" t="n">
        <v>0</v>
      </c>
      <c r="O554" t="n">
        <v>0</v>
      </c>
      <c r="P554" t="n">
        <v>0</v>
      </c>
      <c r="Q554" t="n">
        <v>0</v>
      </c>
      <c r="R554" s="2" t="inlineStr"/>
    </row>
    <row r="555" ht="15" customHeight="1">
      <c r="A555" t="inlineStr">
        <is>
          <t>A 13575-2020</t>
        </is>
      </c>
      <c r="B555" s="1" t="n">
        <v>43902</v>
      </c>
      <c r="C555" s="1" t="n">
        <v>45260</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13561-2020</t>
        </is>
      </c>
      <c r="B556" s="1" t="n">
        <v>43902</v>
      </c>
      <c r="C556" s="1" t="n">
        <v>45260</v>
      </c>
      <c r="D556" t="inlineStr">
        <is>
          <t>VÄSTERNORRLANDS LÄN</t>
        </is>
      </c>
      <c r="E556" t="inlineStr">
        <is>
          <t>SOLLEFTEÅ</t>
        </is>
      </c>
      <c r="F556" t="inlineStr">
        <is>
          <t>SCA</t>
        </is>
      </c>
      <c r="G556" t="n">
        <v>7.8</v>
      </c>
      <c r="H556" t="n">
        <v>0</v>
      </c>
      <c r="I556" t="n">
        <v>0</v>
      </c>
      <c r="J556" t="n">
        <v>0</v>
      </c>
      <c r="K556" t="n">
        <v>0</v>
      </c>
      <c r="L556" t="n">
        <v>0</v>
      </c>
      <c r="M556" t="n">
        <v>0</v>
      </c>
      <c r="N556" t="n">
        <v>0</v>
      </c>
      <c r="O556" t="n">
        <v>0</v>
      </c>
      <c r="P556" t="n">
        <v>0</v>
      </c>
      <c r="Q556" t="n">
        <v>0</v>
      </c>
      <c r="R556" s="2" t="inlineStr"/>
    </row>
    <row r="557" ht="15" customHeight="1">
      <c r="A557" t="inlineStr">
        <is>
          <t>A 13564-2020</t>
        </is>
      </c>
      <c r="B557" s="1" t="n">
        <v>43902</v>
      </c>
      <c r="C557" s="1" t="n">
        <v>45260</v>
      </c>
      <c r="D557" t="inlineStr">
        <is>
          <t>VÄSTERNORRLANDS LÄN</t>
        </is>
      </c>
      <c r="E557" t="inlineStr">
        <is>
          <t>SOLLEFTEÅ</t>
        </is>
      </c>
      <c r="F557" t="inlineStr">
        <is>
          <t>SCA</t>
        </is>
      </c>
      <c r="G557" t="n">
        <v>26.1</v>
      </c>
      <c r="H557" t="n">
        <v>0</v>
      </c>
      <c r="I557" t="n">
        <v>0</v>
      </c>
      <c r="J557" t="n">
        <v>0</v>
      </c>
      <c r="K557" t="n">
        <v>0</v>
      </c>
      <c r="L557" t="n">
        <v>0</v>
      </c>
      <c r="M557" t="n">
        <v>0</v>
      </c>
      <c r="N557" t="n">
        <v>0</v>
      </c>
      <c r="O557" t="n">
        <v>0</v>
      </c>
      <c r="P557" t="n">
        <v>0</v>
      </c>
      <c r="Q557" t="n">
        <v>0</v>
      </c>
      <c r="R557" s="2" t="inlineStr"/>
    </row>
    <row r="558" ht="15" customHeight="1">
      <c r="A558" t="inlineStr">
        <is>
          <t>A 13798-2020</t>
        </is>
      </c>
      <c r="B558" s="1" t="n">
        <v>43903</v>
      </c>
      <c r="C558" s="1" t="n">
        <v>45260</v>
      </c>
      <c r="D558" t="inlineStr">
        <is>
          <t>VÄSTERNORRLANDS LÄN</t>
        </is>
      </c>
      <c r="E558" t="inlineStr">
        <is>
          <t>SOLLEFTEÅ</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13864-2020</t>
        </is>
      </c>
      <c r="B559" s="1" t="n">
        <v>43906</v>
      </c>
      <c r="C559" s="1" t="n">
        <v>45260</v>
      </c>
      <c r="D559" t="inlineStr">
        <is>
          <t>VÄSTERNORRLANDS LÄN</t>
        </is>
      </c>
      <c r="E559" t="inlineStr">
        <is>
          <t>SOLLEFTEÅ</t>
        </is>
      </c>
      <c r="G559" t="n">
        <v>0.4</v>
      </c>
      <c r="H559" t="n">
        <v>0</v>
      </c>
      <c r="I559" t="n">
        <v>0</v>
      </c>
      <c r="J559" t="n">
        <v>0</v>
      </c>
      <c r="K559" t="n">
        <v>0</v>
      </c>
      <c r="L559" t="n">
        <v>0</v>
      </c>
      <c r="M559" t="n">
        <v>0</v>
      </c>
      <c r="N559" t="n">
        <v>0</v>
      </c>
      <c r="O559" t="n">
        <v>0</v>
      </c>
      <c r="P559" t="n">
        <v>0</v>
      </c>
      <c r="Q559" t="n">
        <v>0</v>
      </c>
      <c r="R559" s="2" t="inlineStr"/>
    </row>
    <row r="560" ht="15" customHeight="1">
      <c r="A560" t="inlineStr">
        <is>
          <t>A 14859-2020</t>
        </is>
      </c>
      <c r="B560" s="1" t="n">
        <v>43909</v>
      </c>
      <c r="C560" s="1" t="n">
        <v>45260</v>
      </c>
      <c r="D560" t="inlineStr">
        <is>
          <t>VÄSTERNORRLANDS LÄN</t>
        </is>
      </c>
      <c r="E560" t="inlineStr">
        <is>
          <t>SOLLEFTEÅ</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18515-2020</t>
        </is>
      </c>
      <c r="B561" s="1" t="n">
        <v>43927</v>
      </c>
      <c r="C561" s="1" t="n">
        <v>45260</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18402-2020</t>
        </is>
      </c>
      <c r="B562" s="1" t="n">
        <v>43928</v>
      </c>
      <c r="C562" s="1" t="n">
        <v>45260</v>
      </c>
      <c r="D562" t="inlineStr">
        <is>
          <t>VÄSTERNORRLANDS LÄN</t>
        </is>
      </c>
      <c r="E562" t="inlineStr">
        <is>
          <t>SOLLEFTEÅ</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20164-2020</t>
        </is>
      </c>
      <c r="B563" s="1" t="n">
        <v>43944</v>
      </c>
      <c r="C563" s="1" t="n">
        <v>45260</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20419-2020</t>
        </is>
      </c>
      <c r="B564" s="1" t="n">
        <v>43945</v>
      </c>
      <c r="C564" s="1" t="n">
        <v>45260</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20861-2020</t>
        </is>
      </c>
      <c r="B565" s="1" t="n">
        <v>43948</v>
      </c>
      <c r="C565" s="1" t="n">
        <v>45260</v>
      </c>
      <c r="D565" t="inlineStr">
        <is>
          <t>VÄSTERNORRLANDS LÄN</t>
        </is>
      </c>
      <c r="E565" t="inlineStr">
        <is>
          <t>SOLLEFTEÅ</t>
        </is>
      </c>
      <c r="G565" t="n">
        <v>2.9</v>
      </c>
      <c r="H565" t="n">
        <v>0</v>
      </c>
      <c r="I565" t="n">
        <v>0</v>
      </c>
      <c r="J565" t="n">
        <v>0</v>
      </c>
      <c r="K565" t="n">
        <v>0</v>
      </c>
      <c r="L565" t="n">
        <v>0</v>
      </c>
      <c r="M565" t="n">
        <v>0</v>
      </c>
      <c r="N565" t="n">
        <v>0</v>
      </c>
      <c r="O565" t="n">
        <v>0</v>
      </c>
      <c r="P565" t="n">
        <v>0</v>
      </c>
      <c r="Q565" t="n">
        <v>0</v>
      </c>
      <c r="R565" s="2" t="inlineStr"/>
    </row>
    <row r="566" ht="15" customHeight="1">
      <c r="A566" t="inlineStr">
        <is>
          <t>A 21022-2020</t>
        </is>
      </c>
      <c r="B566" s="1" t="n">
        <v>43950</v>
      </c>
      <c r="C566" s="1" t="n">
        <v>45260</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21097-2020</t>
        </is>
      </c>
      <c r="B567" s="1" t="n">
        <v>43950</v>
      </c>
      <c r="C567" s="1" t="n">
        <v>45260</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21020-2020</t>
        </is>
      </c>
      <c r="B568" s="1" t="n">
        <v>43950</v>
      </c>
      <c r="C568" s="1" t="n">
        <v>45260</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22371-2020</t>
        </is>
      </c>
      <c r="B569" s="1" t="n">
        <v>43957</v>
      </c>
      <c r="C569" s="1" t="n">
        <v>45260</v>
      </c>
      <c r="D569" t="inlineStr">
        <is>
          <t>VÄSTERNORRLANDS LÄN</t>
        </is>
      </c>
      <c r="E569" t="inlineStr">
        <is>
          <t>SOLLEFTEÅ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22731-2020</t>
        </is>
      </c>
      <c r="B570" s="1" t="n">
        <v>43962</v>
      </c>
      <c r="C570" s="1" t="n">
        <v>45260</v>
      </c>
      <c r="D570" t="inlineStr">
        <is>
          <t>VÄSTERNORRLANDS LÄN</t>
        </is>
      </c>
      <c r="E570" t="inlineStr">
        <is>
          <t>SOLLEFTEÅ</t>
        </is>
      </c>
      <c r="G570" t="n">
        <v>16.8</v>
      </c>
      <c r="H570" t="n">
        <v>0</v>
      </c>
      <c r="I570" t="n">
        <v>0</v>
      </c>
      <c r="J570" t="n">
        <v>0</v>
      </c>
      <c r="K570" t="n">
        <v>0</v>
      </c>
      <c r="L570" t="n">
        <v>0</v>
      </c>
      <c r="M570" t="n">
        <v>0</v>
      </c>
      <c r="N570" t="n">
        <v>0</v>
      </c>
      <c r="O570" t="n">
        <v>0</v>
      </c>
      <c r="P570" t="n">
        <v>0</v>
      </c>
      <c r="Q570" t="n">
        <v>0</v>
      </c>
      <c r="R570" s="2" t="inlineStr"/>
    </row>
    <row r="571" ht="15" customHeight="1">
      <c r="A571" t="inlineStr">
        <is>
          <t>A 21607-2020</t>
        </is>
      </c>
      <c r="B571" s="1" t="n">
        <v>43963</v>
      </c>
      <c r="C571" s="1" t="n">
        <v>45260</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22561-2020</t>
        </is>
      </c>
      <c r="B572" s="1" t="n">
        <v>43963</v>
      </c>
      <c r="C572" s="1" t="n">
        <v>45260</v>
      </c>
      <c r="D572" t="inlineStr">
        <is>
          <t>VÄSTERNORRLANDS LÄN</t>
        </is>
      </c>
      <c r="E572" t="inlineStr">
        <is>
          <t>SOLLEFTEÅ</t>
        </is>
      </c>
      <c r="G572" t="n">
        <v>8.6</v>
      </c>
      <c r="H572" t="n">
        <v>0</v>
      </c>
      <c r="I572" t="n">
        <v>0</v>
      </c>
      <c r="J572" t="n">
        <v>0</v>
      </c>
      <c r="K572" t="n">
        <v>0</v>
      </c>
      <c r="L572" t="n">
        <v>0</v>
      </c>
      <c r="M572" t="n">
        <v>0</v>
      </c>
      <c r="N572" t="n">
        <v>0</v>
      </c>
      <c r="O572" t="n">
        <v>0</v>
      </c>
      <c r="P572" t="n">
        <v>0</v>
      </c>
      <c r="Q572" t="n">
        <v>0</v>
      </c>
      <c r="R572" s="2" t="inlineStr"/>
    </row>
    <row r="573" ht="15" customHeight="1">
      <c r="A573" t="inlineStr">
        <is>
          <t>A 23231-2020</t>
        </is>
      </c>
      <c r="B573" s="1" t="n">
        <v>43966</v>
      </c>
      <c r="C573" s="1" t="n">
        <v>45260</v>
      </c>
      <c r="D573" t="inlineStr">
        <is>
          <t>VÄSTERNORRLANDS LÄN</t>
        </is>
      </c>
      <c r="E573" t="inlineStr">
        <is>
          <t>SOLLEFTEÅ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23638-2020</t>
        </is>
      </c>
      <c r="B574" s="1" t="n">
        <v>43969</v>
      </c>
      <c r="C574" s="1" t="n">
        <v>45260</v>
      </c>
      <c r="D574" t="inlineStr">
        <is>
          <t>VÄSTERNORRLANDS LÄN</t>
        </is>
      </c>
      <c r="E574" t="inlineStr">
        <is>
          <t>SOLLEFTEÅ</t>
        </is>
      </c>
      <c r="G574" t="n">
        <v>8.9</v>
      </c>
      <c r="H574" t="n">
        <v>0</v>
      </c>
      <c r="I574" t="n">
        <v>0</v>
      </c>
      <c r="J574" t="n">
        <v>0</v>
      </c>
      <c r="K574" t="n">
        <v>0</v>
      </c>
      <c r="L574" t="n">
        <v>0</v>
      </c>
      <c r="M574" t="n">
        <v>0</v>
      </c>
      <c r="N574" t="n">
        <v>0</v>
      </c>
      <c r="O574" t="n">
        <v>0</v>
      </c>
      <c r="P574" t="n">
        <v>0</v>
      </c>
      <c r="Q574" t="n">
        <v>0</v>
      </c>
      <c r="R574" s="2" t="inlineStr"/>
    </row>
    <row r="575" ht="15" customHeight="1">
      <c r="A575" t="inlineStr">
        <is>
          <t>A 24060-2020</t>
        </is>
      </c>
      <c r="B575" s="1" t="n">
        <v>43971</v>
      </c>
      <c r="C575" s="1" t="n">
        <v>45260</v>
      </c>
      <c r="D575" t="inlineStr">
        <is>
          <t>VÄSTERNORRLANDS LÄN</t>
        </is>
      </c>
      <c r="E575" t="inlineStr">
        <is>
          <t>SOLLEFTEÅ</t>
        </is>
      </c>
      <c r="G575" t="n">
        <v>16.3</v>
      </c>
      <c r="H575" t="n">
        <v>0</v>
      </c>
      <c r="I575" t="n">
        <v>0</v>
      </c>
      <c r="J575" t="n">
        <v>0</v>
      </c>
      <c r="K575" t="n">
        <v>0</v>
      </c>
      <c r="L575" t="n">
        <v>0</v>
      </c>
      <c r="M575" t="n">
        <v>0</v>
      </c>
      <c r="N575" t="n">
        <v>0</v>
      </c>
      <c r="O575" t="n">
        <v>0</v>
      </c>
      <c r="P575" t="n">
        <v>0</v>
      </c>
      <c r="Q575" t="n">
        <v>0</v>
      </c>
      <c r="R575" s="2" t="inlineStr"/>
    </row>
    <row r="576" ht="15" customHeight="1">
      <c r="A576" t="inlineStr">
        <is>
          <t>A 24062-2020</t>
        </is>
      </c>
      <c r="B576" s="1" t="n">
        <v>43971</v>
      </c>
      <c r="C576" s="1" t="n">
        <v>45260</v>
      </c>
      <c r="D576" t="inlineStr">
        <is>
          <t>VÄSTERNORRLANDS LÄN</t>
        </is>
      </c>
      <c r="E576" t="inlineStr">
        <is>
          <t>SOLLEFTEÅ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24061-2020</t>
        </is>
      </c>
      <c r="B577" s="1" t="n">
        <v>43971</v>
      </c>
      <c r="C577" s="1" t="n">
        <v>45260</v>
      </c>
      <c r="D577" t="inlineStr">
        <is>
          <t>VÄSTERNORRLANDS LÄN</t>
        </is>
      </c>
      <c r="E577" t="inlineStr">
        <is>
          <t>SOLLEFTEÅ</t>
        </is>
      </c>
      <c r="G577" t="n">
        <v>5.7</v>
      </c>
      <c r="H577" t="n">
        <v>0</v>
      </c>
      <c r="I577" t="n">
        <v>0</v>
      </c>
      <c r="J577" t="n">
        <v>0</v>
      </c>
      <c r="K577" t="n">
        <v>0</v>
      </c>
      <c r="L577" t="n">
        <v>0</v>
      </c>
      <c r="M577" t="n">
        <v>0</v>
      </c>
      <c r="N577" t="n">
        <v>0</v>
      </c>
      <c r="O577" t="n">
        <v>0</v>
      </c>
      <c r="P577" t="n">
        <v>0</v>
      </c>
      <c r="Q577" t="n">
        <v>0</v>
      </c>
      <c r="R577" s="2" t="inlineStr"/>
    </row>
    <row r="578" ht="15" customHeight="1">
      <c r="A578" t="inlineStr">
        <is>
          <t>A 25100-2020</t>
        </is>
      </c>
      <c r="B578" s="1" t="n">
        <v>43979</v>
      </c>
      <c r="C578" s="1" t="n">
        <v>45260</v>
      </c>
      <c r="D578" t="inlineStr">
        <is>
          <t>VÄSTERNORRLANDS LÄN</t>
        </is>
      </c>
      <c r="E578" t="inlineStr">
        <is>
          <t>SOLLEFTEÅ</t>
        </is>
      </c>
      <c r="G578" t="n">
        <v>4.7</v>
      </c>
      <c r="H578" t="n">
        <v>0</v>
      </c>
      <c r="I578" t="n">
        <v>0</v>
      </c>
      <c r="J578" t="n">
        <v>0</v>
      </c>
      <c r="K578" t="n">
        <v>0</v>
      </c>
      <c r="L578" t="n">
        <v>0</v>
      </c>
      <c r="M578" t="n">
        <v>0</v>
      </c>
      <c r="N578" t="n">
        <v>0</v>
      </c>
      <c r="O578" t="n">
        <v>0</v>
      </c>
      <c r="P578" t="n">
        <v>0</v>
      </c>
      <c r="Q578" t="n">
        <v>0</v>
      </c>
      <c r="R578" s="2" t="inlineStr"/>
    </row>
    <row r="579" ht="15" customHeight="1">
      <c r="A579" t="inlineStr">
        <is>
          <t>A 26189-2020</t>
        </is>
      </c>
      <c r="B579" s="1" t="n">
        <v>43985</v>
      </c>
      <c r="C579" s="1" t="n">
        <v>45260</v>
      </c>
      <c r="D579" t="inlineStr">
        <is>
          <t>VÄSTERNORRLANDS LÄN</t>
        </is>
      </c>
      <c r="E579" t="inlineStr">
        <is>
          <t>SOLLEFTEÅ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26249-2020</t>
        </is>
      </c>
      <c r="B580" s="1" t="n">
        <v>43986</v>
      </c>
      <c r="C580" s="1" t="n">
        <v>45260</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27199-2020</t>
        </is>
      </c>
      <c r="B581" s="1" t="n">
        <v>43991</v>
      </c>
      <c r="C581" s="1" t="n">
        <v>45260</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27177-2020</t>
        </is>
      </c>
      <c r="B582" s="1" t="n">
        <v>43991</v>
      </c>
      <c r="C582" s="1" t="n">
        <v>45260</v>
      </c>
      <c r="D582" t="inlineStr">
        <is>
          <t>VÄSTERNORRLANDS LÄN</t>
        </is>
      </c>
      <c r="E582" t="inlineStr">
        <is>
          <t>SOLLEFTEÅ</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45260</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45260</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45260</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45260</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45260</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45260</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45260</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45260</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45260</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45260</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45260</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45260</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45260</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45260</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45260</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45260</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45260</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45260</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45260</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45260</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45260</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45260</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45260</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45260</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45260</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45260</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33209-2020</t>
        </is>
      </c>
      <c r="B609" s="1" t="n">
        <v>44021</v>
      </c>
      <c r="C609" s="1" t="n">
        <v>45260</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33211-2020</t>
        </is>
      </c>
      <c r="B610" s="1" t="n">
        <v>44021</v>
      </c>
      <c r="C610" s="1" t="n">
        <v>45260</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33212-2020</t>
        </is>
      </c>
      <c r="B611" s="1" t="n">
        <v>44021</v>
      </c>
      <c r="C611" s="1" t="n">
        <v>45260</v>
      </c>
      <c r="D611" t="inlineStr">
        <is>
          <t>VÄSTERNORRLANDS LÄN</t>
        </is>
      </c>
      <c r="E611" t="inlineStr">
        <is>
          <t>SOLLEFTEÅ</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33208-2020</t>
        </is>
      </c>
      <c r="B612" s="1" t="n">
        <v>44021</v>
      </c>
      <c r="C612" s="1" t="n">
        <v>45260</v>
      </c>
      <c r="D612" t="inlineStr">
        <is>
          <t>VÄSTERNORRLANDS LÄN</t>
        </is>
      </c>
      <c r="E612" t="inlineStr">
        <is>
          <t>SOLLEFTEÅ</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45260</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45260</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45260</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45260</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45260</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45260</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45260</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45260</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45260</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45260</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45260</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45260</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45260</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45260</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45260</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45260</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45260</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45260</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35220-2020</t>
        </is>
      </c>
      <c r="B631" s="1" t="n">
        <v>44041</v>
      </c>
      <c r="C631" s="1" t="n">
        <v>45260</v>
      </c>
      <c r="D631" t="inlineStr">
        <is>
          <t>VÄSTERNORRLANDS LÄN</t>
        </is>
      </c>
      <c r="E631" t="inlineStr">
        <is>
          <t>SOLLEFTEÅ</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35372-2020</t>
        </is>
      </c>
      <c r="B632" s="1" t="n">
        <v>44041</v>
      </c>
      <c r="C632" s="1" t="n">
        <v>45260</v>
      </c>
      <c r="D632" t="inlineStr">
        <is>
          <t>VÄSTERNORRLANDS LÄN</t>
        </is>
      </c>
      <c r="E632" t="inlineStr">
        <is>
          <t>SOLLEFTEÅ</t>
        </is>
      </c>
      <c r="F632" t="inlineStr">
        <is>
          <t>SCA</t>
        </is>
      </c>
      <c r="G632" t="n">
        <v>12.3</v>
      </c>
      <c r="H632" t="n">
        <v>0</v>
      </c>
      <c r="I632" t="n">
        <v>0</v>
      </c>
      <c r="J632" t="n">
        <v>0</v>
      </c>
      <c r="K632" t="n">
        <v>0</v>
      </c>
      <c r="L632" t="n">
        <v>0</v>
      </c>
      <c r="M632" t="n">
        <v>0</v>
      </c>
      <c r="N632" t="n">
        <v>0</v>
      </c>
      <c r="O632" t="n">
        <v>0</v>
      </c>
      <c r="P632" t="n">
        <v>0</v>
      </c>
      <c r="Q632" t="n">
        <v>0</v>
      </c>
      <c r="R632" s="2" t="inlineStr"/>
    </row>
    <row r="633" ht="15" customHeight="1">
      <c r="A633" t="inlineStr">
        <is>
          <t>A 35361-2020</t>
        </is>
      </c>
      <c r="B633" s="1" t="n">
        <v>44041</v>
      </c>
      <c r="C633" s="1" t="n">
        <v>45260</v>
      </c>
      <c r="D633" t="inlineStr">
        <is>
          <t>VÄSTERNORRLANDS LÄN</t>
        </is>
      </c>
      <c r="E633" t="inlineStr">
        <is>
          <t>SOLLEFTEÅ</t>
        </is>
      </c>
      <c r="F633" t="inlineStr">
        <is>
          <t>SCA</t>
        </is>
      </c>
      <c r="G633" t="n">
        <v>13.6</v>
      </c>
      <c r="H633" t="n">
        <v>0</v>
      </c>
      <c r="I633" t="n">
        <v>0</v>
      </c>
      <c r="J633" t="n">
        <v>0</v>
      </c>
      <c r="K633" t="n">
        <v>0</v>
      </c>
      <c r="L633" t="n">
        <v>0</v>
      </c>
      <c r="M633" t="n">
        <v>0</v>
      </c>
      <c r="N633" t="n">
        <v>0</v>
      </c>
      <c r="O633" t="n">
        <v>0</v>
      </c>
      <c r="P633" t="n">
        <v>0</v>
      </c>
      <c r="Q633" t="n">
        <v>0</v>
      </c>
      <c r="R633" s="2" t="inlineStr"/>
    </row>
    <row r="634" ht="15" customHeight="1">
      <c r="A634" t="inlineStr">
        <is>
          <t>A 36789-2020</t>
        </is>
      </c>
      <c r="B634" s="1" t="n">
        <v>44048</v>
      </c>
      <c r="C634" s="1" t="n">
        <v>45260</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36660-2020</t>
        </is>
      </c>
      <c r="B635" s="1" t="n">
        <v>44050</v>
      </c>
      <c r="C635" s="1" t="n">
        <v>45260</v>
      </c>
      <c r="D635" t="inlineStr">
        <is>
          <t>VÄSTERNORRLANDS LÄN</t>
        </is>
      </c>
      <c r="E635" t="inlineStr">
        <is>
          <t>SOLLEFTEÅ</t>
        </is>
      </c>
      <c r="G635" t="n">
        <v>18.2</v>
      </c>
      <c r="H635" t="n">
        <v>0</v>
      </c>
      <c r="I635" t="n">
        <v>0</v>
      </c>
      <c r="J635" t="n">
        <v>0</v>
      </c>
      <c r="K635" t="n">
        <v>0</v>
      </c>
      <c r="L635" t="n">
        <v>0</v>
      </c>
      <c r="M635" t="n">
        <v>0</v>
      </c>
      <c r="N635" t="n">
        <v>0</v>
      </c>
      <c r="O635" t="n">
        <v>0</v>
      </c>
      <c r="P635" t="n">
        <v>0</v>
      </c>
      <c r="Q635" t="n">
        <v>0</v>
      </c>
      <c r="R635" s="2" t="inlineStr"/>
    </row>
    <row r="636" ht="15" customHeight="1">
      <c r="A636" t="inlineStr">
        <is>
          <t>A 36811-2020</t>
        </is>
      </c>
      <c r="B636" s="1" t="n">
        <v>44053</v>
      </c>
      <c r="C636" s="1" t="n">
        <v>45260</v>
      </c>
      <c r="D636" t="inlineStr">
        <is>
          <t>VÄSTERNORRLANDS LÄN</t>
        </is>
      </c>
      <c r="E636" t="inlineStr">
        <is>
          <t>SOLLEFTEÅ</t>
        </is>
      </c>
      <c r="G636" t="n">
        <v>4.7</v>
      </c>
      <c r="H636" t="n">
        <v>0</v>
      </c>
      <c r="I636" t="n">
        <v>0</v>
      </c>
      <c r="J636" t="n">
        <v>0</v>
      </c>
      <c r="K636" t="n">
        <v>0</v>
      </c>
      <c r="L636" t="n">
        <v>0</v>
      </c>
      <c r="M636" t="n">
        <v>0</v>
      </c>
      <c r="N636" t="n">
        <v>0</v>
      </c>
      <c r="O636" t="n">
        <v>0</v>
      </c>
      <c r="P636" t="n">
        <v>0</v>
      </c>
      <c r="Q636" t="n">
        <v>0</v>
      </c>
      <c r="R636" s="2" t="inlineStr"/>
    </row>
    <row r="637" ht="15" customHeight="1">
      <c r="A637" t="inlineStr">
        <is>
          <t>A 37710-2020</t>
        </is>
      </c>
      <c r="B637" s="1" t="n">
        <v>44056</v>
      </c>
      <c r="C637" s="1" t="n">
        <v>45260</v>
      </c>
      <c r="D637" t="inlineStr">
        <is>
          <t>VÄSTERNORRLANDS LÄN</t>
        </is>
      </c>
      <c r="E637" t="inlineStr">
        <is>
          <t>SOLLEFTEÅ</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38482-2020</t>
        </is>
      </c>
      <c r="B638" s="1" t="n">
        <v>44060</v>
      </c>
      <c r="C638" s="1" t="n">
        <v>45260</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38517-2020</t>
        </is>
      </c>
      <c r="B639" s="1" t="n">
        <v>44060</v>
      </c>
      <c r="C639" s="1" t="n">
        <v>45260</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39007-2020</t>
        </is>
      </c>
      <c r="B640" s="1" t="n">
        <v>44062</v>
      </c>
      <c r="C640" s="1" t="n">
        <v>45260</v>
      </c>
      <c r="D640" t="inlineStr">
        <is>
          <t>VÄSTERNORRLANDS LÄN</t>
        </is>
      </c>
      <c r="E640" t="inlineStr">
        <is>
          <t>SOLLEFTEÅ</t>
        </is>
      </c>
      <c r="F640" t="inlineStr">
        <is>
          <t>Kyrkan</t>
        </is>
      </c>
      <c r="G640" t="n">
        <v>5</v>
      </c>
      <c r="H640" t="n">
        <v>0</v>
      </c>
      <c r="I640" t="n">
        <v>0</v>
      </c>
      <c r="J640" t="n">
        <v>0</v>
      </c>
      <c r="K640" t="n">
        <v>0</v>
      </c>
      <c r="L640" t="n">
        <v>0</v>
      </c>
      <c r="M640" t="n">
        <v>0</v>
      </c>
      <c r="N640" t="n">
        <v>0</v>
      </c>
      <c r="O640" t="n">
        <v>0</v>
      </c>
      <c r="P640" t="n">
        <v>0</v>
      </c>
      <c r="Q640" t="n">
        <v>0</v>
      </c>
      <c r="R640" s="2" t="inlineStr"/>
    </row>
    <row r="641" ht="15" customHeight="1">
      <c r="A641" t="inlineStr">
        <is>
          <t>A 39077-2020</t>
        </is>
      </c>
      <c r="B641" s="1" t="n">
        <v>44062</v>
      </c>
      <c r="C641" s="1" t="n">
        <v>45260</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39016-2020</t>
        </is>
      </c>
      <c r="B642" s="1" t="n">
        <v>44062</v>
      </c>
      <c r="C642" s="1" t="n">
        <v>45260</v>
      </c>
      <c r="D642" t="inlineStr">
        <is>
          <t>VÄSTERNORRLANDS LÄN</t>
        </is>
      </c>
      <c r="E642" t="inlineStr">
        <is>
          <t>SOLLEFTEÅ</t>
        </is>
      </c>
      <c r="F642" t="inlineStr">
        <is>
          <t>Kyrkan</t>
        </is>
      </c>
      <c r="G642" t="n">
        <v>2.4</v>
      </c>
      <c r="H642" t="n">
        <v>0</v>
      </c>
      <c r="I642" t="n">
        <v>0</v>
      </c>
      <c r="J642" t="n">
        <v>0</v>
      </c>
      <c r="K642" t="n">
        <v>0</v>
      </c>
      <c r="L642" t="n">
        <v>0</v>
      </c>
      <c r="M642" t="n">
        <v>0</v>
      </c>
      <c r="N642" t="n">
        <v>0</v>
      </c>
      <c r="O642" t="n">
        <v>0</v>
      </c>
      <c r="P642" t="n">
        <v>0</v>
      </c>
      <c r="Q642" t="n">
        <v>0</v>
      </c>
      <c r="R642" s="2" t="inlineStr"/>
    </row>
    <row r="643" ht="15" customHeight="1">
      <c r="A643" t="inlineStr">
        <is>
          <t>A 39148-2020</t>
        </is>
      </c>
      <c r="B643" s="1" t="n">
        <v>44063</v>
      </c>
      <c r="C643" s="1" t="n">
        <v>45260</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39409-2020</t>
        </is>
      </c>
      <c r="B644" s="1" t="n">
        <v>44064</v>
      </c>
      <c r="C644" s="1" t="n">
        <v>45260</v>
      </c>
      <c r="D644" t="inlineStr">
        <is>
          <t>VÄSTERNORRLANDS LÄN</t>
        </is>
      </c>
      <c r="E644" t="inlineStr">
        <is>
          <t>SOLLEFTEÅ</t>
        </is>
      </c>
      <c r="F644" t="inlineStr">
        <is>
          <t>Holmen skog AB</t>
        </is>
      </c>
      <c r="G644" t="n">
        <v>7.8</v>
      </c>
      <c r="H644" t="n">
        <v>0</v>
      </c>
      <c r="I644" t="n">
        <v>0</v>
      </c>
      <c r="J644" t="n">
        <v>0</v>
      </c>
      <c r="K644" t="n">
        <v>0</v>
      </c>
      <c r="L644" t="n">
        <v>0</v>
      </c>
      <c r="M644" t="n">
        <v>0</v>
      </c>
      <c r="N644" t="n">
        <v>0</v>
      </c>
      <c r="O644" t="n">
        <v>0</v>
      </c>
      <c r="P644" t="n">
        <v>0</v>
      </c>
      <c r="Q644" t="n">
        <v>0</v>
      </c>
      <c r="R644" s="2" t="inlineStr"/>
    </row>
    <row r="645" ht="15" customHeight="1">
      <c r="A645" t="inlineStr">
        <is>
          <t>A 39479-2020</t>
        </is>
      </c>
      <c r="B645" s="1" t="n">
        <v>44064</v>
      </c>
      <c r="C645" s="1" t="n">
        <v>45260</v>
      </c>
      <c r="D645" t="inlineStr">
        <is>
          <t>VÄSTERNORRLANDS LÄN</t>
        </is>
      </c>
      <c r="E645" t="inlineStr">
        <is>
          <t>SOLLEFTEÅ</t>
        </is>
      </c>
      <c r="G645" t="n">
        <v>17.8</v>
      </c>
      <c r="H645" t="n">
        <v>0</v>
      </c>
      <c r="I645" t="n">
        <v>0</v>
      </c>
      <c r="J645" t="n">
        <v>0</v>
      </c>
      <c r="K645" t="n">
        <v>0</v>
      </c>
      <c r="L645" t="n">
        <v>0</v>
      </c>
      <c r="M645" t="n">
        <v>0</v>
      </c>
      <c r="N645" t="n">
        <v>0</v>
      </c>
      <c r="O645" t="n">
        <v>0</v>
      </c>
      <c r="P645" t="n">
        <v>0</v>
      </c>
      <c r="Q645" t="n">
        <v>0</v>
      </c>
      <c r="R645" s="2" t="inlineStr"/>
    </row>
    <row r="646" ht="15" customHeight="1">
      <c r="A646" t="inlineStr">
        <is>
          <t>A 40180-2020</t>
        </is>
      </c>
      <c r="B646" s="1" t="n">
        <v>44064</v>
      </c>
      <c r="C646" s="1" t="n">
        <v>45260</v>
      </c>
      <c r="D646" t="inlineStr">
        <is>
          <t>VÄSTERNORRLANDS LÄN</t>
        </is>
      </c>
      <c r="E646" t="inlineStr">
        <is>
          <t>SOLLEFTEÅ</t>
        </is>
      </c>
      <c r="G646" t="n">
        <v>3.8</v>
      </c>
      <c r="H646" t="n">
        <v>0</v>
      </c>
      <c r="I646" t="n">
        <v>0</v>
      </c>
      <c r="J646" t="n">
        <v>0</v>
      </c>
      <c r="K646" t="n">
        <v>0</v>
      </c>
      <c r="L646" t="n">
        <v>0</v>
      </c>
      <c r="M646" t="n">
        <v>0</v>
      </c>
      <c r="N646" t="n">
        <v>0</v>
      </c>
      <c r="O646" t="n">
        <v>0</v>
      </c>
      <c r="P646" t="n">
        <v>0</v>
      </c>
      <c r="Q646" t="n">
        <v>0</v>
      </c>
      <c r="R646" s="2" t="inlineStr"/>
    </row>
    <row r="647" ht="15" customHeight="1">
      <c r="A647" t="inlineStr">
        <is>
          <t>A 39681-2020</t>
        </is>
      </c>
      <c r="B647" s="1" t="n">
        <v>44065</v>
      </c>
      <c r="C647" s="1" t="n">
        <v>45260</v>
      </c>
      <c r="D647" t="inlineStr">
        <is>
          <t>VÄSTERNORRLANDS LÄN</t>
        </is>
      </c>
      <c r="E647" t="inlineStr">
        <is>
          <t>SOLLEFTEÅ</t>
        </is>
      </c>
      <c r="F647" t="inlineStr">
        <is>
          <t>SCA</t>
        </is>
      </c>
      <c r="G647" t="n">
        <v>19.7</v>
      </c>
      <c r="H647" t="n">
        <v>0</v>
      </c>
      <c r="I647" t="n">
        <v>0</v>
      </c>
      <c r="J647" t="n">
        <v>0</v>
      </c>
      <c r="K647" t="n">
        <v>0</v>
      </c>
      <c r="L647" t="n">
        <v>0</v>
      </c>
      <c r="M647" t="n">
        <v>0</v>
      </c>
      <c r="N647" t="n">
        <v>0</v>
      </c>
      <c r="O647" t="n">
        <v>0</v>
      </c>
      <c r="P647" t="n">
        <v>0</v>
      </c>
      <c r="Q647" t="n">
        <v>0</v>
      </c>
      <c r="R647" s="2" t="inlineStr"/>
    </row>
    <row r="648" ht="15" customHeight="1">
      <c r="A648" t="inlineStr">
        <is>
          <t>A 40476-2020</t>
        </is>
      </c>
      <c r="B648" s="1" t="n">
        <v>44067</v>
      </c>
      <c r="C648" s="1" t="n">
        <v>45260</v>
      </c>
      <c r="D648" t="inlineStr">
        <is>
          <t>VÄSTERNORRLANDS LÄN</t>
        </is>
      </c>
      <c r="E648" t="inlineStr">
        <is>
          <t>SOLLEFTEÅ</t>
        </is>
      </c>
      <c r="G648" t="n">
        <v>8</v>
      </c>
      <c r="H648" t="n">
        <v>0</v>
      </c>
      <c r="I648" t="n">
        <v>0</v>
      </c>
      <c r="J648" t="n">
        <v>0</v>
      </c>
      <c r="K648" t="n">
        <v>0</v>
      </c>
      <c r="L648" t="n">
        <v>0</v>
      </c>
      <c r="M648" t="n">
        <v>0</v>
      </c>
      <c r="N648" t="n">
        <v>0</v>
      </c>
      <c r="O648" t="n">
        <v>0</v>
      </c>
      <c r="P648" t="n">
        <v>0</v>
      </c>
      <c r="Q648" t="n">
        <v>0</v>
      </c>
      <c r="R648" s="2" t="inlineStr"/>
    </row>
    <row r="649" ht="15" customHeight="1">
      <c r="A649" t="inlineStr">
        <is>
          <t>A 40697-2020</t>
        </is>
      </c>
      <c r="B649" s="1" t="n">
        <v>44067</v>
      </c>
      <c r="C649" s="1" t="n">
        <v>45260</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40682-2020</t>
        </is>
      </c>
      <c r="B650" s="1" t="n">
        <v>44067</v>
      </c>
      <c r="C650" s="1" t="n">
        <v>45260</v>
      </c>
      <c r="D650" t="inlineStr">
        <is>
          <t>VÄSTERNORRLANDS LÄN</t>
        </is>
      </c>
      <c r="E650" t="inlineStr">
        <is>
          <t>SOLLEFTEÅ</t>
        </is>
      </c>
      <c r="G650" t="n">
        <v>3.5</v>
      </c>
      <c r="H650" t="n">
        <v>0</v>
      </c>
      <c r="I650" t="n">
        <v>0</v>
      </c>
      <c r="J650" t="n">
        <v>0</v>
      </c>
      <c r="K650" t="n">
        <v>0</v>
      </c>
      <c r="L650" t="n">
        <v>0</v>
      </c>
      <c r="M650" t="n">
        <v>0</v>
      </c>
      <c r="N650" t="n">
        <v>0</v>
      </c>
      <c r="O650" t="n">
        <v>0</v>
      </c>
      <c r="P650" t="n">
        <v>0</v>
      </c>
      <c r="Q650" t="n">
        <v>0</v>
      </c>
      <c r="R650" s="2" t="inlineStr"/>
    </row>
    <row r="651" ht="15" customHeight="1">
      <c r="A651" t="inlineStr">
        <is>
          <t>A 40735-2020</t>
        </is>
      </c>
      <c r="B651" s="1" t="n">
        <v>44069</v>
      </c>
      <c r="C651" s="1" t="n">
        <v>45260</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40747-2020</t>
        </is>
      </c>
      <c r="B652" s="1" t="n">
        <v>44069</v>
      </c>
      <c r="C652" s="1" t="n">
        <v>45260</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42196-2020</t>
        </is>
      </c>
      <c r="B653" s="1" t="n">
        <v>44076</v>
      </c>
      <c r="C653" s="1" t="n">
        <v>45260</v>
      </c>
      <c r="D653" t="inlineStr">
        <is>
          <t>VÄSTERNORRLANDS LÄN</t>
        </is>
      </c>
      <c r="E653" t="inlineStr">
        <is>
          <t>SOLLEFTEÅ</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43300-2020</t>
        </is>
      </c>
      <c r="B654" s="1" t="n">
        <v>44076</v>
      </c>
      <c r="C654" s="1" t="n">
        <v>45260</v>
      </c>
      <c r="D654" t="inlineStr">
        <is>
          <t>VÄSTERNORRLANDS LÄN</t>
        </is>
      </c>
      <c r="E654" t="inlineStr">
        <is>
          <t>SOLLEFTEÅ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43160-2020</t>
        </is>
      </c>
      <c r="B655" s="1" t="n">
        <v>44076</v>
      </c>
      <c r="C655" s="1" t="n">
        <v>45260</v>
      </c>
      <c r="D655" t="inlineStr">
        <is>
          <t>VÄSTERNORRLANDS LÄN</t>
        </is>
      </c>
      <c r="E655" t="inlineStr">
        <is>
          <t>SOLLEFTEÅ</t>
        </is>
      </c>
      <c r="G655" t="n">
        <v>1.1</v>
      </c>
      <c r="H655" t="n">
        <v>0</v>
      </c>
      <c r="I655" t="n">
        <v>0</v>
      </c>
      <c r="J655" t="n">
        <v>0</v>
      </c>
      <c r="K655" t="n">
        <v>0</v>
      </c>
      <c r="L655" t="n">
        <v>0</v>
      </c>
      <c r="M655" t="n">
        <v>0</v>
      </c>
      <c r="N655" t="n">
        <v>0</v>
      </c>
      <c r="O655" t="n">
        <v>0</v>
      </c>
      <c r="P655" t="n">
        <v>0</v>
      </c>
      <c r="Q655" t="n">
        <v>0</v>
      </c>
      <c r="R655" s="2" t="inlineStr"/>
    </row>
    <row r="656" ht="15" customHeight="1">
      <c r="A656" t="inlineStr">
        <is>
          <t>A 42846-2020</t>
        </is>
      </c>
      <c r="B656" s="1" t="n">
        <v>44078</v>
      </c>
      <c r="C656" s="1" t="n">
        <v>45260</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43107-2020</t>
        </is>
      </c>
      <c r="B657" s="1" t="n">
        <v>44078</v>
      </c>
      <c r="C657" s="1" t="n">
        <v>45260</v>
      </c>
      <c r="D657" t="inlineStr">
        <is>
          <t>VÄSTERNORRLANDS LÄN</t>
        </is>
      </c>
      <c r="E657" t="inlineStr">
        <is>
          <t>SOLLEFTEÅ</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43438-2020</t>
        </is>
      </c>
      <c r="B658" s="1" t="n">
        <v>44081</v>
      </c>
      <c r="C658" s="1" t="n">
        <v>45260</v>
      </c>
      <c r="D658" t="inlineStr">
        <is>
          <t>VÄSTERNORRLANDS LÄN</t>
        </is>
      </c>
      <c r="E658" t="inlineStr">
        <is>
          <t>SOLLEFTEÅ</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43820-2020</t>
        </is>
      </c>
      <c r="B659" s="1" t="n">
        <v>44082</v>
      </c>
      <c r="C659" s="1" t="n">
        <v>45260</v>
      </c>
      <c r="D659" t="inlineStr">
        <is>
          <t>VÄSTERNORRLANDS LÄN</t>
        </is>
      </c>
      <c r="E659" t="inlineStr">
        <is>
          <t>SOLLEFTEÅ</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45147-2020</t>
        </is>
      </c>
      <c r="B660" s="1" t="n">
        <v>44084</v>
      </c>
      <c r="C660" s="1" t="n">
        <v>45260</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44681-2020</t>
        </is>
      </c>
      <c r="B661" s="1" t="n">
        <v>44085</v>
      </c>
      <c r="C661" s="1" t="n">
        <v>45260</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45250-2020</t>
        </is>
      </c>
      <c r="B662" s="1" t="n">
        <v>44088</v>
      </c>
      <c r="C662" s="1" t="n">
        <v>45260</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45251-2020</t>
        </is>
      </c>
      <c r="B663" s="1" t="n">
        <v>44088</v>
      </c>
      <c r="C663" s="1" t="n">
        <v>45260</v>
      </c>
      <c r="D663" t="inlineStr">
        <is>
          <t>VÄSTERNORRLANDS LÄN</t>
        </is>
      </c>
      <c r="E663" t="inlineStr">
        <is>
          <t>SOLLEFTEÅ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45549-2020</t>
        </is>
      </c>
      <c r="B664" s="1" t="n">
        <v>44090</v>
      </c>
      <c r="C664" s="1" t="n">
        <v>45260</v>
      </c>
      <c r="D664" t="inlineStr">
        <is>
          <t>VÄSTERNORRLANDS LÄN</t>
        </is>
      </c>
      <c r="E664" t="inlineStr">
        <is>
          <t>SOLLEFTEÅ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45542-2020</t>
        </is>
      </c>
      <c r="B665" s="1" t="n">
        <v>44089</v>
      </c>
      <c r="C665" s="1" t="n">
        <v>45260</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45551-2020</t>
        </is>
      </c>
      <c r="B666" s="1" t="n">
        <v>44089</v>
      </c>
      <c r="C666" s="1" t="n">
        <v>45260</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46715-2020</t>
        </is>
      </c>
      <c r="B667" s="1" t="n">
        <v>44095</v>
      </c>
      <c r="C667" s="1" t="n">
        <v>45260</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47827-2020</t>
        </is>
      </c>
      <c r="B668" s="1" t="n">
        <v>44098</v>
      </c>
      <c r="C668" s="1" t="n">
        <v>45260</v>
      </c>
      <c r="D668" t="inlineStr">
        <is>
          <t>VÄSTERNORRLANDS LÄN</t>
        </is>
      </c>
      <c r="E668" t="inlineStr">
        <is>
          <t>SOLLEFTEÅ</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47859-2020</t>
        </is>
      </c>
      <c r="B669" s="1" t="n">
        <v>44099</v>
      </c>
      <c r="C669" s="1" t="n">
        <v>45260</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48052-2020</t>
        </is>
      </c>
      <c r="B670" s="1" t="n">
        <v>44100</v>
      </c>
      <c r="C670" s="1" t="n">
        <v>45260</v>
      </c>
      <c r="D670" t="inlineStr">
        <is>
          <t>VÄSTERNORRLANDS LÄN</t>
        </is>
      </c>
      <c r="E670" t="inlineStr">
        <is>
          <t>SOLLEFTEÅ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48240-2020</t>
        </is>
      </c>
      <c r="B671" s="1" t="n">
        <v>44102</v>
      </c>
      <c r="C671" s="1" t="n">
        <v>45260</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48477-2020</t>
        </is>
      </c>
      <c r="B672" s="1" t="n">
        <v>44102</v>
      </c>
      <c r="C672" s="1" t="n">
        <v>45260</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48468-2020</t>
        </is>
      </c>
      <c r="B673" s="1" t="n">
        <v>44102</v>
      </c>
      <c r="C673" s="1" t="n">
        <v>45260</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48470-2020</t>
        </is>
      </c>
      <c r="B674" s="1" t="n">
        <v>44102</v>
      </c>
      <c r="C674" s="1" t="n">
        <v>45260</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48475-2020</t>
        </is>
      </c>
      <c r="B675" s="1" t="n">
        <v>44103</v>
      </c>
      <c r="C675" s="1" t="n">
        <v>45260</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48802-2020</t>
        </is>
      </c>
      <c r="B676" s="1" t="n">
        <v>44103</v>
      </c>
      <c r="C676" s="1" t="n">
        <v>45260</v>
      </c>
      <c r="D676" t="inlineStr">
        <is>
          <t>VÄSTERNORRLANDS LÄN</t>
        </is>
      </c>
      <c r="E676" t="inlineStr">
        <is>
          <t>SOLLEFTEÅ</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49629-2020</t>
        </is>
      </c>
      <c r="B677" s="1" t="n">
        <v>44103</v>
      </c>
      <c r="C677" s="1" t="n">
        <v>45260</v>
      </c>
      <c r="D677" t="inlineStr">
        <is>
          <t>VÄSTERNORRLANDS LÄN</t>
        </is>
      </c>
      <c r="E677" t="inlineStr">
        <is>
          <t>SOLLEFTEÅ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49165-2020</t>
        </is>
      </c>
      <c r="B678" s="1" t="n">
        <v>44105</v>
      </c>
      <c r="C678" s="1" t="n">
        <v>45260</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49507-2020</t>
        </is>
      </c>
      <c r="B679" s="1" t="n">
        <v>44105</v>
      </c>
      <c r="C679" s="1" t="n">
        <v>45260</v>
      </c>
      <c r="D679" t="inlineStr">
        <is>
          <t>VÄSTERNORRLANDS LÄN</t>
        </is>
      </c>
      <c r="E679" t="inlineStr">
        <is>
          <t>SOLLEFTEÅ</t>
        </is>
      </c>
      <c r="F679" t="inlineStr">
        <is>
          <t>SCA</t>
        </is>
      </c>
      <c r="G679" t="n">
        <v>0.2</v>
      </c>
      <c r="H679" t="n">
        <v>0</v>
      </c>
      <c r="I679" t="n">
        <v>0</v>
      </c>
      <c r="J679" t="n">
        <v>0</v>
      </c>
      <c r="K679" t="n">
        <v>0</v>
      </c>
      <c r="L679" t="n">
        <v>0</v>
      </c>
      <c r="M679" t="n">
        <v>0</v>
      </c>
      <c r="N679" t="n">
        <v>0</v>
      </c>
      <c r="O679" t="n">
        <v>0</v>
      </c>
      <c r="P679" t="n">
        <v>0</v>
      </c>
      <c r="Q679" t="n">
        <v>0</v>
      </c>
      <c r="R679" s="2" t="inlineStr"/>
    </row>
    <row r="680" ht="15" customHeight="1">
      <c r="A680" t="inlineStr">
        <is>
          <t>A 49508-2020</t>
        </is>
      </c>
      <c r="B680" s="1" t="n">
        <v>44105</v>
      </c>
      <c r="C680" s="1" t="n">
        <v>45260</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49837-2020</t>
        </is>
      </c>
      <c r="B681" s="1" t="n">
        <v>44106</v>
      </c>
      <c r="C681" s="1" t="n">
        <v>45260</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50647-2020</t>
        </is>
      </c>
      <c r="B682" s="1" t="n">
        <v>44111</v>
      </c>
      <c r="C682" s="1" t="n">
        <v>45260</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51018-2020</t>
        </is>
      </c>
      <c r="B683" s="1" t="n">
        <v>44111</v>
      </c>
      <c r="C683" s="1" t="n">
        <v>45260</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51011-2020</t>
        </is>
      </c>
      <c r="B684" s="1" t="n">
        <v>44111</v>
      </c>
      <c r="C684" s="1" t="n">
        <v>45260</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51534-2020</t>
        </is>
      </c>
      <c r="B685" s="1" t="n">
        <v>44113</v>
      </c>
      <c r="C685" s="1" t="n">
        <v>45260</v>
      </c>
      <c r="D685" t="inlineStr">
        <is>
          <t>VÄSTERNORRLANDS LÄN</t>
        </is>
      </c>
      <c r="E685" t="inlineStr">
        <is>
          <t>SOLLEFTEÅ</t>
        </is>
      </c>
      <c r="G685" t="n">
        <v>2.7</v>
      </c>
      <c r="H685" t="n">
        <v>0</v>
      </c>
      <c r="I685" t="n">
        <v>0</v>
      </c>
      <c r="J685" t="n">
        <v>0</v>
      </c>
      <c r="K685" t="n">
        <v>0</v>
      </c>
      <c r="L685" t="n">
        <v>0</v>
      </c>
      <c r="M685" t="n">
        <v>0</v>
      </c>
      <c r="N685" t="n">
        <v>0</v>
      </c>
      <c r="O685" t="n">
        <v>0</v>
      </c>
      <c r="P685" t="n">
        <v>0</v>
      </c>
      <c r="Q685" t="n">
        <v>0</v>
      </c>
      <c r="R685" s="2" t="inlineStr"/>
    </row>
    <row r="686" ht="15" customHeight="1">
      <c r="A686" t="inlineStr">
        <is>
          <t>A 52035-2020</t>
        </is>
      </c>
      <c r="B686" s="1" t="n">
        <v>44117</v>
      </c>
      <c r="C686" s="1" t="n">
        <v>45260</v>
      </c>
      <c r="D686" t="inlineStr">
        <is>
          <t>VÄSTERNORRLANDS LÄN</t>
        </is>
      </c>
      <c r="E686" t="inlineStr">
        <is>
          <t>SOLLEFTEÅ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52189-2020</t>
        </is>
      </c>
      <c r="B687" s="1" t="n">
        <v>44117</v>
      </c>
      <c r="C687" s="1" t="n">
        <v>45260</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52199-2020</t>
        </is>
      </c>
      <c r="B688" s="1" t="n">
        <v>44117</v>
      </c>
      <c r="C688" s="1" t="n">
        <v>45260</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52406-2020</t>
        </is>
      </c>
      <c r="B689" s="1" t="n">
        <v>44118</v>
      </c>
      <c r="C689" s="1" t="n">
        <v>45260</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52983-2020</t>
        </is>
      </c>
      <c r="B690" s="1" t="n">
        <v>44119</v>
      </c>
      <c r="C690" s="1" t="n">
        <v>45260</v>
      </c>
      <c r="D690" t="inlineStr">
        <is>
          <t>VÄSTERNORRLANDS LÄN</t>
        </is>
      </c>
      <c r="E690" t="inlineStr">
        <is>
          <t>SOLLEFTEÅ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52936-2020</t>
        </is>
      </c>
      <c r="B691" s="1" t="n">
        <v>44120</v>
      </c>
      <c r="C691" s="1" t="n">
        <v>45260</v>
      </c>
      <c r="D691" t="inlineStr">
        <is>
          <t>VÄSTERNORRLANDS LÄN</t>
        </is>
      </c>
      <c r="E691" t="inlineStr">
        <is>
          <t>SOLLEFTEÅ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53828-2020</t>
        </is>
      </c>
      <c r="B692" s="1" t="n">
        <v>44124</v>
      </c>
      <c r="C692" s="1" t="n">
        <v>45260</v>
      </c>
      <c r="D692" t="inlineStr">
        <is>
          <t>VÄSTERNORRLANDS LÄN</t>
        </is>
      </c>
      <c r="E692" t="inlineStr">
        <is>
          <t>SOLLEFTEÅ</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54463-2020</t>
        </is>
      </c>
      <c r="B693" s="1" t="n">
        <v>44125</v>
      </c>
      <c r="C693" s="1" t="n">
        <v>45260</v>
      </c>
      <c r="D693" t="inlineStr">
        <is>
          <t>VÄSTERNORRLANDS LÄN</t>
        </is>
      </c>
      <c r="E693" t="inlineStr">
        <is>
          <t>SOLLEFTEÅ</t>
        </is>
      </c>
      <c r="G693" t="n">
        <v>2</v>
      </c>
      <c r="H693" t="n">
        <v>0</v>
      </c>
      <c r="I693" t="n">
        <v>0</v>
      </c>
      <c r="J693" t="n">
        <v>0</v>
      </c>
      <c r="K693" t="n">
        <v>0</v>
      </c>
      <c r="L693" t="n">
        <v>0</v>
      </c>
      <c r="M693" t="n">
        <v>0</v>
      </c>
      <c r="N693" t="n">
        <v>0</v>
      </c>
      <c r="O693" t="n">
        <v>0</v>
      </c>
      <c r="P693" t="n">
        <v>0</v>
      </c>
      <c r="Q693" t="n">
        <v>0</v>
      </c>
      <c r="R693" s="2" t="inlineStr"/>
    </row>
    <row r="694" ht="15" customHeight="1">
      <c r="A694" t="inlineStr">
        <is>
          <t>A 53866-2020</t>
        </is>
      </c>
      <c r="B694" s="1" t="n">
        <v>44125</v>
      </c>
      <c r="C694" s="1" t="n">
        <v>45260</v>
      </c>
      <c r="D694" t="inlineStr">
        <is>
          <t>VÄSTERNORRLANDS LÄN</t>
        </is>
      </c>
      <c r="E694" t="inlineStr">
        <is>
          <t>SOLLEFTEÅ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54567-2020</t>
        </is>
      </c>
      <c r="B695" s="1" t="n">
        <v>44126</v>
      </c>
      <c r="C695" s="1" t="n">
        <v>45260</v>
      </c>
      <c r="D695" t="inlineStr">
        <is>
          <t>VÄSTERNORRLANDS LÄN</t>
        </is>
      </c>
      <c r="E695" t="inlineStr">
        <is>
          <t>SOLLEFTEÅ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54568-2020</t>
        </is>
      </c>
      <c r="B696" s="1" t="n">
        <v>44126</v>
      </c>
      <c r="C696" s="1" t="n">
        <v>45260</v>
      </c>
      <c r="D696" t="inlineStr">
        <is>
          <t>VÄSTERNORRLANDS LÄN</t>
        </is>
      </c>
      <c r="E696" t="inlineStr">
        <is>
          <t>SOLLEFTEÅ</t>
        </is>
      </c>
      <c r="G696" t="n">
        <v>0.2</v>
      </c>
      <c r="H696" t="n">
        <v>0</v>
      </c>
      <c r="I696" t="n">
        <v>0</v>
      </c>
      <c r="J696" t="n">
        <v>0</v>
      </c>
      <c r="K696" t="n">
        <v>0</v>
      </c>
      <c r="L696" t="n">
        <v>0</v>
      </c>
      <c r="M696" t="n">
        <v>0</v>
      </c>
      <c r="N696" t="n">
        <v>0</v>
      </c>
      <c r="O696" t="n">
        <v>0</v>
      </c>
      <c r="P696" t="n">
        <v>0</v>
      </c>
      <c r="Q696" t="n">
        <v>0</v>
      </c>
      <c r="R696" s="2" t="inlineStr"/>
    </row>
    <row r="697" ht="15" customHeight="1">
      <c r="A697" t="inlineStr">
        <is>
          <t>A 54572-2020</t>
        </is>
      </c>
      <c r="B697" s="1" t="n">
        <v>44126</v>
      </c>
      <c r="C697" s="1" t="n">
        <v>45260</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54576-2020</t>
        </is>
      </c>
      <c r="B698" s="1" t="n">
        <v>44126</v>
      </c>
      <c r="C698" s="1" t="n">
        <v>45260</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54571-2020</t>
        </is>
      </c>
      <c r="B699" s="1" t="n">
        <v>44126</v>
      </c>
      <c r="C699" s="1" t="n">
        <v>45260</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54569-2020</t>
        </is>
      </c>
      <c r="B700" s="1" t="n">
        <v>44126</v>
      </c>
      <c r="C700" s="1" t="n">
        <v>45260</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54566-2020</t>
        </is>
      </c>
      <c r="B701" s="1" t="n">
        <v>44126</v>
      </c>
      <c r="C701" s="1" t="n">
        <v>45260</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54570-2020</t>
        </is>
      </c>
      <c r="B702" s="1" t="n">
        <v>44126</v>
      </c>
      <c r="C702" s="1" t="n">
        <v>45260</v>
      </c>
      <c r="D702" t="inlineStr">
        <is>
          <t>VÄSTERNORRLANDS LÄN</t>
        </is>
      </c>
      <c r="E702" t="inlineStr">
        <is>
          <t>SOLLEFTEÅ</t>
        </is>
      </c>
      <c r="G702" t="n">
        <v>0.3</v>
      </c>
      <c r="H702" t="n">
        <v>0</v>
      </c>
      <c r="I702" t="n">
        <v>0</v>
      </c>
      <c r="J702" t="n">
        <v>0</v>
      </c>
      <c r="K702" t="n">
        <v>0</v>
      </c>
      <c r="L702" t="n">
        <v>0</v>
      </c>
      <c r="M702" t="n">
        <v>0</v>
      </c>
      <c r="N702" t="n">
        <v>0</v>
      </c>
      <c r="O702" t="n">
        <v>0</v>
      </c>
      <c r="P702" t="n">
        <v>0</v>
      </c>
      <c r="Q702" t="n">
        <v>0</v>
      </c>
      <c r="R702" s="2" t="inlineStr"/>
    </row>
    <row r="703" ht="15" customHeight="1">
      <c r="A703" t="inlineStr">
        <is>
          <t>A 54573-2020</t>
        </is>
      </c>
      <c r="B703" s="1" t="n">
        <v>44126</v>
      </c>
      <c r="C703" s="1" t="n">
        <v>45260</v>
      </c>
      <c r="D703" t="inlineStr">
        <is>
          <t>VÄSTERNORRLANDS LÄN</t>
        </is>
      </c>
      <c r="E703" t="inlineStr">
        <is>
          <t>SOLLEFTEÅ</t>
        </is>
      </c>
      <c r="G703" t="n">
        <v>0.2</v>
      </c>
      <c r="H703" t="n">
        <v>0</v>
      </c>
      <c r="I703" t="n">
        <v>0</v>
      </c>
      <c r="J703" t="n">
        <v>0</v>
      </c>
      <c r="K703" t="n">
        <v>0</v>
      </c>
      <c r="L703" t="n">
        <v>0</v>
      </c>
      <c r="M703" t="n">
        <v>0</v>
      </c>
      <c r="N703" t="n">
        <v>0</v>
      </c>
      <c r="O703" t="n">
        <v>0</v>
      </c>
      <c r="P703" t="n">
        <v>0</v>
      </c>
      <c r="Q703" t="n">
        <v>0</v>
      </c>
      <c r="R703" s="2" t="inlineStr"/>
    </row>
    <row r="704" ht="15" customHeight="1">
      <c r="A704" t="inlineStr">
        <is>
          <t>A 55337-2020</t>
        </is>
      </c>
      <c r="B704" s="1" t="n">
        <v>44130</v>
      </c>
      <c r="C704" s="1" t="n">
        <v>45260</v>
      </c>
      <c r="D704" t="inlineStr">
        <is>
          <t>VÄSTERNORRLANDS LÄN</t>
        </is>
      </c>
      <c r="E704" t="inlineStr">
        <is>
          <t>SOLLEFTEÅ</t>
        </is>
      </c>
      <c r="G704" t="n">
        <v>21.1</v>
      </c>
      <c r="H704" t="n">
        <v>0</v>
      </c>
      <c r="I704" t="n">
        <v>0</v>
      </c>
      <c r="J704" t="n">
        <v>0</v>
      </c>
      <c r="K704" t="n">
        <v>0</v>
      </c>
      <c r="L704" t="n">
        <v>0</v>
      </c>
      <c r="M704" t="n">
        <v>0</v>
      </c>
      <c r="N704" t="n">
        <v>0</v>
      </c>
      <c r="O704" t="n">
        <v>0</v>
      </c>
      <c r="P704" t="n">
        <v>0</v>
      </c>
      <c r="Q704" t="n">
        <v>0</v>
      </c>
      <c r="R704" s="2" t="inlineStr"/>
    </row>
    <row r="705" ht="15" customHeight="1">
      <c r="A705" t="inlineStr">
        <is>
          <t>A 55489-2020</t>
        </is>
      </c>
      <c r="B705" s="1" t="n">
        <v>44131</v>
      </c>
      <c r="C705" s="1" t="n">
        <v>45260</v>
      </c>
      <c r="D705" t="inlineStr">
        <is>
          <t>VÄSTERNORRLANDS LÄN</t>
        </is>
      </c>
      <c r="E705" t="inlineStr">
        <is>
          <t>SOLLEFTEÅ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58380-2020</t>
        </is>
      </c>
      <c r="B706" s="1" t="n">
        <v>44145</v>
      </c>
      <c r="C706" s="1" t="n">
        <v>45260</v>
      </c>
      <c r="D706" t="inlineStr">
        <is>
          <t>VÄSTERNORRLANDS LÄN</t>
        </is>
      </c>
      <c r="E706" t="inlineStr">
        <is>
          <t>SOLLEFTEÅ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58381-2020</t>
        </is>
      </c>
      <c r="B707" s="1" t="n">
        <v>44145</v>
      </c>
      <c r="C707" s="1" t="n">
        <v>45260</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59334-2020</t>
        </is>
      </c>
      <c r="B708" s="1" t="n">
        <v>44147</v>
      </c>
      <c r="C708" s="1" t="n">
        <v>45260</v>
      </c>
      <c r="D708" t="inlineStr">
        <is>
          <t>VÄSTERNORRLANDS LÄN</t>
        </is>
      </c>
      <c r="E708" t="inlineStr">
        <is>
          <t>SOLLEFTEÅ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59950-2020</t>
        </is>
      </c>
      <c r="B709" s="1" t="n">
        <v>44151</v>
      </c>
      <c r="C709" s="1" t="n">
        <v>45260</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59953-2020</t>
        </is>
      </c>
      <c r="B710" s="1" t="n">
        <v>44151</v>
      </c>
      <c r="C710" s="1" t="n">
        <v>45260</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60091-2020</t>
        </is>
      </c>
      <c r="B711" s="1" t="n">
        <v>44151</v>
      </c>
      <c r="C711" s="1" t="n">
        <v>45260</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61127-2020</t>
        </is>
      </c>
      <c r="B712" s="1" t="n">
        <v>44154</v>
      </c>
      <c r="C712" s="1" t="n">
        <v>45260</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61130-2020</t>
        </is>
      </c>
      <c r="B713" s="1" t="n">
        <v>44154</v>
      </c>
      <c r="C713" s="1" t="n">
        <v>45260</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61894-2020</t>
        </is>
      </c>
      <c r="B714" s="1" t="n">
        <v>44155</v>
      </c>
      <c r="C714" s="1" t="n">
        <v>45260</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61943-2020</t>
        </is>
      </c>
      <c r="B715" s="1" t="n">
        <v>44155</v>
      </c>
      <c r="C715" s="1" t="n">
        <v>45260</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62666-2020</t>
        </is>
      </c>
      <c r="B716" s="1" t="n">
        <v>44161</v>
      </c>
      <c r="C716" s="1" t="n">
        <v>45260</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62881-2020</t>
        </is>
      </c>
      <c r="B717" s="1" t="n">
        <v>44161</v>
      </c>
      <c r="C717" s="1" t="n">
        <v>45260</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62883-2020</t>
        </is>
      </c>
      <c r="B718" s="1" t="n">
        <v>44161</v>
      </c>
      <c r="C718" s="1" t="n">
        <v>45260</v>
      </c>
      <c r="D718" t="inlineStr">
        <is>
          <t>VÄSTERNORRLANDS LÄN</t>
        </is>
      </c>
      <c r="E718" t="inlineStr">
        <is>
          <t>SOLLEFTEÅ</t>
        </is>
      </c>
      <c r="F718" t="inlineStr">
        <is>
          <t>SCA</t>
        </is>
      </c>
      <c r="G718" t="n">
        <v>8.5</v>
      </c>
      <c r="H718" t="n">
        <v>0</v>
      </c>
      <c r="I718" t="n">
        <v>0</v>
      </c>
      <c r="J718" t="n">
        <v>0</v>
      </c>
      <c r="K718" t="n">
        <v>0</v>
      </c>
      <c r="L718" t="n">
        <v>0</v>
      </c>
      <c r="M718" t="n">
        <v>0</v>
      </c>
      <c r="N718" t="n">
        <v>0</v>
      </c>
      <c r="O718" t="n">
        <v>0</v>
      </c>
      <c r="P718" t="n">
        <v>0</v>
      </c>
      <c r="Q718" t="n">
        <v>0</v>
      </c>
      <c r="R718" s="2" t="inlineStr"/>
    </row>
    <row r="719" ht="15" customHeight="1">
      <c r="A719" t="inlineStr">
        <is>
          <t>A 63190-2020</t>
        </is>
      </c>
      <c r="B719" s="1" t="n">
        <v>44162</v>
      </c>
      <c r="C719" s="1" t="n">
        <v>45260</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63210-2020</t>
        </is>
      </c>
      <c r="B720" s="1" t="n">
        <v>44163</v>
      </c>
      <c r="C720" s="1" t="n">
        <v>45260</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65401-2020</t>
        </is>
      </c>
      <c r="B721" s="1" t="n">
        <v>44169</v>
      </c>
      <c r="C721" s="1" t="n">
        <v>45260</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65407-2020</t>
        </is>
      </c>
      <c r="B722" s="1" t="n">
        <v>44169</v>
      </c>
      <c r="C722" s="1" t="n">
        <v>45260</v>
      </c>
      <c r="D722" t="inlineStr">
        <is>
          <t>VÄSTERNORRLANDS LÄN</t>
        </is>
      </c>
      <c r="E722" t="inlineStr">
        <is>
          <t>SOLLEFTEÅ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65403-2020</t>
        </is>
      </c>
      <c r="B723" s="1" t="n">
        <v>44169</v>
      </c>
      <c r="C723" s="1" t="n">
        <v>45260</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67063-2020</t>
        </is>
      </c>
      <c r="B724" s="1" t="n">
        <v>44176</v>
      </c>
      <c r="C724" s="1" t="n">
        <v>45260</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66845-2020</t>
        </is>
      </c>
      <c r="B725" s="1" t="n">
        <v>44179</v>
      </c>
      <c r="C725" s="1" t="n">
        <v>45260</v>
      </c>
      <c r="D725" t="inlineStr">
        <is>
          <t>VÄSTERNORRLANDS LÄN</t>
        </is>
      </c>
      <c r="E725" t="inlineStr">
        <is>
          <t>SOLLEFTEÅ</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66844-2020</t>
        </is>
      </c>
      <c r="B726" s="1" t="n">
        <v>44179</v>
      </c>
      <c r="C726" s="1" t="n">
        <v>45260</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66850-2020</t>
        </is>
      </c>
      <c r="B727" s="1" t="n">
        <v>44179</v>
      </c>
      <c r="C727" s="1" t="n">
        <v>45260</v>
      </c>
      <c r="D727" t="inlineStr">
        <is>
          <t>VÄSTERNORRLANDS LÄN</t>
        </is>
      </c>
      <c r="E727" t="inlineStr">
        <is>
          <t>SOLLEFTEÅ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66851-2020</t>
        </is>
      </c>
      <c r="B728" s="1" t="n">
        <v>44179</v>
      </c>
      <c r="C728" s="1" t="n">
        <v>45260</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66853-2020</t>
        </is>
      </c>
      <c r="B729" s="1" t="n">
        <v>44179</v>
      </c>
      <c r="C729" s="1" t="n">
        <v>45260</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67602-2020</t>
        </is>
      </c>
      <c r="B730" s="1" t="n">
        <v>44181</v>
      </c>
      <c r="C730" s="1" t="n">
        <v>45260</v>
      </c>
      <c r="D730" t="inlineStr">
        <is>
          <t>VÄSTERNORRLANDS LÄN</t>
        </is>
      </c>
      <c r="E730" t="inlineStr">
        <is>
          <t>SOLLEFTEÅ</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68016-2020</t>
        </is>
      </c>
      <c r="B731" s="1" t="n">
        <v>44182</v>
      </c>
      <c r="C731" s="1" t="n">
        <v>45260</v>
      </c>
      <c r="D731" t="inlineStr">
        <is>
          <t>VÄSTERNORRLANDS LÄN</t>
        </is>
      </c>
      <c r="E731" t="inlineStr">
        <is>
          <t>SOLLEFTEÅ</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68026-2020</t>
        </is>
      </c>
      <c r="B732" s="1" t="n">
        <v>44182</v>
      </c>
      <c r="C732" s="1" t="n">
        <v>45260</v>
      </c>
      <c r="D732" t="inlineStr">
        <is>
          <t>VÄSTERNORRLANDS LÄN</t>
        </is>
      </c>
      <c r="E732" t="inlineStr">
        <is>
          <t>SOLLEFTEÅ</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68022-2020</t>
        </is>
      </c>
      <c r="B733" s="1" t="n">
        <v>44182</v>
      </c>
      <c r="C733" s="1" t="n">
        <v>45260</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68031-2020</t>
        </is>
      </c>
      <c r="B734" s="1" t="n">
        <v>44182</v>
      </c>
      <c r="C734" s="1" t="n">
        <v>45260</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68036-2020</t>
        </is>
      </c>
      <c r="B735" s="1" t="n">
        <v>44182</v>
      </c>
      <c r="C735" s="1" t="n">
        <v>45260</v>
      </c>
      <c r="D735" t="inlineStr">
        <is>
          <t>VÄSTERNORRLANDS LÄN</t>
        </is>
      </c>
      <c r="E735" t="inlineStr">
        <is>
          <t>SOLLEFTEÅ</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68020-2020</t>
        </is>
      </c>
      <c r="B736" s="1" t="n">
        <v>44182</v>
      </c>
      <c r="C736" s="1" t="n">
        <v>45260</v>
      </c>
      <c r="D736" t="inlineStr">
        <is>
          <t>VÄSTERNORRLANDS LÄN</t>
        </is>
      </c>
      <c r="E736" t="inlineStr">
        <is>
          <t>SOLLEFTEÅ</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68030-2020</t>
        </is>
      </c>
      <c r="B737" s="1" t="n">
        <v>44182</v>
      </c>
      <c r="C737" s="1" t="n">
        <v>45260</v>
      </c>
      <c r="D737" t="inlineStr">
        <is>
          <t>VÄSTERNORRLANDS LÄN</t>
        </is>
      </c>
      <c r="E737" t="inlineStr">
        <is>
          <t>SOLLEFTEÅ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68034-2020</t>
        </is>
      </c>
      <c r="B738" s="1" t="n">
        <v>44182</v>
      </c>
      <c r="C738" s="1" t="n">
        <v>45260</v>
      </c>
      <c r="D738" t="inlineStr">
        <is>
          <t>VÄSTERNORRLANDS LÄN</t>
        </is>
      </c>
      <c r="E738" t="inlineStr">
        <is>
          <t>SOLLEFTEÅ</t>
        </is>
      </c>
      <c r="F738" t="inlineStr">
        <is>
          <t>SCA</t>
        </is>
      </c>
      <c r="G738" t="n">
        <v>17.1</v>
      </c>
      <c r="H738" t="n">
        <v>0</v>
      </c>
      <c r="I738" t="n">
        <v>0</v>
      </c>
      <c r="J738" t="n">
        <v>0</v>
      </c>
      <c r="K738" t="n">
        <v>0</v>
      </c>
      <c r="L738" t="n">
        <v>0</v>
      </c>
      <c r="M738" t="n">
        <v>0</v>
      </c>
      <c r="N738" t="n">
        <v>0</v>
      </c>
      <c r="O738" t="n">
        <v>0</v>
      </c>
      <c r="P738" t="n">
        <v>0</v>
      </c>
      <c r="Q738" t="n">
        <v>0</v>
      </c>
      <c r="R738" s="2" t="inlineStr"/>
    </row>
    <row r="739" ht="15" customHeight="1">
      <c r="A739" t="inlineStr">
        <is>
          <t>A 68033-2020</t>
        </is>
      </c>
      <c r="B739" s="1" t="n">
        <v>44182</v>
      </c>
      <c r="C739" s="1" t="n">
        <v>45260</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68015-2020</t>
        </is>
      </c>
      <c r="B740" s="1" t="n">
        <v>44182</v>
      </c>
      <c r="C740" s="1" t="n">
        <v>45260</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68025-2020</t>
        </is>
      </c>
      <c r="B741" s="1" t="n">
        <v>44182</v>
      </c>
      <c r="C741" s="1" t="n">
        <v>45260</v>
      </c>
      <c r="D741" t="inlineStr">
        <is>
          <t>VÄSTERNORRLANDS LÄN</t>
        </is>
      </c>
      <c r="E741" t="inlineStr">
        <is>
          <t>SOLLEFTEÅ</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68032-2020</t>
        </is>
      </c>
      <c r="B742" s="1" t="n">
        <v>44182</v>
      </c>
      <c r="C742" s="1" t="n">
        <v>45260</v>
      </c>
      <c r="D742" t="inlineStr">
        <is>
          <t>VÄSTERNORRLANDS LÄN</t>
        </is>
      </c>
      <c r="E742" t="inlineStr">
        <is>
          <t>SOLLEFTEÅ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68037-2020</t>
        </is>
      </c>
      <c r="B743" s="1" t="n">
        <v>44182</v>
      </c>
      <c r="C743" s="1" t="n">
        <v>45260</v>
      </c>
      <c r="D743" t="inlineStr">
        <is>
          <t>VÄSTERNORRLANDS LÄN</t>
        </is>
      </c>
      <c r="E743" t="inlineStr">
        <is>
          <t>SOLLEFTEÅ</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68292-2020</t>
        </is>
      </c>
      <c r="B744" s="1" t="n">
        <v>44183</v>
      </c>
      <c r="C744" s="1" t="n">
        <v>45260</v>
      </c>
      <c r="D744" t="inlineStr">
        <is>
          <t>VÄSTERNORRLANDS LÄN</t>
        </is>
      </c>
      <c r="E744" t="inlineStr">
        <is>
          <t>SOLLEFTEÅ</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68570-2020</t>
        </is>
      </c>
      <c r="B745" s="1" t="n">
        <v>44186</v>
      </c>
      <c r="C745" s="1" t="n">
        <v>45260</v>
      </c>
      <c r="D745" t="inlineStr">
        <is>
          <t>VÄSTERNORRLANDS LÄN</t>
        </is>
      </c>
      <c r="E745" t="inlineStr">
        <is>
          <t>SOLLEFTEÅ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68652-2020</t>
        </is>
      </c>
      <c r="B746" s="1" t="n">
        <v>44186</v>
      </c>
      <c r="C746" s="1" t="n">
        <v>45260</v>
      </c>
      <c r="D746" t="inlineStr">
        <is>
          <t>VÄSTERNORRLANDS LÄN</t>
        </is>
      </c>
      <c r="E746" t="inlineStr">
        <is>
          <t>SOLLEFTEÅ</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68647-2020</t>
        </is>
      </c>
      <c r="B747" s="1" t="n">
        <v>44186</v>
      </c>
      <c r="C747" s="1" t="n">
        <v>45260</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68648-2020</t>
        </is>
      </c>
      <c r="B748" s="1" t="n">
        <v>44186</v>
      </c>
      <c r="C748" s="1" t="n">
        <v>45260</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68656-2020</t>
        </is>
      </c>
      <c r="B749" s="1" t="n">
        <v>44186</v>
      </c>
      <c r="C749" s="1" t="n">
        <v>45260</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69436-2020</t>
        </is>
      </c>
      <c r="B750" s="1" t="n">
        <v>44193</v>
      </c>
      <c r="C750" s="1" t="n">
        <v>45260</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272-2021</t>
        </is>
      </c>
      <c r="B751" s="1" t="n">
        <v>44200</v>
      </c>
      <c r="C751" s="1" t="n">
        <v>45260</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691-2021</t>
        </is>
      </c>
      <c r="B752" s="1" t="n">
        <v>44203</v>
      </c>
      <c r="C752" s="1" t="n">
        <v>45260</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1858-2021</t>
        </is>
      </c>
      <c r="B753" s="1" t="n">
        <v>44210</v>
      </c>
      <c r="C753" s="1" t="n">
        <v>45260</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2077-2021</t>
        </is>
      </c>
      <c r="B754" s="1" t="n">
        <v>44210</v>
      </c>
      <c r="C754" s="1" t="n">
        <v>45260</v>
      </c>
      <c r="D754" t="inlineStr">
        <is>
          <t>VÄSTERNORRLANDS LÄN</t>
        </is>
      </c>
      <c r="E754" t="inlineStr">
        <is>
          <t>SOLLEFTEÅ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2487-2021</t>
        </is>
      </c>
      <c r="B755" s="1" t="n">
        <v>44211</v>
      </c>
      <c r="C755" s="1" t="n">
        <v>45260</v>
      </c>
      <c r="D755" t="inlineStr">
        <is>
          <t>VÄSTERNORRLANDS LÄN</t>
        </is>
      </c>
      <c r="E755" t="inlineStr">
        <is>
          <t>SOLLEFTEÅ</t>
        </is>
      </c>
      <c r="G755" t="n">
        <v>2.7</v>
      </c>
      <c r="H755" t="n">
        <v>0</v>
      </c>
      <c r="I755" t="n">
        <v>0</v>
      </c>
      <c r="J755" t="n">
        <v>0</v>
      </c>
      <c r="K755" t="n">
        <v>0</v>
      </c>
      <c r="L755" t="n">
        <v>0</v>
      </c>
      <c r="M755" t="n">
        <v>0</v>
      </c>
      <c r="N755" t="n">
        <v>0</v>
      </c>
      <c r="O755" t="n">
        <v>0</v>
      </c>
      <c r="P755" t="n">
        <v>0</v>
      </c>
      <c r="Q755" t="n">
        <v>0</v>
      </c>
      <c r="R755" s="2" t="inlineStr"/>
    </row>
    <row r="756" ht="15" customHeight="1">
      <c r="A756" t="inlineStr">
        <is>
          <t>A 3441-2021</t>
        </is>
      </c>
      <c r="B756" s="1" t="n">
        <v>44218</v>
      </c>
      <c r="C756" s="1" t="n">
        <v>45260</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4127-2021</t>
        </is>
      </c>
      <c r="B757" s="1" t="n">
        <v>44222</v>
      </c>
      <c r="C757" s="1" t="n">
        <v>45260</v>
      </c>
      <c r="D757" t="inlineStr">
        <is>
          <t>VÄSTERNORRLANDS LÄN</t>
        </is>
      </c>
      <c r="E757" t="inlineStr">
        <is>
          <t>SOLLEFTEÅ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5989-2021</t>
        </is>
      </c>
      <c r="B758" s="1" t="n">
        <v>44231</v>
      </c>
      <c r="C758" s="1" t="n">
        <v>45260</v>
      </c>
      <c r="D758" t="inlineStr">
        <is>
          <t>VÄSTERNORRLANDS LÄN</t>
        </is>
      </c>
      <c r="E758" t="inlineStr">
        <is>
          <t>SOLLEFTEÅ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7658-2021</t>
        </is>
      </c>
      <c r="B759" s="1" t="n">
        <v>44242</v>
      </c>
      <c r="C759" s="1" t="n">
        <v>45260</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7659-2021</t>
        </is>
      </c>
      <c r="B760" s="1" t="n">
        <v>44242</v>
      </c>
      <c r="C760" s="1" t="n">
        <v>45260</v>
      </c>
      <c r="D760" t="inlineStr">
        <is>
          <t>VÄSTERNORRLANDS LÄN</t>
        </is>
      </c>
      <c r="E760" t="inlineStr">
        <is>
          <t>SOLLEFTEÅ</t>
        </is>
      </c>
      <c r="G760" t="n">
        <v>8.1</v>
      </c>
      <c r="H760" t="n">
        <v>0</v>
      </c>
      <c r="I760" t="n">
        <v>0</v>
      </c>
      <c r="J760" t="n">
        <v>0</v>
      </c>
      <c r="K760" t="n">
        <v>0</v>
      </c>
      <c r="L760" t="n">
        <v>0</v>
      </c>
      <c r="M760" t="n">
        <v>0</v>
      </c>
      <c r="N760" t="n">
        <v>0</v>
      </c>
      <c r="O760" t="n">
        <v>0</v>
      </c>
      <c r="P760" t="n">
        <v>0</v>
      </c>
      <c r="Q760" t="n">
        <v>0</v>
      </c>
      <c r="R760" s="2" t="inlineStr"/>
    </row>
    <row r="761" ht="15" customHeight="1">
      <c r="A761" t="inlineStr">
        <is>
          <t>A 7889-2021</t>
        </is>
      </c>
      <c r="B761" s="1" t="n">
        <v>44242</v>
      </c>
      <c r="C761" s="1" t="n">
        <v>45260</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8631-2021</t>
        </is>
      </c>
      <c r="B762" s="1" t="n">
        <v>44245</v>
      </c>
      <c r="C762" s="1" t="n">
        <v>45260</v>
      </c>
      <c r="D762" t="inlineStr">
        <is>
          <t>VÄSTERNORRLANDS LÄN</t>
        </is>
      </c>
      <c r="E762" t="inlineStr">
        <is>
          <t>SOLLEFTEÅ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8692-2021</t>
        </is>
      </c>
      <c r="B763" s="1" t="n">
        <v>44246</v>
      </c>
      <c r="C763" s="1" t="n">
        <v>45260</v>
      </c>
      <c r="D763" t="inlineStr">
        <is>
          <t>VÄSTERNORRLANDS LÄN</t>
        </is>
      </c>
      <c r="E763" t="inlineStr">
        <is>
          <t>SOLLEFTEÅ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9461-2021</t>
        </is>
      </c>
      <c r="B764" s="1" t="n">
        <v>44251</v>
      </c>
      <c r="C764" s="1" t="n">
        <v>45260</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9626-2021</t>
        </is>
      </c>
      <c r="B765" s="1" t="n">
        <v>44251</v>
      </c>
      <c r="C765" s="1" t="n">
        <v>45260</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11270-2021</t>
        </is>
      </c>
      <c r="B766" s="1" t="n">
        <v>44263</v>
      </c>
      <c r="C766" s="1" t="n">
        <v>45260</v>
      </c>
      <c r="D766" t="inlineStr">
        <is>
          <t>VÄSTERNORRLANDS LÄN</t>
        </is>
      </c>
      <c r="E766" t="inlineStr">
        <is>
          <t>SOLLEFTEÅ</t>
        </is>
      </c>
      <c r="F766" t="inlineStr">
        <is>
          <t>Kommuner</t>
        </is>
      </c>
      <c r="G766" t="n">
        <v>10.9</v>
      </c>
      <c r="H766" t="n">
        <v>0</v>
      </c>
      <c r="I766" t="n">
        <v>0</v>
      </c>
      <c r="J766" t="n">
        <v>0</v>
      </c>
      <c r="K766" t="n">
        <v>0</v>
      </c>
      <c r="L766" t="n">
        <v>0</v>
      </c>
      <c r="M766" t="n">
        <v>0</v>
      </c>
      <c r="N766" t="n">
        <v>0</v>
      </c>
      <c r="O766" t="n">
        <v>0</v>
      </c>
      <c r="P766" t="n">
        <v>0</v>
      </c>
      <c r="Q766" t="n">
        <v>0</v>
      </c>
      <c r="R766" s="2" t="inlineStr"/>
    </row>
    <row r="767" ht="15" customHeight="1">
      <c r="A767" t="inlineStr">
        <is>
          <t>A 11710-2021</t>
        </is>
      </c>
      <c r="B767" s="1" t="n">
        <v>44264</v>
      </c>
      <c r="C767" s="1" t="n">
        <v>45260</v>
      </c>
      <c r="D767" t="inlineStr">
        <is>
          <t>VÄSTERNORRLANDS LÄN</t>
        </is>
      </c>
      <c r="E767" t="inlineStr">
        <is>
          <t>SOLLEFTEÅ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12278-2021</t>
        </is>
      </c>
      <c r="B768" s="1" t="n">
        <v>44266</v>
      </c>
      <c r="C768" s="1" t="n">
        <v>45260</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12277-2021</t>
        </is>
      </c>
      <c r="B769" s="1" t="n">
        <v>44266</v>
      </c>
      <c r="C769" s="1" t="n">
        <v>45260</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12279-2021</t>
        </is>
      </c>
      <c r="B770" s="1" t="n">
        <v>44266</v>
      </c>
      <c r="C770" s="1" t="n">
        <v>45260</v>
      </c>
      <c r="D770" t="inlineStr">
        <is>
          <t>VÄSTERNORRLANDS LÄN</t>
        </is>
      </c>
      <c r="E770" t="inlineStr">
        <is>
          <t>SOLLEFTEÅ</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14733-2021</t>
        </is>
      </c>
      <c r="B771" s="1" t="n">
        <v>44280</v>
      </c>
      <c r="C771" s="1" t="n">
        <v>45260</v>
      </c>
      <c r="D771" t="inlineStr">
        <is>
          <t>VÄSTERNORRLANDS LÄN</t>
        </is>
      </c>
      <c r="E771" t="inlineStr">
        <is>
          <t>SOLLEFTEÅ</t>
        </is>
      </c>
      <c r="G771" t="n">
        <v>5.3</v>
      </c>
      <c r="H771" t="n">
        <v>0</v>
      </c>
      <c r="I771" t="n">
        <v>0</v>
      </c>
      <c r="J771" t="n">
        <v>0</v>
      </c>
      <c r="K771" t="n">
        <v>0</v>
      </c>
      <c r="L771" t="n">
        <v>0</v>
      </c>
      <c r="M771" t="n">
        <v>0</v>
      </c>
      <c r="N771" t="n">
        <v>0</v>
      </c>
      <c r="O771" t="n">
        <v>0</v>
      </c>
      <c r="P771" t="n">
        <v>0</v>
      </c>
      <c r="Q771" t="n">
        <v>0</v>
      </c>
      <c r="R771" s="2" t="inlineStr"/>
    </row>
    <row r="772" ht="15" customHeight="1">
      <c r="A772" t="inlineStr">
        <is>
          <t>A 15101-2021</t>
        </is>
      </c>
      <c r="B772" s="1" t="n">
        <v>44281</v>
      </c>
      <c r="C772" s="1" t="n">
        <v>45260</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15098-2021</t>
        </is>
      </c>
      <c r="B773" s="1" t="n">
        <v>44281</v>
      </c>
      <c r="C773" s="1" t="n">
        <v>45260</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15461-2021</t>
        </is>
      </c>
      <c r="B774" s="1" t="n">
        <v>44285</v>
      </c>
      <c r="C774" s="1" t="n">
        <v>45260</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15894-2021</t>
        </is>
      </c>
      <c r="B775" s="1" t="n">
        <v>44286</v>
      </c>
      <c r="C775" s="1" t="n">
        <v>45260</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16700-2021</t>
        </is>
      </c>
      <c r="B776" s="1" t="n">
        <v>44293</v>
      </c>
      <c r="C776" s="1" t="n">
        <v>45260</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16799-2021</t>
        </is>
      </c>
      <c r="B777" s="1" t="n">
        <v>44293</v>
      </c>
      <c r="C777" s="1" t="n">
        <v>45260</v>
      </c>
      <c r="D777" t="inlineStr">
        <is>
          <t>VÄSTERNORRLANDS LÄN</t>
        </is>
      </c>
      <c r="E777" t="inlineStr">
        <is>
          <t>SOLLEFTEÅ</t>
        </is>
      </c>
      <c r="G777" t="n">
        <v>3</v>
      </c>
      <c r="H777" t="n">
        <v>0</v>
      </c>
      <c r="I777" t="n">
        <v>0</v>
      </c>
      <c r="J777" t="n">
        <v>0</v>
      </c>
      <c r="K777" t="n">
        <v>0</v>
      </c>
      <c r="L777" t="n">
        <v>0</v>
      </c>
      <c r="M777" t="n">
        <v>0</v>
      </c>
      <c r="N777" t="n">
        <v>0</v>
      </c>
      <c r="O777" t="n">
        <v>0</v>
      </c>
      <c r="P777" t="n">
        <v>0</v>
      </c>
      <c r="Q777" t="n">
        <v>0</v>
      </c>
      <c r="R777" s="2" t="inlineStr"/>
    </row>
    <row r="778" ht="15" customHeight="1">
      <c r="A778" t="inlineStr">
        <is>
          <t>A 16905-2021</t>
        </is>
      </c>
      <c r="B778" s="1" t="n">
        <v>44294</v>
      </c>
      <c r="C778" s="1" t="n">
        <v>45260</v>
      </c>
      <c r="D778" t="inlineStr">
        <is>
          <t>VÄSTERNORRLANDS LÄN</t>
        </is>
      </c>
      <c r="E778" t="inlineStr">
        <is>
          <t>SOLLEFTEÅ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17604-2021</t>
        </is>
      </c>
      <c r="B779" s="1" t="n">
        <v>44299</v>
      </c>
      <c r="C779" s="1" t="n">
        <v>45260</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18459-2021</t>
        </is>
      </c>
      <c r="B780" s="1" t="n">
        <v>44306</v>
      </c>
      <c r="C780" s="1" t="n">
        <v>45260</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18668-2021</t>
        </is>
      </c>
      <c r="B781" s="1" t="n">
        <v>44306</v>
      </c>
      <c r="C781" s="1" t="n">
        <v>45260</v>
      </c>
      <c r="D781" t="inlineStr">
        <is>
          <t>VÄSTERNORRLANDS LÄN</t>
        </is>
      </c>
      <c r="E781" t="inlineStr">
        <is>
          <t>SOLLEFTEÅ</t>
        </is>
      </c>
      <c r="G781" t="n">
        <v>12.7</v>
      </c>
      <c r="H781" t="n">
        <v>0</v>
      </c>
      <c r="I781" t="n">
        <v>0</v>
      </c>
      <c r="J781" t="n">
        <v>0</v>
      </c>
      <c r="K781" t="n">
        <v>0</v>
      </c>
      <c r="L781" t="n">
        <v>0</v>
      </c>
      <c r="M781" t="n">
        <v>0</v>
      </c>
      <c r="N781" t="n">
        <v>0</v>
      </c>
      <c r="O781" t="n">
        <v>0</v>
      </c>
      <c r="P781" t="n">
        <v>0</v>
      </c>
      <c r="Q781" t="n">
        <v>0</v>
      </c>
      <c r="R781" s="2" t="inlineStr"/>
    </row>
    <row r="782" ht="15" customHeight="1">
      <c r="A782" t="inlineStr">
        <is>
          <t>A 18741-2021</t>
        </is>
      </c>
      <c r="B782" s="1" t="n">
        <v>44306</v>
      </c>
      <c r="C782" s="1" t="n">
        <v>45260</v>
      </c>
      <c r="D782" t="inlineStr">
        <is>
          <t>VÄSTERNORRLANDS LÄN</t>
        </is>
      </c>
      <c r="E782" t="inlineStr">
        <is>
          <t>SOLLEFTEÅ</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18662-2021</t>
        </is>
      </c>
      <c r="B783" s="1" t="n">
        <v>44306</v>
      </c>
      <c r="C783" s="1" t="n">
        <v>45260</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18766-2021</t>
        </is>
      </c>
      <c r="B784" s="1" t="n">
        <v>44307</v>
      </c>
      <c r="C784" s="1" t="n">
        <v>45260</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18761-2021</t>
        </is>
      </c>
      <c r="B785" s="1" t="n">
        <v>44307</v>
      </c>
      <c r="C785" s="1" t="n">
        <v>45260</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18873-2021</t>
        </is>
      </c>
      <c r="B786" s="1" t="n">
        <v>44308</v>
      </c>
      <c r="C786" s="1" t="n">
        <v>45260</v>
      </c>
      <c r="D786" t="inlineStr">
        <is>
          <t>VÄSTERNORRLANDS LÄN</t>
        </is>
      </c>
      <c r="E786" t="inlineStr">
        <is>
          <t>SOLLEFTEÅ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18878-2021</t>
        </is>
      </c>
      <c r="B787" s="1" t="n">
        <v>44307</v>
      </c>
      <c r="C787" s="1" t="n">
        <v>45260</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18867-2021</t>
        </is>
      </c>
      <c r="B788" s="1" t="n">
        <v>44307</v>
      </c>
      <c r="C788" s="1" t="n">
        <v>45260</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18882-2021</t>
        </is>
      </c>
      <c r="B789" s="1" t="n">
        <v>44308</v>
      </c>
      <c r="C789" s="1" t="n">
        <v>45260</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18875-2021</t>
        </is>
      </c>
      <c r="B790" s="1" t="n">
        <v>44307</v>
      </c>
      <c r="C790" s="1" t="n">
        <v>45260</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18866-2021</t>
        </is>
      </c>
      <c r="B791" s="1" t="n">
        <v>44308</v>
      </c>
      <c r="C791" s="1" t="n">
        <v>45260</v>
      </c>
      <c r="D791" t="inlineStr">
        <is>
          <t>VÄSTERNORRLANDS LÄN</t>
        </is>
      </c>
      <c r="E791" t="inlineStr">
        <is>
          <t>SOLLEFTEÅ</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18874-2021</t>
        </is>
      </c>
      <c r="B792" s="1" t="n">
        <v>44308</v>
      </c>
      <c r="C792" s="1" t="n">
        <v>45260</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18879-2021</t>
        </is>
      </c>
      <c r="B793" s="1" t="n">
        <v>44307</v>
      </c>
      <c r="C793" s="1" t="n">
        <v>45260</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18868-2021</t>
        </is>
      </c>
      <c r="B794" s="1" t="n">
        <v>44307</v>
      </c>
      <c r="C794" s="1" t="n">
        <v>45260</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18877-2021</t>
        </is>
      </c>
      <c r="B795" s="1" t="n">
        <v>44308</v>
      </c>
      <c r="C795" s="1" t="n">
        <v>45260</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18889-2021</t>
        </is>
      </c>
      <c r="B796" s="1" t="n">
        <v>44308</v>
      </c>
      <c r="C796" s="1" t="n">
        <v>45260</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19200-2021</t>
        </is>
      </c>
      <c r="B797" s="1" t="n">
        <v>44309</v>
      </c>
      <c r="C797" s="1" t="n">
        <v>45260</v>
      </c>
      <c r="D797" t="inlineStr">
        <is>
          <t>VÄSTERNORRLANDS LÄN</t>
        </is>
      </c>
      <c r="E797" t="inlineStr">
        <is>
          <t>SOLLEFTEÅ</t>
        </is>
      </c>
      <c r="G797" t="n">
        <v>12.7</v>
      </c>
      <c r="H797" t="n">
        <v>0</v>
      </c>
      <c r="I797" t="n">
        <v>0</v>
      </c>
      <c r="J797" t="n">
        <v>0</v>
      </c>
      <c r="K797" t="n">
        <v>0</v>
      </c>
      <c r="L797" t="n">
        <v>0</v>
      </c>
      <c r="M797" t="n">
        <v>0</v>
      </c>
      <c r="N797" t="n">
        <v>0</v>
      </c>
      <c r="O797" t="n">
        <v>0</v>
      </c>
      <c r="P797" t="n">
        <v>0</v>
      </c>
      <c r="Q797" t="n">
        <v>0</v>
      </c>
      <c r="R797" s="2" t="inlineStr"/>
    </row>
    <row r="798" ht="15" customHeight="1">
      <c r="A798" t="inlineStr">
        <is>
          <t>A 19510-2021</t>
        </is>
      </c>
      <c r="B798" s="1" t="n">
        <v>44308</v>
      </c>
      <c r="C798" s="1" t="n">
        <v>45260</v>
      </c>
      <c r="D798" t="inlineStr">
        <is>
          <t>VÄSTERNORRLANDS LÄN</t>
        </is>
      </c>
      <c r="E798" t="inlineStr">
        <is>
          <t>SOLLEFTEÅ</t>
        </is>
      </c>
      <c r="F798" t="inlineStr">
        <is>
          <t>Kyrkan</t>
        </is>
      </c>
      <c r="G798" t="n">
        <v>19.6</v>
      </c>
      <c r="H798" t="n">
        <v>0</v>
      </c>
      <c r="I798" t="n">
        <v>0</v>
      </c>
      <c r="J798" t="n">
        <v>0</v>
      </c>
      <c r="K798" t="n">
        <v>0</v>
      </c>
      <c r="L798" t="n">
        <v>0</v>
      </c>
      <c r="M798" t="n">
        <v>0</v>
      </c>
      <c r="N798" t="n">
        <v>0</v>
      </c>
      <c r="O798" t="n">
        <v>0</v>
      </c>
      <c r="P798" t="n">
        <v>0</v>
      </c>
      <c r="Q798" t="n">
        <v>0</v>
      </c>
      <c r="R798" s="2" t="inlineStr"/>
    </row>
    <row r="799" ht="15" customHeight="1">
      <c r="A799" t="inlineStr">
        <is>
          <t>A 19220-2021</t>
        </is>
      </c>
      <c r="B799" s="1" t="n">
        <v>44309</v>
      </c>
      <c r="C799" s="1" t="n">
        <v>45260</v>
      </c>
      <c r="D799" t="inlineStr">
        <is>
          <t>VÄSTERNORRLANDS LÄN</t>
        </is>
      </c>
      <c r="E799" t="inlineStr">
        <is>
          <t>SOLLEFTEÅ</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19433-2021</t>
        </is>
      </c>
      <c r="B800" s="1" t="n">
        <v>44310</v>
      </c>
      <c r="C800" s="1" t="n">
        <v>45260</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19412-2021</t>
        </is>
      </c>
      <c r="B801" s="1" t="n">
        <v>44310</v>
      </c>
      <c r="C801" s="1" t="n">
        <v>45260</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19435-2021</t>
        </is>
      </c>
      <c r="B802" s="1" t="n">
        <v>44310</v>
      </c>
      <c r="C802" s="1" t="n">
        <v>45260</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19516-2021</t>
        </is>
      </c>
      <c r="B803" s="1" t="n">
        <v>44309</v>
      </c>
      <c r="C803" s="1" t="n">
        <v>45260</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19830-2021</t>
        </is>
      </c>
      <c r="B804" s="1" t="n">
        <v>44312</v>
      </c>
      <c r="C804" s="1" t="n">
        <v>45260</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19637-2021</t>
        </is>
      </c>
      <c r="B805" s="1" t="n">
        <v>44312</v>
      </c>
      <c r="C805" s="1" t="n">
        <v>45260</v>
      </c>
      <c r="D805" t="inlineStr">
        <is>
          <t>VÄSTERNORRLANDS LÄN</t>
        </is>
      </c>
      <c r="E805" t="inlineStr">
        <is>
          <t>SOLLEFTEÅ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21341-2021</t>
        </is>
      </c>
      <c r="B806" s="1" t="n">
        <v>44321</v>
      </c>
      <c r="C806" s="1" t="n">
        <v>45260</v>
      </c>
      <c r="D806" t="inlineStr">
        <is>
          <t>VÄSTERNORRLANDS LÄN</t>
        </is>
      </c>
      <c r="E806" t="inlineStr">
        <is>
          <t>SOLLEFTEÅ</t>
        </is>
      </c>
      <c r="G806" t="n">
        <v>4.1</v>
      </c>
      <c r="H806" t="n">
        <v>0</v>
      </c>
      <c r="I806" t="n">
        <v>0</v>
      </c>
      <c r="J806" t="n">
        <v>0</v>
      </c>
      <c r="K806" t="n">
        <v>0</v>
      </c>
      <c r="L806" t="n">
        <v>0</v>
      </c>
      <c r="M806" t="n">
        <v>0</v>
      </c>
      <c r="N806" t="n">
        <v>0</v>
      </c>
      <c r="O806" t="n">
        <v>0</v>
      </c>
      <c r="P806" t="n">
        <v>0</v>
      </c>
      <c r="Q806" t="n">
        <v>0</v>
      </c>
      <c r="R806" s="2" t="inlineStr"/>
    </row>
    <row r="807" ht="15" customHeight="1">
      <c r="A807" t="inlineStr">
        <is>
          <t>A 21360-2021</t>
        </is>
      </c>
      <c r="B807" s="1" t="n">
        <v>44320</v>
      </c>
      <c r="C807" s="1" t="n">
        <v>45260</v>
      </c>
      <c r="D807" t="inlineStr">
        <is>
          <t>VÄSTERNORRLANDS LÄN</t>
        </is>
      </c>
      <c r="E807" t="inlineStr">
        <is>
          <t>SOLLEFTEÅ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21350-2021</t>
        </is>
      </c>
      <c r="B808" s="1" t="n">
        <v>44321</v>
      </c>
      <c r="C808" s="1" t="n">
        <v>45260</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21358-2021</t>
        </is>
      </c>
      <c r="B809" s="1" t="n">
        <v>44320</v>
      </c>
      <c r="C809" s="1" t="n">
        <v>45260</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21362-2021</t>
        </is>
      </c>
      <c r="B810" s="1" t="n">
        <v>44321</v>
      </c>
      <c r="C810" s="1" t="n">
        <v>45260</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21532-2021</t>
        </is>
      </c>
      <c r="B811" s="1" t="n">
        <v>44321</v>
      </c>
      <c r="C811" s="1" t="n">
        <v>45260</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21589-2021</t>
        </is>
      </c>
      <c r="B812" s="1" t="n">
        <v>44321</v>
      </c>
      <c r="C812" s="1" t="n">
        <v>45260</v>
      </c>
      <c r="D812" t="inlineStr">
        <is>
          <t>VÄSTERNORRLANDS LÄN</t>
        </is>
      </c>
      <c r="E812" t="inlineStr">
        <is>
          <t>SOLLEFTEÅ</t>
        </is>
      </c>
      <c r="G812" t="n">
        <v>7</v>
      </c>
      <c r="H812" t="n">
        <v>0</v>
      </c>
      <c r="I812" t="n">
        <v>0</v>
      </c>
      <c r="J812" t="n">
        <v>0</v>
      </c>
      <c r="K812" t="n">
        <v>0</v>
      </c>
      <c r="L812" t="n">
        <v>0</v>
      </c>
      <c r="M812" t="n">
        <v>0</v>
      </c>
      <c r="N812" t="n">
        <v>0</v>
      </c>
      <c r="O812" t="n">
        <v>0</v>
      </c>
      <c r="P812" t="n">
        <v>0</v>
      </c>
      <c r="Q812" t="n">
        <v>0</v>
      </c>
      <c r="R812" s="2" t="inlineStr"/>
    </row>
    <row r="813" ht="15" customHeight="1">
      <c r="A813" t="inlineStr">
        <is>
          <t>A 21711-2021</t>
        </is>
      </c>
      <c r="B813" s="1" t="n">
        <v>44322</v>
      </c>
      <c r="C813" s="1" t="n">
        <v>45260</v>
      </c>
      <c r="D813" t="inlineStr">
        <is>
          <t>VÄSTERNORRLANDS LÄN</t>
        </is>
      </c>
      <c r="E813" t="inlineStr">
        <is>
          <t>SOLLEFTEÅ</t>
        </is>
      </c>
      <c r="F813" t="inlineStr">
        <is>
          <t>Kyrkan</t>
        </is>
      </c>
      <c r="G813" t="n">
        <v>22.2</v>
      </c>
      <c r="H813" t="n">
        <v>0</v>
      </c>
      <c r="I813" t="n">
        <v>0</v>
      </c>
      <c r="J813" t="n">
        <v>0</v>
      </c>
      <c r="K813" t="n">
        <v>0</v>
      </c>
      <c r="L813" t="n">
        <v>0</v>
      </c>
      <c r="M813" t="n">
        <v>0</v>
      </c>
      <c r="N813" t="n">
        <v>0</v>
      </c>
      <c r="O813" t="n">
        <v>0</v>
      </c>
      <c r="P813" t="n">
        <v>0</v>
      </c>
      <c r="Q813" t="n">
        <v>0</v>
      </c>
      <c r="R813" s="2" t="inlineStr"/>
    </row>
    <row r="814" ht="15" customHeight="1">
      <c r="A814" t="inlineStr">
        <is>
          <t>A 21924-2021</t>
        </is>
      </c>
      <c r="B814" s="1" t="n">
        <v>44323</v>
      </c>
      <c r="C814" s="1" t="n">
        <v>45260</v>
      </c>
      <c r="D814" t="inlineStr">
        <is>
          <t>VÄSTERNORRLANDS LÄN</t>
        </is>
      </c>
      <c r="E814" t="inlineStr">
        <is>
          <t>SOLLEFTEÅ</t>
        </is>
      </c>
      <c r="G814" t="n">
        <v>3.6</v>
      </c>
      <c r="H814" t="n">
        <v>0</v>
      </c>
      <c r="I814" t="n">
        <v>0</v>
      </c>
      <c r="J814" t="n">
        <v>0</v>
      </c>
      <c r="K814" t="n">
        <v>0</v>
      </c>
      <c r="L814" t="n">
        <v>0</v>
      </c>
      <c r="M814" t="n">
        <v>0</v>
      </c>
      <c r="N814" t="n">
        <v>0</v>
      </c>
      <c r="O814" t="n">
        <v>0</v>
      </c>
      <c r="P814" t="n">
        <v>0</v>
      </c>
      <c r="Q814" t="n">
        <v>0</v>
      </c>
      <c r="R814" s="2" t="inlineStr"/>
    </row>
    <row r="815" ht="15" customHeight="1">
      <c r="A815" t="inlineStr">
        <is>
          <t>A 22447-2021</t>
        </is>
      </c>
      <c r="B815" s="1" t="n">
        <v>44323</v>
      </c>
      <c r="C815" s="1" t="n">
        <v>45260</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22441-2021</t>
        </is>
      </c>
      <c r="B816" s="1" t="n">
        <v>44323</v>
      </c>
      <c r="C816" s="1" t="n">
        <v>45260</v>
      </c>
      <c r="D816" t="inlineStr">
        <is>
          <t>VÄSTERNORRLANDS LÄN</t>
        </is>
      </c>
      <c r="E816" t="inlineStr">
        <is>
          <t>SOLLEFTEÅ</t>
        </is>
      </c>
      <c r="G816" t="n">
        <v>2.2</v>
      </c>
      <c r="H816" t="n">
        <v>0</v>
      </c>
      <c r="I816" t="n">
        <v>0</v>
      </c>
      <c r="J816" t="n">
        <v>0</v>
      </c>
      <c r="K816" t="n">
        <v>0</v>
      </c>
      <c r="L816" t="n">
        <v>0</v>
      </c>
      <c r="M816" t="n">
        <v>0</v>
      </c>
      <c r="N816" t="n">
        <v>0</v>
      </c>
      <c r="O816" t="n">
        <v>0</v>
      </c>
      <c r="P816" t="n">
        <v>0</v>
      </c>
      <c r="Q816" t="n">
        <v>0</v>
      </c>
      <c r="R816" s="2" t="inlineStr"/>
    </row>
    <row r="817" ht="15" customHeight="1">
      <c r="A817" t="inlineStr">
        <is>
          <t>A 22224-2021</t>
        </is>
      </c>
      <c r="B817" s="1" t="n">
        <v>44326</v>
      </c>
      <c r="C817" s="1" t="n">
        <v>45260</v>
      </c>
      <c r="D817" t="inlineStr">
        <is>
          <t>VÄSTERNORRLANDS LÄN</t>
        </is>
      </c>
      <c r="E817" t="inlineStr">
        <is>
          <t>SOLLEFTEÅ</t>
        </is>
      </c>
      <c r="F817" t="inlineStr">
        <is>
          <t>Kommuner</t>
        </is>
      </c>
      <c r="G817" t="n">
        <v>2.3</v>
      </c>
      <c r="H817" t="n">
        <v>0</v>
      </c>
      <c r="I817" t="n">
        <v>0</v>
      </c>
      <c r="J817" t="n">
        <v>0</v>
      </c>
      <c r="K817" t="n">
        <v>0</v>
      </c>
      <c r="L817" t="n">
        <v>0</v>
      </c>
      <c r="M817" t="n">
        <v>0</v>
      </c>
      <c r="N817" t="n">
        <v>0</v>
      </c>
      <c r="O817" t="n">
        <v>0</v>
      </c>
      <c r="P817" t="n">
        <v>0</v>
      </c>
      <c r="Q817" t="n">
        <v>0</v>
      </c>
      <c r="R817" s="2" t="inlineStr"/>
    </row>
    <row r="818" ht="15" customHeight="1">
      <c r="A818" t="inlineStr">
        <is>
          <t>A 22862-2021</t>
        </is>
      </c>
      <c r="B818" s="1" t="n">
        <v>44326</v>
      </c>
      <c r="C818" s="1" t="n">
        <v>45260</v>
      </c>
      <c r="D818" t="inlineStr">
        <is>
          <t>VÄSTERNORRLANDS LÄN</t>
        </is>
      </c>
      <c r="E818" t="inlineStr">
        <is>
          <t>SOLLEFTEÅ</t>
        </is>
      </c>
      <c r="F818" t="inlineStr">
        <is>
          <t>Kommuner</t>
        </is>
      </c>
      <c r="G818" t="n">
        <v>2</v>
      </c>
      <c r="H818" t="n">
        <v>0</v>
      </c>
      <c r="I818" t="n">
        <v>0</v>
      </c>
      <c r="J818" t="n">
        <v>0</v>
      </c>
      <c r="K818" t="n">
        <v>0</v>
      </c>
      <c r="L818" t="n">
        <v>0</v>
      </c>
      <c r="M818" t="n">
        <v>0</v>
      </c>
      <c r="N818" t="n">
        <v>0</v>
      </c>
      <c r="O818" t="n">
        <v>0</v>
      </c>
      <c r="P818" t="n">
        <v>0</v>
      </c>
      <c r="Q818" t="n">
        <v>0</v>
      </c>
      <c r="R818" s="2" t="inlineStr"/>
    </row>
    <row r="819" ht="15" customHeight="1">
      <c r="A819" t="inlineStr">
        <is>
          <t>A 22934-2021</t>
        </is>
      </c>
      <c r="B819" s="1" t="n">
        <v>44328</v>
      </c>
      <c r="C819" s="1" t="n">
        <v>45260</v>
      </c>
      <c r="D819" t="inlineStr">
        <is>
          <t>VÄSTERNORRLANDS LÄN</t>
        </is>
      </c>
      <c r="E819" t="inlineStr">
        <is>
          <t>SOLLEFTEÅ</t>
        </is>
      </c>
      <c r="G819" t="n">
        <v>10</v>
      </c>
      <c r="H819" t="n">
        <v>0</v>
      </c>
      <c r="I819" t="n">
        <v>0</v>
      </c>
      <c r="J819" t="n">
        <v>0</v>
      </c>
      <c r="K819" t="n">
        <v>0</v>
      </c>
      <c r="L819" t="n">
        <v>0</v>
      </c>
      <c r="M819" t="n">
        <v>0</v>
      </c>
      <c r="N819" t="n">
        <v>0</v>
      </c>
      <c r="O819" t="n">
        <v>0</v>
      </c>
      <c r="P819" t="n">
        <v>0</v>
      </c>
      <c r="Q819" t="n">
        <v>0</v>
      </c>
      <c r="R819" s="2" t="inlineStr"/>
    </row>
    <row r="820" ht="15" customHeight="1">
      <c r="A820" t="inlineStr">
        <is>
          <t>A 23033-2021</t>
        </is>
      </c>
      <c r="B820" s="1" t="n">
        <v>44329</v>
      </c>
      <c r="C820" s="1" t="n">
        <v>45260</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23032-2021</t>
        </is>
      </c>
      <c r="B821" s="1" t="n">
        <v>44329</v>
      </c>
      <c r="C821" s="1" t="n">
        <v>45260</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23034-2021</t>
        </is>
      </c>
      <c r="B822" s="1" t="n">
        <v>44329</v>
      </c>
      <c r="C822" s="1" t="n">
        <v>45260</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23030-2021</t>
        </is>
      </c>
      <c r="B823" s="1" t="n">
        <v>44329</v>
      </c>
      <c r="C823" s="1" t="n">
        <v>45260</v>
      </c>
      <c r="D823" t="inlineStr">
        <is>
          <t>VÄSTERNORRLANDS LÄN</t>
        </is>
      </c>
      <c r="E823" t="inlineStr">
        <is>
          <t>SOLLEFTEÅ</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23069-2021</t>
        </is>
      </c>
      <c r="B824" s="1" t="n">
        <v>44330</v>
      </c>
      <c r="C824" s="1" t="n">
        <v>45260</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45260</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23639-2021</t>
        </is>
      </c>
      <c r="B826" s="1" t="n">
        <v>44334</v>
      </c>
      <c r="C826" s="1" t="n">
        <v>45260</v>
      </c>
      <c r="D826" t="inlineStr">
        <is>
          <t>VÄSTERNORRLANDS LÄN</t>
        </is>
      </c>
      <c r="E826" t="inlineStr">
        <is>
          <t>SOLLEFTEÅ</t>
        </is>
      </c>
      <c r="F826" t="inlineStr">
        <is>
          <t>Kyrkan</t>
        </is>
      </c>
      <c r="G826" t="n">
        <v>5.4</v>
      </c>
      <c r="H826" t="n">
        <v>0</v>
      </c>
      <c r="I826" t="n">
        <v>0</v>
      </c>
      <c r="J826" t="n">
        <v>0</v>
      </c>
      <c r="K826" t="n">
        <v>0</v>
      </c>
      <c r="L826" t="n">
        <v>0</v>
      </c>
      <c r="M826" t="n">
        <v>0</v>
      </c>
      <c r="N826" t="n">
        <v>0</v>
      </c>
      <c r="O826" t="n">
        <v>0</v>
      </c>
      <c r="P826" t="n">
        <v>0</v>
      </c>
      <c r="Q826" t="n">
        <v>0</v>
      </c>
      <c r="R826" s="2" t="inlineStr"/>
    </row>
    <row r="827" ht="15" customHeight="1">
      <c r="A827" t="inlineStr">
        <is>
          <t>A 23689-2021</t>
        </is>
      </c>
      <c r="B827" s="1" t="n">
        <v>44334</v>
      </c>
      <c r="C827" s="1" t="n">
        <v>45260</v>
      </c>
      <c r="D827" t="inlineStr">
        <is>
          <t>VÄSTERNORRLANDS LÄN</t>
        </is>
      </c>
      <c r="E827" t="inlineStr">
        <is>
          <t>SOLLEFTEÅ</t>
        </is>
      </c>
      <c r="G827" t="n">
        <v>14.9</v>
      </c>
      <c r="H827" t="n">
        <v>0</v>
      </c>
      <c r="I827" t="n">
        <v>0</v>
      </c>
      <c r="J827" t="n">
        <v>0</v>
      </c>
      <c r="K827" t="n">
        <v>0</v>
      </c>
      <c r="L827" t="n">
        <v>0</v>
      </c>
      <c r="M827" t="n">
        <v>0</v>
      </c>
      <c r="N827" t="n">
        <v>0</v>
      </c>
      <c r="O827" t="n">
        <v>0</v>
      </c>
      <c r="P827" t="n">
        <v>0</v>
      </c>
      <c r="Q827" t="n">
        <v>0</v>
      </c>
      <c r="R827" s="2" t="inlineStr"/>
    </row>
    <row r="828" ht="15" customHeight="1">
      <c r="A828" t="inlineStr">
        <is>
          <t>A 23770-2021</t>
        </is>
      </c>
      <c r="B828" s="1" t="n">
        <v>44335</v>
      </c>
      <c r="C828" s="1" t="n">
        <v>45260</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23753-2021</t>
        </is>
      </c>
      <c r="B829" s="1" t="n">
        <v>44334</v>
      </c>
      <c r="C829" s="1" t="n">
        <v>45260</v>
      </c>
      <c r="D829" t="inlineStr">
        <is>
          <t>VÄSTERNORRLANDS LÄN</t>
        </is>
      </c>
      <c r="E829" t="inlineStr">
        <is>
          <t>SOLLEFTEÅ</t>
        </is>
      </c>
      <c r="G829" t="n">
        <v>14.8</v>
      </c>
      <c r="H829" t="n">
        <v>0</v>
      </c>
      <c r="I829" t="n">
        <v>0</v>
      </c>
      <c r="J829" t="n">
        <v>0</v>
      </c>
      <c r="K829" t="n">
        <v>0</v>
      </c>
      <c r="L829" t="n">
        <v>0</v>
      </c>
      <c r="M829" t="n">
        <v>0</v>
      </c>
      <c r="N829" t="n">
        <v>0</v>
      </c>
      <c r="O829" t="n">
        <v>0</v>
      </c>
      <c r="P829" t="n">
        <v>0</v>
      </c>
      <c r="Q829" t="n">
        <v>0</v>
      </c>
      <c r="R829" s="2" t="inlineStr"/>
    </row>
    <row r="830" ht="15" customHeight="1">
      <c r="A830" t="inlineStr">
        <is>
          <t>A 23814-2021</t>
        </is>
      </c>
      <c r="B830" s="1" t="n">
        <v>44335</v>
      </c>
      <c r="C830" s="1" t="n">
        <v>45260</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24243-2021</t>
        </is>
      </c>
      <c r="B831" s="1" t="n">
        <v>44336</v>
      </c>
      <c r="C831" s="1" t="n">
        <v>45260</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24244-2021</t>
        </is>
      </c>
      <c r="B832" s="1" t="n">
        <v>44337</v>
      </c>
      <c r="C832" s="1" t="n">
        <v>45260</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24720-2021</t>
        </is>
      </c>
      <c r="B833" s="1" t="n">
        <v>44340</v>
      </c>
      <c r="C833" s="1" t="n">
        <v>45260</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24731-2021</t>
        </is>
      </c>
      <c r="B834" s="1" t="n">
        <v>44340</v>
      </c>
      <c r="C834" s="1" t="n">
        <v>45260</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25183-2021</t>
        </is>
      </c>
      <c r="B835" s="1" t="n">
        <v>44341</v>
      </c>
      <c r="C835" s="1" t="n">
        <v>45260</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25156-2021</t>
        </is>
      </c>
      <c r="B836" s="1" t="n">
        <v>44341</v>
      </c>
      <c r="C836" s="1" t="n">
        <v>45260</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25152-2021</t>
        </is>
      </c>
      <c r="B837" s="1" t="n">
        <v>44341</v>
      </c>
      <c r="C837" s="1" t="n">
        <v>45260</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25329-2021</t>
        </is>
      </c>
      <c r="B838" s="1" t="n">
        <v>44342</v>
      </c>
      <c r="C838" s="1" t="n">
        <v>45260</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25345-2021</t>
        </is>
      </c>
      <c r="B839" s="1" t="n">
        <v>44342</v>
      </c>
      <c r="C839" s="1" t="n">
        <v>45260</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25522-2021</t>
        </is>
      </c>
      <c r="B840" s="1" t="n">
        <v>44342</v>
      </c>
      <c r="C840" s="1" t="n">
        <v>45260</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25999-2021</t>
        </is>
      </c>
      <c r="B841" s="1" t="n">
        <v>44344</v>
      </c>
      <c r="C841" s="1" t="n">
        <v>45260</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25877-2021</t>
        </is>
      </c>
      <c r="B842" s="1" t="n">
        <v>44344</v>
      </c>
      <c r="C842" s="1" t="n">
        <v>45260</v>
      </c>
      <c r="D842" t="inlineStr">
        <is>
          <t>VÄSTERNORRLANDS LÄN</t>
        </is>
      </c>
      <c r="E842" t="inlineStr">
        <is>
          <t>SOLLEFTEÅ</t>
        </is>
      </c>
      <c r="G842" t="n">
        <v>4.2</v>
      </c>
      <c r="H842" t="n">
        <v>0</v>
      </c>
      <c r="I842" t="n">
        <v>0</v>
      </c>
      <c r="J842" t="n">
        <v>0</v>
      </c>
      <c r="K842" t="n">
        <v>0</v>
      </c>
      <c r="L842" t="n">
        <v>0</v>
      </c>
      <c r="M842" t="n">
        <v>0</v>
      </c>
      <c r="N842" t="n">
        <v>0</v>
      </c>
      <c r="O842" t="n">
        <v>0</v>
      </c>
      <c r="P842" t="n">
        <v>0</v>
      </c>
      <c r="Q842" t="n">
        <v>0</v>
      </c>
      <c r="R842" s="2" t="inlineStr"/>
    </row>
    <row r="843" ht="15" customHeight="1">
      <c r="A843" t="inlineStr">
        <is>
          <t>A 25989-2021</t>
        </is>
      </c>
      <c r="B843" s="1" t="n">
        <v>44344</v>
      </c>
      <c r="C843" s="1" t="n">
        <v>45260</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26406-2021</t>
        </is>
      </c>
      <c r="B844" s="1" t="n">
        <v>44347</v>
      </c>
      <c r="C844" s="1" t="n">
        <v>45260</v>
      </c>
      <c r="D844" t="inlineStr">
        <is>
          <t>VÄSTERNORRLANDS LÄN</t>
        </is>
      </c>
      <c r="E844" t="inlineStr">
        <is>
          <t>SOLLEFTEÅ</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26401-2021</t>
        </is>
      </c>
      <c r="B845" s="1" t="n">
        <v>44348</v>
      </c>
      <c r="C845" s="1" t="n">
        <v>45260</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26498-2021</t>
        </is>
      </c>
      <c r="B846" s="1" t="n">
        <v>44348</v>
      </c>
      <c r="C846" s="1" t="n">
        <v>45260</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26559-2021</t>
        </is>
      </c>
      <c r="B847" s="1" t="n">
        <v>44348</v>
      </c>
      <c r="C847" s="1" t="n">
        <v>45260</v>
      </c>
      <c r="D847" t="inlineStr">
        <is>
          <t>VÄSTERNORRLANDS LÄN</t>
        </is>
      </c>
      <c r="E847" t="inlineStr">
        <is>
          <t>SOLLEFTEÅ</t>
        </is>
      </c>
      <c r="G847" t="n">
        <v>9</v>
      </c>
      <c r="H847" t="n">
        <v>0</v>
      </c>
      <c r="I847" t="n">
        <v>0</v>
      </c>
      <c r="J847" t="n">
        <v>0</v>
      </c>
      <c r="K847" t="n">
        <v>0</v>
      </c>
      <c r="L847" t="n">
        <v>0</v>
      </c>
      <c r="M847" t="n">
        <v>0</v>
      </c>
      <c r="N847" t="n">
        <v>0</v>
      </c>
      <c r="O847" t="n">
        <v>0</v>
      </c>
      <c r="P847" t="n">
        <v>0</v>
      </c>
      <c r="Q847" t="n">
        <v>0</v>
      </c>
      <c r="R847" s="2" t="inlineStr"/>
    </row>
    <row r="848" ht="15" customHeight="1">
      <c r="A848" t="inlineStr">
        <is>
          <t>A 26669-2021</t>
        </is>
      </c>
      <c r="B848" s="1" t="n">
        <v>44349</v>
      </c>
      <c r="C848" s="1" t="n">
        <v>45260</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27809-2021</t>
        </is>
      </c>
      <c r="B849" s="1" t="n">
        <v>44354</v>
      </c>
      <c r="C849" s="1" t="n">
        <v>45260</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27972-2021</t>
        </is>
      </c>
      <c r="B850" s="1" t="n">
        <v>44355</v>
      </c>
      <c r="C850" s="1" t="n">
        <v>45260</v>
      </c>
      <c r="D850" t="inlineStr">
        <is>
          <t>VÄSTERNORRLANDS LÄN</t>
        </is>
      </c>
      <c r="E850" t="inlineStr">
        <is>
          <t>SOLLEFTEÅ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28288-2021</t>
        </is>
      </c>
      <c r="B851" s="1" t="n">
        <v>44355</v>
      </c>
      <c r="C851" s="1" t="n">
        <v>45260</v>
      </c>
      <c r="D851" t="inlineStr">
        <is>
          <t>VÄSTERNORRLANDS LÄN</t>
        </is>
      </c>
      <c r="E851" t="inlineStr">
        <is>
          <t>SOLLEFTEÅ</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28615-2021</t>
        </is>
      </c>
      <c r="B852" s="1" t="n">
        <v>44357</v>
      </c>
      <c r="C852" s="1" t="n">
        <v>45260</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28939-2021</t>
        </is>
      </c>
      <c r="B853" s="1" t="n">
        <v>44358</v>
      </c>
      <c r="C853" s="1" t="n">
        <v>45260</v>
      </c>
      <c r="D853" t="inlineStr">
        <is>
          <t>VÄSTERNORRLANDS LÄN</t>
        </is>
      </c>
      <c r="E853" t="inlineStr">
        <is>
          <t>SOLLEFTEÅ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29623-2021</t>
        </is>
      </c>
      <c r="B854" s="1" t="n">
        <v>44361</v>
      </c>
      <c r="C854" s="1" t="n">
        <v>45260</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29602-2021</t>
        </is>
      </c>
      <c r="B855" s="1" t="n">
        <v>44362</v>
      </c>
      <c r="C855" s="1" t="n">
        <v>45260</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29829-2021</t>
        </is>
      </c>
      <c r="B856" s="1" t="n">
        <v>44362</v>
      </c>
      <c r="C856" s="1" t="n">
        <v>45260</v>
      </c>
      <c r="D856" t="inlineStr">
        <is>
          <t>VÄSTERNORRLANDS LÄN</t>
        </is>
      </c>
      <c r="E856" t="inlineStr">
        <is>
          <t>SOLLEFTEÅ</t>
        </is>
      </c>
      <c r="G856" t="n">
        <v>4</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45260</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31354-2021</t>
        </is>
      </c>
      <c r="B858" s="1" t="n">
        <v>44369</v>
      </c>
      <c r="C858" s="1" t="n">
        <v>45260</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31600-2021</t>
        </is>
      </c>
      <c r="B859" s="1" t="n">
        <v>44369</v>
      </c>
      <c r="C859" s="1" t="n">
        <v>45260</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31737-2021</t>
        </is>
      </c>
      <c r="B860" s="1" t="n">
        <v>44370</v>
      </c>
      <c r="C860" s="1" t="n">
        <v>45260</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32091-2021</t>
        </is>
      </c>
      <c r="B861" s="1" t="n">
        <v>44370</v>
      </c>
      <c r="C861" s="1" t="n">
        <v>45260</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33207-2021</t>
        </is>
      </c>
      <c r="B862" s="1" t="n">
        <v>44376</v>
      </c>
      <c r="C862" s="1" t="n">
        <v>45260</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33214-2021</t>
        </is>
      </c>
      <c r="B863" s="1" t="n">
        <v>44377</v>
      </c>
      <c r="C863" s="1" t="n">
        <v>45260</v>
      </c>
      <c r="D863" t="inlineStr">
        <is>
          <t>VÄSTERNORRLANDS LÄN</t>
        </is>
      </c>
      <c r="E863" t="inlineStr">
        <is>
          <t>SOLLEFTEÅ</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33895-2021</t>
        </is>
      </c>
      <c r="B864" s="1" t="n">
        <v>44378</v>
      </c>
      <c r="C864" s="1" t="n">
        <v>45260</v>
      </c>
      <c r="D864" t="inlineStr">
        <is>
          <t>VÄSTERNORRLANDS LÄN</t>
        </is>
      </c>
      <c r="E864" t="inlineStr">
        <is>
          <t>SOLLEFTEÅ</t>
        </is>
      </c>
      <c r="F864" t="inlineStr">
        <is>
          <t>Kyrkan</t>
        </is>
      </c>
      <c r="G864" t="n">
        <v>3.6</v>
      </c>
      <c r="H864" t="n">
        <v>0</v>
      </c>
      <c r="I864" t="n">
        <v>0</v>
      </c>
      <c r="J864" t="n">
        <v>0</v>
      </c>
      <c r="K864" t="n">
        <v>0</v>
      </c>
      <c r="L864" t="n">
        <v>0</v>
      </c>
      <c r="M864" t="n">
        <v>0</v>
      </c>
      <c r="N864" t="n">
        <v>0</v>
      </c>
      <c r="O864" t="n">
        <v>0</v>
      </c>
      <c r="P864" t="n">
        <v>0</v>
      </c>
      <c r="Q864" t="n">
        <v>0</v>
      </c>
      <c r="R864" s="2" t="inlineStr"/>
    </row>
    <row r="865" ht="15" customHeight="1">
      <c r="A865" t="inlineStr">
        <is>
          <t>A 34396-2021</t>
        </is>
      </c>
      <c r="B865" s="1" t="n">
        <v>44379</v>
      </c>
      <c r="C865" s="1" t="n">
        <v>45260</v>
      </c>
      <c r="D865" t="inlineStr">
        <is>
          <t>VÄSTERNORRLANDS LÄN</t>
        </is>
      </c>
      <c r="E865" t="inlineStr">
        <is>
          <t>SOLLEFTEÅ</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34395-2021</t>
        </is>
      </c>
      <c r="B866" s="1" t="n">
        <v>44379</v>
      </c>
      <c r="C866" s="1" t="n">
        <v>45260</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34397-2021</t>
        </is>
      </c>
      <c r="B867" s="1" t="n">
        <v>44379</v>
      </c>
      <c r="C867" s="1" t="n">
        <v>45260</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34475-2021</t>
        </is>
      </c>
      <c r="B868" s="1" t="n">
        <v>44381</v>
      </c>
      <c r="C868" s="1" t="n">
        <v>45260</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34473-2021</t>
        </is>
      </c>
      <c r="B869" s="1" t="n">
        <v>44382</v>
      </c>
      <c r="C869" s="1" t="n">
        <v>45260</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35071-2021</t>
        </is>
      </c>
      <c r="B870" s="1" t="n">
        <v>44383</v>
      </c>
      <c r="C870" s="1" t="n">
        <v>45260</v>
      </c>
      <c r="D870" t="inlineStr">
        <is>
          <t>VÄSTERNORRLANDS LÄN</t>
        </is>
      </c>
      <c r="E870" t="inlineStr">
        <is>
          <t>SOLLEFTEÅ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35333-2021</t>
        </is>
      </c>
      <c r="B871" s="1" t="n">
        <v>44384</v>
      </c>
      <c r="C871" s="1" t="n">
        <v>45260</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35358-2021</t>
        </is>
      </c>
      <c r="B872" s="1" t="n">
        <v>44385</v>
      </c>
      <c r="C872" s="1" t="n">
        <v>45260</v>
      </c>
      <c r="D872" t="inlineStr">
        <is>
          <t>VÄSTERNORRLANDS LÄN</t>
        </is>
      </c>
      <c r="E872" t="inlineStr">
        <is>
          <t>SOLLEFTEÅ</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35574-2021</t>
        </is>
      </c>
      <c r="B873" s="1" t="n">
        <v>44386</v>
      </c>
      <c r="C873" s="1" t="n">
        <v>45260</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35862-2021</t>
        </is>
      </c>
      <c r="B874" s="1" t="n">
        <v>44386</v>
      </c>
      <c r="C874" s="1" t="n">
        <v>45260</v>
      </c>
      <c r="D874" t="inlineStr">
        <is>
          <t>VÄSTERNORRLANDS LÄN</t>
        </is>
      </c>
      <c r="E874" t="inlineStr">
        <is>
          <t>SOLLEFTEÅ</t>
        </is>
      </c>
      <c r="G874" t="n">
        <v>5.5</v>
      </c>
      <c r="H874" t="n">
        <v>0</v>
      </c>
      <c r="I874" t="n">
        <v>0</v>
      </c>
      <c r="J874" t="n">
        <v>0</v>
      </c>
      <c r="K874" t="n">
        <v>0</v>
      </c>
      <c r="L874" t="n">
        <v>0</v>
      </c>
      <c r="M874" t="n">
        <v>0</v>
      </c>
      <c r="N874" t="n">
        <v>0</v>
      </c>
      <c r="O874" t="n">
        <v>0</v>
      </c>
      <c r="P874" t="n">
        <v>0</v>
      </c>
      <c r="Q874" t="n">
        <v>0</v>
      </c>
      <c r="R874" s="2" t="inlineStr"/>
    </row>
    <row r="875" ht="15" customHeight="1">
      <c r="A875" t="inlineStr">
        <is>
          <t>A 36447-2021</t>
        </is>
      </c>
      <c r="B875" s="1" t="n">
        <v>44390</v>
      </c>
      <c r="C875" s="1" t="n">
        <v>45260</v>
      </c>
      <c r="D875" t="inlineStr">
        <is>
          <t>VÄSTERNORRLANDS LÄN</t>
        </is>
      </c>
      <c r="E875" t="inlineStr">
        <is>
          <t>SOLLEFTEÅ</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36448-2021</t>
        </is>
      </c>
      <c r="B876" s="1" t="n">
        <v>44390</v>
      </c>
      <c r="C876" s="1" t="n">
        <v>45260</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36579-2021</t>
        </is>
      </c>
      <c r="B877" s="1" t="n">
        <v>44391</v>
      </c>
      <c r="C877" s="1" t="n">
        <v>45260</v>
      </c>
      <c r="D877" t="inlineStr">
        <is>
          <t>VÄSTERNORRLANDS LÄN</t>
        </is>
      </c>
      <c r="E877" t="inlineStr">
        <is>
          <t>SOLLEFTEÅ</t>
        </is>
      </c>
      <c r="G877" t="n">
        <v>6.9</v>
      </c>
      <c r="H877" t="n">
        <v>0</v>
      </c>
      <c r="I877" t="n">
        <v>0</v>
      </c>
      <c r="J877" t="n">
        <v>0</v>
      </c>
      <c r="K877" t="n">
        <v>0</v>
      </c>
      <c r="L877" t="n">
        <v>0</v>
      </c>
      <c r="M877" t="n">
        <v>0</v>
      </c>
      <c r="N877" t="n">
        <v>0</v>
      </c>
      <c r="O877" t="n">
        <v>0</v>
      </c>
      <c r="P877" t="n">
        <v>0</v>
      </c>
      <c r="Q877" t="n">
        <v>0</v>
      </c>
      <c r="R877" s="2" t="inlineStr"/>
    </row>
    <row r="878" ht="15" customHeight="1">
      <c r="A878" t="inlineStr">
        <is>
          <t>A 36816-2021</t>
        </is>
      </c>
      <c r="B878" s="1" t="n">
        <v>44393</v>
      </c>
      <c r="C878" s="1" t="n">
        <v>45260</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36815-2021</t>
        </is>
      </c>
      <c r="B879" s="1" t="n">
        <v>44393</v>
      </c>
      <c r="C879" s="1" t="n">
        <v>45260</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37043-2021</t>
        </is>
      </c>
      <c r="B880" s="1" t="n">
        <v>44393</v>
      </c>
      <c r="C880" s="1" t="n">
        <v>45260</v>
      </c>
      <c r="D880" t="inlineStr">
        <is>
          <t>VÄSTERNORRLANDS LÄN</t>
        </is>
      </c>
      <c r="E880" t="inlineStr">
        <is>
          <t>SOLLEFTEÅ</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37041-2021</t>
        </is>
      </c>
      <c r="B881" s="1" t="n">
        <v>44394</v>
      </c>
      <c r="C881" s="1" t="n">
        <v>45260</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37042-2021</t>
        </is>
      </c>
      <c r="B882" s="1" t="n">
        <v>44394</v>
      </c>
      <c r="C882" s="1" t="n">
        <v>45260</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37369-2021</t>
        </is>
      </c>
      <c r="B883" s="1" t="n">
        <v>44397</v>
      </c>
      <c r="C883" s="1" t="n">
        <v>45260</v>
      </c>
      <c r="D883" t="inlineStr">
        <is>
          <t>VÄSTERNORRLANDS LÄN</t>
        </is>
      </c>
      <c r="E883" t="inlineStr">
        <is>
          <t>SOLLEFTEÅ</t>
        </is>
      </c>
      <c r="F883" t="inlineStr">
        <is>
          <t>SCA</t>
        </is>
      </c>
      <c r="G883" t="n">
        <v>20.3</v>
      </c>
      <c r="H883" t="n">
        <v>0</v>
      </c>
      <c r="I883" t="n">
        <v>0</v>
      </c>
      <c r="J883" t="n">
        <v>0</v>
      </c>
      <c r="K883" t="n">
        <v>0</v>
      </c>
      <c r="L883" t="n">
        <v>0</v>
      </c>
      <c r="M883" t="n">
        <v>0</v>
      </c>
      <c r="N883" t="n">
        <v>0</v>
      </c>
      <c r="O883" t="n">
        <v>0</v>
      </c>
      <c r="P883" t="n">
        <v>0</v>
      </c>
      <c r="Q883" t="n">
        <v>0</v>
      </c>
      <c r="R883" s="2" t="inlineStr"/>
    </row>
    <row r="884" ht="15" customHeight="1">
      <c r="A884" t="inlineStr">
        <is>
          <t>A 37639-2021</t>
        </is>
      </c>
      <c r="B884" s="1" t="n">
        <v>44400</v>
      </c>
      <c r="C884" s="1" t="n">
        <v>45260</v>
      </c>
      <c r="D884" t="inlineStr">
        <is>
          <t>VÄSTERNORRLANDS LÄN</t>
        </is>
      </c>
      <c r="E884" t="inlineStr">
        <is>
          <t>SOLLEFTEÅ</t>
        </is>
      </c>
      <c r="G884" t="n">
        <v>10.7</v>
      </c>
      <c r="H884" t="n">
        <v>0</v>
      </c>
      <c r="I884" t="n">
        <v>0</v>
      </c>
      <c r="J884" t="n">
        <v>0</v>
      </c>
      <c r="K884" t="n">
        <v>0</v>
      </c>
      <c r="L884" t="n">
        <v>0</v>
      </c>
      <c r="M884" t="n">
        <v>0</v>
      </c>
      <c r="N884" t="n">
        <v>0</v>
      </c>
      <c r="O884" t="n">
        <v>0</v>
      </c>
      <c r="P884" t="n">
        <v>0</v>
      </c>
      <c r="Q884" t="n">
        <v>0</v>
      </c>
      <c r="R884" s="2" t="inlineStr"/>
    </row>
    <row r="885" ht="15" customHeight="1">
      <c r="A885" t="inlineStr">
        <is>
          <t>A 37648-2021</t>
        </is>
      </c>
      <c r="B885" s="1" t="n">
        <v>44400</v>
      </c>
      <c r="C885" s="1" t="n">
        <v>45260</v>
      </c>
      <c r="D885" t="inlineStr">
        <is>
          <t>VÄSTERNORRLANDS LÄN</t>
        </is>
      </c>
      <c r="E885" t="inlineStr">
        <is>
          <t>SOLLEFTEÅ</t>
        </is>
      </c>
      <c r="G885" t="n">
        <v>33.6</v>
      </c>
      <c r="H885" t="n">
        <v>0</v>
      </c>
      <c r="I885" t="n">
        <v>0</v>
      </c>
      <c r="J885" t="n">
        <v>0</v>
      </c>
      <c r="K885" t="n">
        <v>0</v>
      </c>
      <c r="L885" t="n">
        <v>0</v>
      </c>
      <c r="M885" t="n">
        <v>0</v>
      </c>
      <c r="N885" t="n">
        <v>0</v>
      </c>
      <c r="O885" t="n">
        <v>0</v>
      </c>
      <c r="P885" t="n">
        <v>0</v>
      </c>
      <c r="Q885" t="n">
        <v>0</v>
      </c>
      <c r="R885" s="2" t="inlineStr"/>
    </row>
    <row r="886" ht="15" customHeight="1">
      <c r="A886" t="inlineStr">
        <is>
          <t>A 37634-2021</t>
        </is>
      </c>
      <c r="B886" s="1" t="n">
        <v>44400</v>
      </c>
      <c r="C886" s="1" t="n">
        <v>45260</v>
      </c>
      <c r="D886" t="inlineStr">
        <is>
          <t>VÄSTERNORRLANDS LÄN</t>
        </is>
      </c>
      <c r="E886" t="inlineStr">
        <is>
          <t>SOLLEFTEÅ</t>
        </is>
      </c>
      <c r="G886" t="n">
        <v>5.1</v>
      </c>
      <c r="H886" t="n">
        <v>0</v>
      </c>
      <c r="I886" t="n">
        <v>0</v>
      </c>
      <c r="J886" t="n">
        <v>0</v>
      </c>
      <c r="K886" t="n">
        <v>0</v>
      </c>
      <c r="L886" t="n">
        <v>0</v>
      </c>
      <c r="M886" t="n">
        <v>0</v>
      </c>
      <c r="N886" t="n">
        <v>0</v>
      </c>
      <c r="O886" t="n">
        <v>0</v>
      </c>
      <c r="P886" t="n">
        <v>0</v>
      </c>
      <c r="Q886" t="n">
        <v>0</v>
      </c>
      <c r="R886" s="2" t="inlineStr"/>
    </row>
    <row r="887" ht="15" customHeight="1">
      <c r="A887" t="inlineStr">
        <is>
          <t>A 38283-2021</t>
        </is>
      </c>
      <c r="B887" s="1" t="n">
        <v>44405</v>
      </c>
      <c r="C887" s="1" t="n">
        <v>45260</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39334-2021</t>
        </is>
      </c>
      <c r="B888" s="1" t="n">
        <v>44414</v>
      </c>
      <c r="C888" s="1" t="n">
        <v>45260</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39594-2021</t>
        </is>
      </c>
      <c r="B889" s="1" t="n">
        <v>44413</v>
      </c>
      <c r="C889" s="1" t="n">
        <v>45260</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39230-2021</t>
        </is>
      </c>
      <c r="B890" s="1" t="n">
        <v>44413</v>
      </c>
      <c r="C890" s="1" t="n">
        <v>45260</v>
      </c>
      <c r="D890" t="inlineStr">
        <is>
          <t>VÄSTERNORRLANDS LÄN</t>
        </is>
      </c>
      <c r="E890" t="inlineStr">
        <is>
          <t>SOLLEFTEÅ</t>
        </is>
      </c>
      <c r="G890" t="n">
        <v>13.6</v>
      </c>
      <c r="H890" t="n">
        <v>0</v>
      </c>
      <c r="I890" t="n">
        <v>0</v>
      </c>
      <c r="J890" t="n">
        <v>0</v>
      </c>
      <c r="K890" t="n">
        <v>0</v>
      </c>
      <c r="L890" t="n">
        <v>0</v>
      </c>
      <c r="M890" t="n">
        <v>0</v>
      </c>
      <c r="N890" t="n">
        <v>0</v>
      </c>
      <c r="O890" t="n">
        <v>0</v>
      </c>
      <c r="P890" t="n">
        <v>0</v>
      </c>
      <c r="Q890" t="n">
        <v>0</v>
      </c>
      <c r="R890" s="2" t="inlineStr"/>
    </row>
    <row r="891" ht="15" customHeight="1">
      <c r="A891" t="inlineStr">
        <is>
          <t>A 39504-2021</t>
        </is>
      </c>
      <c r="B891" s="1" t="n">
        <v>44415</v>
      </c>
      <c r="C891" s="1" t="n">
        <v>45260</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40539-2021</t>
        </is>
      </c>
      <c r="B892" s="1" t="n">
        <v>44420</v>
      </c>
      <c r="C892" s="1" t="n">
        <v>45260</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41334-2021</t>
        </is>
      </c>
      <c r="B893" s="1" t="n">
        <v>44424</v>
      </c>
      <c r="C893" s="1" t="n">
        <v>45260</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42219-2021</t>
        </is>
      </c>
      <c r="B894" s="1" t="n">
        <v>44426</v>
      </c>
      <c r="C894" s="1" t="n">
        <v>45260</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42231-2021</t>
        </is>
      </c>
      <c r="B895" s="1" t="n">
        <v>44426</v>
      </c>
      <c r="C895" s="1" t="n">
        <v>45260</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42228-2021</t>
        </is>
      </c>
      <c r="B896" s="1" t="n">
        <v>44426</v>
      </c>
      <c r="C896" s="1" t="n">
        <v>45260</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44427</v>
      </c>
      <c r="C897" s="1" t="n">
        <v>45260</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42531-2021</t>
        </is>
      </c>
      <c r="B898" s="1" t="n">
        <v>44428</v>
      </c>
      <c r="C898" s="1" t="n">
        <v>45260</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45213-2021</t>
        </is>
      </c>
      <c r="B899" s="1" t="n">
        <v>44431</v>
      </c>
      <c r="C899" s="1" t="n">
        <v>45260</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43220-2021</t>
        </is>
      </c>
      <c r="B900" s="1" t="n">
        <v>44432</v>
      </c>
      <c r="C900" s="1" t="n">
        <v>45260</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43525-2021</t>
        </is>
      </c>
      <c r="B901" s="1" t="n">
        <v>44433</v>
      </c>
      <c r="C901" s="1" t="n">
        <v>45260</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44592-2021</t>
        </is>
      </c>
      <c r="B902" s="1" t="n">
        <v>44435</v>
      </c>
      <c r="C902" s="1" t="n">
        <v>45260</v>
      </c>
      <c r="D902" t="inlineStr">
        <is>
          <t>VÄSTERNORRLANDS LÄN</t>
        </is>
      </c>
      <c r="E902" t="inlineStr">
        <is>
          <t>SOLLEFTEÅ</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44587-2021</t>
        </is>
      </c>
      <c r="B903" s="1" t="n">
        <v>44435</v>
      </c>
      <c r="C903" s="1" t="n">
        <v>45260</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45187-2021</t>
        </is>
      </c>
      <c r="B904" s="1" t="n">
        <v>44439</v>
      </c>
      <c r="C904" s="1" t="n">
        <v>45260</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45105-2021</t>
        </is>
      </c>
      <c r="B905" s="1" t="n">
        <v>44439</v>
      </c>
      <c r="C905" s="1" t="n">
        <v>45260</v>
      </c>
      <c r="D905" t="inlineStr">
        <is>
          <t>VÄSTERNORRLANDS LÄN</t>
        </is>
      </c>
      <c r="E905" t="inlineStr">
        <is>
          <t>SOLLEFTEÅ</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46049-2021</t>
        </is>
      </c>
      <c r="B906" s="1" t="n">
        <v>44442</v>
      </c>
      <c r="C906" s="1" t="n">
        <v>45260</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46058-2021</t>
        </is>
      </c>
      <c r="B907" s="1" t="n">
        <v>44442</v>
      </c>
      <c r="C907" s="1" t="n">
        <v>45260</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47643-2021</t>
        </is>
      </c>
      <c r="B908" s="1" t="n">
        <v>44448</v>
      </c>
      <c r="C908" s="1" t="n">
        <v>45260</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47675-2021</t>
        </is>
      </c>
      <c r="B909" s="1" t="n">
        <v>44448</v>
      </c>
      <c r="C909" s="1" t="n">
        <v>45260</v>
      </c>
      <c r="D909" t="inlineStr">
        <is>
          <t>VÄSTERNORRLANDS LÄN</t>
        </is>
      </c>
      <c r="E909" t="inlineStr">
        <is>
          <t>SOLLEFTEÅ</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47626-2021</t>
        </is>
      </c>
      <c r="B910" s="1" t="n">
        <v>44448</v>
      </c>
      <c r="C910" s="1" t="n">
        <v>45260</v>
      </c>
      <c r="D910" t="inlineStr">
        <is>
          <t>VÄSTERNORRLANDS LÄN</t>
        </is>
      </c>
      <c r="E910" t="inlineStr">
        <is>
          <t>SOLLEFTEÅ</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47696-2021</t>
        </is>
      </c>
      <c r="B911" s="1" t="n">
        <v>44448</v>
      </c>
      <c r="C911" s="1" t="n">
        <v>45260</v>
      </c>
      <c r="D911" t="inlineStr">
        <is>
          <t>VÄSTERNORRLANDS LÄN</t>
        </is>
      </c>
      <c r="E911" t="inlineStr">
        <is>
          <t>SOLLEFTEÅ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47681-2021</t>
        </is>
      </c>
      <c r="B912" s="1" t="n">
        <v>44448</v>
      </c>
      <c r="C912" s="1" t="n">
        <v>45260</v>
      </c>
      <c r="D912" t="inlineStr">
        <is>
          <t>VÄSTERNORRLANDS LÄN</t>
        </is>
      </c>
      <c r="E912" t="inlineStr">
        <is>
          <t>SOLLEFTEÅ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48555-2021</t>
        </is>
      </c>
      <c r="B913" s="1" t="n">
        <v>44452</v>
      </c>
      <c r="C913" s="1" t="n">
        <v>45260</v>
      </c>
      <c r="D913" t="inlineStr">
        <is>
          <t>VÄSTERNORRLANDS LÄN</t>
        </is>
      </c>
      <c r="E913" t="inlineStr">
        <is>
          <t>SOLLEFTEÅ</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48578-2021</t>
        </is>
      </c>
      <c r="B914" s="1" t="n">
        <v>44452</v>
      </c>
      <c r="C914" s="1" t="n">
        <v>45260</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49160-2021</t>
        </is>
      </c>
      <c r="B915" s="1" t="n">
        <v>44454</v>
      </c>
      <c r="C915" s="1" t="n">
        <v>45260</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49492-2021</t>
        </is>
      </c>
      <c r="B916" s="1" t="n">
        <v>44455</v>
      </c>
      <c r="C916" s="1" t="n">
        <v>45260</v>
      </c>
      <c r="D916" t="inlineStr">
        <is>
          <t>VÄSTERNORRLANDS LÄN</t>
        </is>
      </c>
      <c r="E916" t="inlineStr">
        <is>
          <t>SOLLEFTEÅ</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49518-2021</t>
        </is>
      </c>
      <c r="B917" s="1" t="n">
        <v>44455</v>
      </c>
      <c r="C917" s="1" t="n">
        <v>45260</v>
      </c>
      <c r="D917" t="inlineStr">
        <is>
          <t>VÄSTERNORRLANDS LÄN</t>
        </is>
      </c>
      <c r="E917" t="inlineStr">
        <is>
          <t>SOLLEFTEÅ</t>
        </is>
      </c>
      <c r="G917" t="n">
        <v>12.9</v>
      </c>
      <c r="H917" t="n">
        <v>0</v>
      </c>
      <c r="I917" t="n">
        <v>0</v>
      </c>
      <c r="J917" t="n">
        <v>0</v>
      </c>
      <c r="K917" t="n">
        <v>0</v>
      </c>
      <c r="L917" t="n">
        <v>0</v>
      </c>
      <c r="M917" t="n">
        <v>0</v>
      </c>
      <c r="N917" t="n">
        <v>0</v>
      </c>
      <c r="O917" t="n">
        <v>0</v>
      </c>
      <c r="P917" t="n">
        <v>0</v>
      </c>
      <c r="Q917" t="n">
        <v>0</v>
      </c>
      <c r="R917" s="2" t="inlineStr"/>
    </row>
    <row r="918" ht="15" customHeight="1">
      <c r="A918" t="inlineStr">
        <is>
          <t>A 49711-2021</t>
        </is>
      </c>
      <c r="B918" s="1" t="n">
        <v>44455</v>
      </c>
      <c r="C918" s="1" t="n">
        <v>45260</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50360-2021</t>
        </is>
      </c>
      <c r="B919" s="1" t="n">
        <v>44459</v>
      </c>
      <c r="C919" s="1" t="n">
        <v>45260</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51104-2021</t>
        </is>
      </c>
      <c r="B920" s="1" t="n">
        <v>44459</v>
      </c>
      <c r="C920" s="1" t="n">
        <v>45260</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51020-2021</t>
        </is>
      </c>
      <c r="B921" s="1" t="n">
        <v>44460</v>
      </c>
      <c r="C921" s="1" t="n">
        <v>45260</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44461</v>
      </c>
      <c r="C922" s="1" t="n">
        <v>45260</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51440-2021</t>
        </is>
      </c>
      <c r="B923" s="1" t="n">
        <v>44461</v>
      </c>
      <c r="C923" s="1" t="n">
        <v>45260</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51443-2021</t>
        </is>
      </c>
      <c r="B924" s="1" t="n">
        <v>44461</v>
      </c>
      <c r="C924" s="1" t="n">
        <v>45260</v>
      </c>
      <c r="D924" t="inlineStr">
        <is>
          <t>VÄSTERNORRLANDS LÄN</t>
        </is>
      </c>
      <c r="E924" t="inlineStr">
        <is>
          <t>SOLLEFTEÅ</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51442-2021</t>
        </is>
      </c>
      <c r="B925" s="1" t="n">
        <v>44462</v>
      </c>
      <c r="C925" s="1" t="n">
        <v>45260</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51491-2021</t>
        </is>
      </c>
      <c r="B926" s="1" t="n">
        <v>44462</v>
      </c>
      <c r="C926" s="1" t="n">
        <v>45260</v>
      </c>
      <c r="D926" t="inlineStr">
        <is>
          <t>VÄSTERNORRLANDS LÄN</t>
        </is>
      </c>
      <c r="E926" t="inlineStr">
        <is>
          <t>SOLLEFTEÅ</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51847-2021</t>
        </is>
      </c>
      <c r="B927" s="1" t="n">
        <v>44462</v>
      </c>
      <c r="C927" s="1" t="n">
        <v>45260</v>
      </c>
      <c r="D927" t="inlineStr">
        <is>
          <t>VÄSTERNORRLANDS LÄN</t>
        </is>
      </c>
      <c r="E927" t="inlineStr">
        <is>
          <t>SOLLEFTEÅ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51952-2021</t>
        </is>
      </c>
      <c r="B928" s="1" t="n">
        <v>44463</v>
      </c>
      <c r="C928" s="1" t="n">
        <v>45260</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52447-2021</t>
        </is>
      </c>
      <c r="B929" s="1" t="n">
        <v>44466</v>
      </c>
      <c r="C929" s="1" t="n">
        <v>45260</v>
      </c>
      <c r="D929" t="inlineStr">
        <is>
          <t>VÄSTERNORRLANDS LÄN</t>
        </is>
      </c>
      <c r="E929" t="inlineStr">
        <is>
          <t>SOLLEFTEÅ</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53289-2021</t>
        </is>
      </c>
      <c r="B930" s="1" t="n">
        <v>44467</v>
      </c>
      <c r="C930" s="1" t="n">
        <v>45260</v>
      </c>
      <c r="D930" t="inlineStr">
        <is>
          <t>VÄSTERNORRLANDS LÄN</t>
        </is>
      </c>
      <c r="E930" t="inlineStr">
        <is>
          <t>SOLLEFTEÅ</t>
        </is>
      </c>
      <c r="G930" t="n">
        <v>6.5</v>
      </c>
      <c r="H930" t="n">
        <v>0</v>
      </c>
      <c r="I930" t="n">
        <v>0</v>
      </c>
      <c r="J930" t="n">
        <v>0</v>
      </c>
      <c r="K930" t="n">
        <v>0</v>
      </c>
      <c r="L930" t="n">
        <v>0</v>
      </c>
      <c r="M930" t="n">
        <v>0</v>
      </c>
      <c r="N930" t="n">
        <v>0</v>
      </c>
      <c r="O930" t="n">
        <v>0</v>
      </c>
      <c r="P930" t="n">
        <v>0</v>
      </c>
      <c r="Q930" t="n">
        <v>0</v>
      </c>
      <c r="R930" s="2" t="inlineStr"/>
    </row>
    <row r="931" ht="15" customHeight="1">
      <c r="A931" t="inlineStr">
        <is>
          <t>A 53278-2021</t>
        </is>
      </c>
      <c r="B931" s="1" t="n">
        <v>44467</v>
      </c>
      <c r="C931" s="1" t="n">
        <v>45260</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53524-2021</t>
        </is>
      </c>
      <c r="B932" s="1" t="n">
        <v>44468</v>
      </c>
      <c r="C932" s="1" t="n">
        <v>45260</v>
      </c>
      <c r="D932" t="inlineStr">
        <is>
          <t>VÄSTERNORRLANDS LÄN</t>
        </is>
      </c>
      <c r="E932" t="inlineStr">
        <is>
          <t>SOLLEFTEÅ</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53955-2021</t>
        </is>
      </c>
      <c r="B933" s="1" t="n">
        <v>44469</v>
      </c>
      <c r="C933" s="1" t="n">
        <v>45260</v>
      </c>
      <c r="D933" t="inlineStr">
        <is>
          <t>VÄSTERNORRLANDS LÄN</t>
        </is>
      </c>
      <c r="E933" t="inlineStr">
        <is>
          <t>SOLLEFTEÅ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54146-2021</t>
        </is>
      </c>
      <c r="B934" s="1" t="n">
        <v>44469</v>
      </c>
      <c r="C934" s="1" t="n">
        <v>45260</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54728-2021</t>
        </is>
      </c>
      <c r="B935" s="1" t="n">
        <v>44473</v>
      </c>
      <c r="C935" s="1" t="n">
        <v>45260</v>
      </c>
      <c r="D935" t="inlineStr">
        <is>
          <t>VÄSTERNORRLANDS LÄN</t>
        </is>
      </c>
      <c r="E935" t="inlineStr">
        <is>
          <t>SOLLEFTEÅ</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55016-2021</t>
        </is>
      </c>
      <c r="B936" s="1" t="n">
        <v>44474</v>
      </c>
      <c r="C936" s="1" t="n">
        <v>45260</v>
      </c>
      <c r="D936" t="inlineStr">
        <is>
          <t>VÄSTERNORRLANDS LÄN</t>
        </is>
      </c>
      <c r="E936" t="inlineStr">
        <is>
          <t>SOLLEFTEÅ</t>
        </is>
      </c>
      <c r="F936" t="inlineStr">
        <is>
          <t>Övriga Aktiebolag</t>
        </is>
      </c>
      <c r="G936" t="n">
        <v>12.7</v>
      </c>
      <c r="H936" t="n">
        <v>0</v>
      </c>
      <c r="I936" t="n">
        <v>0</v>
      </c>
      <c r="J936" t="n">
        <v>0</v>
      </c>
      <c r="K936" t="n">
        <v>0</v>
      </c>
      <c r="L936" t="n">
        <v>0</v>
      </c>
      <c r="M936" t="n">
        <v>0</v>
      </c>
      <c r="N936" t="n">
        <v>0</v>
      </c>
      <c r="O936" t="n">
        <v>0</v>
      </c>
      <c r="P936" t="n">
        <v>0</v>
      </c>
      <c r="Q936" t="n">
        <v>0</v>
      </c>
      <c r="R936" s="2" t="inlineStr"/>
    </row>
    <row r="937" ht="15" customHeight="1">
      <c r="A937" t="inlineStr">
        <is>
          <t>A 55018-2021</t>
        </is>
      </c>
      <c r="B937" s="1" t="n">
        <v>44474</v>
      </c>
      <c r="C937" s="1" t="n">
        <v>45260</v>
      </c>
      <c r="D937" t="inlineStr">
        <is>
          <t>VÄSTERNORRLANDS LÄN</t>
        </is>
      </c>
      <c r="E937" t="inlineStr">
        <is>
          <t>SOLLEFTEÅ</t>
        </is>
      </c>
      <c r="F937" t="inlineStr">
        <is>
          <t>Övriga Aktiebolag</t>
        </is>
      </c>
      <c r="G937" t="n">
        <v>11.2</v>
      </c>
      <c r="H937" t="n">
        <v>0</v>
      </c>
      <c r="I937" t="n">
        <v>0</v>
      </c>
      <c r="J937" t="n">
        <v>0</v>
      </c>
      <c r="K937" t="n">
        <v>0</v>
      </c>
      <c r="L937" t="n">
        <v>0</v>
      </c>
      <c r="M937" t="n">
        <v>0</v>
      </c>
      <c r="N937" t="n">
        <v>0</v>
      </c>
      <c r="O937" t="n">
        <v>0</v>
      </c>
      <c r="P937" t="n">
        <v>0</v>
      </c>
      <c r="Q937" t="n">
        <v>0</v>
      </c>
      <c r="R937" s="2" t="inlineStr"/>
    </row>
    <row r="938" ht="15" customHeight="1">
      <c r="A938" t="inlineStr">
        <is>
          <t>A 55610-2021</t>
        </is>
      </c>
      <c r="B938" s="1" t="n">
        <v>44476</v>
      </c>
      <c r="C938" s="1" t="n">
        <v>45260</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55643-2021</t>
        </is>
      </c>
      <c r="B939" s="1" t="n">
        <v>44475</v>
      </c>
      <c r="C939" s="1" t="n">
        <v>45260</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55904-2021</t>
        </is>
      </c>
      <c r="B940" s="1" t="n">
        <v>44476</v>
      </c>
      <c r="C940" s="1" t="n">
        <v>45260</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56211-2021</t>
        </is>
      </c>
      <c r="B941" s="1" t="n">
        <v>44478</v>
      </c>
      <c r="C941" s="1" t="n">
        <v>45260</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56918-2021</t>
        </is>
      </c>
      <c r="B942" s="1" t="n">
        <v>44482</v>
      </c>
      <c r="C942" s="1" t="n">
        <v>45260</v>
      </c>
      <c r="D942" t="inlineStr">
        <is>
          <t>VÄSTERNORRLANDS LÄN</t>
        </is>
      </c>
      <c r="E942" t="inlineStr">
        <is>
          <t>SOLLEFTEÅ</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57007-2021</t>
        </is>
      </c>
      <c r="B943" s="1" t="n">
        <v>44482</v>
      </c>
      <c r="C943" s="1" t="n">
        <v>45260</v>
      </c>
      <c r="D943" t="inlineStr">
        <is>
          <t>VÄSTERNORRLANDS LÄN</t>
        </is>
      </c>
      <c r="E943" t="inlineStr">
        <is>
          <t>SOLLEFTEÅ</t>
        </is>
      </c>
      <c r="G943" t="n">
        <v>7.4</v>
      </c>
      <c r="H943" t="n">
        <v>0</v>
      </c>
      <c r="I943" t="n">
        <v>0</v>
      </c>
      <c r="J943" t="n">
        <v>0</v>
      </c>
      <c r="K943" t="n">
        <v>0</v>
      </c>
      <c r="L943" t="n">
        <v>0</v>
      </c>
      <c r="M943" t="n">
        <v>0</v>
      </c>
      <c r="N943" t="n">
        <v>0</v>
      </c>
      <c r="O943" t="n">
        <v>0</v>
      </c>
      <c r="P943" t="n">
        <v>0</v>
      </c>
      <c r="Q943" t="n">
        <v>0</v>
      </c>
      <c r="R943" s="2" t="inlineStr"/>
    </row>
    <row r="944" ht="15" customHeight="1">
      <c r="A944" t="inlineStr">
        <is>
          <t>A 57550-2021</t>
        </is>
      </c>
      <c r="B944" s="1" t="n">
        <v>44484</v>
      </c>
      <c r="C944" s="1" t="n">
        <v>45260</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57552-2021</t>
        </is>
      </c>
      <c r="B945" s="1" t="n">
        <v>44483</v>
      </c>
      <c r="C945" s="1" t="n">
        <v>45260</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57856-2021</t>
        </is>
      </c>
      <c r="B946" s="1" t="n">
        <v>44485</v>
      </c>
      <c r="C946" s="1" t="n">
        <v>45260</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57911-2021</t>
        </is>
      </c>
      <c r="B947" s="1" t="n">
        <v>44486</v>
      </c>
      <c r="C947" s="1" t="n">
        <v>45260</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58268-2021</t>
        </is>
      </c>
      <c r="B948" s="1" t="n">
        <v>44487</v>
      </c>
      <c r="C948" s="1" t="n">
        <v>45260</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58276-2021</t>
        </is>
      </c>
      <c r="B949" s="1" t="n">
        <v>44488</v>
      </c>
      <c r="C949" s="1" t="n">
        <v>45260</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58179-2021</t>
        </is>
      </c>
      <c r="B950" s="1" t="n">
        <v>44487</v>
      </c>
      <c r="C950" s="1" t="n">
        <v>45260</v>
      </c>
      <c r="D950" t="inlineStr">
        <is>
          <t>VÄSTERNORRLANDS LÄN</t>
        </is>
      </c>
      <c r="E950" t="inlineStr">
        <is>
          <t>SOLLEFTEÅ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58478-2021</t>
        </is>
      </c>
      <c r="B951" s="1" t="n">
        <v>44488</v>
      </c>
      <c r="C951" s="1" t="n">
        <v>45260</v>
      </c>
      <c r="D951" t="inlineStr">
        <is>
          <t>VÄSTERNORRLANDS LÄN</t>
        </is>
      </c>
      <c r="E951" t="inlineStr">
        <is>
          <t>SOLLEFTEÅ</t>
        </is>
      </c>
      <c r="G951" t="n">
        <v>9.5</v>
      </c>
      <c r="H951" t="n">
        <v>0</v>
      </c>
      <c r="I951" t="n">
        <v>0</v>
      </c>
      <c r="J951" t="n">
        <v>0</v>
      </c>
      <c r="K951" t="n">
        <v>0</v>
      </c>
      <c r="L951" t="n">
        <v>0</v>
      </c>
      <c r="M951" t="n">
        <v>0</v>
      </c>
      <c r="N951" t="n">
        <v>0</v>
      </c>
      <c r="O951" t="n">
        <v>0</v>
      </c>
      <c r="P951" t="n">
        <v>0</v>
      </c>
      <c r="Q951" t="n">
        <v>0</v>
      </c>
      <c r="R951" s="2" t="inlineStr"/>
    </row>
    <row r="952" ht="15" customHeight="1">
      <c r="A952" t="inlineStr">
        <is>
          <t>A 58486-2021</t>
        </is>
      </c>
      <c r="B952" s="1" t="n">
        <v>44488</v>
      </c>
      <c r="C952" s="1" t="n">
        <v>45260</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58572-2021</t>
        </is>
      </c>
      <c r="B953" s="1" t="n">
        <v>44488</v>
      </c>
      <c r="C953" s="1" t="n">
        <v>45260</v>
      </c>
      <c r="D953" t="inlineStr">
        <is>
          <t>VÄSTERNORRLANDS LÄN</t>
        </is>
      </c>
      <c r="E953" t="inlineStr">
        <is>
          <t>SOLLEFTEÅ</t>
        </is>
      </c>
      <c r="G953" t="n">
        <v>0.1</v>
      </c>
      <c r="H953" t="n">
        <v>0</v>
      </c>
      <c r="I953" t="n">
        <v>0</v>
      </c>
      <c r="J953" t="n">
        <v>0</v>
      </c>
      <c r="K953" t="n">
        <v>0</v>
      </c>
      <c r="L953" t="n">
        <v>0</v>
      </c>
      <c r="M953" t="n">
        <v>0</v>
      </c>
      <c r="N953" t="n">
        <v>0</v>
      </c>
      <c r="O953" t="n">
        <v>0</v>
      </c>
      <c r="P953" t="n">
        <v>0</v>
      </c>
      <c r="Q953" t="n">
        <v>0</v>
      </c>
      <c r="R953" s="2" t="inlineStr"/>
    </row>
    <row r="954" ht="15" customHeight="1">
      <c r="A954" t="inlineStr">
        <is>
          <t>A 58571-2021</t>
        </is>
      </c>
      <c r="B954" s="1" t="n">
        <v>44488</v>
      </c>
      <c r="C954" s="1" t="n">
        <v>45260</v>
      </c>
      <c r="D954" t="inlineStr">
        <is>
          <t>VÄSTERNORRLANDS LÄN</t>
        </is>
      </c>
      <c r="E954" t="inlineStr">
        <is>
          <t>SOLLEFTEÅ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58573-2021</t>
        </is>
      </c>
      <c r="B955" s="1" t="n">
        <v>44488</v>
      </c>
      <c r="C955" s="1" t="n">
        <v>45260</v>
      </c>
      <c r="D955" t="inlineStr">
        <is>
          <t>VÄSTERNORRLANDS LÄN</t>
        </is>
      </c>
      <c r="E955" t="inlineStr">
        <is>
          <t>SOLLEFTEÅ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58726-2021</t>
        </is>
      </c>
      <c r="B956" s="1" t="n">
        <v>44489</v>
      </c>
      <c r="C956" s="1" t="n">
        <v>45260</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58742-2021</t>
        </is>
      </c>
      <c r="B957" s="1" t="n">
        <v>44489</v>
      </c>
      <c r="C957" s="1" t="n">
        <v>45260</v>
      </c>
      <c r="D957" t="inlineStr">
        <is>
          <t>VÄSTERNORRLANDS LÄN</t>
        </is>
      </c>
      <c r="E957" t="inlineStr">
        <is>
          <t>SOLLEFTEÅ</t>
        </is>
      </c>
      <c r="G957" t="n">
        <v>7</v>
      </c>
      <c r="H957" t="n">
        <v>0</v>
      </c>
      <c r="I957" t="n">
        <v>0</v>
      </c>
      <c r="J957" t="n">
        <v>0</v>
      </c>
      <c r="K957" t="n">
        <v>0</v>
      </c>
      <c r="L957" t="n">
        <v>0</v>
      </c>
      <c r="M957" t="n">
        <v>0</v>
      </c>
      <c r="N957" t="n">
        <v>0</v>
      </c>
      <c r="O957" t="n">
        <v>0</v>
      </c>
      <c r="P957" t="n">
        <v>0</v>
      </c>
      <c r="Q957" t="n">
        <v>0</v>
      </c>
      <c r="R957" s="2" t="inlineStr"/>
    </row>
    <row r="958" ht="15" customHeight="1">
      <c r="A958" t="inlineStr">
        <is>
          <t>A 58755-2021</t>
        </is>
      </c>
      <c r="B958" s="1" t="n">
        <v>44489</v>
      </c>
      <c r="C958" s="1" t="n">
        <v>45260</v>
      </c>
      <c r="D958" t="inlineStr">
        <is>
          <t>VÄSTERNORRLANDS LÄN</t>
        </is>
      </c>
      <c r="E958" t="inlineStr">
        <is>
          <t>SOLLEFTEÅ</t>
        </is>
      </c>
      <c r="G958" t="n">
        <v>12.2</v>
      </c>
      <c r="H958" t="n">
        <v>0</v>
      </c>
      <c r="I958" t="n">
        <v>0</v>
      </c>
      <c r="J958" t="n">
        <v>0</v>
      </c>
      <c r="K958" t="n">
        <v>0</v>
      </c>
      <c r="L958" t="n">
        <v>0</v>
      </c>
      <c r="M958" t="n">
        <v>0</v>
      </c>
      <c r="N958" t="n">
        <v>0</v>
      </c>
      <c r="O958" t="n">
        <v>0</v>
      </c>
      <c r="P958" t="n">
        <v>0</v>
      </c>
      <c r="Q958" t="n">
        <v>0</v>
      </c>
      <c r="R958" s="2" t="inlineStr"/>
    </row>
    <row r="959" ht="15" customHeight="1">
      <c r="A959" t="inlineStr">
        <is>
          <t>A 58688-2021</t>
        </is>
      </c>
      <c r="B959" s="1" t="n">
        <v>44489</v>
      </c>
      <c r="C959" s="1" t="n">
        <v>45260</v>
      </c>
      <c r="D959" t="inlineStr">
        <is>
          <t>VÄSTERNORRLANDS LÄN</t>
        </is>
      </c>
      <c r="E959" t="inlineStr">
        <is>
          <t>SOLLEFTEÅ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58715-2021</t>
        </is>
      </c>
      <c r="B960" s="1" t="n">
        <v>44489</v>
      </c>
      <c r="C960" s="1" t="n">
        <v>45260</v>
      </c>
      <c r="D960" t="inlineStr">
        <is>
          <t>VÄSTERNORRLANDS LÄN</t>
        </is>
      </c>
      <c r="E960" t="inlineStr">
        <is>
          <t>SOLLEFTEÅ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59344-2021</t>
        </is>
      </c>
      <c r="B961" s="1" t="n">
        <v>44490</v>
      </c>
      <c r="C961" s="1" t="n">
        <v>45260</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59309-2021</t>
        </is>
      </c>
      <c r="B962" s="1" t="n">
        <v>44491</v>
      </c>
      <c r="C962" s="1" t="n">
        <v>45260</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59343-2021</t>
        </is>
      </c>
      <c r="B963" s="1" t="n">
        <v>44490</v>
      </c>
      <c r="C963" s="1" t="n">
        <v>45260</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60324-2021</t>
        </is>
      </c>
      <c r="B964" s="1" t="n">
        <v>44496</v>
      </c>
      <c r="C964" s="1" t="n">
        <v>45260</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60757-2021</t>
        </is>
      </c>
      <c r="B965" s="1" t="n">
        <v>44497</v>
      </c>
      <c r="C965" s="1" t="n">
        <v>45260</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60756-2021</t>
        </is>
      </c>
      <c r="B966" s="1" t="n">
        <v>44496</v>
      </c>
      <c r="C966" s="1" t="n">
        <v>45260</v>
      </c>
      <c r="D966" t="inlineStr">
        <is>
          <t>VÄSTERNORRLANDS LÄN</t>
        </is>
      </c>
      <c r="E966" t="inlineStr">
        <is>
          <t>SOLLEFTEÅ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61739-2021</t>
        </is>
      </c>
      <c r="B967" s="1" t="n">
        <v>44498</v>
      </c>
      <c r="C967" s="1" t="n">
        <v>45260</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61424-2021</t>
        </is>
      </c>
      <c r="B968" s="1" t="n">
        <v>44500</v>
      </c>
      <c r="C968" s="1" t="n">
        <v>45260</v>
      </c>
      <c r="D968" t="inlineStr">
        <is>
          <t>VÄSTERNORRLANDS LÄN</t>
        </is>
      </c>
      <c r="E968" t="inlineStr">
        <is>
          <t>SOLLEFTEÅ</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61470-2021</t>
        </is>
      </c>
      <c r="B969" s="1" t="n">
        <v>44500</v>
      </c>
      <c r="C969" s="1" t="n">
        <v>45260</v>
      </c>
      <c r="D969" t="inlineStr">
        <is>
          <t>VÄSTERNORRLANDS LÄN</t>
        </is>
      </c>
      <c r="E969" t="inlineStr">
        <is>
          <t>SOLLEFTEÅ</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61480-2021</t>
        </is>
      </c>
      <c r="B970" s="1" t="n">
        <v>44500</v>
      </c>
      <c r="C970" s="1" t="n">
        <v>45260</v>
      </c>
      <c r="D970" t="inlineStr">
        <is>
          <t>VÄSTERNORRLANDS LÄN</t>
        </is>
      </c>
      <c r="E970" t="inlineStr">
        <is>
          <t>SOLLEFTEÅ</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61426-2021</t>
        </is>
      </c>
      <c r="B971" s="1" t="n">
        <v>44500</v>
      </c>
      <c r="C971" s="1" t="n">
        <v>45260</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61469-2021</t>
        </is>
      </c>
      <c r="B972" s="1" t="n">
        <v>44500</v>
      </c>
      <c r="C972" s="1" t="n">
        <v>45260</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61496-2021</t>
        </is>
      </c>
      <c r="B973" s="1" t="n">
        <v>44501</v>
      </c>
      <c r="C973" s="1" t="n">
        <v>45260</v>
      </c>
      <c r="D973" t="inlineStr">
        <is>
          <t>VÄSTERNORRLANDS LÄN</t>
        </is>
      </c>
      <c r="E973" t="inlineStr">
        <is>
          <t>SOLLEFTEÅ</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62214-2021</t>
        </is>
      </c>
      <c r="B974" s="1" t="n">
        <v>44502</v>
      </c>
      <c r="C974" s="1" t="n">
        <v>45260</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62210-2021</t>
        </is>
      </c>
      <c r="B975" s="1" t="n">
        <v>44502</v>
      </c>
      <c r="C975" s="1" t="n">
        <v>45260</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62418-2021</t>
        </is>
      </c>
      <c r="B976" s="1" t="n">
        <v>44503</v>
      </c>
      <c r="C976" s="1" t="n">
        <v>45260</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62790-2021</t>
        </is>
      </c>
      <c r="B977" s="1" t="n">
        <v>44503</v>
      </c>
      <c r="C977" s="1" t="n">
        <v>45260</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62697-2021</t>
        </is>
      </c>
      <c r="B978" s="1" t="n">
        <v>44504</v>
      </c>
      <c r="C978" s="1" t="n">
        <v>45260</v>
      </c>
      <c r="D978" t="inlineStr">
        <is>
          <t>VÄSTERNORRLANDS LÄN</t>
        </is>
      </c>
      <c r="E978" t="inlineStr">
        <is>
          <t>SOLLEFTEÅ</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62692-2021</t>
        </is>
      </c>
      <c r="B979" s="1" t="n">
        <v>44504</v>
      </c>
      <c r="C979" s="1" t="n">
        <v>45260</v>
      </c>
      <c r="D979" t="inlineStr">
        <is>
          <t>VÄSTERNORRLANDS LÄN</t>
        </is>
      </c>
      <c r="E979" t="inlineStr">
        <is>
          <t>SOLLEFTEÅ</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63710-2021</t>
        </is>
      </c>
      <c r="B980" s="1" t="n">
        <v>44504</v>
      </c>
      <c r="C980" s="1" t="n">
        <v>45260</v>
      </c>
      <c r="D980" t="inlineStr">
        <is>
          <t>VÄSTERNORRLANDS LÄN</t>
        </is>
      </c>
      <c r="E980" t="inlineStr">
        <is>
          <t>SOLLEFTEÅ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64638-2021</t>
        </is>
      </c>
      <c r="B981" s="1" t="n">
        <v>44511</v>
      </c>
      <c r="C981" s="1" t="n">
        <v>45260</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64651-2021</t>
        </is>
      </c>
      <c r="B982" s="1" t="n">
        <v>44511</v>
      </c>
      <c r="C982" s="1" t="n">
        <v>45260</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64653-2021</t>
        </is>
      </c>
      <c r="B983" s="1" t="n">
        <v>44511</v>
      </c>
      <c r="C983" s="1" t="n">
        <v>45260</v>
      </c>
      <c r="D983" t="inlineStr">
        <is>
          <t>VÄSTERNORRLANDS LÄN</t>
        </is>
      </c>
      <c r="E983" t="inlineStr">
        <is>
          <t>SOLLEFTEÅ</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64939-2021</t>
        </is>
      </c>
      <c r="B984" s="1" t="n">
        <v>44512</v>
      </c>
      <c r="C984" s="1" t="n">
        <v>45260</v>
      </c>
      <c r="D984" t="inlineStr">
        <is>
          <t>VÄSTERNORRLANDS LÄN</t>
        </is>
      </c>
      <c r="E984" t="inlineStr">
        <is>
          <t>SOLLEFTEÅ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64947-2021</t>
        </is>
      </c>
      <c r="B985" s="1" t="n">
        <v>44512</v>
      </c>
      <c r="C985" s="1" t="n">
        <v>45260</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64944-2021</t>
        </is>
      </c>
      <c r="B986" s="1" t="n">
        <v>44512</v>
      </c>
      <c r="C986" s="1" t="n">
        <v>45260</v>
      </c>
      <c r="D986" t="inlineStr">
        <is>
          <t>VÄSTERNORRLANDS LÄN</t>
        </is>
      </c>
      <c r="E986" t="inlineStr">
        <is>
          <t>SOLLEFTEÅ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65009-2021</t>
        </is>
      </c>
      <c r="B987" s="1" t="n">
        <v>44514</v>
      </c>
      <c r="C987" s="1" t="n">
        <v>45260</v>
      </c>
      <c r="D987" t="inlineStr">
        <is>
          <t>VÄSTERNORRLANDS LÄN</t>
        </is>
      </c>
      <c r="E987" t="inlineStr">
        <is>
          <t>SOLLEFTEÅ</t>
        </is>
      </c>
      <c r="G987" t="n">
        <v>17.3</v>
      </c>
      <c r="H987" t="n">
        <v>0</v>
      </c>
      <c r="I987" t="n">
        <v>0</v>
      </c>
      <c r="J987" t="n">
        <v>0</v>
      </c>
      <c r="K987" t="n">
        <v>0</v>
      </c>
      <c r="L987" t="n">
        <v>0</v>
      </c>
      <c r="M987" t="n">
        <v>0</v>
      </c>
      <c r="N987" t="n">
        <v>0</v>
      </c>
      <c r="O987" t="n">
        <v>0</v>
      </c>
      <c r="P987" t="n">
        <v>0</v>
      </c>
      <c r="Q987" t="n">
        <v>0</v>
      </c>
      <c r="R987" s="2" t="inlineStr"/>
    </row>
    <row r="988" ht="15" customHeight="1">
      <c r="A988" t="inlineStr">
        <is>
          <t>A 65419-2021</t>
        </is>
      </c>
      <c r="B988" s="1" t="n">
        <v>44515</v>
      </c>
      <c r="C988" s="1" t="n">
        <v>45260</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66178-2021</t>
        </is>
      </c>
      <c r="B989" s="1" t="n">
        <v>44517</v>
      </c>
      <c r="C989" s="1" t="n">
        <v>45260</v>
      </c>
      <c r="D989" t="inlineStr">
        <is>
          <t>VÄSTERNORRLANDS LÄN</t>
        </is>
      </c>
      <c r="E989" t="inlineStr">
        <is>
          <t>SOLLEFTEÅ</t>
        </is>
      </c>
      <c r="F989" t="inlineStr">
        <is>
          <t>SCA</t>
        </is>
      </c>
      <c r="G989" t="n">
        <v>31.7</v>
      </c>
      <c r="H989" t="n">
        <v>0</v>
      </c>
      <c r="I989" t="n">
        <v>0</v>
      </c>
      <c r="J989" t="n">
        <v>0</v>
      </c>
      <c r="K989" t="n">
        <v>0</v>
      </c>
      <c r="L989" t="n">
        <v>0</v>
      </c>
      <c r="M989" t="n">
        <v>0</v>
      </c>
      <c r="N989" t="n">
        <v>0</v>
      </c>
      <c r="O989" t="n">
        <v>0</v>
      </c>
      <c r="P989" t="n">
        <v>0</v>
      </c>
      <c r="Q989" t="n">
        <v>0</v>
      </c>
      <c r="R989" s="2" t="inlineStr"/>
    </row>
    <row r="990" ht="15" customHeight="1">
      <c r="A990" t="inlineStr">
        <is>
          <t>A 66856-2021</t>
        </is>
      </c>
      <c r="B990" s="1" t="n">
        <v>44522</v>
      </c>
      <c r="C990" s="1" t="n">
        <v>45260</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67085-2021</t>
        </is>
      </c>
      <c r="B991" s="1" t="n">
        <v>44522</v>
      </c>
      <c r="C991" s="1" t="n">
        <v>45260</v>
      </c>
      <c r="D991" t="inlineStr">
        <is>
          <t>VÄSTERNORRLANDS LÄN</t>
        </is>
      </c>
      <c r="E991" t="inlineStr">
        <is>
          <t>SOLLEFTEÅ</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67143-2021</t>
        </is>
      </c>
      <c r="B992" s="1" t="n">
        <v>44523</v>
      </c>
      <c r="C992" s="1" t="n">
        <v>45260</v>
      </c>
      <c r="D992" t="inlineStr">
        <is>
          <t>VÄSTERNORRLANDS LÄN</t>
        </is>
      </c>
      <c r="E992" t="inlineStr">
        <is>
          <t>SOLLEFTEÅ</t>
        </is>
      </c>
      <c r="G992" t="n">
        <v>19.7</v>
      </c>
      <c r="H992" t="n">
        <v>0</v>
      </c>
      <c r="I992" t="n">
        <v>0</v>
      </c>
      <c r="J992" t="n">
        <v>0</v>
      </c>
      <c r="K992" t="n">
        <v>0</v>
      </c>
      <c r="L992" t="n">
        <v>0</v>
      </c>
      <c r="M992" t="n">
        <v>0</v>
      </c>
      <c r="N992" t="n">
        <v>0</v>
      </c>
      <c r="O992" t="n">
        <v>0</v>
      </c>
      <c r="P992" t="n">
        <v>0</v>
      </c>
      <c r="Q992" t="n">
        <v>0</v>
      </c>
      <c r="R992" s="2" t="inlineStr"/>
    </row>
    <row r="993" ht="15" customHeight="1">
      <c r="A993" t="inlineStr">
        <is>
          <t>A 67136-2021</t>
        </is>
      </c>
      <c r="B993" s="1" t="n">
        <v>44523</v>
      </c>
      <c r="C993" s="1" t="n">
        <v>45260</v>
      </c>
      <c r="D993" t="inlineStr">
        <is>
          <t>VÄSTERNORRLANDS LÄN</t>
        </is>
      </c>
      <c r="E993" t="inlineStr">
        <is>
          <t>SOLLEFTEÅ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67390-2021</t>
        </is>
      </c>
      <c r="B994" s="1" t="n">
        <v>44523</v>
      </c>
      <c r="C994" s="1" t="n">
        <v>45260</v>
      </c>
      <c r="D994" t="inlineStr">
        <is>
          <t>VÄSTERNORRLANDS LÄN</t>
        </is>
      </c>
      <c r="E994" t="inlineStr">
        <is>
          <t>SOLLEFTEÅ</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67401-2021</t>
        </is>
      </c>
      <c r="B995" s="1" t="n">
        <v>44523</v>
      </c>
      <c r="C995" s="1" t="n">
        <v>45260</v>
      </c>
      <c r="D995" t="inlineStr">
        <is>
          <t>VÄSTERNORRLANDS LÄN</t>
        </is>
      </c>
      <c r="E995" t="inlineStr">
        <is>
          <t>SOLLEFTEÅ</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67689-2021</t>
        </is>
      </c>
      <c r="B996" s="1" t="n">
        <v>44524</v>
      </c>
      <c r="C996" s="1" t="n">
        <v>45260</v>
      </c>
      <c r="D996" t="inlineStr">
        <is>
          <t>VÄSTERNORRLANDS LÄN</t>
        </is>
      </c>
      <c r="E996" t="inlineStr">
        <is>
          <t>SOLLEFTEÅ</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67702-2021</t>
        </is>
      </c>
      <c r="B997" s="1" t="n">
        <v>44524</v>
      </c>
      <c r="C997" s="1" t="n">
        <v>45260</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67822-2021</t>
        </is>
      </c>
      <c r="B998" s="1" t="n">
        <v>44525</v>
      </c>
      <c r="C998" s="1" t="n">
        <v>45260</v>
      </c>
      <c r="D998" t="inlineStr">
        <is>
          <t>VÄSTERNORRLANDS LÄN</t>
        </is>
      </c>
      <c r="E998" t="inlineStr">
        <is>
          <t>SOLLEFTEÅ</t>
        </is>
      </c>
      <c r="G998" t="n">
        <v>0.9</v>
      </c>
      <c r="H998" t="n">
        <v>0</v>
      </c>
      <c r="I998" t="n">
        <v>0</v>
      </c>
      <c r="J998" t="n">
        <v>0</v>
      </c>
      <c r="K998" t="n">
        <v>0</v>
      </c>
      <c r="L998" t="n">
        <v>0</v>
      </c>
      <c r="M998" t="n">
        <v>0</v>
      </c>
      <c r="N998" t="n">
        <v>0</v>
      </c>
      <c r="O998" t="n">
        <v>0</v>
      </c>
      <c r="P998" t="n">
        <v>0</v>
      </c>
      <c r="Q998" t="n">
        <v>0</v>
      </c>
      <c r="R998" s="2" t="inlineStr"/>
    </row>
    <row r="999" ht="15" customHeight="1">
      <c r="A999" t="inlineStr">
        <is>
          <t>A 68317-2021</t>
        </is>
      </c>
      <c r="B999" s="1" t="n">
        <v>44526</v>
      </c>
      <c r="C999" s="1" t="n">
        <v>45260</v>
      </c>
      <c r="D999" t="inlineStr">
        <is>
          <t>VÄSTERNORRLANDS LÄN</t>
        </is>
      </c>
      <c r="E999" t="inlineStr">
        <is>
          <t>SOLLEFTEÅ</t>
        </is>
      </c>
      <c r="F999" t="inlineStr">
        <is>
          <t>SCA</t>
        </is>
      </c>
      <c r="G999" t="n">
        <v>5.1</v>
      </c>
      <c r="H999" t="n">
        <v>0</v>
      </c>
      <c r="I999" t="n">
        <v>0</v>
      </c>
      <c r="J999" t="n">
        <v>0</v>
      </c>
      <c r="K999" t="n">
        <v>0</v>
      </c>
      <c r="L999" t="n">
        <v>0</v>
      </c>
      <c r="M999" t="n">
        <v>0</v>
      </c>
      <c r="N999" t="n">
        <v>0</v>
      </c>
      <c r="O999" t="n">
        <v>0</v>
      </c>
      <c r="P999" t="n">
        <v>0</v>
      </c>
      <c r="Q999" t="n">
        <v>0</v>
      </c>
      <c r="R999" s="2" t="inlineStr"/>
    </row>
    <row r="1000" ht="15" customHeight="1">
      <c r="A1000" t="inlineStr">
        <is>
          <t>A 68792-2021</t>
        </is>
      </c>
      <c r="B1000" s="1" t="n">
        <v>44529</v>
      </c>
      <c r="C1000" s="1" t="n">
        <v>45260</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68843-2021</t>
        </is>
      </c>
      <c r="B1001" s="1" t="n">
        <v>44530</v>
      </c>
      <c r="C1001" s="1" t="n">
        <v>45260</v>
      </c>
      <c r="D1001" t="inlineStr">
        <is>
          <t>VÄSTERNORRLANDS LÄN</t>
        </is>
      </c>
      <c r="E1001" t="inlineStr">
        <is>
          <t>SOLLEFTEÅ</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68863-2021</t>
        </is>
      </c>
      <c r="B1002" s="1" t="n">
        <v>44530</v>
      </c>
      <c r="C1002" s="1" t="n">
        <v>45260</v>
      </c>
      <c r="D1002" t="inlineStr">
        <is>
          <t>VÄSTERNORRLANDS LÄN</t>
        </is>
      </c>
      <c r="E1002" t="inlineStr">
        <is>
          <t>SOLLEFTEÅ</t>
        </is>
      </c>
      <c r="F1002" t="inlineStr">
        <is>
          <t>Holmen skog AB</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69121-2021</t>
        </is>
      </c>
      <c r="B1003" s="1" t="n">
        <v>44530</v>
      </c>
      <c r="C1003" s="1" t="n">
        <v>45260</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69543-2021</t>
        </is>
      </c>
      <c r="B1004" s="1" t="n">
        <v>44531</v>
      </c>
      <c r="C1004" s="1" t="n">
        <v>45260</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69542-2021</t>
        </is>
      </c>
      <c r="B1005" s="1" t="n">
        <v>44531</v>
      </c>
      <c r="C1005" s="1" t="n">
        <v>45260</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69919-2021</t>
        </is>
      </c>
      <c r="B1006" s="1" t="n">
        <v>44532</v>
      </c>
      <c r="C1006" s="1" t="n">
        <v>45260</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69916-2021</t>
        </is>
      </c>
      <c r="B1007" s="1" t="n">
        <v>44532</v>
      </c>
      <c r="C1007" s="1" t="n">
        <v>45260</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70180-2021</t>
        </is>
      </c>
      <c r="B1008" s="1" t="n">
        <v>44533</v>
      </c>
      <c r="C1008" s="1" t="n">
        <v>45260</v>
      </c>
      <c r="D1008" t="inlineStr">
        <is>
          <t>VÄSTERNORRLANDS LÄN</t>
        </is>
      </c>
      <c r="E1008" t="inlineStr">
        <is>
          <t>SOLLEFTEÅ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70821-2021</t>
        </is>
      </c>
      <c r="B1009" s="1" t="n">
        <v>44537</v>
      </c>
      <c r="C1009" s="1" t="n">
        <v>45260</v>
      </c>
      <c r="D1009" t="inlineStr">
        <is>
          <t>VÄSTERNORRLANDS LÄN</t>
        </is>
      </c>
      <c r="E1009" t="inlineStr">
        <is>
          <t>SOLLEFTEÅ</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71080-2021</t>
        </is>
      </c>
      <c r="B1010" s="1" t="n">
        <v>44538</v>
      </c>
      <c r="C1010" s="1" t="n">
        <v>45260</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71079-2021</t>
        </is>
      </c>
      <c r="B1011" s="1" t="n">
        <v>44538</v>
      </c>
      <c r="C1011" s="1" t="n">
        <v>45260</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71348-2021</t>
        </is>
      </c>
      <c r="B1012" s="1" t="n">
        <v>44539</v>
      </c>
      <c r="C1012" s="1" t="n">
        <v>45260</v>
      </c>
      <c r="D1012" t="inlineStr">
        <is>
          <t>VÄSTERNORRLANDS LÄN</t>
        </is>
      </c>
      <c r="E1012" t="inlineStr">
        <is>
          <t>SOLLEFTEÅ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71351-2021</t>
        </is>
      </c>
      <c r="B1013" s="1" t="n">
        <v>44539</v>
      </c>
      <c r="C1013" s="1" t="n">
        <v>45260</v>
      </c>
      <c r="D1013" t="inlineStr">
        <is>
          <t>VÄSTERNORRLANDS LÄN</t>
        </is>
      </c>
      <c r="E1013" t="inlineStr">
        <is>
          <t>SOLLEFTEÅ</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71350-2021</t>
        </is>
      </c>
      <c r="B1014" s="1" t="n">
        <v>44539</v>
      </c>
      <c r="C1014" s="1" t="n">
        <v>45260</v>
      </c>
      <c r="D1014" t="inlineStr">
        <is>
          <t>VÄSTERNORRLANDS LÄN</t>
        </is>
      </c>
      <c r="E1014" t="inlineStr">
        <is>
          <t>SOLLEFTEÅ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71580-2021</t>
        </is>
      </c>
      <c r="B1015" s="1" t="n">
        <v>44540</v>
      </c>
      <c r="C1015" s="1" t="n">
        <v>45260</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72244-2021</t>
        </is>
      </c>
      <c r="B1016" s="1" t="n">
        <v>44544</v>
      </c>
      <c r="C1016" s="1" t="n">
        <v>45260</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72249-2021</t>
        </is>
      </c>
      <c r="B1017" s="1" t="n">
        <v>44544</v>
      </c>
      <c r="C1017" s="1" t="n">
        <v>45260</v>
      </c>
      <c r="D1017" t="inlineStr">
        <is>
          <t>VÄSTERNORRLANDS LÄN</t>
        </is>
      </c>
      <c r="E1017" t="inlineStr">
        <is>
          <t>SOLLEFTEÅ</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72315-2021</t>
        </is>
      </c>
      <c r="B1018" s="1" t="n">
        <v>44545</v>
      </c>
      <c r="C1018" s="1" t="n">
        <v>45260</v>
      </c>
      <c r="D1018" t="inlineStr">
        <is>
          <t>VÄSTERNORRLANDS LÄN</t>
        </is>
      </c>
      <c r="E1018" t="inlineStr">
        <is>
          <t>SOLLEFTEÅ</t>
        </is>
      </c>
      <c r="F1018" t="inlineStr">
        <is>
          <t>SCA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72485-2021</t>
        </is>
      </c>
      <c r="B1019" s="1" t="n">
        <v>44545</v>
      </c>
      <c r="C1019" s="1" t="n">
        <v>45260</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72496-2021</t>
        </is>
      </c>
      <c r="B1020" s="1" t="n">
        <v>44545</v>
      </c>
      <c r="C1020" s="1" t="n">
        <v>45260</v>
      </c>
      <c r="D1020" t="inlineStr">
        <is>
          <t>VÄSTERNORRLANDS LÄN</t>
        </is>
      </c>
      <c r="E1020" t="inlineStr">
        <is>
          <t>SOLLEFTEÅ</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72949-2021</t>
        </is>
      </c>
      <c r="B1021" s="1" t="n">
        <v>44547</v>
      </c>
      <c r="C1021" s="1" t="n">
        <v>45260</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72958-2021</t>
        </is>
      </c>
      <c r="B1022" s="1" t="n">
        <v>44547</v>
      </c>
      <c r="C1022" s="1" t="n">
        <v>45260</v>
      </c>
      <c r="D1022" t="inlineStr">
        <is>
          <t>VÄSTERNORRLANDS LÄN</t>
        </is>
      </c>
      <c r="E1022" t="inlineStr">
        <is>
          <t>SOLLEFTEÅ</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72977-2021</t>
        </is>
      </c>
      <c r="B1023" s="1" t="n">
        <v>44548</v>
      </c>
      <c r="C1023" s="1" t="n">
        <v>45260</v>
      </c>
      <c r="D1023" t="inlineStr">
        <is>
          <t>VÄSTERNORRLANDS LÄN</t>
        </is>
      </c>
      <c r="E1023" t="inlineStr">
        <is>
          <t>SOLLEFTEÅ</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73285-2021</t>
        </is>
      </c>
      <c r="B1024" s="1" t="n">
        <v>44550</v>
      </c>
      <c r="C1024" s="1" t="n">
        <v>45260</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73367-2021</t>
        </is>
      </c>
      <c r="B1025" s="1" t="n">
        <v>44550</v>
      </c>
      <c r="C1025" s="1" t="n">
        <v>45260</v>
      </c>
      <c r="D1025" t="inlineStr">
        <is>
          <t>VÄSTERNORRLANDS LÄN</t>
        </is>
      </c>
      <c r="E1025" t="inlineStr">
        <is>
          <t>SOLLEFTEÅ</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73566-2021</t>
        </is>
      </c>
      <c r="B1026" s="1" t="n">
        <v>44551</v>
      </c>
      <c r="C1026" s="1" t="n">
        <v>45260</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73564-2021</t>
        </is>
      </c>
      <c r="B1027" s="1" t="n">
        <v>44551</v>
      </c>
      <c r="C1027" s="1" t="n">
        <v>45260</v>
      </c>
      <c r="D1027" t="inlineStr">
        <is>
          <t>VÄSTERNORRLANDS LÄN</t>
        </is>
      </c>
      <c r="E1027" t="inlineStr">
        <is>
          <t>SOLLEFTEÅ</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73567-2021</t>
        </is>
      </c>
      <c r="B1028" s="1" t="n">
        <v>44551</v>
      </c>
      <c r="C1028" s="1" t="n">
        <v>45260</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73886-2021</t>
        </is>
      </c>
      <c r="B1029" s="1" t="n">
        <v>44553</v>
      </c>
      <c r="C1029" s="1" t="n">
        <v>45260</v>
      </c>
      <c r="D1029" t="inlineStr">
        <is>
          <t>VÄSTERNORRLANDS LÄN</t>
        </is>
      </c>
      <c r="E1029" t="inlineStr">
        <is>
          <t>SOLLEFTEÅ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73847-2021</t>
        </is>
      </c>
      <c r="B1030" s="1" t="n">
        <v>44553</v>
      </c>
      <c r="C1030" s="1" t="n">
        <v>45260</v>
      </c>
      <c r="D1030" t="inlineStr">
        <is>
          <t>VÄSTERNORRLANDS LÄN</t>
        </is>
      </c>
      <c r="E1030" t="inlineStr">
        <is>
          <t>SOLLEFTEÅ</t>
        </is>
      </c>
      <c r="F1030" t="inlineStr">
        <is>
          <t>Övriga Aktiebolag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2-2022</t>
        </is>
      </c>
      <c r="B1031" s="1" t="n">
        <v>44562</v>
      </c>
      <c r="C1031" s="1" t="n">
        <v>45260</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19-2022</t>
        </is>
      </c>
      <c r="B1032" s="1" t="n">
        <v>44564</v>
      </c>
      <c r="C1032" s="1" t="n">
        <v>45260</v>
      </c>
      <c r="D1032" t="inlineStr">
        <is>
          <t>VÄSTERNORRLANDS LÄN</t>
        </is>
      </c>
      <c r="E1032" t="inlineStr">
        <is>
          <t>SOLLEFTEÅ</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576-2022</t>
        </is>
      </c>
      <c r="B1033" s="1" t="n">
        <v>44566</v>
      </c>
      <c r="C1033" s="1" t="n">
        <v>45260</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1095-2022</t>
        </is>
      </c>
      <c r="B1034" s="1" t="n">
        <v>44571</v>
      </c>
      <c r="C1034" s="1" t="n">
        <v>45260</v>
      </c>
      <c r="D1034" t="inlineStr">
        <is>
          <t>VÄSTERNORRLANDS LÄN</t>
        </is>
      </c>
      <c r="E1034" t="inlineStr">
        <is>
          <t>SOLLEFTEÅ</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1094-2022</t>
        </is>
      </c>
      <c r="B1035" s="1" t="n">
        <v>44571</v>
      </c>
      <c r="C1035" s="1" t="n">
        <v>45260</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1402-2022</t>
        </is>
      </c>
      <c r="B1036" s="1" t="n">
        <v>44573</v>
      </c>
      <c r="C1036" s="1" t="n">
        <v>45260</v>
      </c>
      <c r="D1036" t="inlineStr">
        <is>
          <t>VÄSTERNORRLANDS LÄN</t>
        </is>
      </c>
      <c r="E1036" t="inlineStr">
        <is>
          <t>SOLLEFTEÅ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1987-2022</t>
        </is>
      </c>
      <c r="B1037" s="1" t="n">
        <v>44575</v>
      </c>
      <c r="C1037" s="1" t="n">
        <v>45260</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1997-2022</t>
        </is>
      </c>
      <c r="B1038" s="1" t="n">
        <v>44575</v>
      </c>
      <c r="C1038" s="1" t="n">
        <v>45260</v>
      </c>
      <c r="D1038" t="inlineStr">
        <is>
          <t>VÄSTERNORRLANDS LÄN</t>
        </is>
      </c>
      <c r="E1038" t="inlineStr">
        <is>
          <t>SOLLEFTEÅ</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2536-2022</t>
        </is>
      </c>
      <c r="B1039" s="1" t="n">
        <v>44579</v>
      </c>
      <c r="C1039" s="1" t="n">
        <v>45260</v>
      </c>
      <c r="D1039" t="inlineStr">
        <is>
          <t>VÄSTERNORRLANDS LÄN</t>
        </is>
      </c>
      <c r="E1039" t="inlineStr">
        <is>
          <t>SOLLEFTEÅ</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2543-2022</t>
        </is>
      </c>
      <c r="B1040" s="1" t="n">
        <v>44580</v>
      </c>
      <c r="C1040" s="1" t="n">
        <v>45260</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2542-2022</t>
        </is>
      </c>
      <c r="B1041" s="1" t="n">
        <v>44580</v>
      </c>
      <c r="C1041" s="1" t="n">
        <v>45260</v>
      </c>
      <c r="D1041" t="inlineStr">
        <is>
          <t>VÄSTERNORRLANDS LÄN</t>
        </is>
      </c>
      <c r="E1041" t="inlineStr">
        <is>
          <t>SOLLEFTEÅ</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2541-2022</t>
        </is>
      </c>
      <c r="B1042" s="1" t="n">
        <v>44580</v>
      </c>
      <c r="C1042" s="1" t="n">
        <v>45260</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2747-2022</t>
        </is>
      </c>
      <c r="B1043" s="1" t="n">
        <v>44580</v>
      </c>
      <c r="C1043" s="1" t="n">
        <v>45260</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3001-2022</t>
        </is>
      </c>
      <c r="B1044" s="1" t="n">
        <v>44581</v>
      </c>
      <c r="C1044" s="1" t="n">
        <v>45260</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3541-2022</t>
        </is>
      </c>
      <c r="B1045" s="1" t="n">
        <v>44585</v>
      </c>
      <c r="C1045" s="1" t="n">
        <v>45260</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3548-2022</t>
        </is>
      </c>
      <c r="B1046" s="1" t="n">
        <v>44585</v>
      </c>
      <c r="C1046" s="1" t="n">
        <v>45260</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3554-2022</t>
        </is>
      </c>
      <c r="B1047" s="1" t="n">
        <v>44585</v>
      </c>
      <c r="C1047" s="1" t="n">
        <v>45260</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3560-2022</t>
        </is>
      </c>
      <c r="B1048" s="1" t="n">
        <v>44585</v>
      </c>
      <c r="C1048" s="1" t="n">
        <v>45260</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3549-2022</t>
        </is>
      </c>
      <c r="B1049" s="1" t="n">
        <v>44585</v>
      </c>
      <c r="C1049" s="1" t="n">
        <v>45260</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3551-2022</t>
        </is>
      </c>
      <c r="B1050" s="1" t="n">
        <v>44585</v>
      </c>
      <c r="C1050" s="1" t="n">
        <v>45260</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3556-2022</t>
        </is>
      </c>
      <c r="B1051" s="1" t="n">
        <v>44585</v>
      </c>
      <c r="C1051" s="1" t="n">
        <v>45260</v>
      </c>
      <c r="D1051" t="inlineStr">
        <is>
          <t>VÄSTERNORRLANDS LÄN</t>
        </is>
      </c>
      <c r="E1051" t="inlineStr">
        <is>
          <t>SOLLEFTEÅ</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3555-2022</t>
        </is>
      </c>
      <c r="B1052" s="1" t="n">
        <v>44585</v>
      </c>
      <c r="C1052" s="1" t="n">
        <v>45260</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3552-2022</t>
        </is>
      </c>
      <c r="B1053" s="1" t="n">
        <v>44585</v>
      </c>
      <c r="C1053" s="1" t="n">
        <v>45260</v>
      </c>
      <c r="D1053" t="inlineStr">
        <is>
          <t>VÄSTERNORRLANDS LÄN</t>
        </is>
      </c>
      <c r="E1053" t="inlineStr">
        <is>
          <t>SOLLEFTEÅ</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3557-2022</t>
        </is>
      </c>
      <c r="B1054" s="1" t="n">
        <v>44585</v>
      </c>
      <c r="C1054" s="1" t="n">
        <v>45260</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3699-2022</t>
        </is>
      </c>
      <c r="B1055" s="1" t="n">
        <v>44586</v>
      </c>
      <c r="C1055" s="1" t="n">
        <v>45260</v>
      </c>
      <c r="D1055" t="inlineStr">
        <is>
          <t>VÄSTERNORRLANDS LÄN</t>
        </is>
      </c>
      <c r="E1055" t="inlineStr">
        <is>
          <t>SOLLEFTEÅ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3793-2022</t>
        </is>
      </c>
      <c r="B1056" s="1" t="n">
        <v>44586</v>
      </c>
      <c r="C1056" s="1" t="n">
        <v>45260</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3795-2022</t>
        </is>
      </c>
      <c r="B1057" s="1" t="n">
        <v>44586</v>
      </c>
      <c r="C1057" s="1" t="n">
        <v>45260</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4018-2022</t>
        </is>
      </c>
      <c r="B1058" s="1" t="n">
        <v>44587</v>
      </c>
      <c r="C1058" s="1" t="n">
        <v>45260</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4343-2022</t>
        </is>
      </c>
      <c r="B1059" s="1" t="n">
        <v>44588</v>
      </c>
      <c r="C1059" s="1" t="n">
        <v>45260</v>
      </c>
      <c r="D1059" t="inlineStr">
        <is>
          <t>VÄSTERNORRLANDS LÄN</t>
        </is>
      </c>
      <c r="E1059" t="inlineStr">
        <is>
          <t>SOLLEFTEÅ</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4555-2022</t>
        </is>
      </c>
      <c r="B1060" s="1" t="n">
        <v>44590</v>
      </c>
      <c r="C1060" s="1" t="n">
        <v>45260</v>
      </c>
      <c r="D1060" t="inlineStr">
        <is>
          <t>VÄSTERNORRLANDS LÄN</t>
        </is>
      </c>
      <c r="E1060" t="inlineStr">
        <is>
          <t>SOLLEFTEÅ</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5108-2022</t>
        </is>
      </c>
      <c r="B1061" s="1" t="n">
        <v>44593</v>
      </c>
      <c r="C1061" s="1" t="n">
        <v>45260</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5110-2022</t>
        </is>
      </c>
      <c r="B1062" s="1" t="n">
        <v>44593</v>
      </c>
      <c r="C1062" s="1" t="n">
        <v>45260</v>
      </c>
      <c r="D1062" t="inlineStr">
        <is>
          <t>VÄSTERNORRLANDS LÄN</t>
        </is>
      </c>
      <c r="E1062" t="inlineStr">
        <is>
          <t>SOLLEFTEÅ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5111-2022</t>
        </is>
      </c>
      <c r="B1063" s="1" t="n">
        <v>44593</v>
      </c>
      <c r="C1063" s="1" t="n">
        <v>45260</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5134-2022</t>
        </is>
      </c>
      <c r="B1064" s="1" t="n">
        <v>44594</v>
      </c>
      <c r="C1064" s="1" t="n">
        <v>45260</v>
      </c>
      <c r="D1064" t="inlineStr">
        <is>
          <t>VÄSTERNORRLANDS LÄN</t>
        </is>
      </c>
      <c r="E1064" t="inlineStr">
        <is>
          <t>SOLLEFTEÅ</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5657-2022</t>
        </is>
      </c>
      <c r="B1065" s="1" t="n">
        <v>44595</v>
      </c>
      <c r="C1065" s="1" t="n">
        <v>45260</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5909-2022</t>
        </is>
      </c>
      <c r="B1066" s="1" t="n">
        <v>44596</v>
      </c>
      <c r="C1066" s="1" t="n">
        <v>45260</v>
      </c>
      <c r="D1066" t="inlineStr">
        <is>
          <t>VÄSTERNORRLANDS LÄN</t>
        </is>
      </c>
      <c r="E1066" t="inlineStr">
        <is>
          <t>SOLLEFTEÅ</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6121-2022</t>
        </is>
      </c>
      <c r="B1067" s="1" t="n">
        <v>44599</v>
      </c>
      <c r="C1067" s="1" t="n">
        <v>45260</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6172-2022</t>
        </is>
      </c>
      <c r="B1068" s="1" t="n">
        <v>44599</v>
      </c>
      <c r="C1068" s="1" t="n">
        <v>45260</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6170-2022</t>
        </is>
      </c>
      <c r="B1069" s="1" t="n">
        <v>44599</v>
      </c>
      <c r="C1069" s="1" t="n">
        <v>45260</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7667-2022</t>
        </is>
      </c>
      <c r="B1070" s="1" t="n">
        <v>44607</v>
      </c>
      <c r="C1070" s="1" t="n">
        <v>45260</v>
      </c>
      <c r="D1070" t="inlineStr">
        <is>
          <t>VÄSTERNORRLANDS LÄN</t>
        </is>
      </c>
      <c r="E1070" t="inlineStr">
        <is>
          <t>SOLLEFTEÅ</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7965-2022</t>
        </is>
      </c>
      <c r="B1071" s="1" t="n">
        <v>44608</v>
      </c>
      <c r="C1071" s="1" t="n">
        <v>45260</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7963-2022</t>
        </is>
      </c>
      <c r="B1072" s="1" t="n">
        <v>44608</v>
      </c>
      <c r="C1072" s="1" t="n">
        <v>45260</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7935-2022</t>
        </is>
      </c>
      <c r="B1073" s="1" t="n">
        <v>44608</v>
      </c>
      <c r="C1073" s="1" t="n">
        <v>45260</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7964-2022</t>
        </is>
      </c>
      <c r="B1074" s="1" t="n">
        <v>44608</v>
      </c>
      <c r="C1074" s="1" t="n">
        <v>45260</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8221-2022</t>
        </is>
      </c>
      <c r="B1075" s="1" t="n">
        <v>44609</v>
      </c>
      <c r="C1075" s="1" t="n">
        <v>45260</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8222-2022</t>
        </is>
      </c>
      <c r="B1076" s="1" t="n">
        <v>44609</v>
      </c>
      <c r="C1076" s="1" t="n">
        <v>45260</v>
      </c>
      <c r="D1076" t="inlineStr">
        <is>
          <t>VÄSTERNORRLANDS LÄN</t>
        </is>
      </c>
      <c r="E1076" t="inlineStr">
        <is>
          <t>SOLLEFTEÅ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8728-2022</t>
        </is>
      </c>
      <c r="B1077" s="1" t="n">
        <v>44613</v>
      </c>
      <c r="C1077" s="1" t="n">
        <v>45260</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8729-2022</t>
        </is>
      </c>
      <c r="B1078" s="1" t="n">
        <v>44613</v>
      </c>
      <c r="C1078" s="1" t="n">
        <v>45260</v>
      </c>
      <c r="D1078" t="inlineStr">
        <is>
          <t>VÄSTERNORRLANDS LÄN</t>
        </is>
      </c>
      <c r="E1078" t="inlineStr">
        <is>
          <t>SOLLEFTEÅ</t>
        </is>
      </c>
      <c r="F1078" t="inlineStr">
        <is>
          <t>SCA</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8734-2022</t>
        </is>
      </c>
      <c r="B1079" s="1" t="n">
        <v>44613</v>
      </c>
      <c r="C1079" s="1" t="n">
        <v>45260</v>
      </c>
      <c r="D1079" t="inlineStr">
        <is>
          <t>VÄSTERNORRLANDS LÄN</t>
        </is>
      </c>
      <c r="E1079" t="inlineStr">
        <is>
          <t>SOLLEFTEÅ</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9124-2022</t>
        </is>
      </c>
      <c r="B1080" s="1" t="n">
        <v>44615</v>
      </c>
      <c r="C1080" s="1" t="n">
        <v>45260</v>
      </c>
      <c r="D1080" t="inlineStr">
        <is>
          <t>VÄSTERNORRLANDS LÄN</t>
        </is>
      </c>
      <c r="E1080" t="inlineStr">
        <is>
          <t>SOLLEFTEÅ</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9487-2022</t>
        </is>
      </c>
      <c r="B1081" s="1" t="n">
        <v>44616</v>
      </c>
      <c r="C1081" s="1" t="n">
        <v>45260</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9583-2022</t>
        </is>
      </c>
      <c r="B1082" s="1" t="n">
        <v>44617</v>
      </c>
      <c r="C1082" s="1" t="n">
        <v>45260</v>
      </c>
      <c r="D1082" t="inlineStr">
        <is>
          <t>VÄSTERNORRLANDS LÄN</t>
        </is>
      </c>
      <c r="E1082" t="inlineStr">
        <is>
          <t>SOLLEFTEÅ</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45260</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45260</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45260</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45260</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45260</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45260</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45260</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45260</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45260</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45260</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45260</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45260</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45260</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45260</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45260</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45260</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45260</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45260</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45260</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45260</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45260</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45260</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45260</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45260</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45260</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45260</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45260</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45260</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45260</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45260</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45260</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45260</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45260</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45260</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45260</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45260</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45260</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45260</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45260</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45260</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45260</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45260</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45260</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45260</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45260</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45260</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45260</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45260</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45260</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45260</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45260</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45260</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45260</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45260</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45260</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45260</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45260</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45260</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45260</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45260</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45260</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45260</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45260</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45260</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45260</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45260</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45260</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45260</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45260</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45260</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45260</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45260</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45260</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45260</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45260</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45260</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45260</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45260</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45260</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45260</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45260</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45260</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45260</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45260</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45260</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45260</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45260</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45260</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45260</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45260</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45260</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45260</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45260</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45260</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45260</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45260</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45260</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45260</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45260</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45260</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45260</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45260</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45260</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45260</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45260</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45260</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45260</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45260</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45260</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45260</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45260</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45260</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45260</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45260</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45260</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45260</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45260</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45260</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45260</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45260</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45260</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45260</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45260</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45260</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45260</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45260</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45260</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45260</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45260</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45260</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45260</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45260</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45260</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45260</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45260</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45260</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45260</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45260</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45260</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45260</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45260</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45260</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45260</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45260</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45260</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45260</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45260</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45260</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45260</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45260</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45260</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45260</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45260</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45260</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45260</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45260</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45260</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45260</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45260</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45260</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45260</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45260</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45260</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45260</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45260</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45260</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45260</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45260</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45260</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45260</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45260</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45260</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45260</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45260</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45260</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45260</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45260</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45260</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45260</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45260</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45260</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45260</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45260</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45260</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45260</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45260</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45260</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45260</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45260</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45260</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45260</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45260</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45260</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45260</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45260</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45260</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45260</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45260</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45260</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45260</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45260</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45260</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45260</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45260</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45260</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45260</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45260</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45260</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45260</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45260</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45260</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45260</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45260</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45260</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45260</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45260</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45260</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45260</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45260</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45260</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45260</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45260</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45260</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45260</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45260</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45260</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45260</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45260</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45260</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45260</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45260</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45260</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45260</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45260</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45260</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45260</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45260</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45260</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45260</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45260</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45260</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45260</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45260</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45260</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45260</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45260</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45260</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45260</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45260</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45260</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45260</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45260</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45260</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45260</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45260</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45260</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45260</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45260</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45260</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45260</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45260</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45260</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45260</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45260</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45260</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45260</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45260</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45260</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45260</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45260</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45260</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45260</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45260</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45260</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45260</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45260</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45260</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45260</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45260</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45260</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45260</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45260</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45260</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45260</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45260</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45260</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45260</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45260</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45260</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45260</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45260</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45260</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45260</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45260</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45260</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45260</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45260</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45260</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45260</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45260</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45260</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45260</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45260</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45260</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45260</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45260</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45260</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45260</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45260</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45260</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45260</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45260</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45260</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45260</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45260</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45260</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45260</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45260</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45260</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45260</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45260</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45260</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45260</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45260</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45260</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45260</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45260</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45260</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45260</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45260</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45260</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45260</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45260</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45260</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45260</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45260</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45260</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45260</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45260</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45260</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45260</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45260</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45260</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45260</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45260</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45260</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45260</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45260</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45260</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45260</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45260</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45260</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45260</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45260</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45260</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45260</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45260</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45260</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45260</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45260</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45260</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45260</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45260</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45260</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45260</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45260</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45260</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45260</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45260</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45260</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45260</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45260</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45260</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45260</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45260</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45260</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45260</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45260</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45260</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45260</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45260</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45260</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45260</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45260</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45260</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45260</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45260</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45260</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45260</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45260</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45260</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45260</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45260</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45260</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45260</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45260</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45260</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45260</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45260</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45260</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45260</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45260</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45260</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45260</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45260</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45260</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45260</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45260</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45260</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45260</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45260</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45260</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45260</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45260</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45260</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45260</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45260</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45260</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45260</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45260</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45260</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45260</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45260</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45260</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45260</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45260</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45260</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45260</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45260</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45260</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45260</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45260</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45260</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45260</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45260</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45260</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45260</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45260</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45260</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45260</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45260</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45260</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45260</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45260</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45260</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45260</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45260</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45260</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45260</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45260</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45260</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45260</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45260</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45260</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45260</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45260</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45260</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45260</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45260</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45260</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45260</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45260</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45260</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45260</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45260</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45260</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45260</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45260</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45260</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45260</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45260</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45260</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45260</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45260</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45260</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45260</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45260</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45260</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45260</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45260</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45260</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45260</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45260</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45260</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45260</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45260</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45260</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45260</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45260</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45260</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45260</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45260</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45260</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45260</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45260</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45260</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45260</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45260</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45260</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45260</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45260</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45260</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45260</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45260</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45260</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45260</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45260</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45260</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45260</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45260</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45260</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45260</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45260</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45260</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45260</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45260</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45260</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45260</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45260</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45260</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45260</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45260</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45260</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45260</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45260</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45260</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45260</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45260</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45260</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45260</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45260</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45260</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45260</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45260</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45260</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45260</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45260</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45260</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45260</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45260</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45260</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45260</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45260</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45260</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45260</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45260</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45260</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45260</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45260</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45260</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45260</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45260</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45260</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45260</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45260</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45260</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45260</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45260</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45260</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45260</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45260</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45260</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45260</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45260</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45260</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45260</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45260</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45260</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45260</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45260</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45260</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45260</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45260</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45260</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45260</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45260</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45260</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45260</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45260</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45260</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45260</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45260</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45260</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45260</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45260</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45260</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45260</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45260</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45260</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45260</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45260</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45260</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45260</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45260</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45260</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45260</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45260</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45260</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45260</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45260</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45260</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45260</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45260</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45260</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45260</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45260</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45260</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45260</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45260</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45260</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45260</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45260</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45260</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45260</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45260</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45260</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45260</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45260</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45260</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45260</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45260</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45260</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45260</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45260</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45260</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45260</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45260</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45260</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45260</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45260</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45260</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45260</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45260</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45260</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45260</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45260</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45260</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45260</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45260</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45260</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45260</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45260</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45260</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45260</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45260</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45260</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45260</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45260</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45260</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45260</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45260</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45260</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45260</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45260</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45260</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45260</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45260</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45260</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45260</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45260</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45260</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45260</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45260</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45260</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45260</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45260</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45260</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45260</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45260</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45260</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45260</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45260</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45260</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45260</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45260</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45260</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45260</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45260</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45260</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45260</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45260</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45260</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45260</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45260</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45260</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45260</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45260</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45260</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45260</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45260</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45260</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45260</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45260</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45260</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45260</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45260</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45260</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45260</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45260</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45260</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45260</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45260</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45260</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45260</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45260</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45260</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45260</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45260</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45260</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45260</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45260</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45260</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45260</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45260</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45260</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45260</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45260</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45260</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45260</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45260</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45260</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45260</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45260</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45260</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45260</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45260</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45260</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45260</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45260</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45260</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45260</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45260</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45260</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45260</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45260</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45260</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45260</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45260</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45260</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45260</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45260</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45260</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45260</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45260</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45260</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45260</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45260</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45260</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45260</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45260</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45260</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45260</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45260</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45260</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45260</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45260</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45260</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45260</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45260</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45260</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45260</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45260</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45260</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45260</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45260</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45260</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45260</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45260</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45260</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45260</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45260</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45260</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45260</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45260</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45260</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45260</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45260</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45260</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45260</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45260</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45260</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45260</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45260</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45260</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45260</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45260</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45260</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45260</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45260</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45260</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45260</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45260</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45260</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45260</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45260</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45260</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45260</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45260</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45260</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45260</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45260</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45260</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45260</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45260</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45260</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45260</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45260</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45260</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45260</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45260</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45260</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45260</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45260</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45260</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45260</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45260</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45260</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45260</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45260</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45260</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45260</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45260</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45260</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45260</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45260</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45260</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45260</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45260</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45260</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45260</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45260</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45260</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45260</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45260</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45260</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45260</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45260</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45260</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45260</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45260</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45260</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45260</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45260</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45260</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45260</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45260</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45260</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45260</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45260</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45260</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45260</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45260</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45260</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45260</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45260</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45260</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45260</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45260</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45260</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45260</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45260</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45260</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45260</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45260</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45260</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45260</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45260</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45260</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45260</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45260</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45260</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45260</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45260</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45260</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45260</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45260</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45260</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45260</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45260</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45260</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45260</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45260</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45260</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45260</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45260</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45260</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45260</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45260</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45260</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45260</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45260</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45260</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45260</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45260</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45260</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45260</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45260</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45260</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45260</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45260</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45260</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45260</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45260</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45260</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45260</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45260</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45260</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45260</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45260</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45260</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45260</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45260</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45260</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45260</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45260</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45260</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45260</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45260</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45260</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45260</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45260</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45260</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45260</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45260</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45260</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45260</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45260</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45260</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45260</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45260</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45260</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45260</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45260</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45260</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45260</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45260</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45260</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45260</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45260</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45260</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45260</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45260</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45260</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45260</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45260</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45260</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45260</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45260</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45260</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45260</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45260</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45260</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45260</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45260</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45260</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45260</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45260</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45260</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45260</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45260</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45260</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45260</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45260</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45260</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45260</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45260</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45260</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45260</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45260</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45260</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45260</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45260</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45260</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45260</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45260</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45260</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45260</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45260</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45260</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45260</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45260</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45260</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45260</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45260</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45260</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45260</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45260</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45260</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45260</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45260</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45260</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45260</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45260</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45260</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45260</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45260</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45260</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45260</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45260</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45260</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45260</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45260</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45260</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45260</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45260</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45260</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45260</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45260</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45260</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45260</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45260</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45260</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45260</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45260</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45260</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45260</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45260</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45260</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45260</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45260</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45260</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45260</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45260</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45260</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45260</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45260</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45260</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45260</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45260</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45260</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45260</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45260</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45260</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45260</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45260</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45260</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45260</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45260</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45260</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45260</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45260</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45260</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45260</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45260</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45260</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45260</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45260</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45260</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45260</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45260</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45260</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45260</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45260</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45260</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45260</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45260</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45260</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45260</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45260</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45260</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45260</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45260</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45260</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45260</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45260</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45260</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45260</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45260</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45260</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45260</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45260</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45260</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45260</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45260</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45260</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45260</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45260</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45260</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45260</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45260</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45260</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45260</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45260</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45260</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45260</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45260</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45260</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45260</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45260</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45260</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45260</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45260</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45260</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45260</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45260</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45260</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45260</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45260</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45260</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45260</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45260</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45260</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45260</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45260</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45260</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45260</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45260</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45260</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45260</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45260</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45260</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45260</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45260</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45260</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45260</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45260</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45260</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45260</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45260</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45260</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45260</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45260</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45260</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45260</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45260</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45260</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45260</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45260</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45260</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45260</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45260</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45260</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45260</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45260</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45260</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45260</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45260</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45260</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45260</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45260</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45260</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45260</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45260</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45260</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45260</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45260</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45260</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45260</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45260</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45260</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45260</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45260</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45260</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45260</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45260</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45260</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45260</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45260</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45260</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45260</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45260</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45260</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45260</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45260</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45260</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45260</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45260</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45260</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45260</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45260</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45260</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45260</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45260</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45260</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45260</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45260</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45260</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45260</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45260</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45260</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45260</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45260</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45260</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45260</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45260</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45260</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45260</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45260</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45260</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45260</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45260</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45260</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45260</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45260</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45260</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45260</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45260</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45260</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45260</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45260</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45260</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45260</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45260</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45260</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45260</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45260</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45260</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45260</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45260</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45260</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45260</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45260</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45260</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45260</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45260</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45260</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45260</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45260</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45260</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45260</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45260</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45260</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45260</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45260</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45260</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45260</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45260</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45260</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45260</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45260</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45260</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45260</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45260</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45260</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45260</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45260</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45260</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45260</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45260</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45260</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54035-2023</t>
        </is>
      </c>
      <c r="B2323" s="1" t="n">
        <v>45231</v>
      </c>
      <c r="C2323" s="1" t="n">
        <v>45260</v>
      </c>
      <c r="D2323" t="inlineStr">
        <is>
          <t>VÄSTERNORRLANDS LÄN</t>
        </is>
      </c>
      <c r="E2323" t="inlineStr">
        <is>
          <t>SOLLEFTEÅ</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45260</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45260</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54036-2023</t>
        </is>
      </c>
      <c r="B2326" s="1" t="n">
        <v>45231</v>
      </c>
      <c r="C2326" s="1" t="n">
        <v>45260</v>
      </c>
      <c r="D2326" t="inlineStr">
        <is>
          <t>VÄSTERNORRLANDS LÄN</t>
        </is>
      </c>
      <c r="E2326" t="inlineStr">
        <is>
          <t>SOLLEFTEÅ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54045-2023</t>
        </is>
      </c>
      <c r="B2327" s="1" t="n">
        <v>45232</v>
      </c>
      <c r="C2327" s="1" t="n">
        <v>45260</v>
      </c>
      <c r="D2327" t="inlineStr">
        <is>
          <t>VÄSTERNORRLANDS LÄN</t>
        </is>
      </c>
      <c r="E2327" t="inlineStr">
        <is>
          <t>SOLLEFTEÅ</t>
        </is>
      </c>
      <c r="F2327" t="inlineStr">
        <is>
          <t>SCA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54049-2023</t>
        </is>
      </c>
      <c r="B2328" s="1" t="n">
        <v>45231</v>
      </c>
      <c r="C2328" s="1" t="n">
        <v>45260</v>
      </c>
      <c r="D2328" t="inlineStr">
        <is>
          <t>VÄSTERNORRLANDS LÄN</t>
        </is>
      </c>
      <c r="E2328" t="inlineStr">
        <is>
          <t>SOLLEFTEÅ</t>
        </is>
      </c>
      <c r="F2328" t="inlineStr">
        <is>
          <t>SCA</t>
        </is>
      </c>
      <c r="G2328" t="n">
        <v>9.800000000000001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54034-2023</t>
        </is>
      </c>
      <c r="B2329" s="1" t="n">
        <v>45231</v>
      </c>
      <c r="C2329" s="1" t="n">
        <v>45260</v>
      </c>
      <c r="D2329" t="inlineStr">
        <is>
          <t>VÄSTERNORRLANDS LÄN</t>
        </is>
      </c>
      <c r="E2329" t="inlineStr">
        <is>
          <t>SOLLEFTEÅ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54048-2023</t>
        </is>
      </c>
      <c r="B2330" s="1" t="n">
        <v>45232</v>
      </c>
      <c r="C2330" s="1" t="n">
        <v>45260</v>
      </c>
      <c r="D2330" t="inlineStr">
        <is>
          <t>VÄSTERNORRLANDS LÄN</t>
        </is>
      </c>
      <c r="E2330" t="inlineStr">
        <is>
          <t>SOLLEFTEÅ</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54033-2023</t>
        </is>
      </c>
      <c r="B2331" s="1" t="n">
        <v>45231</v>
      </c>
      <c r="C2331" s="1" t="n">
        <v>45260</v>
      </c>
      <c r="D2331" t="inlineStr">
        <is>
          <t>VÄSTERNORRLANDS LÄN</t>
        </is>
      </c>
      <c r="E2331" t="inlineStr">
        <is>
          <t>SOLLEFTEÅ</t>
        </is>
      </c>
      <c r="G2331" t="n">
        <v>13.2</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45260</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45260</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54330-2023</t>
        </is>
      </c>
      <c r="B2334" s="1" t="n">
        <v>45232</v>
      </c>
      <c r="C2334" s="1" t="n">
        <v>45260</v>
      </c>
      <c r="D2334" t="inlineStr">
        <is>
          <t>VÄSTERNORRLANDS LÄN</t>
        </is>
      </c>
      <c r="E2334" t="inlineStr">
        <is>
          <t>SOLLEFTEÅ</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54195-2023</t>
        </is>
      </c>
      <c r="B2335" s="1" t="n">
        <v>45232</v>
      </c>
      <c r="C2335" s="1" t="n">
        <v>45260</v>
      </c>
      <c r="D2335" t="inlineStr">
        <is>
          <t>VÄSTERNORRLANDS LÄN</t>
        </is>
      </c>
      <c r="E2335" t="inlineStr">
        <is>
          <t>SOLLEFTEÅ</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45260</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54198-2023</t>
        </is>
      </c>
      <c r="B2337" s="1" t="n">
        <v>45232</v>
      </c>
      <c r="C2337" s="1" t="n">
        <v>45260</v>
      </c>
      <c r="D2337" t="inlineStr">
        <is>
          <t>VÄSTERNORRLANDS LÄN</t>
        </is>
      </c>
      <c r="E2337" t="inlineStr">
        <is>
          <t>SOLLEFTEÅ</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54607-2023</t>
        </is>
      </c>
      <c r="B2338" s="1" t="n">
        <v>45233</v>
      </c>
      <c r="C2338" s="1" t="n">
        <v>45260</v>
      </c>
      <c r="D2338" t="inlineStr">
        <is>
          <t>VÄSTERNORRLANDS LÄN</t>
        </is>
      </c>
      <c r="E2338" t="inlineStr">
        <is>
          <t>SOLLEFTEÅ</t>
        </is>
      </c>
      <c r="F2338" t="inlineStr">
        <is>
          <t>SCA</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45260</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45260</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54618-2023</t>
        </is>
      </c>
      <c r="B2341" s="1" t="n">
        <v>45233</v>
      </c>
      <c r="C2341" s="1" t="n">
        <v>45260</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45260</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54641-2023</t>
        </is>
      </c>
      <c r="B2343" s="1" t="n">
        <v>45234</v>
      </c>
      <c r="C2343" s="1" t="n">
        <v>45260</v>
      </c>
      <c r="D2343" t="inlineStr">
        <is>
          <t>VÄSTERNORRLANDS LÄN</t>
        </is>
      </c>
      <c r="E2343" t="inlineStr">
        <is>
          <t>SOLLEFTEÅ</t>
        </is>
      </c>
      <c r="F2343" t="inlineStr">
        <is>
          <t>SCA</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45260</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45260</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55005-2023</t>
        </is>
      </c>
      <c r="B2346" s="1" t="n">
        <v>45236</v>
      </c>
      <c r="C2346" s="1" t="n">
        <v>45260</v>
      </c>
      <c r="D2346" t="inlineStr">
        <is>
          <t>VÄSTERNORRLANDS LÄN</t>
        </is>
      </c>
      <c r="E2346" t="inlineStr">
        <is>
          <t>SOLLEFTEÅ</t>
        </is>
      </c>
      <c r="F2346" t="inlineStr">
        <is>
          <t>SCA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45260</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56148-2023</t>
        </is>
      </c>
      <c r="B2348" s="1" t="n">
        <v>45236</v>
      </c>
      <c r="C2348" s="1" t="n">
        <v>45260</v>
      </c>
      <c r="D2348" t="inlineStr">
        <is>
          <t>VÄSTERNORRLANDS LÄN</t>
        </is>
      </c>
      <c r="E2348" t="inlineStr">
        <is>
          <t>SOLLEFTEÅ</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45260</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56431-2023</t>
        </is>
      </c>
      <c r="B2350" s="1" t="n">
        <v>45237</v>
      </c>
      <c r="C2350" s="1" t="n">
        <v>45260</v>
      </c>
      <c r="D2350" t="inlineStr">
        <is>
          <t>VÄSTERNORRLANDS LÄN</t>
        </is>
      </c>
      <c r="E2350" t="inlineStr">
        <is>
          <t>SOLLEFTEÅ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55338-2023</t>
        </is>
      </c>
      <c r="B2351" s="1" t="n">
        <v>45238</v>
      </c>
      <c r="C2351" s="1" t="n">
        <v>45260</v>
      </c>
      <c r="D2351" t="inlineStr">
        <is>
          <t>VÄSTERNORRLANDS LÄN</t>
        </is>
      </c>
      <c r="E2351" t="inlineStr">
        <is>
          <t>SOLLEFTEÅ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56416-2023</t>
        </is>
      </c>
      <c r="B2352" s="1" t="n">
        <v>45237</v>
      </c>
      <c r="C2352" s="1" t="n">
        <v>45260</v>
      </c>
      <c r="D2352" t="inlineStr">
        <is>
          <t>VÄSTERNORRLANDS LÄN</t>
        </is>
      </c>
      <c r="E2352" t="inlineStr">
        <is>
          <t>SOLLEFTEÅ</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45260</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45260</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55622-2023</t>
        </is>
      </c>
      <c r="B2355" s="1" t="n">
        <v>45238</v>
      </c>
      <c r="C2355" s="1" t="n">
        <v>45260</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55638-2023</t>
        </is>
      </c>
      <c r="B2356" s="1" t="n">
        <v>45238</v>
      </c>
      <c r="C2356" s="1" t="n">
        <v>45260</v>
      </c>
      <c r="D2356" t="inlineStr">
        <is>
          <t>VÄSTERNORRLANDS LÄN</t>
        </is>
      </c>
      <c r="E2356" t="inlineStr">
        <is>
          <t>SOLLEFTEÅ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55650-2023</t>
        </is>
      </c>
      <c r="B2357" s="1" t="n">
        <v>45239</v>
      </c>
      <c r="C2357" s="1" t="n">
        <v>45260</v>
      </c>
      <c r="D2357" t="inlineStr">
        <is>
          <t>VÄSTERNORRLANDS LÄN</t>
        </is>
      </c>
      <c r="E2357" t="inlineStr">
        <is>
          <t>SOLLEFTEÅ</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55653-2023</t>
        </is>
      </c>
      <c r="B2358" s="1" t="n">
        <v>45239</v>
      </c>
      <c r="C2358" s="1" t="n">
        <v>45260</v>
      </c>
      <c r="D2358" t="inlineStr">
        <is>
          <t>VÄSTERNORRLANDS LÄN</t>
        </is>
      </c>
      <c r="E2358" t="inlineStr">
        <is>
          <t>SOLLEFTEÅ</t>
        </is>
      </c>
      <c r="F2358" t="inlineStr">
        <is>
          <t>SCA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55654-2023</t>
        </is>
      </c>
      <c r="B2359" s="1" t="n">
        <v>45239</v>
      </c>
      <c r="C2359" s="1" t="n">
        <v>45260</v>
      </c>
      <c r="D2359" t="inlineStr">
        <is>
          <t>VÄSTERNORRLANDS LÄN</t>
        </is>
      </c>
      <c r="E2359" t="inlineStr">
        <is>
          <t>SOLLEFTEÅ</t>
        </is>
      </c>
      <c r="F2359" t="inlineStr">
        <is>
          <t>SCA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55652-2023</t>
        </is>
      </c>
      <c r="B2360" s="1" t="n">
        <v>45238</v>
      </c>
      <c r="C2360" s="1" t="n">
        <v>45260</v>
      </c>
      <c r="D2360" t="inlineStr">
        <is>
          <t>VÄSTERNORRLANDS LÄN</t>
        </is>
      </c>
      <c r="E2360" t="inlineStr">
        <is>
          <t>SOLLEFTEÅ</t>
        </is>
      </c>
      <c r="F2360" t="inlineStr">
        <is>
          <t>SCA</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55651-2023</t>
        </is>
      </c>
      <c r="B2361" s="1" t="n">
        <v>45238</v>
      </c>
      <c r="C2361" s="1" t="n">
        <v>45260</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45260</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45260</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55912-2023</t>
        </is>
      </c>
      <c r="B2364" s="1" t="n">
        <v>45239</v>
      </c>
      <c r="C2364" s="1" t="n">
        <v>45260</v>
      </c>
      <c r="D2364" t="inlineStr">
        <is>
          <t>VÄSTERNORRLANDS LÄN</t>
        </is>
      </c>
      <c r="E2364" t="inlineStr">
        <is>
          <t>SOLLEFTEÅ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45260</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57010-2023</t>
        </is>
      </c>
      <c r="B2366" s="1" t="n">
        <v>45239</v>
      </c>
      <c r="C2366" s="1" t="n">
        <v>45260</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45260</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56137-2023</t>
        </is>
      </c>
      <c r="B2368" s="1" t="n">
        <v>45240</v>
      </c>
      <c r="C2368" s="1" t="n">
        <v>45260</v>
      </c>
      <c r="D2368" t="inlineStr">
        <is>
          <t>VÄSTERNORRLANDS LÄN</t>
        </is>
      </c>
      <c r="E2368" t="inlineStr">
        <is>
          <t>SOLLEFTEÅ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56134-2023</t>
        </is>
      </c>
      <c r="B2369" s="1" t="n">
        <v>45240</v>
      </c>
      <c r="C2369" s="1" t="n">
        <v>45260</v>
      </c>
      <c r="D2369" t="inlineStr">
        <is>
          <t>VÄSTERNORRLANDS LÄN</t>
        </is>
      </c>
      <c r="E2369" t="inlineStr">
        <is>
          <t>SOLLEFTEÅ</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56234-2023</t>
        </is>
      </c>
      <c r="B2370" s="1" t="n">
        <v>45240</v>
      </c>
      <c r="C2370" s="1" t="n">
        <v>45260</v>
      </c>
      <c r="D2370" t="inlineStr">
        <is>
          <t>VÄSTERNORRLANDS LÄN</t>
        </is>
      </c>
      <c r="E2370" t="inlineStr">
        <is>
          <t>SOLLEFTEÅ</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56262-2023</t>
        </is>
      </c>
      <c r="B2371" s="1" t="n">
        <v>45240</v>
      </c>
      <c r="C2371" s="1" t="n">
        <v>45260</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56244-2023</t>
        </is>
      </c>
      <c r="B2372" s="1" t="n">
        <v>45240</v>
      </c>
      <c r="C2372" s="1" t="n">
        <v>45260</v>
      </c>
      <c r="D2372" t="inlineStr">
        <is>
          <t>VÄSTERNORRLANDS LÄN</t>
        </is>
      </c>
      <c r="E2372" t="inlineStr">
        <is>
          <t>SOLLEFTEÅ</t>
        </is>
      </c>
      <c r="F2372" t="inlineStr">
        <is>
          <t>SCA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56256-2023</t>
        </is>
      </c>
      <c r="B2373" s="1" t="n">
        <v>45240</v>
      </c>
      <c r="C2373" s="1" t="n">
        <v>45260</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56139-2023</t>
        </is>
      </c>
      <c r="B2374" s="1" t="n">
        <v>45240</v>
      </c>
      <c r="C2374" s="1" t="n">
        <v>45260</v>
      </c>
      <c r="D2374" t="inlineStr">
        <is>
          <t>VÄSTERNORRLANDS LÄN</t>
        </is>
      </c>
      <c r="E2374" t="inlineStr">
        <is>
          <t>SOLLEFTEÅ</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56201-2023</t>
        </is>
      </c>
      <c r="B2375" s="1" t="n">
        <v>45240</v>
      </c>
      <c r="C2375" s="1" t="n">
        <v>45260</v>
      </c>
      <c r="D2375" t="inlineStr">
        <is>
          <t>VÄSTERNORRLANDS LÄN</t>
        </is>
      </c>
      <c r="E2375" t="inlineStr">
        <is>
          <t>SOLLEFTEÅ</t>
        </is>
      </c>
      <c r="G2375" t="n">
        <v>43.3</v>
      </c>
      <c r="H2375" t="n">
        <v>0</v>
      </c>
      <c r="I2375" t="n">
        <v>0</v>
      </c>
      <c r="J2375" t="n">
        <v>0</v>
      </c>
      <c r="K2375" t="n">
        <v>0</v>
      </c>
      <c r="L2375" t="n">
        <v>0</v>
      </c>
      <c r="M2375" t="n">
        <v>0</v>
      </c>
      <c r="N2375" t="n">
        <v>0</v>
      </c>
      <c r="O2375" t="n">
        <v>0</v>
      </c>
      <c r="P2375" t="n">
        <v>0</v>
      </c>
      <c r="Q2375" t="n">
        <v>0</v>
      </c>
      <c r="R2375" s="2" t="inlineStr"/>
    </row>
    <row r="2376" ht="15" customHeight="1">
      <c r="A2376" t="inlineStr">
        <is>
          <t>A 56249-2023</t>
        </is>
      </c>
      <c r="B2376" s="1" t="n">
        <v>45240</v>
      </c>
      <c r="C2376" s="1" t="n">
        <v>45260</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56261-2023</t>
        </is>
      </c>
      <c r="B2377" s="1" t="n">
        <v>45240</v>
      </c>
      <c r="C2377" s="1" t="n">
        <v>45260</v>
      </c>
      <c r="D2377" t="inlineStr">
        <is>
          <t>VÄSTERNORRLANDS LÄN</t>
        </is>
      </c>
      <c r="E2377" t="inlineStr">
        <is>
          <t>SOLLEFTEÅ</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56260-2023</t>
        </is>
      </c>
      <c r="B2378" s="1" t="n">
        <v>45240</v>
      </c>
      <c r="C2378" s="1" t="n">
        <v>45260</v>
      </c>
      <c r="D2378" t="inlineStr">
        <is>
          <t>VÄSTERNORRLANDS LÄN</t>
        </is>
      </c>
      <c r="E2378" t="inlineStr">
        <is>
          <t>SOLLEFTEÅ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45260</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45260</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56685-2023</t>
        </is>
      </c>
      <c r="B2381" s="1" t="n">
        <v>45244</v>
      </c>
      <c r="C2381" s="1" t="n">
        <v>45260</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56697-2023</t>
        </is>
      </c>
      <c r="B2382" s="1" t="n">
        <v>45243</v>
      </c>
      <c r="C2382" s="1" t="n">
        <v>45260</v>
      </c>
      <c r="D2382" t="inlineStr">
        <is>
          <t>VÄSTERNORRLANDS LÄN</t>
        </is>
      </c>
      <c r="E2382" t="inlineStr">
        <is>
          <t>SOLLEFTEÅ</t>
        </is>
      </c>
      <c r="F2382" t="inlineStr">
        <is>
          <t>SCA</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45260</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57066-2023</t>
        </is>
      </c>
      <c r="B2384" s="1" t="n">
        <v>45245</v>
      </c>
      <c r="C2384" s="1" t="n">
        <v>45260</v>
      </c>
      <c r="D2384" t="inlineStr">
        <is>
          <t>VÄSTERNORRLANDS LÄN</t>
        </is>
      </c>
      <c r="E2384" t="inlineStr">
        <is>
          <t>SOLLEFTEÅ</t>
        </is>
      </c>
      <c r="F2384" t="inlineStr">
        <is>
          <t>SCA</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57837-2023</t>
        </is>
      </c>
      <c r="B2385" s="1" t="n">
        <v>45244</v>
      </c>
      <c r="C2385" s="1" t="n">
        <v>45260</v>
      </c>
      <c r="D2385" t="inlineStr">
        <is>
          <t>VÄSTERNORRLANDS LÄN</t>
        </is>
      </c>
      <c r="E2385" t="inlineStr">
        <is>
          <t>SOLLEFTEÅ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45260</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57384-2023</t>
        </is>
      </c>
      <c r="B2387" s="1" t="n">
        <v>45245</v>
      </c>
      <c r="C2387" s="1" t="n">
        <v>45260</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57394-2023</t>
        </is>
      </c>
      <c r="B2388" s="1" t="n">
        <v>45246</v>
      </c>
      <c r="C2388" s="1" t="n">
        <v>45260</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57395-2023</t>
        </is>
      </c>
      <c r="B2389" s="1" t="n">
        <v>45246</v>
      </c>
      <c r="C2389" s="1" t="n">
        <v>45260</v>
      </c>
      <c r="D2389" t="inlineStr">
        <is>
          <t>VÄSTERNORRLANDS LÄN</t>
        </is>
      </c>
      <c r="E2389" t="inlineStr">
        <is>
          <t>SOLLEFTEÅ</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57411-2023</t>
        </is>
      </c>
      <c r="B2390" s="1" t="n">
        <v>45245</v>
      </c>
      <c r="C2390" s="1" t="n">
        <v>45260</v>
      </c>
      <c r="D2390" t="inlineStr">
        <is>
          <t>VÄSTERNORRLANDS LÄN</t>
        </is>
      </c>
      <c r="E2390" t="inlineStr">
        <is>
          <t>SOLLEFTEÅ</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58298-2023</t>
        </is>
      </c>
      <c r="B2391" s="1" t="n">
        <v>45245</v>
      </c>
      <c r="C2391" s="1" t="n">
        <v>45260</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57655-2023</t>
        </is>
      </c>
      <c r="B2392" s="1" t="n">
        <v>45246</v>
      </c>
      <c r="C2392" s="1" t="n">
        <v>45260</v>
      </c>
      <c r="D2392" t="inlineStr">
        <is>
          <t>VÄSTERNORRLANDS LÄN</t>
        </is>
      </c>
      <c r="E2392" t="inlineStr">
        <is>
          <t>SOLLEFTEÅ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45248</v>
      </c>
      <c r="C2393" s="1" t="n">
        <v>45260</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58155-2023</t>
        </is>
      </c>
      <c r="B2394" s="1" t="n">
        <v>45250</v>
      </c>
      <c r="C2394" s="1" t="n">
        <v>45260</v>
      </c>
      <c r="D2394" t="inlineStr">
        <is>
          <t>VÄSTERNORRLANDS LÄN</t>
        </is>
      </c>
      <c r="E2394" t="inlineStr">
        <is>
          <t>SOLLEFTEÅ</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58427-2023</t>
        </is>
      </c>
      <c r="B2395" s="1" t="n">
        <v>45250</v>
      </c>
      <c r="C2395" s="1" t="n">
        <v>45260</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58933-2023</t>
        </is>
      </c>
      <c r="B2396" s="1" t="n">
        <v>45250</v>
      </c>
      <c r="C2396" s="1" t="n">
        <v>45260</v>
      </c>
      <c r="D2396" t="inlineStr">
        <is>
          <t>VÄSTERNORRLANDS LÄN</t>
        </is>
      </c>
      <c r="E2396" t="inlineStr">
        <is>
          <t>SOLLEFTEÅ</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58891-2023</t>
        </is>
      </c>
      <c r="B2397" s="1" t="n">
        <v>45250</v>
      </c>
      <c r="C2397" s="1" t="n">
        <v>45260</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45260</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59098-2023</t>
        </is>
      </c>
      <c r="B2399" s="1" t="n">
        <v>45253</v>
      </c>
      <c r="C2399" s="1" t="n">
        <v>45260</v>
      </c>
      <c r="D2399" t="inlineStr">
        <is>
          <t>VÄSTERNORRLANDS LÄN</t>
        </is>
      </c>
      <c r="E2399" t="inlineStr">
        <is>
          <t>SOLLEFTEÅ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59339-2023</t>
        </is>
      </c>
      <c r="B2400" s="1" t="n">
        <v>45253</v>
      </c>
      <c r="C2400" s="1" t="n">
        <v>45260</v>
      </c>
      <c r="D2400" t="inlineStr">
        <is>
          <t>VÄSTERNORRLANDS LÄN</t>
        </is>
      </c>
      <c r="E2400" t="inlineStr">
        <is>
          <t>SOLLEFTEÅ</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59346-2023</t>
        </is>
      </c>
      <c r="B2401" s="1" t="n">
        <v>45253</v>
      </c>
      <c r="C2401" s="1" t="n">
        <v>45260</v>
      </c>
      <c r="D2401" t="inlineStr">
        <is>
          <t>VÄSTERNORRLANDS LÄN</t>
        </is>
      </c>
      <c r="E2401" t="inlineStr">
        <is>
          <t>SOLLEFTEÅ</t>
        </is>
      </c>
      <c r="F2401" t="inlineStr">
        <is>
          <t>Holmen skog AB</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59461-2023</t>
        </is>
      </c>
      <c r="B2402" s="1" t="n">
        <v>45253</v>
      </c>
      <c r="C2402" s="1" t="n">
        <v>45260</v>
      </c>
      <c r="D2402" t="inlineStr">
        <is>
          <t>VÄSTERNORRLANDS LÄN</t>
        </is>
      </c>
      <c r="E2402" t="inlineStr">
        <is>
          <t>SOLLEFTEÅ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59579-2023</t>
        </is>
      </c>
      <c r="B2403" s="1" t="n">
        <v>45253</v>
      </c>
      <c r="C2403" s="1" t="n">
        <v>45260</v>
      </c>
      <c r="D2403" t="inlineStr">
        <is>
          <t>VÄSTERNORRLANDS LÄN</t>
        </is>
      </c>
      <c r="E2403" t="inlineStr">
        <is>
          <t>SOLLEFTEÅ</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59501-2023</t>
        </is>
      </c>
      <c r="B2404" s="1" t="n">
        <v>45254</v>
      </c>
      <c r="C2404" s="1" t="n">
        <v>45260</v>
      </c>
      <c r="D2404" t="inlineStr">
        <is>
          <t>VÄSTERNORRLANDS LÄN</t>
        </is>
      </c>
      <c r="E2404" t="inlineStr">
        <is>
          <t>SOLLEFTEÅ</t>
        </is>
      </c>
      <c r="F2404" t="inlineStr">
        <is>
          <t>Holmen skog AB</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59583-2023</t>
        </is>
      </c>
      <c r="B2405" s="1" t="n">
        <v>45254</v>
      </c>
      <c r="C2405" s="1" t="n">
        <v>45260</v>
      </c>
      <c r="D2405" t="inlineStr">
        <is>
          <t>VÄSTERNORRLANDS LÄN</t>
        </is>
      </c>
      <c r="E2405" t="inlineStr">
        <is>
          <t>SOLLEFTEÅ</t>
        </is>
      </c>
      <c r="F2405" t="inlineStr">
        <is>
          <t>Holmen skog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59662-2023</t>
        </is>
      </c>
      <c r="B2406" s="1" t="n">
        <v>45255</v>
      </c>
      <c r="C2406" s="1" t="n">
        <v>45260</v>
      </c>
      <c r="D2406" t="inlineStr">
        <is>
          <t>VÄSTERNORRLANDS LÄN</t>
        </is>
      </c>
      <c r="E2406" t="inlineStr">
        <is>
          <t>SOLLEFTEÅ</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59657-2023</t>
        </is>
      </c>
      <c r="B2407" s="1" t="n">
        <v>45255</v>
      </c>
      <c r="C2407" s="1" t="n">
        <v>45260</v>
      </c>
      <c r="D2407" t="inlineStr">
        <is>
          <t>VÄSTERNORRLANDS LÄN</t>
        </is>
      </c>
      <c r="E2407" t="inlineStr">
        <is>
          <t>SOLLEFTEÅ</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60039-2023</t>
        </is>
      </c>
      <c r="B2408" s="1" t="n">
        <v>45254</v>
      </c>
      <c r="C2408" s="1" t="n">
        <v>45260</v>
      </c>
      <c r="D2408" t="inlineStr">
        <is>
          <t>VÄSTERNORRLANDS LÄN</t>
        </is>
      </c>
      <c r="E2408" t="inlineStr">
        <is>
          <t>SOLLEFTEÅ</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59593-2023</t>
        </is>
      </c>
      <c r="B2409" s="1" t="n">
        <v>45254</v>
      </c>
      <c r="C2409" s="1" t="n">
        <v>45260</v>
      </c>
      <c r="D2409" t="inlineStr">
        <is>
          <t>VÄSTERNORRLANDS LÄN</t>
        </is>
      </c>
      <c r="E2409" t="inlineStr">
        <is>
          <t>SOLLEFTEÅ</t>
        </is>
      </c>
      <c r="F2409" t="inlineStr">
        <is>
          <t>Holmen skog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59879-2023</t>
        </is>
      </c>
      <c r="B2410" s="1" t="n">
        <v>45254</v>
      </c>
      <c r="C2410" s="1" t="n">
        <v>45260</v>
      </c>
      <c r="D2410" t="inlineStr">
        <is>
          <t>VÄSTERNORRLANDS LÄN</t>
        </is>
      </c>
      <c r="E2410" t="inlineStr">
        <is>
          <t>SOLLEFTEÅ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59794-2023</t>
        </is>
      </c>
      <c r="B2411" s="1" t="n">
        <v>45257</v>
      </c>
      <c r="C2411" s="1" t="n">
        <v>45260</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60099-2023</t>
        </is>
      </c>
      <c r="B2412" s="1" t="n">
        <v>45257</v>
      </c>
      <c r="C2412" s="1" t="n">
        <v>45260</v>
      </c>
      <c r="D2412" t="inlineStr">
        <is>
          <t>VÄSTERNORRLANDS LÄN</t>
        </is>
      </c>
      <c r="E2412" t="inlineStr">
        <is>
          <t>SOLLEFTEÅ</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60462-2023</t>
        </is>
      </c>
      <c r="B2413" s="1" t="n">
        <v>45258</v>
      </c>
      <c r="C2413" s="1" t="n">
        <v>45260</v>
      </c>
      <c r="D2413" t="inlineStr">
        <is>
          <t>VÄSTERNORRLANDS LÄN</t>
        </is>
      </c>
      <c r="E2413" t="inlineStr">
        <is>
          <t>SOLLEFTEÅ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60329-2023</t>
        </is>
      </c>
      <c r="B2414" s="1" t="n">
        <v>45258</v>
      </c>
      <c r="C2414" s="1" t="n">
        <v>45260</v>
      </c>
      <c r="D2414" t="inlineStr">
        <is>
          <t>VÄSTERNORRLANDS LÄN</t>
        </is>
      </c>
      <c r="E2414" t="inlineStr">
        <is>
          <t>SOLLEFTEÅ</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60328-2023</t>
        </is>
      </c>
      <c r="B2415" s="1" t="n">
        <v>45258</v>
      </c>
      <c r="C2415" s="1" t="n">
        <v>45260</v>
      </c>
      <c r="D2415" t="inlineStr">
        <is>
          <t>VÄSTERNORRLANDS LÄN</t>
        </is>
      </c>
      <c r="E2415" t="inlineStr">
        <is>
          <t>SOLLEFTEÅ</t>
        </is>
      </c>
      <c r="F2415" t="inlineStr">
        <is>
          <t>SCA</t>
        </is>
      </c>
      <c r="G2415" t="n">
        <v>5.3</v>
      </c>
      <c r="H2415" t="n">
        <v>0</v>
      </c>
      <c r="I2415" t="n">
        <v>0</v>
      </c>
      <c r="J2415" t="n">
        <v>0</v>
      </c>
      <c r="K2415" t="n">
        <v>0</v>
      </c>
      <c r="L2415" t="n">
        <v>0</v>
      </c>
      <c r="M2415" t="n">
        <v>0</v>
      </c>
      <c r="N2415" t="n">
        <v>0</v>
      </c>
      <c r="O2415" t="n">
        <v>0</v>
      </c>
      <c r="P2415" t="n">
        <v>0</v>
      </c>
      <c r="Q2415" t="n">
        <v>0</v>
      </c>
      <c r="R2415" s="2" t="inlineStr"/>
    </row>
    <row r="2416">
      <c r="A2416" t="inlineStr">
        <is>
          <t>A 60480-2023</t>
        </is>
      </c>
      <c r="B2416" s="1" t="n">
        <v>45258</v>
      </c>
      <c r="C2416" s="1" t="n">
        <v>45260</v>
      </c>
      <c r="D2416" t="inlineStr">
        <is>
          <t>VÄSTERNORRLANDS LÄN</t>
        </is>
      </c>
      <c r="E2416" t="inlineStr">
        <is>
          <t>SOLLEFTEÅ</t>
        </is>
      </c>
      <c r="G2416" t="n">
        <v>4.7</v>
      </c>
      <c r="H2416" t="n">
        <v>0</v>
      </c>
      <c r="I2416" t="n">
        <v>0</v>
      </c>
      <c r="J2416" t="n">
        <v>0</v>
      </c>
      <c r="K2416" t="n">
        <v>0</v>
      </c>
      <c r="L2416" t="n">
        <v>0</v>
      </c>
      <c r="M2416" t="n">
        <v>0</v>
      </c>
      <c r="N2416" t="n">
        <v>0</v>
      </c>
      <c r="O2416" t="n">
        <v>0</v>
      </c>
      <c r="P2416" t="n">
        <v>0</v>
      </c>
      <c r="Q2416" t="n">
        <v>0</v>
      </c>
      <c r="R24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2023-11-30T10:29:55Z</dcterms:created>
  <dcterms:modified xmlns:dcterms="http://purl.org/dc/terms/" xmlns:xsi="http://www.w3.org/2001/XMLSchema-instance" xsi:type="dcterms:W3CDTF">2023-11-30T10:29:56Z</dcterms:modified>
</cp:coreProperties>
</file>